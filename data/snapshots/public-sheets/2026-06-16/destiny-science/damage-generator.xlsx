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How To Use" sheetId="2" r:id="rId6"/>
    <sheet state="visible" name="Database" sheetId="3" r:id="rId7"/>
    <sheet state="hidden" name="backend" sheetId="4" r:id="rId8"/>
    <sheet state="hidden" name="Database OLD" sheetId="5" r:id="rId9"/>
    <sheet state="hidden" name="scaling OLD" sheetId="6" r:id="rId10"/>
    <sheet state="hidden" name="Crafting OLD" sheetId="7" r:id="rId11"/>
    <sheet state="visible" name="BuffsDebuffs" sheetId="8" r:id="rId12"/>
    <sheet state="visible" name="Damage Chart" sheetId="9" r:id="rId13"/>
    <sheet state="hidden" name="c_rs OLD" sheetId="10" r:id="rId14"/>
    <sheet state="hidden" name="Damage Chart OLD" sheetId="11" r:id="rId15"/>
  </sheets>
  <definedNames>
    <definedName hidden="1" localSheetId="2" name="_xlnm._FilterDatabase">Database!$B$14:$AV$57</definedName>
    <definedName hidden="1" localSheetId="4" name="_xlnm._FilterDatabase">'Database OLD'!$B$21:$CP$137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1">
      <text>
        <t xml:space="preserve">Optimized DPS:
Ending on the last full magazine. Mitigates the negative impact of incomplete final magazines on the total reserves DPS</t>
      </text>
    </comment>
    <comment authorId="0" ref="X21">
      <text>
        <t xml:space="preserve">Sustained DPS: 
DPS over infinite reserves. Mitigates the positive impact of a beneficial mag/reload ratio some weapons have</t>
      </text>
    </comment>
    <comment authorId="0" ref="I21">
      <text>
        <t xml:space="preserve">Base Impact: 
Raw damage values from actual  ingame damage testing on Zulmak</t>
      </text>
    </comment>
    <comment authorId="0" ref="J21">
      <text>
        <t xml:space="preserve">Modified Impact:
Includes selected buffs and debuffs, Boss Spec as well as power level and precision multiplier scaling based on the selected encounter</t>
      </text>
    </comment>
  </commentList>
</comments>
</file>

<file path=xl/sharedStrings.xml><?xml version="1.0" encoding="utf-8"?>
<sst xmlns="http://schemas.openxmlformats.org/spreadsheetml/2006/main" count="2371" uniqueCount="906">
  <si>
    <r>
      <rPr>
        <rFont val="Roboto"/>
        <b/>
        <color rgb="FFFFFFFF"/>
        <sz val="24.0"/>
      </rPr>
      <t xml:space="preserve">Destiny 2 PvE </t>
    </r>
    <r>
      <rPr>
        <rFont val="Roboto"/>
        <b/>
        <i/>
        <color rgb="FF9900FF"/>
        <sz val="24.0"/>
      </rPr>
      <t>Legendary Weapon</t>
    </r>
    <r>
      <rPr>
        <rFont val="Roboto"/>
        <b/>
        <color rgb="FFFFFFFF"/>
        <sz val="24.0"/>
      </rPr>
      <t xml:space="preserve"> Damage Generator</t>
    </r>
  </si>
  <si>
    <t>Spreadsheet created and maintained by RokDC and Maeix - Contact at the bottom</t>
  </si>
  <si>
    <t>Update following the number crunching with EoF will probably take a bit of time as every weapon will need retesting. Still hope the new shooting range streamlines this process for faster and more reliable updates in the future!</t>
  </si>
  <si>
    <t>Version:</t>
  </si>
  <si>
    <t>3.1</t>
  </si>
  <si>
    <t>Most recent version available:</t>
  </si>
  <si>
    <t>Link to the original sheet for updates:</t>
  </si>
  <si>
    <t xml:space="preserve">Hyperlink to share the sheet: </t>
  </si>
  <si>
    <t>https://destiny2.science/damage-generator</t>
  </si>
  <si>
    <t xml:space="preserve">Get started </t>
  </si>
  <si>
    <r>
      <rPr>
        <rFont val="Roboto"/>
        <b/>
        <color rgb="FFFFFFFF"/>
        <sz val="14.0"/>
      </rPr>
      <t xml:space="preserve">You can browse the public version of the spreadsheet. For full access to the sheet and all of its features you need to make a personal copy. 
</t>
    </r>
    <r>
      <rPr>
        <rFont val="Roboto"/>
        <b val="0"/>
        <color rgb="FFFFFFFF"/>
        <sz val="14.0"/>
      </rPr>
      <t xml:space="preserve">(File &gt; Create a copy; Google account required)
</t>
    </r>
    <r>
      <rPr>
        <rFont val="Roboto"/>
        <b/>
        <color rgb="FFFFFFFF"/>
        <sz val="14.0"/>
      </rPr>
      <t xml:space="preserve">Your personal copy will notify you about future updates.
</t>
    </r>
    <r>
      <rPr>
        <rFont val="Roboto"/>
        <b val="0"/>
        <color rgb="FFFFFFFF"/>
        <sz val="14.0"/>
      </rPr>
      <t>Please do not request access to the original spreadsheet.</t>
    </r>
  </si>
  <si>
    <t>Spreadsheet Overview</t>
  </si>
  <si>
    <t>Database</t>
  </si>
  <si>
    <t>Central HUB - Includes all Special and and Heavy Legendary Weapons, their base data and various Damage metrics</t>
  </si>
  <si>
    <t>Main features</t>
  </si>
  <si>
    <t>- Select an encounter for discrete damage output</t>
  </si>
  <si>
    <t>- Apply global modifiers regarding magazine size, reserves or reload speed</t>
  </si>
  <si>
    <t>- Sort and Filter by many parameters</t>
  </si>
  <si>
    <t>- Apply Buffs and Debuffs to the calculations</t>
  </si>
  <si>
    <t>- Craft weapons by selecting Element and Perks</t>
  </si>
  <si>
    <t>Buffs/Debuffs</t>
  </si>
  <si>
    <t>Advanced buff/debuff stacking calculator, can be applied to the 'Database'</t>
  </si>
  <si>
    <t>Damage Chart</t>
  </si>
  <si>
    <t>Visualisation of Damage and DPS of all weapons in the database</t>
  </si>
  <si>
    <t>Selected Comparison</t>
  </si>
  <si>
    <t>Head-to-head comparison of all parameters of selected guns.</t>
  </si>
  <si>
    <t>Visual Comparison</t>
  </si>
  <si>
    <t>Visual comparison of the selected guns as a staircase diagram. Visual intervals dont always match the firerate which can cause inconsistent visual step lengths.</t>
  </si>
  <si>
    <t>Changelog</t>
  </si>
  <si>
    <t>2024-11-09 v3.1</t>
  </si>
  <si>
    <t>Addition of missing (Aggressive Glaive, Aggressive Sword) and new (Heavy Burst Shotgun) Archetypes</t>
  </si>
  <si>
    <t>2024-10-27 v3.0</t>
  </si>
  <si>
    <t>Rework of the spreadsheet including removal of any exotic weapons and addition of new features - See more in the v3.0 News above</t>
  </si>
  <si>
    <t>2024-06-06 v2.7</t>
  </si>
  <si>
    <t>Tentative Update of the Database based on the Patchnotes for Final Shape - In-game testing will take place after the Raid race; Visual comparisons have not been updated yet nor has the Scaling feature</t>
  </si>
  <si>
    <t>2024-05-16 v2.6.5</t>
  </si>
  <si>
    <t>Various Hotfixes (thanks to users crossboy and reichembach on Discord); Adjustements/corrections</t>
  </si>
  <si>
    <t>2024-04-18 v2.6.4</t>
  </si>
  <si>
    <t>Into the Light patch; GL Impact changes; Micro-Missile frame added; 1KV reserves</t>
  </si>
  <si>
    <t>2024-03-15 v2.6.3</t>
  </si>
  <si>
    <t>Implementing undocumented changes to special GLs; Unclear if intended from Bungie, might get rolled back/fixed at any time</t>
  </si>
  <si>
    <t>2024-03-06 v2.6.2</t>
  </si>
  <si>
    <t>Hotfix for Update 2.6.1; Anarchy ticks, Wendigo, Backend stuff</t>
  </si>
  <si>
    <t>2024-03-06 v2.6.1</t>
  </si>
  <si>
    <t>Midseason patch for Season of the Wish; Rocket and HGL Reserves, Spike Grenades; Misc;</t>
  </si>
  <si>
    <t>2023-11-29 v2.6</t>
  </si>
  <si>
    <t>Season of the Wish launch update; Swords; Glaives; New Exotic; Misc</t>
  </si>
  <si>
    <t>2023-09-17 v2.5.1</t>
  </si>
  <si>
    <t>Sword update; Updating combos and resulting damage values after the charge time changes; Adding in recently added sword archetypes; Addition of Crota's End encounters</t>
  </si>
  <si>
    <t>2023-08-24 v2.5</t>
  </si>
  <si>
    <t>Season of the Witch patch; New exotic weapons and reserve changes</t>
  </si>
  <si>
    <t>2023-06-25 v2.4</t>
  </si>
  <si>
    <t>Catch-up update for timelines and Buffs and Debuffs, now up to date with Lightfall and Season of the Deep sandbox changes</t>
  </si>
  <si>
    <t>2023-05-31 v2.3</t>
  </si>
  <si>
    <t>Provisional update for Season of the Deep; Includes weapon changes; Timelines (Visual Comparison) not updated yet; Buffs/Debuffs still not updated</t>
  </si>
  <si>
    <t>2023-04-28 v2.2.3</t>
  </si>
  <si>
    <t>Implementing mid season patch - Reserve changes; Trace rifle precision multiplier changes</t>
  </si>
  <si>
    <t>2023-04-05 v2.2.2</t>
  </si>
  <si>
    <t>Hotfix; Corrected Scaling for SoW and RoN</t>
  </si>
  <si>
    <t>2023-03-19 v2.2.1</t>
  </si>
  <si>
    <t>Addition of new LF exotics and catalysts, addition of RoN encounters, Updated timelines</t>
  </si>
  <si>
    <t>2023-03-03 v2.2</t>
  </si>
  <si>
    <t>Provisional sandbox update of the database (Lightfall launch); New Scaling for master content</t>
  </si>
  <si>
    <t>2023-02-05 v2.1.2</t>
  </si>
  <si>
    <t>Several hotfixes/tweaks; Replacing Inteference VI with Wendigo GL3; Some backend preparations for Lightfall release</t>
  </si>
  <si>
    <t>2022-12-22 v2.1.1</t>
  </si>
  <si>
    <t>Several hotfixes over the last couple days; addition of Target Lock to the crafting feature - happy holidays everyone</t>
  </si>
  <si>
    <t>2022-12-12 v2.1</t>
  </si>
  <si>
    <t>Season of the Seraph sandbox changes, ending beta phase of the scaling feature</t>
  </si>
  <si>
    <t>2022-11-26 v2.0.1 (beta)</t>
  </si>
  <si>
    <t>Various improvements / additions / hotfixes to the new encounter scaling feauture, addition of elemental burn modifiers to the Buffs/Debuffs section</t>
  </si>
  <si>
    <t>2022-11-25 v2.0 (beta)</t>
  </si>
  <si>
    <t>Implementation of a damage scaling feature that includes power level scaling as well as damage and precision modifiers from all bosses. Feature is in beta state, please contact us for any corrections/bugs. Scaling is based on Mossys findings, see 'How to use'</t>
  </si>
  <si>
    <t>2022-10-20 v1.13</t>
  </si>
  <si>
    <t>Mid-season patch 6.2.5 (LoW buff); Fixes to the interaction of Boss Spec and the Crafting feature (via Fading Shadow)</t>
  </si>
  <si>
    <t>2022-09-18 v1.12</t>
  </si>
  <si>
    <t>Few minor corrections (Izanagi Reload, Rocket visual RPM)</t>
  </si>
  <si>
    <t>2022-09-12 v1.11</t>
  </si>
  <si>
    <t>Updated patch notes numbers with actual ingame testing (small deviations); Updated Lament (new combo); Addition of Thunderlord Catalyst; Addition of Delicate Tomb</t>
  </si>
  <si>
    <t>2022-08-24 v1.10</t>
  </si>
  <si>
    <t>Updated for Season of Plunder; Trench Barrel on Acrius (Please check 'How To Use' for details), Heavy GL buff (Intended for 10%) and more; New curated RL rolls, corrections to Trace RPM. Thunderlord Catalyst and Delicate Tomb will follow in a later update</t>
  </si>
  <si>
    <t>2022-07-21 v1.9.7</t>
  </si>
  <si>
    <t>Hotfix thanks to feedback - Additional Legend of Acrius damage instance (via Darkflameo), Tractor Cannon adjustments and some background changes</t>
  </si>
  <si>
    <t>2022-07-21 v1.9.6</t>
  </si>
  <si>
    <t>Implementation of patch 4.1.5 (Solstice) - Stormchaser nerf, Pellet shotgun buff and more</t>
  </si>
  <si>
    <t>2022-06-04 v1.9.5</t>
  </si>
  <si>
    <t>Few Hotfixes, Addition of Heartshadow (via azmatr4z)</t>
  </si>
  <si>
    <t>2022-06-04 v1.9.4</t>
  </si>
  <si>
    <t>Addition of the new Radiant buff, Addition of Aggressive LFRs and Stormchaser</t>
  </si>
  <si>
    <t>2022-05-25 v1.9.3.1</t>
  </si>
  <si>
    <t>Quick hotfix for some issues that slipped through the last one, updated Ager's Scepter and corrected the Rocket Launcher values. Apologies for the double update.</t>
  </si>
  <si>
    <t>2022-05-25 v1.9.3</t>
  </si>
  <si>
    <t>Updated to Season of the Haunted Weapon Sandbox, Corrected Forerunner to use Headshot Value (Thanks Jay), Prometheus DoT is currently ignored due to bug. Timelines are not up to date, as such visual comparison will be incorrect until a later update.</t>
  </si>
  <si>
    <t>2022-04-28 v1.9.2</t>
  </si>
  <si>
    <t>Magazine and reserves QA, correcting some values</t>
  </si>
  <si>
    <t>2022-03-15 v1.9.1</t>
  </si>
  <si>
    <t>Hotfix for the interaction of Weaken and Divinity (Weaken does not override Divinity anmyore); Some corrections based on feedback</t>
  </si>
  <si>
    <t>2022-03-12 v1.9</t>
  </si>
  <si>
    <t>Addition of a weapon build / perk selection feature ('Crafting'); replaces most curated rolls. Implementation of patch 4.0.0.3 as well as more undocumented sandbox changes (via CourtRoom)</t>
  </si>
  <si>
    <t>2022-03-02 v1.8.2</t>
  </si>
  <si>
    <t>Hotfix for an issue where applying buffs would cause an error on rocket launchers; Changed Wardcliff Coil values caused by an undocumented change (rollback in v1.9)</t>
  </si>
  <si>
    <t>2022-02-27 v1.8.1</t>
  </si>
  <si>
    <t>Changing Bannershield to 40% in the buff calculator (via CourtRoom)</t>
  </si>
  <si>
    <t>2022-02-26 v1.8</t>
  </si>
  <si>
    <t xml:space="preserve">Implementation of patch 4.0.0.1 (Witch Queen) - Addition of new exotic weapons and the Glaives, other weapon sandbox changes as well as changes to buffs and debuffs. Curated rolls inlcuding crafting will follow after the raid weapons are released. </t>
  </si>
  <si>
    <t>2022-01-16 v1.7.2</t>
  </si>
  <si>
    <t>A number of cosmetic changes; Addition of Arbalest catalyst (+1 in the magazine)</t>
  </si>
  <si>
    <t>2022-01-12 v1.7.1</t>
  </si>
  <si>
    <t>Hotifx for the Buff/Debuff redirection which linked to the tab in the original spreadsheet instead of the tab in your copy before</t>
  </si>
  <si>
    <t>2022-01-10 v1.7</t>
  </si>
  <si>
    <t>Adding an advanced Buff/Debuff selection tab that can be applied to the Database. Buffs and Debuffs are now opt-in. See 'How to use' for more information</t>
  </si>
  <si>
    <t>2021-12-14 v1.6.1</t>
  </si>
  <si>
    <t>Seperating Particle Deconstruction and Divnity Stacking into 2 seperate toggles; Gradients in the Database tab are now colorblind friendly; Minor adjustments to some values</t>
  </si>
  <si>
    <t>2021-12-10 v1.6</t>
  </si>
  <si>
    <t>Implementation of patch 3.4.0 (Gjallarhorn, Wolfpack Rounds, LFRs, Shotguns, Vorpal etc.)</t>
  </si>
  <si>
    <t>2021-10-18 v1.5.3</t>
  </si>
  <si>
    <t>Addition of Reed's Regret with Firing Line now that the perk is fixed. Note that Reed's Regret does not work with Focusing Lens in a Well of Radiance as it is a stasis (=/= light) weapon. Addition of Canis Major with Vorpal as a slightly inferior but more consistent alternative to Full Court on a Grenade Launcher.</t>
  </si>
  <si>
    <t>2021-09-24 v1.5.2</t>
  </si>
  <si>
    <t>Addition of Ager's Scepter (Will Given and normal mode), Replacing Hezen Vengeance with Ascendancy now that Explosive Light is fixed</t>
  </si>
  <si>
    <t>2021-09-08 v1.5.1</t>
  </si>
  <si>
    <t>Implementation of the artifact mod 'Particle Deconstruction' as a toggle (opt-in)</t>
  </si>
  <si>
    <t>2021-08-26 v1.5</t>
  </si>
  <si>
    <t>Implementation of Season of the Lost sandbox changes (Patch 3.3.0), addition of Lorentz Driver</t>
  </si>
  <si>
    <t>2021-07-24 v1.4.4</t>
  </si>
  <si>
    <t>Reload timings QA - Checked all measured reload timings against the reload formulas and doing small adjustments where necessary; Addition of Trace Rifle mods</t>
  </si>
  <si>
    <t>2021-07-15 v1.4.3</t>
  </si>
  <si>
    <t>Addition of Uzume RR4 (Replacing Adored)</t>
  </si>
  <si>
    <t>2021-07-15 v1.4.2</t>
  </si>
  <si>
    <t>Addition of the 'Damage Chart' diagram</t>
  </si>
  <si>
    <t>2021-07-10 v1.4.1</t>
  </si>
  <si>
    <t>Implementation of mid-season patch 3.2.1 (Sleeper buff etc.), addition of several new weapon rolls (Crownsplitter, VoG weapons). Changed default database sorting to 'Optimized DPS'</t>
  </si>
  <si>
    <t>2021-05-12 v1.4</t>
  </si>
  <si>
    <t>Implementation of Season of the Splicer Sandbox changes (LFR Buff, Vortex and Lament Heavy nerf)</t>
  </si>
  <si>
    <t>2021-05-01 v1.3.5</t>
  </si>
  <si>
    <t>Hotfix 'Optimized DPS' for some specific perk/weapon combinations; Addition of Royal Entry with Clown Cartridge</t>
  </si>
  <si>
    <t>2021-04-30 v1.3.4</t>
  </si>
  <si>
    <t>Addition of 'Optimized DPS' metric (ending on the last full magazine); Intermediate calculations for the discrete encounter damage are now hidden by default.</t>
  </si>
  <si>
    <t>2021-04-11 v1.3.3</t>
  </si>
  <si>
    <t>Minor adjustments/corrections to some damage models; Addition of Frozen Orbit, Salvager's Salvo</t>
  </si>
  <si>
    <t>2021-04-10 v1.3.2</t>
  </si>
  <si>
    <t>Addition of curated weapon rolls with new perks (reconstruction, lasting impression); Adjusted slug shotgun total reserves (from 16 to 20)</t>
  </si>
  <si>
    <t>2021-04-02 v1.3.1</t>
  </si>
  <si>
    <t>Sword update; sharpening some assumptions and improving some rotation models for swords for more precise values.</t>
  </si>
  <si>
    <t>2021-03-31 v1.3</t>
  </si>
  <si>
    <t>Implementation of Season of the Chosen Sandbox changes (RL and Swords) as well as addition of all missing post-DSC release exotics</t>
  </si>
  <si>
    <t>2020-11-27 v1.2.3</t>
  </si>
  <si>
    <t>Updated all damage values for BL (Most moved by tiny fractions due to rounding, others seemingly silently nerfed, rocket launcher impact damage especially). Added Thunderlord adaptive RPM and lightning damage. Updated Prospector to include DoT (Thanks to user Marblewight for noticing the error and letting us know)</t>
  </si>
  <si>
    <t>2020-11-26 v1.2.2</t>
  </si>
  <si>
    <t>Addition of BL Exotics, updated how to use for those exotics. Added approximate Taniks duration as a boss encounter.</t>
  </si>
  <si>
    <t>2020-11-18 v1.2.1</t>
  </si>
  <si>
    <t>Addition of Adored</t>
  </si>
  <si>
    <t>2020-11-18 v1.2</t>
  </si>
  <si>
    <t>Implemented BL Sandbox Changes (Rocket Launcher Reserves, Merciless Reserves, Vortex Frame Heavy Attack, Leviathan's Breath Catalyst)</t>
  </si>
  <si>
    <t>2020-11-02 v1.1.1</t>
  </si>
  <si>
    <t>Adjusted Boss Spec Mod to 7,768% (was 8%)</t>
  </si>
  <si>
    <t>2020-10-30 v1.1</t>
  </si>
  <si>
    <t>Public release</t>
  </si>
  <si>
    <t>2020-10-27 v1.0.4</t>
  </si>
  <si>
    <t>Addition of the Izanagi's Burden / Auto-Loading Grenade Launcher combination, Addition of 'How-To-Use'-tab, Addition of Caster Frame swords</t>
  </si>
  <si>
    <t>2020-10-24 v1.0.3</t>
  </si>
  <si>
    <t>Addition of selected Swords, Addition of 'Sustained DPS'</t>
  </si>
  <si>
    <t>2020-10-22 v1.0.2</t>
  </si>
  <si>
    <t>Addition of selected legendary 'god rolls' (marked blue); Addition of selectable Boss Spec for legendary weapons</t>
  </si>
  <si>
    <t>2020-10-16 v1.0.1</t>
  </si>
  <si>
    <t>Addition of selectable raid encounters</t>
  </si>
  <si>
    <t>2020-10-15 v1.0</t>
  </si>
  <si>
    <t>Private release</t>
  </si>
  <si>
    <t>Upcoming fixes / additions / To-do</t>
  </si>
  <si>
    <t>Features we want to implement, no ETA</t>
  </si>
  <si>
    <t>Visual comparison</t>
  </si>
  <si>
    <t>Decrease visual intervals for the graph to 0,1s</t>
  </si>
  <si>
    <t>Disclaimer /
Remarks</t>
  </si>
  <si>
    <t>All data got collected manually and therefore can include mistakes like false values or information. If you happen to notice one, please contact us! Some of the parameters are relatively hard to determine precisely and we obviously can't guarantee them to always be correct. As most of the data on timings got determined using frame counting on 60fps recordings, the general margin of error is 16.66ms. This is even more of an issue as some of the values listed in game turned out to be misleading or straight up wrong. (Example: Truth is listed as 15 RPM while it actually is 45 RPM). Even the slightest change in values or assumptions can cause significant movement among the rankings so judge the weapons with caution and common sense and don't blindly rely on this spreadsheet.</t>
  </si>
  <si>
    <t>Some (exotic) weapon mechanics exceed what the formulas can handle and therefore got slightly simplified. Read more on those cases in the 'How-To-Use'-tab</t>
  </si>
  <si>
    <t>The numbers in this spreadsheet require (almost) perfect conditions and execution in most cases. Consider them the theoretical ceiling. Ease-of-use is not a factor in this framework but will always be in praxis.</t>
  </si>
  <si>
    <t>The scope of this spreadsheet was to make weapons more comparable by applying coherent and consistent measures and calculations. The modifiers allow for indidividual settings and the assumptions made regarding several parameters try to be as close to actual Raid Boss encounters as possible.</t>
  </si>
  <si>
    <t>Contact</t>
  </si>
  <si>
    <r>
      <rPr>
        <rFont val="Roboto"/>
        <color rgb="FFFFFFFF"/>
        <sz val="10.0"/>
      </rPr>
      <t>For any questions/remarks/corrections please contact @</t>
    </r>
    <r>
      <rPr>
        <rFont val="Roboto"/>
        <b/>
        <color rgb="FFFFFFFF"/>
        <sz val="10.0"/>
      </rPr>
      <t xml:space="preserve">maeix </t>
    </r>
    <r>
      <rPr>
        <rFont val="Roboto"/>
        <color rgb="FFFFFFFF"/>
        <sz val="10.0"/>
      </rPr>
      <t xml:space="preserve">on Discord or visit the </t>
    </r>
    <r>
      <rPr>
        <rFont val="Roboto"/>
        <b/>
        <color rgb="FFFFFFFF"/>
        <sz val="10.0"/>
      </rPr>
      <t>Destiny Science</t>
    </r>
    <r>
      <rPr>
        <rFont val="Roboto"/>
        <color rgb="FFFFFFFF"/>
        <sz val="10.0"/>
      </rPr>
      <t xml:space="preserve"> Discord server (Hivemind)</t>
    </r>
  </si>
  <si>
    <r>
      <rPr>
        <rFont val="Roboto"/>
        <b/>
        <color rgb="FFFFFFFF"/>
        <sz val="12.0"/>
      </rPr>
      <t xml:space="preserve">Features
</t>
    </r>
    <r>
      <rPr>
        <rFont val="Roboto"/>
        <b val="0"/>
        <i/>
        <color rgb="FFFFFFFF"/>
        <sz val="12.0"/>
      </rPr>
      <t>How to use this Spreadsheet</t>
    </r>
  </si>
  <si>
    <t>Database Features</t>
  </si>
  <si>
    <t>1. General functionalities</t>
  </si>
  <si>
    <t>Table</t>
  </si>
  <si>
    <t>All columns can be sorted and filtered to search for specific weapons and frames; A lot of columns are hidden by default - Expand them at your own risk</t>
  </si>
  <si>
    <t>Weapons are sorted by weapon type (e.g. Fusion Rifle, Shotgun, etc.) and frame (e.g. Adaptive Frame, Precision Frame, etc.)</t>
  </si>
  <si>
    <t>Special Weapons (Green background)</t>
  </si>
  <si>
    <t>Heavy Weapons (Purple background)</t>
  </si>
  <si>
    <t>Select</t>
  </si>
  <si>
    <t>The select feature allows for quick selection of weapons (toggle the box(es) and then filter by 'TRUE')</t>
  </si>
  <si>
    <t>2. Global modifiers</t>
  </si>
  <si>
    <t>Raid Encounters</t>
  </si>
  <si>
    <t>The drop-down menu includes all dungeon and raid bosses to be selected</t>
  </si>
  <si>
    <t>Note: Durations are not 100% precise and are very loosely measured. In most situations you won't have the full duration to play with due to encounter design and damage setups.</t>
  </si>
  <si>
    <t>Custom</t>
  </si>
  <si>
    <t>The custom damage phase duration lets you enter a custom duration as long as you toggle the box.</t>
  </si>
  <si>
    <t>Encounter Damage</t>
  </si>
  <si>
    <t>The Encounter duration determines the 'Encounter damage' in the last column of the database. This is the discrete theoretical damage output for the given duration.</t>
  </si>
  <si>
    <t>3. Perk selection</t>
  </si>
  <si>
    <t>Functionality</t>
  </si>
  <si>
    <t>Allows to assign an element and 2 perks to each weapon. If you want to create multiple weapons of the same frame, just copy the base entry in a new row.</t>
  </si>
  <si>
    <t xml:space="preserve">Not all perks are available as not everything works with the architecture of the spreadsheet and not all available perks realistically work with each weapon. </t>
  </si>
  <si>
    <t xml:space="preserve">Some Perks get simplified to be applicable universally. Perks that require weapon rotations (Envious Arsenal, BnS,...) do not take the rotation into account, the Damage per second is only for the time shooting the gun in question. </t>
  </si>
  <si>
    <t>The assigned element determines the application of selected element-specific buffs like Surges in the Buffs/Debuffs section</t>
  </si>
  <si>
    <t>4. Damage scores</t>
  </si>
  <si>
    <t>TDO &amp; DPS Scores</t>
  </si>
  <si>
    <t xml:space="preserve">TDO and DPS Scores are intended to be a tool for quick relative comparison. The highest current value in the database equals a score of 100. Selected perks, buffs and debuffs are considered. </t>
  </si>
  <si>
    <t>Damage Score</t>
  </si>
  <si>
    <r>
      <rPr>
        <rFont val="Roboto"/>
        <color theme="1"/>
      </rPr>
      <t xml:space="preserve">Damage score is the average value of the TDO and DPS Score without any weighting. </t>
    </r>
    <r>
      <rPr>
        <rFont val="Roboto"/>
        <i/>
        <color theme="1"/>
      </rPr>
      <t>I promise</t>
    </r>
  </si>
  <si>
    <t>Buffs/
Debuff selection</t>
  </si>
  <si>
    <t>5. Buff/Debuff selection</t>
  </si>
  <si>
    <t xml:space="preserve">The Buff/Debuff tab offers an advanced buff/debuff stacking calculator that follows all stacking rules. Multipliers are calculated per weapon type and per element and can be applied to the Database. </t>
  </si>
  <si>
    <t>Buffs and Debuffs are opt-in</t>
  </si>
  <si>
    <t>Comparisons</t>
  </si>
  <si>
    <t>5. Select</t>
  </si>
  <si>
    <t>Select up to 10 weapons from the 'Database'-tab for a head-to-head comparison on the 'Selected Comparison'-tab and the 'Visual Comparison'-tab. The current selection in the public version is for demonstration purposes.</t>
  </si>
  <si>
    <t>5.1. Numeric Comparison</t>
  </si>
  <si>
    <t>This sheet allows for a numeric comparison of the selected guns with the parameters and KPIs from the 'Database' Tab. Conditioned formatting is adjusted for a head-to-head comparison</t>
  </si>
  <si>
    <t>5.2. Visual Comparison</t>
  </si>
  <si>
    <t>Graphs</t>
  </si>
  <si>
    <r>
      <rPr>
        <rFont val="Roboto"/>
        <b/>
        <color theme="1"/>
      </rPr>
      <t>This sheet allows for a visual comparison of the selected guns using a staircase diagram. Please note that this diagram has fixed 0.5s intervals/steps which dont always match the weapon's firerate.</t>
    </r>
    <r>
      <rPr>
        <rFont val="Roboto"/>
        <b/>
        <color theme="1"/>
        <u/>
      </rPr>
      <t xml:space="preserve"> This means that vertical lines which represent impacts can only occur every 0,5s. If an impact happens in between these intervals it'll only be displayed at the next 0,5s interval</t>
    </r>
    <r>
      <rPr>
        <rFont val="Roboto"/>
        <b/>
        <color theme="1"/>
      </rPr>
      <t>. Multiple shots going down between two interval borders can appear as 1 higher vertical step. This can cause inconsistent visual steps in the staircase function. The values at the 0.5s intervals should always have the correct values nonetheless. In a future update we will try to lower the intervals to 0,1s however this might stress the sheet and its scripts too much. This also has no impact on the accuracy of the Encounter damage value in the database.</t>
    </r>
  </si>
  <si>
    <r>
      <rPr>
        <rFont val="Roboto"/>
        <b/>
        <color rgb="FFFFFFFF"/>
        <sz val="12.0"/>
      </rPr>
      <t xml:space="preserve">Methodology and Explanations
</t>
    </r>
    <r>
      <rPr>
        <rFont val="Roboto"/>
        <b val="0"/>
        <i/>
        <color rgb="FFFFFFFF"/>
        <sz val="12.0"/>
      </rPr>
      <t>How to read this Spreadsheet</t>
    </r>
  </si>
  <si>
    <t>Methodology / Special Cases / Additional Notes</t>
  </si>
  <si>
    <t>6. Methodology</t>
  </si>
  <si>
    <t>Parameters</t>
  </si>
  <si>
    <t>Basic parameters of the weapons used for calculations of the KPIs</t>
  </si>
  <si>
    <t>Base Impact</t>
  </si>
  <si>
    <t xml:space="preserve">Bodyshot damage on Kalli, Last Wish at the activity power cap without any buffs, debuffs or perks active. Values are verified by comparing them to converted bodyshot values from the enclave. </t>
  </si>
  <si>
    <t>Modified Impact</t>
  </si>
  <si>
    <t>Applies the weapon's crit multiplier, selected perks, global modifiers and all selected buffs and debuffs.</t>
  </si>
  <si>
    <t>Magazine</t>
  </si>
  <si>
    <t>Magazine size (base and max) is sourced from Mossy - It is the average magazine size of all weapons of that frame that have been released since S14</t>
  </si>
  <si>
    <t>Reserves</t>
  </si>
  <si>
    <t>Reserves (base and max) are sourced from Mossy - It is the average number of reserves of all weapons of that frame that have been released since S14</t>
  </si>
  <si>
    <t>RPM</t>
  </si>
  <si>
    <t xml:space="preserve">Rounds-per-minute. These are based on the ingame values but got corrected by our findings during the testing. </t>
  </si>
  <si>
    <t>Reload Speed</t>
  </si>
  <si>
    <t>Reload speed is calculated using the weapon type specific reload formulas sourced from D2Foundry [If you know who to credit for exactly, please lmk!]. Reload speed includes the base stat (once again, average of recently released weapons) as well as modifiers like loader mods and lunafactions boots as well as selected perks.</t>
  </si>
  <si>
    <t>KPIs</t>
  </si>
  <si>
    <t>Performance indicators for all weapons</t>
  </si>
  <si>
    <t>Time to empty mag</t>
  </si>
  <si>
    <t>Time it takes to empty one full magazine. The first shot in this model takes place on frame 0. Single shot weapons therefore have a value of 0</t>
  </si>
  <si>
    <t>Single mag damage</t>
  </si>
  <si>
    <t>Damage dealt by a single full magazine. Single shot weapons have their impact listed.</t>
  </si>
  <si>
    <t>Time to empty reserves</t>
  </si>
  <si>
    <t>Time it takes to empty the entire reserves including all requried reload periods. Marked green if reserves last for the entire encounter length</t>
  </si>
  <si>
    <t>Total damage</t>
  </si>
  <si>
    <t>Total damage dealt by shooting the entire reserves of a gun without picking up any ammo during the process.</t>
  </si>
  <si>
    <t>Single mag DPS</t>
  </si>
  <si>
    <t xml:space="preserve">Damage per second value for emptying a single magazine, also known as 'Burst DPS'. Single shot weapons are not included for mathematical reasons. </t>
  </si>
  <si>
    <t>Total reserves DPS</t>
  </si>
  <si>
    <t>Damage per second value for emptying the entire reserves. Interplay between reserves and magazine size can significantly benefit or harm this value which makes it very volatile</t>
  </si>
  <si>
    <t>Optimized DPS</t>
  </si>
  <si>
    <t>Damage per second when ending on the last full magazine. Mitigates the negative impact of incomplete final magazines on Total reserves DPS</t>
  </si>
  <si>
    <t>Sustained DPS</t>
  </si>
  <si>
    <t>Damage per second value over infinite time and ammo reserves. This is a more robust measure than total reserves DPS but its undervaluing some weapons with a naturally benefitial reload/mag ratio</t>
  </si>
  <si>
    <t>Comparison of DPS Values</t>
  </si>
  <si>
    <t>Theoretical max damage output for the selected encounter duration. The damage is based on a discrete function that calculates the number of shots that can be fired and is therefore not based on a linear damage model. This allows to account for reload intervals and periods and the individual damage distribution over time for every weapon. Especially for weapons with highly concentrated damage spikes (f.e. Rocket Launchers) this can make a significant difference over a linear DPS x Length calculation.</t>
  </si>
  <si>
    <t>7. Special mechanics</t>
  </si>
  <si>
    <t>7.1. Weapon types</t>
  </si>
  <si>
    <t>Swords</t>
  </si>
  <si>
    <t>Swords are calculated by using Light Attacks only</t>
  </si>
  <si>
    <t>Glaives</t>
  </si>
  <si>
    <t xml:space="preserve">For Glaives only ranged attacks are considered in this sheet. Melee DPS is a bit higher but has infinite ammo and therefore doesnt really fit the metrics and the sheet's methods. </t>
  </si>
  <si>
    <t>Rocket Launchers</t>
  </si>
  <si>
    <t>Rocket Launchers actual RPM deviates from the ingame values</t>
  </si>
  <si>
    <t>Fusion and Linear Fusion</t>
  </si>
  <si>
    <t>Fusion Rifles and Linear Fusion Rifles have a charge time delay after every shot of about 512ms which is implemented via the RPM value</t>
  </si>
  <si>
    <t>7.2. Perks</t>
  </si>
  <si>
    <t>Links</t>
  </si>
  <si>
    <t>Additional resources from the Destiny 2 community</t>
  </si>
  <si>
    <t>Damage Scaling</t>
  </si>
  <si>
    <t>Mossy's Damage Scaling Spreadsheet</t>
  </si>
  <si>
    <t>https://docs.google.com/spreadsheets/d/1b57Hb8m1L3daFfUckQQqvvN6VOpD03KEssvQLMFpC5I/edit#gid=1386975095</t>
  </si>
  <si>
    <t>Exotics and rotations</t>
  </si>
  <si>
    <t>Aegis' Damage spreadsheet</t>
  </si>
  <si>
    <t>https://docs.google.com/spreadsheets/d/1_5wtBjRYHHxuF4oJKDb_iOGZs-wTkzB6RYbnyNLbuz4/edit#gid=1313551887</t>
  </si>
  <si>
    <t>Buffs and Debuffs</t>
  </si>
  <si>
    <t>CourtRoom's comprehensive Destiny 2 data spreadsheet</t>
  </si>
  <si>
    <t>General information</t>
  </si>
  <si>
    <t>Destiny 2 data compendium</t>
  </si>
  <si>
    <t>https://docs.google.com/spreadsheets/d/1WaxvbLx7UoSZaBqdFr1u32F2uWVLo-CJunJB4nlGUE4/htmlview?pru=AAABe9E7ngw*TxEsfbPsk5ukmr0FbZfK8w#gid=1158705568</t>
  </si>
  <si>
    <t>Collection of Resources</t>
  </si>
  <si>
    <t>https://linktr.ee/destinyspreadsheets</t>
  </si>
  <si>
    <t xml:space="preserve"> </t>
  </si>
  <si>
    <t>Encounter Information</t>
  </si>
  <si>
    <r>
      <rPr>
        <rFont val="Roboto"/>
        <b/>
        <i/>
        <color rgb="FF999999"/>
        <sz val="9.0"/>
      </rPr>
      <t xml:space="preserve">Expand between columns </t>
    </r>
    <r>
      <rPr>
        <rFont val="Roboto"/>
        <b val="0"/>
        <i/>
        <color rgb="FF000000"/>
        <sz val="9.0"/>
      </rPr>
      <t>J</t>
    </r>
    <r>
      <rPr>
        <rFont val="Roboto"/>
        <b/>
        <i/>
        <color rgb="FF999999"/>
        <sz val="9.0"/>
      </rPr>
      <t xml:space="preserve"> and </t>
    </r>
    <r>
      <rPr>
        <rFont val="Roboto"/>
        <b val="0"/>
        <i/>
        <color rgb="FF000000"/>
        <sz val="9.0"/>
      </rPr>
      <t>AB</t>
    </r>
    <r>
      <rPr>
        <rFont val="Roboto"/>
        <b/>
        <i/>
        <color rgb="FF999999"/>
        <sz val="9.0"/>
      </rPr>
      <t xml:space="preserve">      </t>
    </r>
    <r>
      <rPr>
        <rFont val="Roboto"/>
        <b/>
        <i/>
        <color rgb="FF999999"/>
        <sz val="11.0"/>
      </rPr>
      <t>‹‹</t>
    </r>
  </si>
  <si>
    <r>
      <rPr>
        <rFont val="Roboto"/>
        <b/>
        <i/>
        <color rgb="FF999999"/>
        <sz val="11.0"/>
      </rPr>
      <t xml:space="preserve">››     </t>
    </r>
    <r>
      <rPr>
        <rFont val="Roboto"/>
        <b/>
        <i/>
        <color rgb="FF999999"/>
        <sz val="9.0"/>
      </rPr>
      <t>for all base values and more parameters</t>
    </r>
  </si>
  <si>
    <t>PoH - Zulmak</t>
  </si>
  <si>
    <t>Damage phase duration in seconds</t>
  </si>
  <si>
    <t>✎ Custom Damage phase duration</t>
  </si>
  <si>
    <r>
      <rPr>
        <rFont val="Roboto"/>
        <i/>
        <color rgb="FF666666"/>
        <sz val="8.0"/>
      </rPr>
      <t>In order to use all functionalities like sorting, filtering or selecting perks, you need to make a copy.
See '</t>
    </r>
    <r>
      <rPr>
        <rFont val="Roboto"/>
        <b/>
        <i/>
        <color rgb="FF666666"/>
        <sz val="8.0"/>
      </rPr>
      <t xml:space="preserve">Information </t>
    </r>
    <r>
      <rPr>
        <rFont val="Roboto"/>
        <i/>
        <color rgb="FF666666"/>
        <sz val="8.0"/>
      </rPr>
      <t xml:space="preserve">- </t>
    </r>
    <r>
      <rPr>
        <rFont val="Roboto"/>
        <b/>
        <i/>
        <color rgb="FF6AA84F"/>
        <sz val="8.0"/>
      </rPr>
      <t>Get started</t>
    </r>
    <r>
      <rPr>
        <rFont val="Roboto"/>
        <i/>
        <color rgb="FF666666"/>
        <sz val="8.0"/>
      </rPr>
      <t>'</t>
    </r>
  </si>
  <si>
    <r>
      <rPr>
        <rFont val="Roboto"/>
        <color theme="1"/>
        <sz val="8.0"/>
      </rPr>
      <t xml:space="preserve">Selected </t>
    </r>
    <r>
      <rPr>
        <rFont val="Roboto"/>
        <b/>
        <color rgb="FFB45F06"/>
        <sz val="8.0"/>
      </rPr>
      <t>modifiers</t>
    </r>
    <r>
      <rPr>
        <rFont val="Roboto"/>
        <b/>
        <color theme="1"/>
        <sz val="8.0"/>
      </rPr>
      <t xml:space="preserve">, </t>
    </r>
    <r>
      <rPr>
        <rFont val="Roboto"/>
        <b/>
        <color rgb="FFCC4125"/>
        <sz val="8.0"/>
      </rPr>
      <t>element and perks</t>
    </r>
    <r>
      <rPr>
        <rFont val="Roboto"/>
        <b/>
        <color theme="1"/>
        <sz val="8.0"/>
      </rPr>
      <t xml:space="preserve"> </t>
    </r>
    <r>
      <rPr>
        <rFont val="Roboto"/>
        <color theme="1"/>
        <sz val="8.0"/>
      </rPr>
      <t xml:space="preserve">get applied to all subsequent damage calculations
In order to </t>
    </r>
    <r>
      <rPr>
        <rFont val="Roboto"/>
        <b/>
        <color theme="1"/>
        <sz val="8.0"/>
      </rPr>
      <t xml:space="preserve">craft multiple weapons </t>
    </r>
    <r>
      <rPr>
        <rFont val="Roboto"/>
        <color theme="1"/>
        <sz val="8.0"/>
      </rPr>
      <t xml:space="preserve">of the same type add a row and copy that weapon's base entry
</t>
    </r>
    <r>
      <rPr>
        <rFont val="Roboto"/>
        <i/>
        <color theme="1"/>
        <sz val="8.0"/>
      </rPr>
      <t xml:space="preserve">Not all perks are available and not every perk work withs each weapon type. Learn more about the feature and its limitations under 
</t>
    </r>
    <r>
      <rPr>
        <rFont val="Roboto"/>
        <b/>
        <i/>
        <color theme="1"/>
        <sz val="8.0"/>
      </rPr>
      <t>'How To Use'</t>
    </r>
  </si>
  <si>
    <r>
      <rPr>
        <rFont val="Roboto"/>
        <b/>
        <color rgb="FF434343"/>
        <sz val="9.0"/>
      </rPr>
      <t xml:space="preserve">You can finetune further parameters in this section. 
</t>
    </r>
    <r>
      <rPr>
        <rFont val="Roboto"/>
        <b val="0"/>
        <color rgb="FF434343"/>
        <sz val="9.0"/>
      </rPr>
      <t xml:space="preserve">It is advised to </t>
    </r>
    <r>
      <rPr>
        <rFont val="Roboto"/>
        <b val="0"/>
        <color rgb="FF6AA84F"/>
        <sz val="9.0"/>
      </rPr>
      <t>only change columns in green</t>
    </r>
    <r>
      <rPr>
        <rFont val="Roboto"/>
        <b val="0"/>
        <color rgb="FF434343"/>
        <sz val="9.0"/>
      </rPr>
      <t xml:space="preserve"> unless you are very sure what you are doing.
For the origins of the values in the green columns, have a look in 'How To Use'</t>
    </r>
  </si>
  <si>
    <r>
      <rPr>
        <rFont val="Roboto"/>
        <b/>
        <color theme="1"/>
        <sz val="8.0"/>
      </rPr>
      <t xml:space="preserve">Damage scores </t>
    </r>
    <r>
      <rPr>
        <rFont val="Roboto"/>
        <color theme="1"/>
        <sz val="8.0"/>
      </rPr>
      <t>for a quick relative comparison between weapon types. 
Highest current value per category equals 100. 
Damage score is the average of TDO and DPS Score</t>
    </r>
  </si>
  <si>
    <r>
      <rPr>
        <rFont val="Roboto"/>
        <color theme="1"/>
        <sz val="8.0"/>
      </rPr>
      <t xml:space="preserve">Values appear in </t>
    </r>
    <r>
      <rPr>
        <rFont val="Roboto"/>
        <color rgb="FF38761D"/>
        <sz val="8.0"/>
      </rPr>
      <t>green</t>
    </r>
    <r>
      <rPr>
        <rFont val="Roboto"/>
        <color theme="1"/>
        <sz val="8.0"/>
      </rPr>
      <t>, if the reserves last for the entire damage phase based on the selected encounter</t>
    </r>
  </si>
  <si>
    <r>
      <rPr>
        <rFont val="Roboto"/>
        <b/>
        <color rgb="FF000000"/>
        <sz val="8.0"/>
      </rPr>
      <t>Various Damage and DPS metrics based on all previously applied values, parameters and modifiers
Optimized DPS</t>
    </r>
    <r>
      <rPr>
        <rFont val="Roboto"/>
        <b val="0"/>
        <color rgb="FF000000"/>
        <sz val="8.0"/>
      </rPr>
      <t xml:space="preserve">: Ending Damage after the last </t>
    </r>
    <r>
      <rPr>
        <rFont val="Roboto"/>
        <b/>
        <color rgb="FF000000"/>
        <sz val="8.0"/>
      </rPr>
      <t xml:space="preserve">full </t>
    </r>
    <r>
      <rPr>
        <rFont val="Roboto"/>
        <b val="0"/>
        <color rgb="FF000000"/>
        <sz val="8.0"/>
      </rPr>
      <t xml:space="preserve">magazine has been fired
</t>
    </r>
    <r>
      <rPr>
        <rFont val="Roboto"/>
        <b/>
        <color rgb="FF000000"/>
        <sz val="8.0"/>
      </rPr>
      <t>Sustained DPS</t>
    </r>
    <r>
      <rPr>
        <rFont val="Roboto"/>
        <b val="0"/>
        <color rgb="FF000000"/>
        <sz val="8.0"/>
      </rPr>
      <t xml:space="preserve">: Damage over a theoretical </t>
    </r>
    <r>
      <rPr>
        <rFont val="Roboto"/>
        <b/>
        <color rgb="FF000000"/>
        <sz val="8.0"/>
      </rPr>
      <t xml:space="preserve">infinite </t>
    </r>
    <r>
      <rPr>
        <rFont val="Roboto"/>
        <b val="0"/>
        <color rgb="FF000000"/>
        <sz val="8.0"/>
      </rPr>
      <t xml:space="preserve">supply of ammunition
</t>
    </r>
    <r>
      <rPr>
        <rFont val="Roboto"/>
        <b/>
        <color rgb="FF000000"/>
        <sz val="8.0"/>
      </rPr>
      <t>Encounter Damage</t>
    </r>
    <r>
      <rPr>
        <rFont val="Roboto"/>
        <b val="0"/>
        <color rgb="FF000000"/>
        <sz val="8.0"/>
      </rPr>
      <t>: Discrete Damage that can be done for the duration of the selected Encounter</t>
    </r>
  </si>
  <si>
    <t>These are intermediate calculations, it is advised to not touch them :-)</t>
  </si>
  <si>
    <t>Master (-20 Power delta)</t>
  </si>
  <si>
    <t>Global Weapon Modifier</t>
  </si>
  <si>
    <t>Apply Buffs and Debuffs</t>
  </si>
  <si>
    <t>3x Reserve mods (Chest)</t>
  </si>
  <si>
    <t>Max. Magazine size (Backup Mag + Perks)</t>
  </si>
  <si>
    <t>Lunafaction Boots</t>
  </si>
  <si>
    <t>1x Loader mod (Arms)</t>
  </si>
  <si>
    <t>Ammo type</t>
  </si>
  <si>
    <t>Weapon type</t>
  </si>
  <si>
    <t>archetype_code</t>
  </si>
  <si>
    <t>Frame</t>
  </si>
  <si>
    <t>Archetype combined</t>
  </si>
  <si>
    <t>Element</t>
  </si>
  <si>
    <t>Weapon Perk 1</t>
  </si>
  <si>
    <t>Weapon Perk 2</t>
  </si>
  <si>
    <t>Damage (Base)</t>
  </si>
  <si>
    <t>Damage (Modified)</t>
  </si>
  <si>
    <t>Crit multiplier</t>
  </si>
  <si>
    <t>Magazine (Base)</t>
  </si>
  <si>
    <t>Magazine (Max)</t>
  </si>
  <si>
    <t>Magazine (Modified)</t>
  </si>
  <si>
    <t>RPM (Modified)</t>
  </si>
  <si>
    <t>Reserves (Base)</t>
  </si>
  <si>
    <t>Reserves (x3)</t>
  </si>
  <si>
    <t>Reserves (Modified)</t>
  </si>
  <si>
    <t>Reload Stat 
(Base)</t>
  </si>
  <si>
    <t>Reload Stat (Modified)</t>
  </si>
  <si>
    <t>Reload Speed (Calc)</t>
  </si>
  <si>
    <t>Max Reload Measured</t>
  </si>
  <si>
    <t>Reload Cap (VanHolden)</t>
  </si>
  <si>
    <t>TDO Score</t>
  </si>
  <si>
    <t>DPS Score</t>
  </si>
  <si>
    <t>Time to empty
magazine</t>
  </si>
  <si>
    <t>Time to empty
reserves</t>
  </si>
  <si>
    <t>Single Mag
Damage</t>
  </si>
  <si>
    <t>Single Mag 
DPS</t>
  </si>
  <si>
    <t>Total Damage Output 
(TDO)</t>
  </si>
  <si>
    <t>Optimized Damage</t>
  </si>
  <si>
    <t>TDO DPS</t>
  </si>
  <si>
    <t>reloads</t>
  </si>
  <si>
    <t>time to shoot</t>
  </si>
  <si>
    <t>dead time</t>
  </si>
  <si>
    <t>full mags</t>
  </si>
  <si>
    <t>full mag dmg</t>
  </si>
  <si>
    <t>leftover time</t>
  </si>
  <si>
    <t>leftover bullets</t>
  </si>
  <si>
    <t>leftover dmg</t>
  </si>
  <si>
    <t>Encounter 
Damage</t>
  </si>
  <si>
    <t>Special</t>
  </si>
  <si>
    <t>Fusion Rifle</t>
  </si>
  <si>
    <t>fr_adaptive</t>
  </si>
  <si>
    <t>Adaptive</t>
  </si>
  <si>
    <t>Any</t>
  </si>
  <si>
    <t>-</t>
  </si>
  <si>
    <t>fr_aggressive</t>
  </si>
  <si>
    <t>Aggressive</t>
  </si>
  <si>
    <t>fr_hi</t>
  </si>
  <si>
    <t>High-Impact</t>
  </si>
  <si>
    <t>fr_precision</t>
  </si>
  <si>
    <t>Precision</t>
  </si>
  <si>
    <t>fr_rf</t>
  </si>
  <si>
    <t>Rapid-Fire</t>
  </si>
  <si>
    <t>Glaive</t>
  </si>
  <si>
    <t>glaive_adaptive</t>
  </si>
  <si>
    <t>glaive_aggressive</t>
  </si>
  <si>
    <t>Glaive - Aggressive</t>
  </si>
  <si>
    <t>glaive_rf</t>
  </si>
  <si>
    <t>Grenade Launcher</t>
  </si>
  <si>
    <t>gl_ad</t>
  </si>
  <si>
    <t>Aera Denial</t>
  </si>
  <si>
    <t>gl_df</t>
  </si>
  <si>
    <t>Double-Fire</t>
  </si>
  <si>
    <t>gl_lw</t>
  </si>
  <si>
    <t>Lightweight</t>
  </si>
  <si>
    <t>gl_mm</t>
  </si>
  <si>
    <t>Micro-Missile</t>
  </si>
  <si>
    <t>gl_wave</t>
  </si>
  <si>
    <t>Wave</t>
  </si>
  <si>
    <t>Heavy</t>
  </si>
  <si>
    <t>Heavy Grenade Launcher</t>
  </si>
  <si>
    <t>hgl_adaptive</t>
  </si>
  <si>
    <t>hgl_wave</t>
  </si>
  <si>
    <t>Compressed Wave Frame</t>
  </si>
  <si>
    <t>hgl_rapid</t>
  </si>
  <si>
    <t>Linear Fusion Rifle</t>
  </si>
  <si>
    <t>lfr_adaptive</t>
  </si>
  <si>
    <t>Adaptive Burst</t>
  </si>
  <si>
    <t>lfr_precision</t>
  </si>
  <si>
    <t>Machine Gun</t>
  </si>
  <si>
    <t>lmg_adaptive</t>
  </si>
  <si>
    <t>lmg_aggressive</t>
  </si>
  <si>
    <t>lmg_hi</t>
  </si>
  <si>
    <t>lmg_rf</t>
  </si>
  <si>
    <t>Rocket Launcher</t>
  </si>
  <si>
    <t>rl_adaptive</t>
  </si>
  <si>
    <t>rl_aggressive</t>
  </si>
  <si>
    <t>rl_hi</t>
  </si>
  <si>
    <t>rl_precision</t>
  </si>
  <si>
    <t>Shotgun</t>
  </si>
  <si>
    <t>sg_aggressive</t>
  </si>
  <si>
    <t>sg_hb</t>
  </si>
  <si>
    <t>Heavy Burst</t>
  </si>
  <si>
    <t>Shotgun - Heavy Burst</t>
  </si>
  <si>
    <t>sg_lw</t>
  </si>
  <si>
    <t>sg_slug</t>
  </si>
  <si>
    <t>Pinpoint Slug</t>
  </si>
  <si>
    <t>sg_precision</t>
  </si>
  <si>
    <t>sg_rf</t>
  </si>
  <si>
    <t>Sidearm</t>
  </si>
  <si>
    <t>sidearm_rocket</t>
  </si>
  <si>
    <t>Rocket-Assisted</t>
  </si>
  <si>
    <t>Sniper Rifle</t>
  </si>
  <si>
    <t>sr_adaptive</t>
  </si>
  <si>
    <t>sr_aggressive</t>
  </si>
  <si>
    <t>sr_rf</t>
  </si>
  <si>
    <t>Sword</t>
  </si>
  <si>
    <t>sword_adaptive</t>
  </si>
  <si>
    <t>sword_aggressive</t>
  </si>
  <si>
    <t>Sword - Aggressive</t>
  </si>
  <si>
    <t>sword_caster</t>
  </si>
  <si>
    <t>Caster</t>
  </si>
  <si>
    <t>sword_lw</t>
  </si>
  <si>
    <t>sword_vortex</t>
  </si>
  <si>
    <t>Vortex</t>
  </si>
  <si>
    <t>sword_wave</t>
  </si>
  <si>
    <t>Trace Rifle</t>
  </si>
  <si>
    <t>trace_adaptive</t>
  </si>
  <si>
    <t>Elements</t>
  </si>
  <si>
    <t>Stat Points</t>
  </si>
  <si>
    <t>Encounter Data</t>
  </si>
  <si>
    <t>Damage and Reload perks</t>
  </si>
  <si>
    <t>Magazine perks</t>
  </si>
  <si>
    <t>Reserves perks</t>
  </si>
  <si>
    <t>Perk Exclusivity (Not currently utilized)</t>
  </si>
  <si>
    <t>Reload Formula</t>
  </si>
  <si>
    <t>Base Reload Averages</t>
  </si>
  <si>
    <t>Surges</t>
  </si>
  <si>
    <t>Scaling</t>
  </si>
  <si>
    <t>Damage values</t>
  </si>
  <si>
    <t>Encounter</t>
  </si>
  <si>
    <t>Duration</t>
  </si>
  <si>
    <t>perkname</t>
  </si>
  <si>
    <t>dmg special</t>
  </si>
  <si>
    <t>dmg heavy</t>
  </si>
  <si>
    <t>dmg mag combo</t>
  </si>
  <si>
    <t>reload stat</t>
  </si>
  <si>
    <t>reload multi</t>
  </si>
  <si>
    <t>rpm multi</t>
  </si>
  <si>
    <t>Triple Tap</t>
  </si>
  <si>
    <t>Fourth Time's the Charm</t>
  </si>
  <si>
    <t>Rewind Rounds</t>
  </si>
  <si>
    <t>Reconstruction</t>
  </si>
  <si>
    <t>Clown Cartridge</t>
  </si>
  <si>
    <t>Bipod</t>
  </si>
  <si>
    <t>Overflow</t>
  </si>
  <si>
    <t>Envious Assassin</t>
  </si>
  <si>
    <t>Relentless Strike</t>
  </si>
  <si>
    <t>Base</t>
  </si>
  <si>
    <t>Field Prep</t>
  </si>
  <si>
    <t>Perkname</t>
  </si>
  <si>
    <t>evpp</t>
  </si>
  <si>
    <t>vpp</t>
  </si>
  <si>
    <t>offset</t>
  </si>
  <si>
    <t>Cap</t>
  </si>
  <si>
    <t>archetype</t>
  </si>
  <si>
    <t>Average</t>
  </si>
  <si>
    <t>x 0</t>
  </si>
  <si>
    <t>RAD Multiplier</t>
  </si>
  <si>
    <t>Weapon</t>
  </si>
  <si>
    <t>Boss Testing</t>
  </si>
  <si>
    <t>Enclave Control values</t>
  </si>
  <si>
    <t>Control</t>
  </si>
  <si>
    <t>Kinetic</t>
  </si>
  <si>
    <t>CE - Crota</t>
  </si>
  <si>
    <t>Adagio</t>
  </si>
  <si>
    <t>x 1</t>
  </si>
  <si>
    <t>Master Multiplier</t>
  </si>
  <si>
    <t>Kalli Body</t>
  </si>
  <si>
    <t>Kalli Head</t>
  </si>
  <si>
    <t>Kalli Crit /2</t>
  </si>
  <si>
    <t>Enclave Body</t>
  </si>
  <si>
    <t>Enclave Level</t>
  </si>
  <si>
    <t>Baseline Body</t>
  </si>
  <si>
    <t>Crit (Mossy)</t>
  </si>
  <si>
    <t>Boss X (Mossy)</t>
  </si>
  <si>
    <t>Base to Boss</t>
  </si>
  <si>
    <t>Boss Body</t>
  </si>
  <si>
    <t>Body Ctrl</t>
  </si>
  <si>
    <t>Crit Ctrl</t>
  </si>
  <si>
    <t>Stasis</t>
  </si>
  <si>
    <t>CE - Deathsinger</t>
  </si>
  <si>
    <t>Adrenaline Junkie x5</t>
  </si>
  <si>
    <t>x 2</t>
  </si>
  <si>
    <t>RAD to Master</t>
  </si>
  <si>
    <t>Strand</t>
  </si>
  <si>
    <t>DSC - Atraks</t>
  </si>
  <si>
    <t>Bait and Switch</t>
  </si>
  <si>
    <t>x 3</t>
  </si>
  <si>
    <t>Arc</t>
  </si>
  <si>
    <t>DSC - Taniks</t>
  </si>
  <si>
    <t>x 4</t>
  </si>
  <si>
    <t>Solar</t>
  </si>
  <si>
    <t>Duality - Caiatl</t>
  </si>
  <si>
    <t>Cascade Point</t>
  </si>
  <si>
    <t>Void</t>
  </si>
  <si>
    <t>Duality - Gahlran</t>
  </si>
  <si>
    <t>Chaos Reshaped x2</t>
  </si>
  <si>
    <t>GoA - Avarrok</t>
  </si>
  <si>
    <t>GoA - Phry'zia</t>
  </si>
  <si>
    <t>Controlled Burst</t>
  </si>
  <si>
    <t>GoS - Consecrated Mind</t>
  </si>
  <si>
    <t>Desperate Measures x3</t>
  </si>
  <si>
    <t>GoS - Sanctified Mind</t>
  </si>
  <si>
    <t>Dual Loader</t>
  </si>
  <si>
    <t>GotD - Ecthar</t>
  </si>
  <si>
    <t>Enlightened Action</t>
  </si>
  <si>
    <t>GotD - Simmumah</t>
  </si>
  <si>
    <t>Envious Arsenal</t>
  </si>
  <si>
    <t>KF - Daughters</t>
  </si>
  <si>
    <t>KF - Golgoroth</t>
  </si>
  <si>
    <t>Explosive Light</t>
  </si>
  <si>
    <t>KF - Oryx</t>
  </si>
  <si>
    <t>Explosive Light (only RL)</t>
  </si>
  <si>
    <t>KF - Warpriest</t>
  </si>
  <si>
    <t>Firing Line</t>
  </si>
  <si>
    <t>LW - Kalli</t>
  </si>
  <si>
    <t>Focused Fury</t>
  </si>
  <si>
    <t>LW - Morgeth</t>
  </si>
  <si>
    <t>LW - Riven</t>
  </si>
  <si>
    <t>Frenzy</t>
  </si>
  <si>
    <t>LW - Shuro Chi</t>
  </si>
  <si>
    <t>Full Auto Trigger System</t>
  </si>
  <si>
    <t>Full Court</t>
  </si>
  <si>
    <t>Prophecy - Kell Echo</t>
  </si>
  <si>
    <t>Golden Tricorn x2</t>
  </si>
  <si>
    <t>Prophecy - Phalanx Echo</t>
  </si>
  <si>
    <t>High Ground x3</t>
  </si>
  <si>
    <t>RoN - Nezarec</t>
  </si>
  <si>
    <t>High-Impact Reserves</t>
  </si>
  <si>
    <t>RoN - Zo'Aurc</t>
  </si>
  <si>
    <t>Impulse Amplifier</t>
  </si>
  <si>
    <t>SotW - Akelous</t>
  </si>
  <si>
    <t>Keep Away</t>
  </si>
  <si>
    <t>SotW - Persys</t>
  </si>
  <si>
    <t>Loose Change</t>
  </si>
  <si>
    <t>ST - Dul Incaru</t>
  </si>
  <si>
    <t>One For All</t>
  </si>
  <si>
    <t>ST - Vorgeth</t>
  </si>
  <si>
    <t>VoG - Atheon</t>
  </si>
  <si>
    <t>Paracausal Affinity</t>
  </si>
  <si>
    <t>VoG - Templar</t>
  </si>
  <si>
    <t>Precision Instrument</t>
  </si>
  <si>
    <t>VotD - Caretaker</t>
  </si>
  <si>
    <t>Rapid-Hit x5</t>
  </si>
  <si>
    <t>VotD - Rhulk</t>
  </si>
  <si>
    <t>WR - Locus</t>
  </si>
  <si>
    <t>WR - Hefnd's Vengeance</t>
  </si>
  <si>
    <t>SE - Herald</t>
  </si>
  <si>
    <t>Surrounded</t>
  </si>
  <si>
    <t>SE - Witness</t>
  </si>
  <si>
    <t>Swashbuckler x5</t>
  </si>
  <si>
    <t>VH - Raneiks</t>
  </si>
  <si>
    <t>Sword Logic x5</t>
  </si>
  <si>
    <t>VH - Puppeteer</t>
  </si>
  <si>
    <t>Target Lock</t>
  </si>
  <si>
    <t>Trench Barrel</t>
  </si>
  <si>
    <t>Vorpal</t>
  </si>
  <si>
    <t>Whirlwind Blade x10</t>
  </si>
  <si>
    <t>PoH - Zulmak (Default)</t>
  </si>
  <si>
    <t>Encounter information:</t>
  </si>
  <si>
    <t>Legend</t>
  </si>
  <si>
    <t>Expand columns for 
intermediate calculations</t>
  </si>
  <si>
    <t>Custom Duration</t>
  </si>
  <si>
    <t>✎ Duration for 'Custom'-Encounter</t>
  </si>
  <si>
    <t>Unlikely/unreliable requirements (red font)</t>
  </si>
  <si>
    <t>Simplified/Average impact value (italic)</t>
  </si>
  <si>
    <t>Custom Level</t>
  </si>
  <si>
    <t>✎ Level for 'Custom'-Encounter</t>
  </si>
  <si>
    <t>Selected 'meta-relevant' roll (blue font)</t>
  </si>
  <si>
    <t>Explanations on certain (exotic) mechanics can be found in the 'How-To-Use'-tab</t>
  </si>
  <si>
    <t>❮</t>
  </si>
  <si>
    <t>❯</t>
  </si>
  <si>
    <t>Encounter Duration:</t>
  </si>
  <si>
    <t>Encounter Level</t>
  </si>
  <si>
    <t>Apply selected Buffs</t>
  </si>
  <si>
    <t>Boss Spec</t>
  </si>
  <si>
    <t>Only on legendary weapons</t>
  </si>
  <si>
    <t>Intermediate calculations</t>
  </si>
  <si>
    <t>Tentative Update based on the Patchnotes for Final Shape - In-game testing will take place after the Raid race</t>
  </si>
  <si>
    <t>Weapon Type</t>
  </si>
  <si>
    <t>Weapon / 
Archetype</t>
  </si>
  <si>
    <t>Note</t>
  </si>
  <si>
    <t>is raw</t>
  </si>
  <si>
    <t>is legendary</t>
  </si>
  <si>
    <t>Time to empty
mag</t>
  </si>
  <si>
    <t>Total Damage</t>
  </si>
  <si>
    <t>Single mag 
DPS</t>
  </si>
  <si>
    <t>Total reserves 
DPS</t>
  </si>
  <si>
    <t>Legend of Acrius</t>
  </si>
  <si>
    <t>w/ Catalyst, Trench/Melee Combo</t>
  </si>
  <si>
    <t>Lord of Wolves</t>
  </si>
  <si>
    <t>Wolves Released</t>
  </si>
  <si>
    <t>The Fourth Horseman</t>
  </si>
  <si>
    <t>w/ Cat., Avg dmg</t>
  </si>
  <si>
    <t>Bow</t>
  </si>
  <si>
    <t>Leviathans Breath</t>
  </si>
  <si>
    <t>w/ Catalyst</t>
  </si>
  <si>
    <t>The Lament</t>
  </si>
  <si>
    <t>Light/Heavy Combo</t>
  </si>
  <si>
    <t>Bequest</t>
  </si>
  <si>
    <t>Combo; JE/RS/Surrounded+</t>
  </si>
  <si>
    <t>Heartshadow</t>
  </si>
  <si>
    <t>Light/Heavy Combo, w/ Cat.</t>
  </si>
  <si>
    <t>The Hothead</t>
  </si>
  <si>
    <t>FP / EL, w/ Wolfpack Rounds</t>
  </si>
  <si>
    <t>Whisper of the Worm</t>
  </si>
  <si>
    <t>Wendigo GL3</t>
  </si>
  <si>
    <t>Spikes / FP / Frenzy</t>
  </si>
  <si>
    <t>D.A.R.C.I</t>
  </si>
  <si>
    <t>w/ Personal Assistant + Jolt</t>
  </si>
  <si>
    <t>Xenophage</t>
  </si>
  <si>
    <t>w/ Actium War Rigs</t>
  </si>
  <si>
    <t>Prospector</t>
  </si>
  <si>
    <t>1000 Voices</t>
  </si>
  <si>
    <t>w/ Ember of Ashes, one user</t>
  </si>
  <si>
    <t>Deathbringer</t>
  </si>
  <si>
    <t>Perfect rockets</t>
  </si>
  <si>
    <t>Sleeper Simulant</t>
  </si>
  <si>
    <t>Parasite</t>
  </si>
  <si>
    <t>First Worm buffed x20</t>
  </si>
  <si>
    <t>Field Prep / Explosive Light</t>
  </si>
  <si>
    <t>Merciless</t>
  </si>
  <si>
    <t>Avg impact/RPM</t>
  </si>
  <si>
    <t>Conditional Finality</t>
  </si>
  <si>
    <t>Only source of freeze and scorch</t>
  </si>
  <si>
    <t>Salvation's Grip</t>
  </si>
  <si>
    <t>Max. Fire Rate</t>
  </si>
  <si>
    <t>Crownsplitter</t>
  </si>
  <si>
    <t>Light Attacks; JE/RS/WWB</t>
  </si>
  <si>
    <t>Adaptive GL</t>
  </si>
  <si>
    <t>w/ Spikes</t>
  </si>
  <si>
    <t>Cloudstrike</t>
  </si>
  <si>
    <t>w/ Catalyst incl. Lightning Bolt</t>
  </si>
  <si>
    <t>Compressed Wave Frame GL</t>
  </si>
  <si>
    <t>Stormchaser</t>
  </si>
  <si>
    <t>w/ Firing Line</t>
  </si>
  <si>
    <t>Eyes of Tomorrow</t>
  </si>
  <si>
    <t>First volley buffed</t>
  </si>
  <si>
    <t>Thunderlord</t>
  </si>
  <si>
    <t>w/ Cat. Avg RPM/Damage</t>
  </si>
  <si>
    <t>Black Talon</t>
  </si>
  <si>
    <t>Chaperone</t>
  </si>
  <si>
    <t>w/ Roadborn active</t>
  </si>
  <si>
    <t>Dragon's Breath</t>
  </si>
  <si>
    <t>Avg damage; One user</t>
  </si>
  <si>
    <t>Gjallarhorn</t>
  </si>
  <si>
    <t>Duality</t>
  </si>
  <si>
    <t>w/ Catalyst, Slug Mode</t>
  </si>
  <si>
    <t>Crafted Weapon</t>
  </si>
  <si>
    <t>See "Crafting" tab</t>
  </si>
  <si>
    <t>Ager's Scepter</t>
  </si>
  <si>
    <t>Will Given, Avg. Damage</t>
  </si>
  <si>
    <t>Grand Overture</t>
  </si>
  <si>
    <t>Missiles averaged on base mag</t>
  </si>
  <si>
    <t>Reed's Regret</t>
  </si>
  <si>
    <t>Triple Tap / Firing Line</t>
  </si>
  <si>
    <t>Truth</t>
  </si>
  <si>
    <t>No Impact</t>
  </si>
  <si>
    <t>Lorentz Driver</t>
  </si>
  <si>
    <t>w/ Lagrangian Sight</t>
  </si>
  <si>
    <t>Rapid-Fire GL</t>
  </si>
  <si>
    <t>Winterbite</t>
  </si>
  <si>
    <t>Range only</t>
  </si>
  <si>
    <t>Colony</t>
  </si>
  <si>
    <t>Adaptive RL</t>
  </si>
  <si>
    <t>w/ Impact Casing</t>
  </si>
  <si>
    <t>Izanagis Burden</t>
  </si>
  <si>
    <t>Honed Edge x4</t>
  </si>
  <si>
    <t>Aggressive RL</t>
  </si>
  <si>
    <t>Father's Sin</t>
  </si>
  <si>
    <t>TT / Focused Fury</t>
  </si>
  <si>
    <t>Borealis</t>
  </si>
  <si>
    <t>w/ Ionic Return</t>
  </si>
  <si>
    <t>Two-Tailed Fox</t>
  </si>
  <si>
    <t>w/ Catalyst, incl. Jolt + Ignition</t>
  </si>
  <si>
    <t>Fortissimo-11</t>
  </si>
  <si>
    <t>FTTC / Vorpal</t>
  </si>
  <si>
    <t>Retrofit Escapade</t>
  </si>
  <si>
    <t>Ext. Mag./FTTC/Target Lock</t>
  </si>
  <si>
    <t>Adaptive Burst LFR</t>
  </si>
  <si>
    <t>w/ Enhanced Battery</t>
  </si>
  <si>
    <t>Lightweight Sword</t>
  </si>
  <si>
    <t>Light Attacks</t>
  </si>
  <si>
    <t>Worldline Zero</t>
  </si>
  <si>
    <t>Tesseract x2 + Combo</t>
  </si>
  <si>
    <t>The Queenbreaker</t>
  </si>
  <si>
    <t>Marksman Sight</t>
  </si>
  <si>
    <t>Aggressive Sword</t>
  </si>
  <si>
    <t>High-Impact RL</t>
  </si>
  <si>
    <t>Bastion</t>
  </si>
  <si>
    <t>Loaded Question</t>
  </si>
  <si>
    <t>Ionized / EA / Controlled Burst</t>
  </si>
  <si>
    <t>Precision LFR</t>
  </si>
  <si>
    <t>Precision RL</t>
  </si>
  <si>
    <t>Caster Sword</t>
  </si>
  <si>
    <t>Adaptive Sword</t>
  </si>
  <si>
    <t>Vortex Sword</t>
  </si>
  <si>
    <t>Rapid-Fire SG</t>
  </si>
  <si>
    <t>Lightweight SG</t>
  </si>
  <si>
    <t>Wardcliff Coil</t>
  </si>
  <si>
    <t>Arbalest</t>
  </si>
  <si>
    <t>Heir Apparent</t>
  </si>
  <si>
    <t>Forerunner</t>
  </si>
  <si>
    <t>vs. unshielded targets</t>
  </si>
  <si>
    <t>Rapid-Fire SR</t>
  </si>
  <si>
    <t>Ex Diris</t>
  </si>
  <si>
    <t>Max RPM</t>
  </si>
  <si>
    <t>Shot Package</t>
  </si>
  <si>
    <t>Adaptive SR</t>
  </si>
  <si>
    <t>Aggressive SG</t>
  </si>
  <si>
    <t>Aggressive SR</t>
  </si>
  <si>
    <t>Precision SG</t>
  </si>
  <si>
    <t>Rapid-Fire FR</t>
  </si>
  <si>
    <t>Delicate Tomb</t>
  </si>
  <si>
    <t>Hipfire</t>
  </si>
  <si>
    <t>High-Impact FR</t>
  </si>
  <si>
    <t>Micro-Missile GL</t>
  </si>
  <si>
    <t>w/ Hard Launch and Implosion R.</t>
  </si>
  <si>
    <t>Aggressive FR</t>
  </si>
  <si>
    <t>Telesto</t>
  </si>
  <si>
    <t>Tesselation</t>
  </si>
  <si>
    <t>Average Damage</t>
  </si>
  <si>
    <t>Jotunn</t>
  </si>
  <si>
    <t>Tractor Cannon</t>
  </si>
  <si>
    <t>Adaptive FR</t>
  </si>
  <si>
    <t>Hand Cannon</t>
  </si>
  <si>
    <t>Erianas Vow</t>
  </si>
  <si>
    <t>Vexcalibur</t>
  </si>
  <si>
    <t>Ruinous Effigy</t>
  </si>
  <si>
    <t>w/ Catalyst debuff</t>
  </si>
  <si>
    <t>Precision FR</t>
  </si>
  <si>
    <t>Rapid-Fire LMG</t>
  </si>
  <si>
    <t>Double-Fire GL</t>
  </si>
  <si>
    <t>Coldheart</t>
  </si>
  <si>
    <t>Avg impact</t>
  </si>
  <si>
    <t>Adaptive LMG</t>
  </si>
  <si>
    <t>Aggressive Glaive</t>
  </si>
  <si>
    <t>Adaptive Glaive</t>
  </si>
  <si>
    <t>High-Impact LMG</t>
  </si>
  <si>
    <t>Deterministic Chaos</t>
  </si>
  <si>
    <t>Average damage</t>
  </si>
  <si>
    <t>Wavesplitter</t>
  </si>
  <si>
    <t>Medium frequency</t>
  </si>
  <si>
    <t>Lightweight GL</t>
  </si>
  <si>
    <t>Anarchy</t>
  </si>
  <si>
    <t>Dots as shots</t>
  </si>
  <si>
    <t>Adaptive Trace Rifle</t>
  </si>
  <si>
    <t>Navigator</t>
  </si>
  <si>
    <t>Divinity</t>
  </si>
  <si>
    <t>w/ Penance</t>
  </si>
  <si>
    <t>Wave GL</t>
  </si>
  <si>
    <t>No impact</t>
  </si>
  <si>
    <t>Prometheus Lens</t>
  </si>
  <si>
    <t>Dead Messenger</t>
  </si>
  <si>
    <t>Witherhoard</t>
  </si>
  <si>
    <t>Single direct hit only</t>
  </si>
  <si>
    <t>Level</t>
  </si>
  <si>
    <t>Precision Multiplier</t>
  </si>
  <si>
    <t>Crit Spot Multiplier</t>
  </si>
  <si>
    <t>General Multiplier</t>
  </si>
  <si>
    <t>Level multiplier</t>
  </si>
  <si>
    <t>Zulmak multiplier</t>
  </si>
  <si>
    <t>Set your own activity level and encounter duration</t>
  </si>
  <si>
    <t>Master Level</t>
  </si>
  <si>
    <t>2x multiplier to all IMPACT to her crit spot
3 phases per cycle</t>
  </si>
  <si>
    <t>2x multiplier to all IMPACT to her crit spot
6 phases total</t>
  </si>
  <si>
    <t>Duration is depending on the encounter timer</t>
  </si>
  <si>
    <t>2x multiplier to ALL DAMAGE on her mouth
Snipers (45%) and Shotguns (55%) get DR (not included)</t>
  </si>
  <si>
    <t>3 phases per cycle</t>
  </si>
  <si>
    <t>VoG - Templar (Master)</t>
  </si>
  <si>
    <t>Master difficulty has a power cap at -20</t>
  </si>
  <si>
    <t>VoG - Atheon (Master)</t>
  </si>
  <si>
    <t>2x multiplier to ALL DAMAGE
2.5x multiplier for a few seconds after reaching the health gate</t>
  </si>
  <si>
    <t>VotD - Caretaker (Master)</t>
  </si>
  <si>
    <t>2x multiplier to ALL DAMAGE
2.5x multiplier for a few seconds after reaching the health gate
Master difficulty has a power cap at -20</t>
  </si>
  <si>
    <t>VotD - Rhulk (Master)</t>
  </si>
  <si>
    <t>KF - Warpriest (Master)</t>
  </si>
  <si>
    <t>6 phases per cycle</t>
  </si>
  <si>
    <t>KF - Golgoroth (Master)</t>
  </si>
  <si>
    <t>6 phases per cycle
Master difficulty has a power cap at -20</t>
  </si>
  <si>
    <t>KF - Daughters (Master)</t>
  </si>
  <si>
    <t>Duration is depending on the encounter timer
Master difficulty has a power cap at -20</t>
  </si>
  <si>
    <t>KF - Oryx (Master)</t>
  </si>
  <si>
    <t>8.48x multiplier with 3 stacks to ALL DAMAGE</t>
  </si>
  <si>
    <t>Testing object of this sheet
Baseline damage numbers for all subsequent scaling</t>
  </si>
  <si>
    <t>GoA - Phry'zia (Master)</t>
  </si>
  <si>
    <t>GoA - Avarrok (Master)</t>
  </si>
  <si>
    <t>Duality - Gahlran (Master)</t>
  </si>
  <si>
    <t>1.5x PRECISION multiplier to her HEAD</t>
  </si>
  <si>
    <t>Duality - Caiatl (Master)</t>
  </si>
  <si>
    <t>1.5x PRECISION multiplier to her HEAD
Master difficulty has a power cap at -20</t>
  </si>
  <si>
    <t>Damage lasts 28 seconds from when the red dots open up</t>
  </si>
  <si>
    <t>SotW - Akelous (Master)</t>
  </si>
  <si>
    <t>Damage lasts 28 seconds from when the red dots open up
Master difficulty has a power cap at -20</t>
  </si>
  <si>
    <t>SotW - Persys (Master)</t>
  </si>
  <si>
    <t>3 plates per cycle</t>
  </si>
  <si>
    <t>RoN - Zo'Aurc (Master)</t>
  </si>
  <si>
    <t>3 plates per cycle
Master difficulty has a power cap at -20</t>
  </si>
  <si>
    <t>RoN - Nezarec (Master)</t>
  </si>
  <si>
    <t>GotD - Ecthar (Master)</t>
  </si>
  <si>
    <t>GotD - Simmumah (Master)</t>
  </si>
  <si>
    <t>CE - Deathsinger (Master)</t>
  </si>
  <si>
    <t>Crota takes 35% bonus damage from swords</t>
  </si>
  <si>
    <t>CE - Crota (Master)</t>
  </si>
  <si>
    <t>Crota takes 35% bonus damage from swords
Master difficulty has a power cap at -20</t>
  </si>
  <si>
    <r>
      <rPr>
        <rFont val="Roboto"/>
        <b/>
        <color rgb="FF741B47"/>
        <sz val="14.0"/>
      </rPr>
      <t xml:space="preserve">Build your own weapon for the Database
</t>
    </r>
    <r>
      <rPr>
        <rFont val="Roboto"/>
        <b val="0"/>
        <color rgb="FF741B47"/>
        <sz val="14.0"/>
      </rPr>
      <t>Copy of the sheet required</t>
    </r>
  </si>
  <si>
    <t>Not every perk and perk combination is currently available;     It is up to the user to make sure that what they craft is actually possible ingame;    Stored entries are "frozen" so no modifier changes will apply to them after being stored;     The currently selected weapon will be displayed in the "Database" as the "Crafted weapon" entry</t>
  </si>
  <si>
    <r>
      <rPr>
        <rFont val="Roboto, Arial"/>
        <i/>
        <sz val="9.0"/>
      </rPr>
      <t xml:space="preserve">Visit </t>
    </r>
    <r>
      <rPr>
        <rFont val="Roboto, Arial"/>
        <i/>
        <color rgb="FF1155CC"/>
        <sz val="9.0"/>
        <u/>
      </rPr>
      <t>d2foundry.gg</t>
    </r>
    <r>
      <rPr>
        <rFont val="Roboto, Arial"/>
        <i/>
        <sz val="9.0"/>
      </rPr>
      <t xml:space="preserve"> or </t>
    </r>
    <r>
      <rPr>
        <rFont val="Roboto, Arial"/>
        <i/>
        <color rgb="FF1155CC"/>
        <sz val="9.0"/>
        <u/>
      </rPr>
      <t>light.gg</t>
    </r>
    <r>
      <rPr>
        <rFont val="Roboto, Arial"/>
        <i/>
        <sz val="9.0"/>
      </rPr>
      <t xml:space="preserve"> to see available perks for each gun</t>
    </r>
  </si>
  <si>
    <r>
      <rPr>
        <rFont val="Roboto"/>
        <b/>
        <i/>
        <color rgb="FF666666"/>
        <sz val="11.0"/>
      </rPr>
      <t xml:space="preserve">1. Build your weapon by selecting archetype, element and perks
</t>
    </r>
    <r>
      <rPr>
        <rFont val="Roboto"/>
        <b val="0"/>
        <i/>
        <color rgb="FF666666"/>
        <sz val="11.0"/>
      </rPr>
      <t>Buffs get applied based on the toggle in 'Database'</t>
    </r>
  </si>
  <si>
    <t>Database entry</t>
  </si>
  <si>
    <t>Magazine Perk</t>
  </si>
  <si>
    <t>Damage Perk</t>
  </si>
  <si>
    <t>Damage</t>
  </si>
  <si>
    <t>Bait &amp; Switch</t>
  </si>
  <si>
    <r>
      <rPr>
        <rFont val="Roboto"/>
        <b/>
        <i/>
        <color rgb="FF666666"/>
        <sz val="11.0"/>
      </rPr>
      <t xml:space="preserve">2. Copy the line above and paste as values below (Ctrl + Shift + V) or compare them directly over at the Database.
</t>
    </r>
    <r>
      <rPr>
        <rFont val="Roboto"/>
        <b val="0"/>
        <i/>
        <color rgb="FF666666"/>
        <sz val="11.0"/>
      </rPr>
      <t>Entries currently stored below are for demonstration purposes and can be safely deleted</t>
    </r>
  </si>
  <si>
    <t>➧</t>
  </si>
  <si>
    <t>Debuffs</t>
  </si>
  <si>
    <t>Titan: Striker</t>
  </si>
  <si>
    <t>Debuff</t>
  </si>
  <si>
    <t>Source</t>
  </si>
  <si>
    <t>%</t>
  </si>
  <si>
    <t>x</t>
  </si>
  <si>
    <t>self</t>
  </si>
  <si>
    <t>others</t>
  </si>
  <si>
    <t>Application</t>
  </si>
  <si>
    <t>Notes</t>
  </si>
  <si>
    <t>Global</t>
  </si>
  <si>
    <t>Titan: Sunbreaker</t>
  </si>
  <si>
    <t>Tether</t>
  </si>
  <si>
    <t>Hunter Super</t>
  </si>
  <si>
    <t>Titan: Sentinel</t>
  </si>
  <si>
    <t>Exotic Weapon</t>
  </si>
  <si>
    <t>Buff</t>
  </si>
  <si>
    <t>Titan: Behemoth</t>
  </si>
  <si>
    <t>Felwinter's Helmet</t>
  </si>
  <si>
    <t>Warlock Exotic</t>
  </si>
  <si>
    <t>Total</t>
  </si>
  <si>
    <t>Hunter: Arcstrider</t>
  </si>
  <si>
    <t>Element-specific</t>
  </si>
  <si>
    <t>Hunter: Gunslinger</t>
  </si>
  <si>
    <t>Weaken</t>
  </si>
  <si>
    <t>Universal Debuff</t>
  </si>
  <si>
    <t>Hunter: Nightstalker</t>
  </si>
  <si>
    <t>Weapon-specific</t>
  </si>
  <si>
    <t>Hunter: Revenant</t>
  </si>
  <si>
    <t>Auto Rifle</t>
  </si>
  <si>
    <t>Warlock: Stormcaller</t>
  </si>
  <si>
    <t>Buffs</t>
  </si>
  <si>
    <t>Warlock: Dawnblade</t>
  </si>
  <si>
    <t>Display Name</t>
  </si>
  <si>
    <t>Warlock: Voidwalker</t>
  </si>
  <si>
    <t>Bannershield</t>
  </si>
  <si>
    <t>Weapons of Light</t>
  </si>
  <si>
    <t>Titan Super</t>
  </si>
  <si>
    <t>Warlock: Shadebinder</t>
  </si>
  <si>
    <t>Noble Seekers</t>
  </si>
  <si>
    <t>Blessing of the Sky</t>
  </si>
  <si>
    <t>Lumina / Boots of the Assembler</t>
  </si>
  <si>
    <t>(x)</t>
  </si>
  <si>
    <t>Only Lumina self-applies</t>
  </si>
  <si>
    <t>Radiant</t>
  </si>
  <si>
    <t>Solar Ability</t>
  </si>
  <si>
    <t>Includes Well of Radiance</t>
  </si>
  <si>
    <t>Pulse Rifle</t>
  </si>
  <si>
    <t>Ward of Dawn</t>
  </si>
  <si>
    <t>Scout Rifle</t>
  </si>
  <si>
    <t>Empowering Rift</t>
  </si>
  <si>
    <t>Warlock Class Ability</t>
  </si>
  <si>
    <t>Activity Modifiers</t>
  </si>
  <si>
    <t>None</t>
  </si>
  <si>
    <t>Surge / Overcharge</t>
  </si>
  <si>
    <t>Matching Weapon/Element</t>
  </si>
  <si>
    <t>Activity Surge + Overcharge do not stack</t>
  </si>
  <si>
    <t>Kinetic Surge</t>
  </si>
  <si>
    <t>Leg Armor Mod</t>
  </si>
  <si>
    <t>Matching Element</t>
  </si>
  <si>
    <t>Include exotic armor that provide stacks
Stack with activity modifiers</t>
  </si>
  <si>
    <t>Arc Surge</t>
  </si>
  <si>
    <t>Submachine Gun</t>
  </si>
  <si>
    <t>Solar Surge</t>
  </si>
  <si>
    <t>Void Surge</t>
  </si>
  <si>
    <t>Stasis Surge</t>
  </si>
  <si>
    <t>Strand Surge</t>
  </si>
  <si>
    <r>
      <rPr>
        <rFont val="Roboto"/>
        <b/>
        <color theme="1"/>
      </rPr>
      <t xml:space="preserve">Apply all buffs and debuffs to the </t>
    </r>
    <r>
      <rPr>
        <rFont val="Roboto"/>
        <b/>
        <color rgb="FFBF9000"/>
      </rPr>
      <t xml:space="preserve">Database </t>
    </r>
    <r>
      <rPr>
        <rFont val="Roboto"/>
        <b/>
        <color theme="1"/>
      </rPr>
      <t xml:space="preserve">by selecting the toggle </t>
    </r>
    <r>
      <rPr>
        <rFont val="Roboto"/>
        <b/>
        <color rgb="FFB45F06"/>
      </rPr>
      <t>'Apply Buffs and Debuffs'</t>
    </r>
    <r>
      <rPr>
        <rFont val="Roboto"/>
        <b/>
        <color theme="1"/>
      </rPr>
      <t xml:space="preserve"> in the </t>
    </r>
    <r>
      <rPr>
        <rFont val="Roboto"/>
        <b/>
        <color rgb="FFBF9000"/>
      </rPr>
      <t xml:space="preserve">Database </t>
    </r>
    <r>
      <rPr>
        <rFont val="Roboto"/>
        <b/>
        <color theme="1"/>
      </rPr>
      <t>page</t>
    </r>
  </si>
  <si>
    <t>Frames</t>
  </si>
  <si>
    <t>crafting dropdowns</t>
  </si>
  <si>
    <t>Compressed Wave</t>
  </si>
  <si>
    <t>ammo</t>
  </si>
  <si>
    <t>element</t>
  </si>
  <si>
    <t>base mag</t>
  </si>
  <si>
    <t>new mag</t>
  </si>
  <si>
    <t>base res</t>
  </si>
  <si>
    <t>new res</t>
  </si>
  <si>
    <t>Damage perks</t>
  </si>
  <si>
    <t>base dmg</t>
  </si>
  <si>
    <t>new dmg</t>
  </si>
  <si>
    <t>Lasting Impression</t>
  </si>
  <si>
    <t>Whirlwind Blade</t>
  </si>
  <si>
    <t>Swashbuckler</t>
  </si>
  <si>
    <t>Adrenaline Junkie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</si>
</sst>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000000"/>
    <numFmt numFmtId="166" formatCode="0.000"/>
    <numFmt numFmtId="167" formatCode="0.0000"/>
  </numFmts>
  <fonts count="100">
    <font>
      <sz val="10.0"/>
      <color rgb="FF000000"/>
      <name val="Arial"/>
      <scheme val="minor"/>
    </font>
    <font>
      <color rgb="FFFFFFFF"/>
      <name val="Roboto"/>
    </font>
    <font/>
    <font>
      <b/>
      <sz val="18.0"/>
      <color rgb="FFFFFFFF"/>
      <name val="Roboto"/>
    </font>
    <font>
      <b/>
      <sz val="24.0"/>
      <color rgb="FFFFFFFF"/>
      <name val="Roboto"/>
    </font>
    <font>
      <sz val="8.0"/>
      <color rgb="FFFFFFFF"/>
      <name val="Roboto"/>
    </font>
    <font>
      <b/>
      <sz val="11.0"/>
      <color rgb="FF40C8EE"/>
      <name val="Roboto"/>
    </font>
    <font>
      <b/>
      <i/>
      <sz val="10.0"/>
      <color rgb="FFFF0000"/>
      <name val="Roboto"/>
    </font>
    <font>
      <b/>
      <sz val="10.0"/>
      <color rgb="FFFF0000"/>
      <name val="Roboto"/>
    </font>
    <font>
      <u/>
      <color rgb="FFFFFFFF"/>
      <name val="Roboto"/>
    </font>
    <font>
      <u/>
      <color theme="0"/>
      <name val="Roboto"/>
    </font>
    <font>
      <b/>
      <sz val="14.0"/>
      <color rgb="FFFFFFFF"/>
      <name val="Roboto"/>
    </font>
    <font>
      <b/>
      <u/>
      <color theme="0"/>
      <name val="Roboto"/>
    </font>
    <font>
      <b/>
      <u/>
      <color theme="0"/>
      <name val="Roboto"/>
    </font>
    <font>
      <b/>
      <u/>
      <color theme="0"/>
      <name val="Roboto"/>
    </font>
    <font>
      <b/>
      <color rgb="FF000000"/>
      <name val="Roboto"/>
    </font>
    <font>
      <color theme="1"/>
      <name val="Roboto"/>
    </font>
    <font>
      <color rgb="FF000000"/>
      <name val="Roboto"/>
    </font>
    <font>
      <b/>
      <color theme="1"/>
      <name val="Roboto"/>
    </font>
    <font>
      <b/>
      <sz val="12.0"/>
      <color rgb="FF00FFFF"/>
      <name val="Roboto"/>
    </font>
    <font>
      <i/>
      <color theme="1"/>
      <name val="Roboto"/>
    </font>
    <font>
      <b/>
      <sz val="10.0"/>
      <color theme="0"/>
      <name val="Roboto"/>
    </font>
    <font>
      <sz val="10.0"/>
      <color theme="0"/>
      <name val="Roboto"/>
    </font>
    <font>
      <b/>
      <color rgb="FF00FFFF"/>
      <name val="Roboto"/>
    </font>
    <font>
      <sz val="9.0"/>
      <color rgb="FF40C8EE"/>
      <name val="Roboto"/>
    </font>
    <font>
      <b/>
      <sz val="12.0"/>
      <color rgb="FFFFFFFF"/>
      <name val="Roboto"/>
    </font>
    <font>
      <u/>
      <color theme="1"/>
      <name val="Roboto"/>
    </font>
    <font>
      <u/>
      <color rgb="FF0000FF"/>
      <name val="Roboto"/>
    </font>
    <font>
      <u/>
      <color rgb="FF1155CC"/>
      <name val="Roboto"/>
    </font>
    <font>
      <i/>
      <u/>
      <color rgb="FF0000FF"/>
      <name val="Roboto"/>
    </font>
    <font>
      <u/>
      <color rgb="FF0000FF"/>
      <name val="Roboto"/>
    </font>
    <font>
      <b/>
      <u/>
      <color rgb="FF1155CC"/>
      <name val="Roboto"/>
    </font>
    <font>
      <sz val="9.0"/>
      <color theme="1"/>
      <name val="Roboto"/>
    </font>
    <font>
      <color theme="1"/>
      <name val="Arial"/>
    </font>
    <font>
      <b/>
      <sz val="9.0"/>
      <color rgb="FFFFFFFF"/>
      <name val="Roboto"/>
    </font>
    <font>
      <b/>
      <i/>
      <sz val="9.0"/>
      <color rgb="FF999999"/>
      <name val="Roboto"/>
    </font>
    <font>
      <b/>
      <i/>
      <sz val="11.0"/>
      <color rgb="FF999999"/>
      <name val="Roboto"/>
    </font>
    <font>
      <b/>
      <sz val="9.0"/>
      <color theme="1"/>
      <name val="Roboto"/>
    </font>
    <font>
      <sz val="8.0"/>
      <color theme="1"/>
      <name val="Roboto"/>
    </font>
    <font>
      <b/>
      <sz val="9.0"/>
      <color rgb="FF274E13"/>
      <name val="Roboto"/>
    </font>
    <font>
      <i/>
      <sz val="8.0"/>
      <color rgb="FF38761D"/>
      <name val="Roboto"/>
    </font>
    <font>
      <i/>
      <sz val="8.0"/>
      <color rgb="FF666666"/>
      <name val="Roboto"/>
    </font>
    <font>
      <b/>
      <sz val="9.0"/>
      <color rgb="FF434343"/>
      <name val="Roboto"/>
    </font>
    <font>
      <b/>
      <sz val="8.0"/>
      <color rgb="FFFF0000"/>
      <name val="Roboto"/>
    </font>
    <font>
      <b/>
      <sz val="9.0"/>
      <color rgb="FF980000"/>
      <name val="Roboto"/>
    </font>
    <font>
      <sz val="8.0"/>
      <color rgb="FF666666"/>
      <name val="Roboto"/>
    </font>
    <font>
      <b/>
      <sz val="8.0"/>
      <color theme="1"/>
      <name val="Roboto"/>
    </font>
    <font>
      <b/>
      <sz val="8.0"/>
      <color rgb="FFB7B7B7"/>
      <name val="Roboto"/>
    </font>
    <font>
      <b/>
      <sz val="8.0"/>
      <color rgb="FF85200C"/>
      <name val="Roboto"/>
    </font>
    <font>
      <b/>
      <sz val="8.0"/>
      <color rgb="FF666666"/>
      <name val="Roboto"/>
    </font>
    <font>
      <sz val="9.0"/>
      <color rgb="FF38761D"/>
      <name val="Roboto"/>
    </font>
    <font>
      <b/>
      <sz val="9.0"/>
      <color rgb="FF666666"/>
      <name val="Roboto"/>
    </font>
    <font>
      <i/>
      <sz val="9.0"/>
      <color theme="1"/>
      <name val="Roboto"/>
    </font>
    <font>
      <sz val="9.0"/>
      <color rgb="FF0B8043"/>
      <name val="Roboto"/>
    </font>
    <font>
      <sz val="9.0"/>
      <color rgb="FF666666"/>
      <name val="Roboto"/>
    </font>
    <font>
      <sz val="9.0"/>
      <color rgb="FF351C75"/>
      <name val="Roboto"/>
    </font>
    <font>
      <sz val="9.0"/>
      <color rgb="FF980000"/>
      <name val="Roboto"/>
    </font>
    <font>
      <b/>
      <sz val="8.0"/>
      <color theme="1"/>
      <name val="Courier New"/>
    </font>
    <font>
      <sz val="8.0"/>
      <color theme="1"/>
      <name val="Courier New"/>
    </font>
    <font>
      <i/>
      <sz val="8.0"/>
      <color theme="1"/>
      <name val="Courier New"/>
    </font>
    <font>
      <sz val="6.0"/>
      <color theme="1"/>
      <name val="Roboto"/>
    </font>
    <font>
      <b/>
      <sz val="9.0"/>
      <color rgb="FF000000"/>
      <name val="Roboto"/>
    </font>
    <font>
      <i/>
      <sz val="9.0"/>
      <color theme="1"/>
      <name val="Arial"/>
      <scheme val="minor"/>
    </font>
    <font>
      <color theme="1"/>
      <name val="Arial"/>
      <scheme val="minor"/>
    </font>
    <font>
      <i/>
      <sz val="9.0"/>
      <color rgb="FF666666"/>
      <name val="Roboto"/>
    </font>
    <font>
      <sz val="9.0"/>
      <color rgb="FFFF0000"/>
      <name val="Roboto"/>
    </font>
    <font>
      <i/>
      <sz val="9.0"/>
      <color rgb="FF000000"/>
      <name val="Roboto"/>
    </font>
    <font>
      <sz val="9.0"/>
      <color rgb="FF0B5394"/>
      <name val="Roboto"/>
    </font>
    <font>
      <b/>
      <sz val="9.0"/>
      <color rgb="FFFF0000"/>
      <name val="Roboto"/>
    </font>
    <font>
      <b/>
      <sz val="9.0"/>
      <color rgb="FFB45F06"/>
      <name val="Roboto"/>
    </font>
    <font>
      <color rgb="FF073763"/>
      <name val="Arial"/>
    </font>
    <font>
      <b/>
      <i/>
      <u/>
      <sz val="9.0"/>
      <color rgb="FFE69138"/>
      <name val="Roboto"/>
    </font>
    <font>
      <color rgb="FF3C78D8"/>
      <name val="Arial"/>
    </font>
    <font>
      <sz val="9.0"/>
      <color rgb="FF999999"/>
      <name val="Roboto"/>
    </font>
    <font>
      <i/>
      <sz val="9.0"/>
      <color rgb="FF660000"/>
      <name val="Roboto"/>
    </font>
    <font>
      <i/>
      <u/>
      <sz val="9.0"/>
      <color rgb="FF999999"/>
      <name val="Roboto"/>
    </font>
    <font>
      <i/>
      <sz val="9.0"/>
      <color rgb="FF999999"/>
      <name val="Roboto"/>
    </font>
    <font>
      <i/>
      <sz val="9.0"/>
      <color rgb="FFB7B7B7"/>
      <name val="Roboto"/>
    </font>
    <font>
      <b/>
      <i/>
      <color rgb="FF9900FF"/>
      <name val="Arial"/>
      <scheme val="minor"/>
    </font>
    <font>
      <i/>
      <u/>
      <sz val="9.0"/>
      <color theme="1"/>
      <name val="Roboto"/>
    </font>
    <font>
      <b/>
      <sz val="14.0"/>
      <color rgb="FFEA4335"/>
      <name val="Roboto"/>
    </font>
    <font>
      <u/>
      <color theme="1"/>
      <name val="Roboto"/>
    </font>
    <font>
      <color rgb="FF666666"/>
      <name val="Roboto"/>
    </font>
    <font>
      <i/>
      <sz val="8.0"/>
      <color theme="1"/>
      <name val="Roboto"/>
    </font>
    <font>
      <sz val="9.0"/>
      <color rgb="FF000000"/>
      <name val="Roboto"/>
    </font>
    <font>
      <b/>
      <sz val="9.0"/>
      <color rgb="FF0B5394"/>
      <name val="Roboto"/>
    </font>
    <font>
      <i/>
      <sz val="8.0"/>
      <color rgb="FF0B5394"/>
      <name val="Roboto"/>
    </font>
    <font>
      <i/>
      <sz val="9.0"/>
      <color rgb="FF0B5394"/>
      <name val="Roboto"/>
    </font>
    <font>
      <i/>
      <sz val="9.0"/>
      <color rgb="FFCC0000"/>
      <name val="Roboto"/>
    </font>
    <font>
      <i/>
      <sz val="8.0"/>
      <color rgb="FFCC0000"/>
      <name val="Roboto"/>
    </font>
    <font>
      <i/>
      <sz val="8.0"/>
      <color rgb="FF000000"/>
      <name val="Roboto"/>
    </font>
    <font>
      <b/>
      <sz val="14.0"/>
      <color rgb="FF741B47"/>
      <name val="Roboto"/>
    </font>
    <font>
      <i/>
      <u/>
      <sz val="9.0"/>
      <color rgb="FF0000FF"/>
      <name val="Roboto"/>
    </font>
    <font>
      <b/>
      <i/>
      <sz val="11.0"/>
      <color rgb="FF666666"/>
      <name val="Roboto"/>
    </font>
    <font>
      <sz val="9.0"/>
      <color theme="1"/>
      <name val="Arial"/>
    </font>
    <font>
      <sz val="24.0"/>
      <color rgb="FF434343"/>
      <name val="Roboto"/>
    </font>
    <font>
      <sz val="7.0"/>
      <color theme="1"/>
      <name val="Roboto"/>
    </font>
    <font>
      <sz val="9.0"/>
      <color rgb="FF274E13"/>
      <name val="Roboto"/>
    </font>
    <font>
      <sz val="8.0"/>
      <color theme="1"/>
      <name val="Arial"/>
      <scheme val="minor"/>
    </font>
    <font>
      <b/>
      <u/>
      <sz val="9.0"/>
      <color rgb="FF1155CC"/>
      <name val="Roboto"/>
    </font>
  </fonts>
  <fills count="151">
    <fill>
      <patternFill patternType="none"/>
    </fill>
    <fill>
      <patternFill patternType="lightGray"/>
    </fill>
    <fill>
      <patternFill patternType="solid">
        <fgColor rgb="FF000000"/>
        <bgColor rgb="FF000000"/>
      </patternFill>
    </fill>
    <fill>
      <patternFill patternType="solid">
        <fgColor theme="7"/>
        <bgColor theme="7"/>
      </patternFill>
    </fill>
    <fill>
      <patternFill patternType="solid">
        <fgColor rgb="FFCC0000"/>
        <bgColor rgb="FFCC0000"/>
      </patternFill>
    </fill>
    <fill>
      <patternFill patternType="solid">
        <fgColor rgb="FF0B8043"/>
        <bgColor rgb="FF0B8043"/>
      </patternFill>
    </fill>
    <fill>
      <patternFill patternType="solid">
        <fgColor theme="1"/>
        <bgColor theme="1"/>
      </patternFill>
    </fill>
    <fill>
      <patternFill patternType="solid">
        <fgColor rgb="FFB6D7A8"/>
        <bgColor rgb="FFB6D7A8"/>
      </patternFill>
    </fill>
    <fill>
      <patternFill patternType="solid">
        <fgColor rgb="FFF1C232"/>
        <bgColor rgb="FFF1C232"/>
      </patternFill>
    </fill>
    <fill>
      <patternFill patternType="solid">
        <fgColor rgb="FFE69138"/>
        <bgColor rgb="FFE69138"/>
      </patternFill>
    </fill>
    <fill>
      <patternFill patternType="solid">
        <fgColor rgb="FF76A5AF"/>
        <bgColor rgb="FF76A5AF"/>
      </patternFill>
    </fill>
    <fill>
      <patternFill patternType="solid">
        <fgColor rgb="FFE06666"/>
        <bgColor rgb="FFE06666"/>
      </patternFill>
    </fill>
    <fill>
      <patternFill patternType="solid">
        <fgColor rgb="FFEFEFEF"/>
        <bgColor rgb="FFEFEFEF"/>
      </patternFill>
    </fill>
    <fill>
      <patternFill patternType="solid">
        <fgColor rgb="FFF3F3F3"/>
        <bgColor rgb="FFF3F3F3"/>
      </patternFill>
    </fill>
    <fill>
      <patternFill patternType="solid">
        <fgColor rgb="FFFFD966"/>
        <bgColor rgb="FFFFD966"/>
      </patternFill>
    </fill>
    <fill>
      <patternFill patternType="solid">
        <fgColor rgb="FFCCCCCC"/>
        <bgColor rgb="FFCCCCCC"/>
      </patternFill>
    </fill>
    <fill>
      <patternFill patternType="solid">
        <fgColor rgb="FF93C47D"/>
        <bgColor rgb="FF93C47D"/>
      </patternFill>
    </fill>
    <fill>
      <patternFill patternType="solid">
        <fgColor rgb="FF8E7CC3"/>
        <bgColor rgb="FF8E7CC3"/>
      </patternFill>
    </fill>
    <fill>
      <patternFill patternType="solid">
        <fgColor rgb="FFF6B26B"/>
        <bgColor rgb="FFF6B26B"/>
      </patternFill>
    </fill>
    <fill>
      <patternFill patternType="solid">
        <fgColor rgb="FFC9DAF8"/>
        <bgColor rgb="FFC9DAF8"/>
      </patternFill>
    </fill>
    <fill>
      <patternFill patternType="solid">
        <fgColor rgb="FF666666"/>
        <bgColor rgb="FF666666"/>
      </patternFill>
    </fill>
    <fill>
      <patternFill patternType="solid">
        <fgColor rgb="FFD9D9D9"/>
        <bgColor rgb="FFD9D9D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A4C2F4"/>
        <bgColor rgb="FFA4C2F4"/>
      </patternFill>
    </fill>
    <fill>
      <patternFill patternType="solid">
        <fgColor rgb="FFFFFFFF"/>
        <bgColor rgb="FFFFFFFF"/>
      </patternFill>
    </fill>
    <fill>
      <patternFill patternType="solid">
        <fgColor rgb="FFB6CDF3"/>
        <bgColor rgb="FFB6CDF3"/>
      </patternFill>
    </fill>
    <fill>
      <patternFill patternType="solid">
        <fgColor rgb="FFB9CFF3"/>
        <bgColor rgb="FFB9CFF3"/>
      </patternFill>
    </fill>
    <fill>
      <patternFill patternType="solid">
        <fgColor rgb="FF93B7F3"/>
        <bgColor rgb="FF93B7F3"/>
      </patternFill>
    </fill>
    <fill>
      <patternFill patternType="solid">
        <fgColor rgb="FF8DB4F3"/>
        <bgColor rgb="FF8DB4F3"/>
      </patternFill>
    </fill>
    <fill>
      <patternFill patternType="solid">
        <fgColor rgb="FF98BAF3"/>
        <bgColor rgb="FF98BAF3"/>
      </patternFill>
    </fill>
    <fill>
      <patternFill patternType="solid">
        <fgColor rgb="FFACC7F3"/>
        <bgColor rgb="FFACC7F3"/>
      </patternFill>
    </fill>
    <fill>
      <patternFill patternType="solid">
        <fgColor rgb="FFBFD3F3"/>
        <bgColor rgb="FFBFD3F3"/>
      </patternFill>
    </fill>
    <fill>
      <patternFill patternType="solid">
        <fgColor rgb="FF86AFF3"/>
        <bgColor rgb="FF86AFF3"/>
      </patternFill>
    </fill>
    <fill>
      <patternFill patternType="solid">
        <fgColor rgb="FF80ACF3"/>
        <bgColor rgb="FF80ACF3"/>
      </patternFill>
    </fill>
    <fill>
      <patternFill patternType="solid">
        <fgColor rgb="FF8FB5F3"/>
        <bgColor rgb="FF8FB5F3"/>
      </patternFill>
    </fill>
    <fill>
      <patternFill patternType="solid">
        <fgColor rgb="FF85AFF3"/>
        <bgColor rgb="FF85AFF3"/>
      </patternFill>
    </fill>
    <fill>
      <patternFill patternType="solid">
        <fgColor rgb="FFA9C5F3"/>
        <bgColor rgb="FFA9C5F3"/>
      </patternFill>
    </fill>
    <fill>
      <patternFill patternType="solid">
        <fgColor rgb="FF8EB5F3"/>
        <bgColor rgb="FF8EB5F3"/>
      </patternFill>
    </fill>
    <fill>
      <patternFill patternType="solid">
        <fgColor rgb="FF8AB2F3"/>
        <bgColor rgb="FF8AB2F3"/>
      </patternFill>
    </fill>
    <fill>
      <patternFill patternType="solid">
        <fgColor rgb="FF96B9F3"/>
        <bgColor rgb="FF96B9F3"/>
      </patternFill>
    </fill>
    <fill>
      <patternFill patternType="solid">
        <fgColor rgb="FF8BB3F3"/>
        <bgColor rgb="FF8BB3F3"/>
      </patternFill>
    </fill>
    <fill>
      <patternFill patternType="solid">
        <fgColor rgb="FFB0CAF3"/>
        <bgColor rgb="FFB0CAF3"/>
      </patternFill>
    </fill>
    <fill>
      <patternFill patternType="solid">
        <fgColor rgb="FFB7CEF3"/>
        <bgColor rgb="FFB7CEF3"/>
      </patternFill>
    </fill>
    <fill>
      <patternFill patternType="solid">
        <fgColor rgb="FF95B9F3"/>
        <bgColor rgb="FF95B9F3"/>
      </patternFill>
    </fill>
    <fill>
      <patternFill patternType="solid">
        <fgColor rgb="FF91B6F3"/>
        <bgColor rgb="FF91B6F3"/>
      </patternFill>
    </fill>
    <fill>
      <patternFill patternType="solid">
        <fgColor rgb="FF9BBCF3"/>
        <bgColor rgb="FF9BBCF3"/>
      </patternFill>
    </fill>
    <fill>
      <patternFill patternType="solid">
        <fgColor rgb="FF97BAF3"/>
        <bgColor rgb="FF97BAF3"/>
      </patternFill>
    </fill>
    <fill>
      <patternFill patternType="solid">
        <fgColor rgb="FFC9D9F3"/>
        <bgColor rgb="FFC9D9F3"/>
      </patternFill>
    </fill>
    <fill>
      <patternFill patternType="solid">
        <fgColor rgb="FF7AA8F3"/>
        <bgColor rgb="FF7AA8F3"/>
      </patternFill>
    </fill>
    <fill>
      <patternFill patternType="solid">
        <fgColor rgb="FF7FABF3"/>
        <bgColor rgb="FF7FABF3"/>
      </patternFill>
    </fill>
    <fill>
      <patternFill patternType="solid">
        <fgColor rgb="FFC3D5F3"/>
        <bgColor rgb="FFC3D5F3"/>
      </patternFill>
    </fill>
    <fill>
      <patternFill patternType="solid">
        <fgColor rgb="FFB1CAF3"/>
        <bgColor rgb="FFB1CAF3"/>
      </patternFill>
    </fill>
    <fill>
      <patternFill patternType="solid">
        <fgColor rgb="FFAEC9F3"/>
        <bgColor rgb="FFAEC9F3"/>
      </patternFill>
    </fill>
    <fill>
      <patternFill patternType="solid">
        <fgColor rgb="FFB4CCF3"/>
        <bgColor rgb="FFB4CCF3"/>
      </patternFill>
    </fill>
    <fill>
      <patternFill patternType="solid">
        <fgColor rgb="FFAEC8F3"/>
        <bgColor rgb="FFAEC8F3"/>
      </patternFill>
    </fill>
    <fill>
      <patternFill patternType="solid">
        <fgColor rgb="FFC5D7F3"/>
        <bgColor rgb="FFC5D7F3"/>
      </patternFill>
    </fill>
    <fill>
      <patternFill patternType="solid">
        <fgColor rgb="FFB3CBF3"/>
        <bgColor rgb="FFB3CBF3"/>
      </patternFill>
    </fill>
    <fill>
      <patternFill patternType="solid">
        <fgColor rgb="FFB0C9F3"/>
        <bgColor rgb="FFB0C9F3"/>
      </patternFill>
    </fill>
    <fill>
      <patternFill patternType="solid">
        <fgColor rgb="FF8EB4F3"/>
        <bgColor rgb="FF8EB4F3"/>
      </patternFill>
    </fill>
    <fill>
      <patternFill patternType="solid">
        <fgColor rgb="FF9DBEF3"/>
        <bgColor rgb="FF9DBEF3"/>
      </patternFill>
    </fill>
    <fill>
      <patternFill patternType="solid">
        <fgColor rgb="FFA1C0F3"/>
        <bgColor rgb="FFA1C0F3"/>
      </patternFill>
    </fill>
    <fill>
      <patternFill patternType="solid">
        <fgColor rgb="FF9ABCF3"/>
        <bgColor rgb="FF9ABCF3"/>
      </patternFill>
    </fill>
    <fill>
      <patternFill patternType="solid">
        <fgColor rgb="FFADC8F3"/>
        <bgColor rgb="FFADC8F3"/>
      </patternFill>
    </fill>
    <fill>
      <patternFill patternType="solid">
        <fgColor rgb="FFBED2F3"/>
        <bgColor rgb="FFBED2F3"/>
      </patternFill>
    </fill>
    <fill>
      <patternFill patternType="solid">
        <fgColor rgb="FFC1D4F3"/>
        <bgColor rgb="FFC1D4F3"/>
      </patternFill>
    </fill>
    <fill>
      <patternFill patternType="solid">
        <fgColor rgb="FFC0D3F3"/>
        <bgColor rgb="FFC0D3F3"/>
      </patternFill>
    </fill>
    <fill>
      <patternFill patternType="solid">
        <fgColor rgb="FFC2D5F3"/>
        <bgColor rgb="FFC2D5F3"/>
      </patternFill>
    </fill>
    <fill>
      <patternFill patternType="solid">
        <fgColor rgb="FFA4C2F3"/>
        <bgColor rgb="FFA4C2F3"/>
      </patternFill>
    </fill>
    <fill>
      <patternFill patternType="solid">
        <fgColor rgb="FFB2CBF3"/>
        <bgColor rgb="FFB2CBF3"/>
      </patternFill>
    </fill>
    <fill>
      <patternFill patternType="solid">
        <fgColor rgb="FFB5CCF3"/>
        <bgColor rgb="FFB5CCF3"/>
      </patternFill>
    </fill>
    <fill>
      <patternFill patternType="solid">
        <fgColor rgb="FFC7D8F3"/>
        <bgColor rgb="FFC7D8F3"/>
      </patternFill>
    </fill>
    <fill>
      <patternFill patternType="solid">
        <fgColor rgb="FFCDDCF3"/>
        <bgColor rgb="FFCDDCF3"/>
      </patternFill>
    </fill>
    <fill>
      <patternFill patternType="solid">
        <fgColor rgb="FFCFDDF3"/>
        <bgColor rgb="FFCFDDF3"/>
      </patternFill>
    </fill>
    <fill>
      <patternFill patternType="solid">
        <fgColor rgb="FFCCDBF3"/>
        <bgColor rgb="FFCCDBF3"/>
      </patternFill>
    </fill>
    <fill>
      <patternFill patternType="solid">
        <fgColor rgb="FFB4A7D6"/>
        <bgColor rgb="FFB4A7D6"/>
      </patternFill>
    </fill>
    <fill>
      <patternFill patternType="solid">
        <fgColor rgb="FF98BBF3"/>
        <bgColor rgb="FF98BBF3"/>
      </patternFill>
    </fill>
    <fill>
      <patternFill patternType="solid">
        <fgColor rgb="FF9FBFF3"/>
        <bgColor rgb="FF9FBFF3"/>
      </patternFill>
    </fill>
    <fill>
      <patternFill patternType="solid">
        <fgColor rgb="FF528FF3"/>
        <bgColor rgb="FF528FF3"/>
      </patternFill>
    </fill>
    <fill>
      <patternFill patternType="solid">
        <fgColor rgb="FF4285F4"/>
        <bgColor rgb="FF4285F4"/>
      </patternFill>
    </fill>
    <fill>
      <patternFill patternType="solid">
        <fgColor rgb="FF5B95F3"/>
        <bgColor rgb="FF5B95F3"/>
      </patternFill>
    </fill>
    <fill>
      <patternFill patternType="solid">
        <fgColor rgb="FF9EBEF3"/>
        <bgColor rgb="FF9EBEF3"/>
      </patternFill>
    </fill>
    <fill>
      <patternFill patternType="solid">
        <fgColor rgb="FF5994F3"/>
        <bgColor rgb="FF5994F3"/>
      </patternFill>
    </fill>
    <fill>
      <patternFill patternType="solid">
        <fgColor rgb="FF6CA0F3"/>
        <bgColor rgb="FF6CA0F3"/>
      </patternFill>
    </fill>
    <fill>
      <patternFill patternType="solid">
        <fgColor rgb="FF639AF3"/>
        <bgColor rgb="FF639AF3"/>
      </patternFill>
    </fill>
    <fill>
      <patternFill patternType="solid">
        <fgColor rgb="FF99BBF3"/>
        <bgColor rgb="FF99BBF3"/>
      </patternFill>
    </fill>
    <fill>
      <patternFill patternType="solid">
        <fgColor rgb="FF6098F3"/>
        <bgColor rgb="FF6098F3"/>
      </patternFill>
    </fill>
    <fill>
      <patternFill patternType="solid">
        <fgColor rgb="FF5792F3"/>
        <bgColor rgb="FF5792F3"/>
      </patternFill>
    </fill>
    <fill>
      <patternFill patternType="solid">
        <fgColor rgb="FF679CF3"/>
        <bgColor rgb="FF679CF3"/>
      </patternFill>
    </fill>
    <fill>
      <patternFill patternType="solid">
        <fgColor rgb="FF5591F3"/>
        <bgColor rgb="FF5591F3"/>
      </patternFill>
    </fill>
    <fill>
      <patternFill patternType="solid">
        <fgColor rgb="FF76A5F3"/>
        <bgColor rgb="FF76A5F3"/>
      </patternFill>
    </fill>
    <fill>
      <patternFill patternType="solid">
        <fgColor rgb="FF86B0F3"/>
        <bgColor rgb="FF86B0F3"/>
      </patternFill>
    </fill>
    <fill>
      <patternFill patternType="solid">
        <fgColor rgb="FF6B9FF3"/>
        <bgColor rgb="FF6B9FF3"/>
      </patternFill>
    </fill>
    <fill>
      <patternFill patternType="solid">
        <fgColor rgb="FF73A4F3"/>
        <bgColor rgb="FF73A4F3"/>
      </patternFill>
    </fill>
    <fill>
      <patternFill patternType="solid">
        <fgColor rgb="FF699EF3"/>
        <bgColor rgb="FF699EF3"/>
      </patternFill>
    </fill>
    <fill>
      <patternFill patternType="solid">
        <fgColor rgb="FF9BBDF3"/>
        <bgColor rgb="FF9BBDF3"/>
      </patternFill>
    </fill>
    <fill>
      <patternFill patternType="solid">
        <fgColor rgb="FFA7C4F3"/>
        <bgColor rgb="FFA7C4F3"/>
      </patternFill>
    </fill>
    <fill>
      <patternFill patternType="solid">
        <fgColor rgb="FF7DAAF3"/>
        <bgColor rgb="FF7DAAF3"/>
      </patternFill>
    </fill>
    <fill>
      <patternFill patternType="solid">
        <fgColor rgb="FF78A7F3"/>
        <bgColor rgb="FF78A7F3"/>
      </patternFill>
    </fill>
    <fill>
      <patternFill patternType="solid">
        <fgColor rgb="FFA2C1F3"/>
        <bgColor rgb="FFA2C1F3"/>
      </patternFill>
    </fill>
    <fill>
      <patternFill patternType="solid">
        <fgColor rgb="FFA0C0F3"/>
        <bgColor rgb="FFA0C0F3"/>
      </patternFill>
    </fill>
    <fill>
      <patternFill patternType="solid">
        <fgColor rgb="FFA6C3F3"/>
        <bgColor rgb="FFA6C3F3"/>
      </patternFill>
    </fill>
    <fill>
      <patternFill patternType="solid">
        <fgColor rgb="FF92B7F3"/>
        <bgColor rgb="FF92B7F3"/>
      </patternFill>
    </fill>
    <fill>
      <patternFill patternType="solid">
        <fgColor rgb="FF6198F3"/>
        <bgColor rgb="FF6198F3"/>
      </patternFill>
    </fill>
    <fill>
      <patternFill patternType="solid">
        <fgColor rgb="FF72A3F3"/>
        <bgColor rgb="FF72A3F3"/>
      </patternFill>
    </fill>
    <fill>
      <patternFill patternType="solid">
        <fgColor rgb="FFA6C4F3"/>
        <bgColor rgb="FFA6C4F3"/>
      </patternFill>
    </fill>
    <fill>
      <patternFill patternType="solid">
        <fgColor rgb="FF4889F3"/>
        <bgColor rgb="FF4889F3"/>
      </patternFill>
    </fill>
    <fill>
      <patternFill patternType="solid">
        <fgColor rgb="FF76A6F3"/>
        <bgColor rgb="FF76A6F3"/>
      </patternFill>
    </fill>
    <fill>
      <patternFill patternType="solid">
        <fgColor rgb="FFB5CDF3"/>
        <bgColor rgb="FFB5CDF3"/>
      </patternFill>
    </fill>
    <fill>
      <patternFill patternType="solid">
        <fgColor rgb="FF81ACF3"/>
        <bgColor rgb="FF81ACF3"/>
      </patternFill>
    </fill>
    <fill>
      <patternFill patternType="solid">
        <fgColor rgb="FF88B0F3"/>
        <bgColor rgb="FF88B0F3"/>
      </patternFill>
    </fill>
    <fill>
      <patternFill patternType="solid">
        <fgColor rgb="FF93B8F3"/>
        <bgColor rgb="FF93B8F3"/>
      </patternFill>
    </fill>
    <fill>
      <patternFill patternType="solid">
        <fgColor rgb="FF9CBDF3"/>
        <bgColor rgb="FF9CBDF3"/>
      </patternFill>
    </fill>
    <fill>
      <patternFill patternType="solid">
        <fgColor rgb="FFA5C3F3"/>
        <bgColor rgb="FFA5C3F3"/>
      </patternFill>
    </fill>
    <fill>
      <patternFill patternType="solid">
        <fgColor rgb="FF94B8F3"/>
        <bgColor rgb="FF94B8F3"/>
      </patternFill>
    </fill>
    <fill>
      <patternFill patternType="solid">
        <fgColor rgb="FFD1DEF3"/>
        <bgColor rgb="FFD1DEF3"/>
      </patternFill>
    </fill>
    <fill>
      <patternFill patternType="solid">
        <fgColor rgb="FF77A6F3"/>
        <bgColor rgb="FF77A6F3"/>
      </patternFill>
    </fill>
    <fill>
      <patternFill patternType="solid">
        <fgColor rgb="FF96BAF3"/>
        <bgColor rgb="FF96BAF3"/>
      </patternFill>
    </fill>
    <fill>
      <patternFill patternType="solid">
        <fgColor rgb="FFBAD0F3"/>
        <bgColor rgb="FFBAD0F3"/>
      </patternFill>
    </fill>
    <fill>
      <patternFill patternType="solid">
        <fgColor rgb="FFBDD2F3"/>
        <bgColor rgb="FFBDD2F3"/>
      </patternFill>
    </fill>
    <fill>
      <patternFill patternType="solid">
        <fgColor rgb="FF90B6F3"/>
        <bgColor rgb="FF90B6F3"/>
      </patternFill>
    </fill>
    <fill>
      <patternFill patternType="solid">
        <fgColor rgb="FF95B8F3"/>
        <bgColor rgb="FF95B8F3"/>
      </patternFill>
    </fill>
    <fill>
      <patternFill patternType="solid">
        <fgColor rgb="FF84AEF3"/>
        <bgColor rgb="FF84AEF3"/>
      </patternFill>
    </fill>
    <fill>
      <patternFill patternType="solid">
        <fgColor rgb="FF75A5F3"/>
        <bgColor rgb="FF75A5F3"/>
      </patternFill>
    </fill>
    <fill>
      <patternFill patternType="solid">
        <fgColor rgb="FFCADAF3"/>
        <bgColor rgb="FFCADAF3"/>
      </patternFill>
    </fill>
    <fill>
      <patternFill patternType="solid">
        <fgColor rgb="FFC4D6F3"/>
        <bgColor rgb="FFC4D6F3"/>
      </patternFill>
    </fill>
    <fill>
      <patternFill patternType="solid">
        <fgColor rgb="FFA5C2F3"/>
        <bgColor rgb="FFA5C2F3"/>
      </patternFill>
    </fill>
    <fill>
      <patternFill patternType="solid">
        <fgColor rgb="FFA3C1F3"/>
        <bgColor rgb="FFA3C1F3"/>
      </patternFill>
    </fill>
    <fill>
      <patternFill patternType="solid">
        <fgColor rgb="FFA3C2F3"/>
        <bgColor rgb="FFA3C2F3"/>
      </patternFill>
    </fill>
    <fill>
      <patternFill patternType="solid">
        <fgColor rgb="FFC8D8F3"/>
        <bgColor rgb="FFC8D8F3"/>
      </patternFill>
    </fill>
    <fill>
      <patternFill patternType="solid">
        <fgColor rgb="FF83AEF3"/>
        <bgColor rgb="FF83AEF3"/>
      </patternFill>
    </fill>
    <fill>
      <patternFill patternType="solid">
        <fgColor rgb="FF8CB3F3"/>
        <bgColor rgb="FF8CB3F3"/>
      </patternFill>
    </fill>
    <fill>
      <patternFill patternType="solid">
        <fgColor rgb="FF89B1F3"/>
        <bgColor rgb="FF89B1F3"/>
      </patternFill>
    </fill>
    <fill>
      <patternFill patternType="solid">
        <fgColor rgb="FF82ADF3"/>
        <bgColor rgb="FF82ADF3"/>
      </patternFill>
    </fill>
    <fill>
      <patternFill patternType="solid">
        <fgColor rgb="FF5E96F3"/>
        <bgColor rgb="FF5E96F3"/>
      </patternFill>
    </fill>
    <fill>
      <patternFill patternType="solid">
        <fgColor rgb="FF659BF3"/>
        <bgColor rgb="FF659BF3"/>
      </patternFill>
    </fill>
    <fill>
      <patternFill patternType="solid">
        <fgColor rgb="FF5390F3"/>
        <bgColor rgb="FF5390F3"/>
      </patternFill>
    </fill>
    <fill>
      <patternFill patternType="solid">
        <fgColor rgb="FF4F8EF3"/>
        <bgColor rgb="FF4F8EF3"/>
      </patternFill>
    </fill>
    <fill>
      <patternFill patternType="solid">
        <fgColor rgb="FFBBD1F3"/>
        <bgColor rgb="FFBBD1F3"/>
      </patternFill>
    </fill>
    <fill>
      <patternFill patternType="solid">
        <fgColor rgb="FFBCD1F3"/>
        <bgColor rgb="FFBCD1F3"/>
      </patternFill>
    </fill>
    <fill>
      <patternFill patternType="solid">
        <fgColor rgb="FFBDD1F3"/>
        <bgColor rgb="FFBDD1F3"/>
      </patternFill>
    </fill>
    <fill>
      <patternFill patternType="solid">
        <fgColor rgb="FFCFE2F3"/>
        <bgColor rgb="FFCFE2F3"/>
      </patternFill>
    </fill>
    <fill>
      <patternFill patternType="solid">
        <fgColor rgb="FFFDD067"/>
        <bgColor rgb="FFFDD067"/>
      </patternFill>
    </fill>
    <fill>
      <patternFill patternType="solid">
        <fgColor rgb="FFFCCE68"/>
        <bgColor rgb="FFFCCE68"/>
      </patternFill>
    </fill>
    <fill>
      <patternFill patternType="solid">
        <fgColor rgb="FFFCCB68"/>
        <bgColor rgb="FFFCCB68"/>
      </patternFill>
    </fill>
    <fill>
      <patternFill patternType="solid">
        <fgColor rgb="FFFED666"/>
        <bgColor rgb="FFFED666"/>
      </patternFill>
    </fill>
    <fill>
      <patternFill patternType="solid">
        <fgColor rgb="FFFFD666"/>
        <bgColor rgb="FFFFD666"/>
      </patternFill>
    </fill>
    <fill>
      <patternFill patternType="solid">
        <fgColor rgb="FFEAD1DC"/>
        <bgColor rgb="FFEAD1DC"/>
      </patternFill>
    </fill>
    <fill>
      <patternFill patternType="solid">
        <fgColor rgb="FFFFFF00"/>
        <bgColor rgb="FFFFFF00"/>
      </patternFill>
    </fill>
  </fills>
  <borders count="15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hair">
        <color rgb="FF000000"/>
      </left>
      <right style="hair">
        <color rgb="FF000000"/>
      </right>
      <top style="hair">
        <color rgb="FF000000"/>
      </top>
      <bottom style="hair">
        <color rgb="FF000000"/>
      </bottom>
    </border>
    <border>
      <top style="thick">
        <color rgb="FFFFFFFF"/>
      </top>
      <bottom style="thick">
        <color rgb="FFFFFFFF"/>
      </bottom>
    </border>
    <border>
      <top style="medium">
        <color rgb="FFFFFFFF"/>
      </top>
      <bottom style="medium">
        <color rgb="FFFFFFFF"/>
      </bottom>
    </border>
    <border>
      <left style="medium">
        <color rgb="FFFFFFFF"/>
      </left>
      <top style="medium">
        <color rgb="FFFFFFFF"/>
      </top>
    </border>
    <border>
      <right style="medium">
        <color rgb="FFFFFFFF"/>
      </right>
      <top style="medium">
        <color rgb="FFFFFFFF"/>
      </top>
    </border>
    <border>
      <left style="medium">
        <color rgb="FFFFFFFF"/>
      </left>
    </border>
    <border>
      <right style="medium">
        <color rgb="FFFFFFFF"/>
      </right>
    </border>
    <border>
      <left style="medium">
        <color rgb="FFFFFFFF"/>
      </left>
      <bottom style="medium">
        <color rgb="FFFFFFFF"/>
      </bottom>
    </border>
    <border>
      <right style="medium">
        <color rgb="FFFFFFFF"/>
      </right>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bottom style="hair">
        <color rgb="FF000000"/>
      </bottom>
    </border>
    <border>
      <left style="hair">
        <color rgb="FF000000"/>
      </left>
      <right style="hair">
        <color rgb="FF000000"/>
      </right>
      <bottom style="hair">
        <color rgb="FF000000"/>
      </bottom>
    </border>
    <border>
      <right style="hair">
        <color rgb="FF000000"/>
      </right>
      <bottom style="hair">
        <color rgb="FF000000"/>
      </bottom>
    </border>
    <border>
      <left style="hair">
        <color rgb="FF000000"/>
      </left>
      <bottom style="hair">
        <color rgb="FF000000"/>
      </bottom>
    </border>
    <border>
      <right style="hair">
        <color rgb="FF000000"/>
      </right>
    </border>
    <border>
      <left style="medium">
        <color rgb="FF666666"/>
      </left>
      <top style="medium">
        <color rgb="FF666666"/>
      </top>
      <bottom style="double">
        <color rgb="FF000000"/>
      </bottom>
    </border>
    <border>
      <top style="medium">
        <color rgb="FF666666"/>
      </top>
      <bottom style="double">
        <color rgb="FF000000"/>
      </bottom>
    </border>
    <border>
      <right style="medium">
        <color rgb="FF666666"/>
      </right>
      <top style="medium">
        <color rgb="FF666666"/>
      </top>
      <bottom style="double">
        <color rgb="FF000000"/>
      </bottom>
    </border>
    <border>
      <top style="dotted">
        <color rgb="FF000000"/>
      </top>
    </border>
    <border>
      <left style="medium">
        <color rgb="FF666666"/>
      </left>
      <bottom style="hair">
        <color rgb="FF000000"/>
      </bottom>
    </border>
    <border>
      <right style="medium">
        <color rgb="FF666666"/>
      </right>
      <bottom style="hair">
        <color rgb="FF000000"/>
      </bottom>
    </border>
    <border>
      <left style="medium">
        <color rgb="FF666666"/>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medium">
        <color rgb="FF666666"/>
      </right>
      <top style="hair">
        <color rgb="FF000000"/>
      </top>
    </border>
    <border>
      <bottom style="dotted">
        <color rgb="FF000000"/>
      </bottom>
    </border>
    <border>
      <left style="medium">
        <color rgb="FF666666"/>
      </left>
      <top style="hair">
        <color rgb="FF000000"/>
      </top>
      <bottom style="hair">
        <color rgb="FF000000"/>
      </bottom>
    </border>
    <border>
      <left style="hair">
        <color rgb="FF000000"/>
      </left>
      <right style="hair">
        <color rgb="FFF3F3F3"/>
      </right>
      <top style="hair">
        <color rgb="FF000000"/>
      </top>
      <bottom style="hair">
        <color rgb="FF000000"/>
      </bottom>
    </border>
    <border>
      <left style="hair">
        <color rgb="FFF3F3F3"/>
      </left>
      <right style="medium">
        <color rgb="FF666666"/>
      </right>
      <top style="hair">
        <color rgb="FF000000"/>
      </top>
      <bottom style="hair">
        <color rgb="FF000000"/>
      </bottom>
    </border>
    <border>
      <right style="thin">
        <color rgb="FFC9DAF8"/>
      </right>
    </border>
    <border>
      <left style="medium">
        <color rgb="FF666666"/>
      </left>
      <right style="hair">
        <color rgb="FF000000"/>
      </right>
      <bottom style="hair">
        <color rgb="FF000000"/>
      </bottom>
    </border>
    <border>
      <left style="hair">
        <color rgb="FF000000"/>
      </left>
      <bottom style="hair">
        <color rgb="FF666666"/>
      </bottom>
    </border>
    <border>
      <right style="medium">
        <color rgb="FF666666"/>
      </right>
      <bottom style="hair">
        <color rgb="FF666666"/>
      </bottom>
    </border>
    <border>
      <left style="medium">
        <color rgb="FF666666"/>
      </left>
      <bottom style="double">
        <color rgb="FF000000"/>
      </bottom>
    </border>
    <border>
      <bottom style="double">
        <color rgb="FF000000"/>
      </bottom>
    </border>
    <border>
      <right style="medium">
        <color rgb="FF666666"/>
      </right>
      <bottom style="double">
        <color rgb="FF000000"/>
      </bottom>
    </border>
    <border>
      <left style="medium">
        <color rgb="FF666666"/>
      </left>
      <right style="hair">
        <color rgb="FF000000"/>
      </right>
      <bottom style="dotted">
        <color rgb="FF000000"/>
      </bottom>
    </border>
    <border>
      <left style="hair">
        <color rgb="FF000000"/>
      </left>
      <bottom style="dotted">
        <color rgb="FF000000"/>
      </bottom>
    </border>
    <border>
      <right style="medium">
        <color rgb="FF666666"/>
      </right>
      <bottom style="dotted">
        <color rgb="FF000000"/>
      </bottom>
    </border>
    <border>
      <left style="hair">
        <color rgb="FF000000"/>
      </left>
      <top style="hair">
        <color rgb="FF000000"/>
      </top>
      <bottom style="hair">
        <color rgb="FF000000"/>
      </bottom>
    </border>
    <border>
      <right style="medium">
        <color rgb="FF666666"/>
      </right>
      <top style="hair">
        <color rgb="FF000000"/>
      </top>
      <bottom style="hair">
        <color rgb="FF000000"/>
      </bottom>
    </border>
    <border>
      <left style="medium">
        <color rgb="FF666666"/>
      </left>
      <right style="hair">
        <color rgb="FF000000"/>
      </right>
      <top style="hair">
        <color rgb="FF000000"/>
      </top>
      <bottom style="medium">
        <color rgb="FF666666"/>
      </bottom>
    </border>
    <border>
      <left style="hair">
        <color rgb="FF000000"/>
      </left>
      <top style="hair">
        <color rgb="FF000000"/>
      </top>
      <bottom style="medium">
        <color rgb="FF666666"/>
      </bottom>
    </border>
    <border>
      <right style="medium">
        <color rgb="FF666666"/>
      </right>
      <top style="hair">
        <color rgb="FF000000"/>
      </top>
      <bottom style="medium">
        <color rgb="FF666666"/>
      </bottom>
    </border>
    <border>
      <top style="thin">
        <color rgb="FF000000"/>
      </top>
    </border>
    <border>
      <left style="double">
        <color rgb="FF000000"/>
      </lef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right style="thin">
        <color rgb="FF000000"/>
      </right>
      <top style="thin">
        <color rgb="FF000000"/>
      </top>
      <bottom style="thin">
        <color rgb="FF000000"/>
      </bottom>
    </border>
    <border>
      <right style="double">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double">
        <color rgb="FF000000"/>
      </left>
      <bottom style="hair">
        <color rgb="FF000000"/>
      </bottom>
    </border>
    <border>
      <right style="double">
        <color rgb="FF000000"/>
      </right>
      <bottom style="hair">
        <color rgb="FF000000"/>
      </bottom>
    </border>
    <border>
      <left style="double">
        <color rgb="FF000000"/>
      </left>
      <right style="hair">
        <color rgb="FF000000"/>
      </right>
      <bottom style="hair">
        <color rgb="FF000000"/>
      </bottom>
    </border>
    <border>
      <left style="hair">
        <color rgb="FF000000"/>
      </left>
      <right style="double">
        <color rgb="FF000000"/>
      </right>
      <bottom style="hair">
        <color rgb="FF000000"/>
      </bottom>
    </border>
    <border>
      <right style="thin">
        <color rgb="FF000000"/>
      </right>
      <bottom style="hair">
        <color rgb="FF000000"/>
      </bottom>
    </border>
    <border>
      <left style="double">
        <color rgb="FF000000"/>
      </left>
      <top style="hair">
        <color rgb="FF000000"/>
      </top>
      <bottom style="hair">
        <color rgb="FF000000"/>
      </bottom>
    </border>
    <border>
      <top style="hair">
        <color rgb="FF000000"/>
      </top>
      <bottom style="hair">
        <color rgb="FF000000"/>
      </bottom>
    </border>
    <border>
      <right style="double">
        <color rgb="FF000000"/>
      </right>
      <top style="hair">
        <color rgb="FF000000"/>
      </top>
      <bottom style="hair">
        <color rgb="FF000000"/>
      </bottom>
    </border>
    <border>
      <left style="double">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right style="hair">
        <color rgb="FF000000"/>
      </right>
      <top style="hair">
        <color rgb="FF000000"/>
      </top>
      <bottom style="hair">
        <color rgb="FF000000"/>
      </bottom>
    </border>
    <border>
      <top style="hair">
        <color rgb="FF000000"/>
      </top>
    </border>
    <border>
      <right style="hair">
        <color rgb="FF000000"/>
      </right>
      <top style="hair">
        <color rgb="FF000000"/>
      </top>
    </border>
    <border>
      <bottom style="thin">
        <color rgb="FF000000"/>
      </bottom>
    </border>
    <border>
      <left style="hair">
        <color rgb="FF000000"/>
      </left>
      <right style="thin">
        <color rgb="FF000000"/>
      </right>
      <top style="thin">
        <color rgb="FF000000"/>
      </top>
      <bottom style="hair">
        <color rgb="FF000000"/>
      </bottom>
    </border>
    <border>
      <left style="hair">
        <color rgb="FF000000"/>
      </left>
      <top style="hair">
        <color rgb="FF000000"/>
      </top>
    </border>
    <border>
      <left style="hair">
        <color rgb="FF000000"/>
      </left>
      <right style="thin">
        <color rgb="FF000000"/>
      </right>
    </border>
    <border>
      <left style="thin">
        <color rgb="FF000000"/>
      </left>
    </border>
    <border>
      <left style="thin">
        <color rgb="FF000000"/>
      </left>
      <bottom style="thin">
        <color rgb="FF000000"/>
      </bottom>
    </border>
    <border>
      <right style="hair">
        <color rgb="FF000000"/>
      </right>
      <bottom style="thin">
        <color rgb="FF000000"/>
      </bottom>
    </border>
    <border>
      <left style="hair">
        <color rgb="FF000000"/>
      </left>
      <right style="thin">
        <color rgb="FF000000"/>
      </right>
      <bottom style="thin">
        <color rgb="FF000000"/>
      </bottom>
    </border>
    <border>
      <left style="hair">
        <color rgb="FF000000"/>
      </left>
    </border>
    <border>
      <left style="hair">
        <color rgb="FF000000"/>
      </left>
      <bottom style="thin">
        <color rgb="FF000000"/>
      </bottom>
    </border>
    <border>
      <right style="thin">
        <color rgb="FF000000"/>
      </right>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bottom style="hair">
        <color rgb="FF000000"/>
      </bottom>
    </border>
    <border>
      <left style="hair">
        <color rgb="FF000000"/>
      </left>
      <right style="thin">
        <color rgb="FF000000"/>
      </right>
      <top style="hair">
        <color rgb="FF000000"/>
      </top>
    </border>
    <border>
      <left style="hair">
        <color rgb="FF000000"/>
      </left>
      <right style="hair">
        <color rgb="FF000000"/>
      </right>
    </border>
    <border>
      <left style="thin">
        <color rgb="FF000000"/>
      </left>
      <right style="hair">
        <color rgb="FF000000"/>
      </right>
    </border>
    <border>
      <left style="thin">
        <color rgb="FFB7B7B7"/>
      </left>
      <right style="thin">
        <color rgb="FFB7B7B7"/>
      </right>
      <top style="thin">
        <color rgb="FFB7B7B7"/>
      </top>
    </border>
    <border>
      <left style="thin">
        <color rgb="FFB7B7B7"/>
      </left>
      <right style="thin">
        <color rgb="FF000000"/>
      </right>
      <top style="thin">
        <color rgb="FFB7B7B7"/>
      </top>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000000"/>
      </right>
      <top style="thin">
        <color rgb="FFB7B7B7"/>
      </top>
      <bottom style="thin">
        <color rgb="FFB7B7B7"/>
      </bottom>
    </border>
    <border>
      <left style="thin">
        <color rgb="FFD9D9D9"/>
      </left>
    </border>
    <border>
      <right style="thin">
        <color rgb="FFD9D9D9"/>
      </right>
    </border>
    <border>
      <right style="thin">
        <color rgb="FFFFFFFF"/>
      </right>
      <bottom style="thin">
        <color rgb="FFD9D9D9"/>
      </bottom>
    </border>
    <border>
      <left style="thin">
        <color rgb="FFFFFFFF"/>
      </left>
      <right style="thin">
        <color rgb="FFFFFFFF"/>
      </right>
    </border>
    <border>
      <left style="thin">
        <color rgb="FFFFFFFF"/>
      </left>
      <right style="thin">
        <color rgb="FFFFFFFF"/>
      </right>
      <bottom style="thin">
        <color rgb="FFFFFFFF"/>
      </bottom>
    </border>
    <border>
      <left style="thin">
        <color rgb="FFFFFFFF"/>
      </left>
      <bottom style="thin">
        <color rgb="FFFFFFFF"/>
      </bottom>
    </border>
    <border>
      <left style="thin">
        <color rgb="FF000000"/>
      </left>
      <top style="thin">
        <color rgb="FF000000"/>
      </top>
    </border>
    <border>
      <right style="thin">
        <color rgb="FF000000"/>
      </right>
      <top style="thin">
        <color rgb="FF000000"/>
      </top>
    </border>
    <border>
      <right style="thin">
        <color rgb="FFFFFFFF"/>
      </right>
      <top style="thin">
        <color rgb="FFD9D9D9"/>
      </top>
      <bottom style="thin">
        <color rgb="FFD9D9D9"/>
      </bottom>
    </border>
    <border>
      <left style="thin">
        <color rgb="FFFFFFFF"/>
      </left>
      <top style="thin">
        <color rgb="FFFFFFFF"/>
      </top>
      <bottom style="thin">
        <color rgb="FFFFFFF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FFFFFF"/>
      </left>
      <right style="thin">
        <color rgb="FFFFFFFF"/>
      </right>
      <top style="thin">
        <color rgb="FFFFFFFF"/>
      </top>
      <bottom style="thin">
        <color rgb="FFFFFFFF"/>
      </bottom>
    </border>
    <border>
      <left style="thin">
        <color rgb="FFD9D9D9"/>
      </left>
      <top style="thin">
        <color rgb="FFD9D9D9"/>
      </top>
    </border>
    <border>
      <left style="thin">
        <color rgb="FF000000"/>
      </left>
      <top style="thin">
        <color rgb="FF000000"/>
      </top>
      <bottom style="thin">
        <color rgb="FFD9D9D9"/>
      </bottom>
    </border>
    <border>
      <right style="thin">
        <color rgb="FFD9D9D9"/>
      </right>
      <top style="thin">
        <color rgb="FF000000"/>
      </top>
      <bottom style="thin">
        <color rgb="FFD9D9D9"/>
      </bottom>
    </border>
    <border>
      <left style="thin">
        <color rgb="FFD9D9D9"/>
      </left>
      <right style="thin">
        <color rgb="FFD9D9D9"/>
      </right>
      <top style="thin">
        <color rgb="FF000000"/>
      </top>
      <bottom style="thin">
        <color rgb="FFD9D9D9"/>
      </bottom>
    </border>
    <border>
      <left style="thin">
        <color rgb="FFD9D9D9"/>
      </left>
      <right style="thin">
        <color rgb="FF000000"/>
      </right>
      <top style="thin">
        <color rgb="FF000000"/>
      </top>
      <bottom style="thin">
        <color rgb="FFD9D9D9"/>
      </bottom>
    </border>
    <border>
      <right style="thin">
        <color rgb="FFD9D9D9"/>
      </right>
      <top style="thin">
        <color rgb="FFD9D9D9"/>
      </top>
      <bottom style="thin">
        <color rgb="FFD9D9D9"/>
      </bottom>
    </border>
    <border>
      <top style="thin">
        <color rgb="FFD9D9D9"/>
      </top>
    </border>
    <border>
      <right style="thin">
        <color rgb="FFD9D9D9"/>
      </right>
      <top style="thin">
        <color rgb="FFD9D9D9"/>
      </top>
    </border>
    <border>
      <left style="thin">
        <color rgb="FF000000"/>
      </lef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D9D9D9"/>
      </left>
      <bottom style="thin">
        <color rgb="FFD9D9D9"/>
      </bottom>
    </border>
    <border>
      <left style="thin">
        <color rgb="FF000000"/>
      </left>
      <top style="thin">
        <color rgb="FFD9D9D9"/>
      </top>
      <bottom style="thin">
        <color rgb="FF000000"/>
      </bottom>
    </border>
    <border>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000000"/>
      </right>
      <top style="thin">
        <color rgb="FFD9D9D9"/>
      </top>
      <bottom style="thin">
        <color rgb="FF000000"/>
      </bottom>
    </border>
    <border>
      <bottom style="thin">
        <color rgb="FFD9D9D9"/>
      </bottom>
    </border>
    <border>
      <right style="thin">
        <color rgb="FFD9D9D9"/>
      </right>
      <bottom style="thin">
        <color rgb="FFD9D9D9"/>
      </bottom>
    </border>
    <border>
      <right style="thin">
        <color rgb="FFFFFFFF"/>
      </right>
      <top style="thin">
        <color rgb="FFFFFFFF"/>
      </top>
      <bottom style="thin">
        <color rgb="FFFFFFFF"/>
      </bottom>
    </border>
    <border>
      <left style="thin">
        <color rgb="FFD9D9D9"/>
      </left>
      <top style="thin">
        <color rgb="FF000000"/>
      </top>
      <bottom style="thin">
        <color rgb="FFD9D9D9"/>
      </bottom>
    </border>
    <border>
      <right style="dotted">
        <color rgb="FFD9D9D9"/>
      </right>
      <top style="thin">
        <color rgb="FFD9D9D9"/>
      </top>
    </border>
    <border>
      <left style="thin">
        <color rgb="FFD9D9D9"/>
      </left>
      <right style="thin">
        <color rgb="FFFFFFFF"/>
      </right>
      <top style="thin">
        <color rgb="FFD9D9D9"/>
      </top>
    </border>
    <border>
      <left style="thin">
        <color rgb="FF000000"/>
      </left>
      <right style="thin">
        <color rgb="FFD9D9D9"/>
      </right>
      <top style="thin">
        <color rgb="FFD9D9D9"/>
      </top>
      <bottom style="thin">
        <color rgb="FFD9D9D9"/>
      </bottom>
    </border>
    <border>
      <left style="thin">
        <color rgb="FFD9D9D9"/>
      </left>
      <right style="thin">
        <color rgb="FFD9D9D9"/>
      </right>
      <top style="thin">
        <color rgb="FFD9D9D9"/>
      </top>
      <bottom style="hair">
        <color rgb="FF000000"/>
      </bottom>
    </border>
    <border>
      <left style="thin">
        <color rgb="FFD9D9D9"/>
      </left>
      <top style="thin">
        <color rgb="FFD9D9D9"/>
      </top>
      <bottom style="hair">
        <color rgb="FF000000"/>
      </bottom>
    </border>
    <border>
      <right style="thin">
        <color rgb="FFD9D9D9"/>
      </right>
      <top style="thin">
        <color rgb="FFD9D9D9"/>
      </top>
      <bottom style="hair">
        <color rgb="FF000000"/>
      </bottom>
    </border>
    <border>
      <right style="dotted">
        <color rgb="FFD9D9D9"/>
      </right>
    </border>
    <border>
      <left style="thin">
        <color rgb="FFD9D9D9"/>
      </left>
      <right style="thin">
        <color rgb="FFFFFFFF"/>
      </right>
    </border>
    <border>
      <left style="thin">
        <color rgb="FFD9D9D9"/>
      </left>
      <top style="thin">
        <color rgb="FFD9D9D9"/>
      </top>
      <bottom style="thin">
        <color rgb="FFD9D9D9"/>
      </bottom>
    </border>
    <border>
      <left style="hair">
        <color rgb="FF000000"/>
      </left>
      <top style="hair">
        <color rgb="FF000000"/>
      </top>
      <bottom style="thin">
        <color rgb="FFD9D9D9"/>
      </bottom>
    </border>
    <border>
      <top style="hair">
        <color rgb="FF000000"/>
      </top>
      <bottom style="thin">
        <color rgb="FFD9D9D9"/>
      </bottom>
    </border>
    <border>
      <left style="dotted">
        <color rgb="FFD9D9D9"/>
      </left>
    </border>
    <border>
      <right style="thin">
        <color rgb="FFFFFFFF"/>
      </right>
      <top style="thin">
        <color rgb="FFD9D9D9"/>
      </top>
    </border>
    <border>
      <left style="thin">
        <color rgb="FF000000"/>
      </left>
      <right style="thin">
        <color rgb="FFD9D9D9"/>
      </right>
      <top style="thin">
        <color rgb="FFD9D9D9"/>
      </top>
      <bottom style="thin">
        <color rgb="FF000000"/>
      </bottom>
    </border>
    <border>
      <left style="thin">
        <color rgb="FFD9D9D9"/>
      </left>
      <top style="thin">
        <color rgb="FFD9D9D9"/>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FFFFFF"/>
      </right>
    </border>
    <border>
      <left style="thin">
        <color rgb="FFD9D9D9"/>
      </left>
      <right style="thin">
        <color rgb="FFFFFFFF"/>
      </right>
      <bottom style="thin">
        <color rgb="FFFFFFFF"/>
      </bottom>
    </border>
    <border>
      <left style="thin">
        <color rgb="FFD9D9D9"/>
      </left>
      <right style="thin">
        <color rgb="FFD9D9D9"/>
      </right>
    </border>
    <border>
      <right style="dotted">
        <color rgb="FFD9D9D9"/>
      </right>
      <bottom style="thin">
        <color rgb="FFFFFFFF"/>
      </bottom>
    </border>
    <border>
      <left style="thin">
        <color rgb="FFFFFFFF"/>
      </left>
      <right style="dotted">
        <color rgb="FFFFFFFF"/>
      </right>
      <top style="dotted">
        <color rgb="FFFFFFFF"/>
      </top>
      <bottom style="thin">
        <color rgb="FFFFFFFF"/>
      </bottom>
    </border>
    <border>
      <left style="dotted">
        <color rgb="FFFFFFFF"/>
      </left>
      <right style="dotted">
        <color rgb="FFFFFFFF"/>
      </right>
      <top style="dotted">
        <color rgb="FFFFFFFF"/>
      </top>
    </border>
    <border>
      <left style="dotted">
        <color rgb="FFFFFFFF"/>
      </left>
      <right style="dotted">
        <color rgb="FFFFFFFF"/>
      </right>
      <top style="dotted">
        <color rgb="FFFFFFFF"/>
      </top>
      <bottom style="dotted">
        <color rgb="FFFFFFFF"/>
      </bottom>
    </border>
    <border>
      <left style="dotted">
        <color rgb="FFFFFFFF"/>
      </left>
      <right style="dotted">
        <color rgb="FFFFFFFF"/>
      </right>
      <top style="dotted">
        <color rgb="FFFFFFFF"/>
      </top>
      <bottom style="thin">
        <color rgb="FFFFFFFF"/>
      </bottom>
    </border>
    <border>
      <left style="dotted">
        <color rgb="FFFFFFFF"/>
      </left>
      <right style="thin">
        <color rgb="FFFFFFFF"/>
      </right>
      <top style="dotted">
        <color rgb="FFFFFFFF"/>
      </top>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left style="thin">
        <color rgb="FFFFFFFF"/>
      </left>
      <right style="thin">
        <color rgb="FFFFFFFF"/>
      </right>
      <top style="thin">
        <color rgb="FFFFFFFF"/>
      </top>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994">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2" fontId="3" numFmtId="0" xfId="0" applyAlignment="1" applyBorder="1" applyFont="1">
      <alignment horizontal="center" readingOrder="0"/>
    </xf>
    <xf borderId="4" fillId="2" fontId="4" numFmtId="0" xfId="0" applyAlignment="1" applyBorder="1" applyFont="1">
      <alignment horizontal="left" readingOrder="0" vertical="bottom"/>
    </xf>
    <xf borderId="5" fillId="0" fontId="2" numFmtId="0" xfId="0" applyBorder="1" applyFont="1"/>
    <xf borderId="4" fillId="2" fontId="5" numFmtId="0" xfId="0" applyAlignment="1" applyBorder="1" applyFont="1">
      <alignment readingOrder="0"/>
    </xf>
    <xf borderId="3" fillId="2" fontId="6" numFmtId="0" xfId="0" applyAlignment="1" applyBorder="1" applyFont="1">
      <alignment readingOrder="0" shrinkToFit="0" wrapText="1"/>
    </xf>
    <xf borderId="6" fillId="0" fontId="2" numFmtId="0" xfId="0" applyBorder="1" applyFont="1"/>
    <xf borderId="7" fillId="2" fontId="7" numFmtId="0" xfId="0" applyAlignment="1" applyBorder="1" applyFont="1">
      <alignment readingOrder="0" shrinkToFit="0" vertical="center" wrapText="1"/>
    </xf>
    <xf borderId="4" fillId="2" fontId="1" numFmtId="0" xfId="0" applyAlignment="1" applyBorder="1" applyFont="1">
      <alignment horizontal="right" readingOrder="0"/>
    </xf>
    <xf borderId="6" fillId="2" fontId="1" numFmtId="49" xfId="0" applyAlignment="1" applyBorder="1" applyFont="1" applyNumberFormat="1">
      <alignment readingOrder="0" shrinkToFit="0" wrapText="1"/>
    </xf>
    <xf borderId="4" fillId="2" fontId="1" numFmtId="49" xfId="0" applyAlignment="1" applyBorder="1" applyFont="1" applyNumberFormat="1">
      <alignment readingOrder="0" shrinkToFit="0" wrapText="1"/>
    </xf>
    <xf borderId="4" fillId="2" fontId="1" numFmtId="0" xfId="0" applyAlignment="1" applyBorder="1" applyFont="1">
      <alignment readingOrder="0"/>
    </xf>
    <xf borderId="4" fillId="2" fontId="8" numFmtId="49" xfId="0" applyAlignment="1" applyBorder="1" applyFont="1" applyNumberFormat="1">
      <alignment readingOrder="0"/>
    </xf>
    <xf borderId="3" fillId="2" fontId="1" numFmtId="0" xfId="0" applyAlignment="1" applyBorder="1" applyFont="1">
      <alignment horizontal="right" readingOrder="0" vertical="top"/>
    </xf>
    <xf borderId="3" fillId="2" fontId="9" numFmtId="0" xfId="0" applyAlignment="1" applyBorder="1" applyFont="1">
      <alignment shrinkToFit="0" vertical="top" wrapText="1"/>
    </xf>
    <xf borderId="0" fillId="2" fontId="1" numFmtId="0" xfId="0" applyAlignment="1" applyFont="1">
      <alignment horizontal="right" readingOrder="0" vertical="top"/>
    </xf>
    <xf borderId="0" fillId="2" fontId="10" numFmtId="0" xfId="0" applyAlignment="1" applyFont="1">
      <alignment readingOrder="0" shrinkToFit="0" vertical="top" wrapText="1"/>
    </xf>
    <xf borderId="8" fillId="3" fontId="4" numFmtId="0" xfId="0" applyAlignment="1" applyBorder="1" applyFill="1" applyFont="1">
      <alignment horizontal="center" readingOrder="0" vertical="center"/>
    </xf>
    <xf borderId="8" fillId="3" fontId="11" numFmtId="0" xfId="0" applyAlignment="1" applyBorder="1" applyFont="1">
      <alignment readingOrder="0" shrinkToFit="0" vertical="center" wrapText="1"/>
    </xf>
    <xf borderId="9" fillId="4" fontId="1" numFmtId="0" xfId="0" applyAlignment="1" applyBorder="1" applyFill="1" applyFont="1">
      <alignment horizontal="right" readingOrder="0"/>
    </xf>
    <xf borderId="9" fillId="4" fontId="12" numFmtId="0" xfId="0" applyAlignment="1" applyBorder="1" applyFont="1">
      <alignment readingOrder="0" shrinkToFit="0" vertical="center" wrapText="1"/>
    </xf>
    <xf borderId="9" fillId="5" fontId="1" numFmtId="0" xfId="0" applyAlignment="1" applyBorder="1" applyFill="1" applyFont="1">
      <alignment horizontal="right" readingOrder="0"/>
    </xf>
    <xf borderId="9" fillId="5" fontId="13" numFmtId="0" xfId="0" applyAlignment="1" applyBorder="1" applyFont="1">
      <alignment readingOrder="0" shrinkToFit="0" vertical="center" wrapText="1"/>
    </xf>
    <xf borderId="0" fillId="6" fontId="1" numFmtId="0" xfId="0" applyAlignment="1" applyFill="1" applyFont="1">
      <alignment horizontal="right" readingOrder="0"/>
    </xf>
    <xf borderId="0" fillId="6" fontId="14" numFmtId="0" xfId="0" applyAlignment="1" applyFont="1">
      <alignment readingOrder="0" shrinkToFit="0" vertical="center" wrapText="1"/>
    </xf>
    <xf borderId="10" fillId="7" fontId="15" numFmtId="0" xfId="0" applyAlignment="1" applyBorder="1" applyFill="1" applyFont="1">
      <alignment readingOrder="0"/>
    </xf>
    <xf borderId="11" fillId="7" fontId="1" numFmtId="0" xfId="0" applyAlignment="1" applyBorder="1" applyFont="1">
      <alignment shrinkToFit="0" wrapText="1"/>
    </xf>
    <xf borderId="12" fillId="8" fontId="15" numFmtId="0" xfId="0" applyAlignment="1" applyBorder="1" applyFill="1" applyFont="1">
      <alignment readingOrder="0"/>
    </xf>
    <xf borderId="13" fillId="8" fontId="16" numFmtId="0" xfId="0" applyAlignment="1" applyBorder="1" applyFont="1">
      <alignment readingOrder="0" shrinkToFit="0" wrapText="1"/>
    </xf>
    <xf borderId="12" fillId="8" fontId="17" numFmtId="0" xfId="0" applyAlignment="1" applyBorder="1" applyFont="1">
      <alignment readingOrder="0" vertical="center"/>
    </xf>
    <xf borderId="12" fillId="0" fontId="2" numFmtId="0" xfId="0" applyBorder="1" applyFont="1"/>
    <xf borderId="12" fillId="9" fontId="15" numFmtId="0" xfId="0" applyAlignment="1" applyBorder="1" applyFill="1" applyFont="1">
      <alignment readingOrder="0" vertical="center"/>
    </xf>
    <xf borderId="13" fillId="9" fontId="16" numFmtId="0" xfId="0" applyAlignment="1" applyBorder="1" applyFont="1">
      <alignment readingOrder="0" shrinkToFit="0" wrapText="1"/>
    </xf>
    <xf borderId="12" fillId="10" fontId="18" numFmtId="0" xfId="0" applyAlignment="1" applyBorder="1" applyFill="1" applyFont="1">
      <alignment readingOrder="0"/>
    </xf>
    <xf borderId="13" fillId="10" fontId="16" numFmtId="0" xfId="0" applyAlignment="1" applyBorder="1" applyFont="1">
      <alignment readingOrder="0" shrinkToFit="0" wrapText="1"/>
    </xf>
    <xf borderId="12" fillId="11" fontId="18" numFmtId="0" xfId="0" applyAlignment="1" applyBorder="1" applyFill="1" applyFont="1">
      <alignment readingOrder="0"/>
    </xf>
    <xf borderId="13" fillId="11" fontId="16" numFmtId="0" xfId="0" applyAlignment="1" applyBorder="1" applyFont="1">
      <alignment readingOrder="0" shrinkToFit="0" wrapText="1"/>
    </xf>
    <xf borderId="14" fillId="11" fontId="18" numFmtId="0" xfId="0" applyAlignment="1" applyBorder="1" applyFont="1">
      <alignment readingOrder="0"/>
    </xf>
    <xf borderId="15" fillId="11" fontId="16" numFmtId="0" xfId="0" applyAlignment="1" applyBorder="1" applyFont="1">
      <alignment readingOrder="0" shrinkToFit="0" wrapText="1"/>
    </xf>
    <xf borderId="0" fillId="2" fontId="19" numFmtId="0" xfId="0" applyAlignment="1" applyFont="1">
      <alignment readingOrder="0" shrinkToFit="0" wrapText="1"/>
    </xf>
    <xf borderId="0" fillId="2" fontId="16" numFmtId="0" xfId="0" applyAlignment="1" applyFont="1">
      <alignment shrinkToFit="0" wrapText="1"/>
    </xf>
    <xf borderId="0" fillId="12" fontId="18" numFmtId="0" xfId="0" applyAlignment="1" applyFill="1" applyFont="1">
      <alignment readingOrder="0"/>
    </xf>
    <xf borderId="0" fillId="12" fontId="16" numFmtId="0" xfId="0" applyAlignment="1" applyFont="1">
      <alignment shrinkToFit="0" wrapText="1"/>
    </xf>
    <xf borderId="0" fillId="12" fontId="16" numFmtId="0" xfId="0" applyAlignment="1" applyFont="1">
      <alignment readingOrder="0"/>
    </xf>
    <xf borderId="0" fillId="12" fontId="16" numFmtId="0" xfId="0" applyAlignment="1" applyFont="1">
      <alignment readingOrder="0" shrinkToFit="0" wrapText="1"/>
    </xf>
    <xf borderId="0" fillId="12" fontId="17" numFmtId="0" xfId="0" applyAlignment="1" applyFont="1">
      <alignment readingOrder="0" shrinkToFit="0" wrapText="1"/>
    </xf>
    <xf borderId="0" fillId="12" fontId="16" numFmtId="0" xfId="0" applyAlignment="1" applyFont="1">
      <alignment readingOrder="0" shrinkToFit="0" wrapText="1"/>
    </xf>
    <xf borderId="16" fillId="2" fontId="16" numFmtId="0" xfId="0" applyBorder="1" applyFont="1"/>
    <xf borderId="17" fillId="2" fontId="16" numFmtId="0" xfId="0" applyAlignment="1" applyBorder="1" applyFont="1">
      <alignment shrinkToFit="0" wrapText="1"/>
    </xf>
    <xf borderId="0" fillId="12" fontId="20" numFmtId="0" xfId="0" applyAlignment="1" applyFont="1">
      <alignment readingOrder="0"/>
    </xf>
    <xf borderId="17" fillId="2" fontId="16" numFmtId="0" xfId="0" applyBorder="1" applyFont="1"/>
    <xf borderId="0" fillId="13" fontId="18" numFmtId="0" xfId="0" applyAlignment="1" applyFill="1" applyFont="1">
      <alignment readingOrder="0" vertical="top"/>
    </xf>
    <xf borderId="0" fillId="13" fontId="16" numFmtId="0" xfId="0" applyAlignment="1" applyFont="1">
      <alignment readingOrder="0" shrinkToFit="0" wrapText="1"/>
    </xf>
    <xf borderId="0" fillId="13" fontId="16" numFmtId="0" xfId="0" applyFont="1"/>
    <xf borderId="0" fillId="13" fontId="16" numFmtId="0" xfId="0" applyAlignment="1" applyFont="1">
      <alignment readingOrder="0"/>
    </xf>
    <xf borderId="17" fillId="2" fontId="16" numFmtId="0" xfId="0" applyAlignment="1" applyBorder="1" applyFont="1">
      <alignment readingOrder="0"/>
    </xf>
    <xf borderId="16" fillId="3" fontId="21" numFmtId="0" xfId="0" applyAlignment="1" applyBorder="1" applyFont="1">
      <alignment readingOrder="0" vertical="center"/>
    </xf>
    <xf borderId="17" fillId="3" fontId="22" numFmtId="0" xfId="0" applyAlignment="1" applyBorder="1" applyFont="1">
      <alignment readingOrder="0" vertical="center"/>
    </xf>
    <xf borderId="6" fillId="2" fontId="23" numFmtId="0" xfId="0" applyAlignment="1" applyBorder="1" applyFont="1">
      <alignment horizontal="center" readingOrder="0" vertical="center"/>
    </xf>
    <xf borderId="6" fillId="2" fontId="24" numFmtId="0" xfId="0" applyAlignment="1" applyBorder="1" applyFont="1">
      <alignment readingOrder="0" shrinkToFit="0" vertical="center" wrapText="1"/>
    </xf>
    <xf borderId="0" fillId="2" fontId="25" numFmtId="0" xfId="0" applyAlignment="1" applyFont="1">
      <alignment horizontal="center" readingOrder="0" shrinkToFit="0" vertical="center" wrapText="1"/>
    </xf>
    <xf borderId="0" fillId="14" fontId="18" numFmtId="0" xfId="0" applyAlignment="1" applyFill="1" applyFont="1">
      <alignment horizontal="center" readingOrder="0" shrinkToFit="0" textRotation="90" vertical="center" wrapText="1"/>
    </xf>
    <xf borderId="0" fillId="15" fontId="18" numFmtId="0" xfId="0" applyAlignment="1" applyFill="1" applyFont="1">
      <alignment readingOrder="0" shrinkToFit="0" vertical="top" wrapText="1"/>
    </xf>
    <xf borderId="0" fillId="15" fontId="16" numFmtId="0" xfId="0" applyAlignment="1" applyFont="1">
      <alignment shrinkToFit="0" wrapText="1"/>
    </xf>
    <xf borderId="0" fillId="0" fontId="18" numFmtId="0" xfId="0" applyAlignment="1" applyFont="1">
      <alignment readingOrder="0" shrinkToFit="0" vertical="top" wrapText="1"/>
    </xf>
    <xf borderId="0" fillId="0" fontId="16" numFmtId="0" xfId="0" applyAlignment="1" applyFont="1">
      <alignment readingOrder="0" shrinkToFit="0" wrapText="1"/>
    </xf>
    <xf borderId="0" fillId="0" fontId="16" numFmtId="0" xfId="0" applyAlignment="1" applyFont="1">
      <alignment shrinkToFit="0" vertical="top" wrapText="1"/>
    </xf>
    <xf borderId="7" fillId="16" fontId="16" numFmtId="0" xfId="0" applyAlignment="1" applyBorder="1" applyFill="1" applyFont="1">
      <alignment readingOrder="0" shrinkToFit="0" wrapText="1"/>
    </xf>
    <xf borderId="7" fillId="17" fontId="16" numFmtId="0" xfId="0" applyAlignment="1" applyBorder="1" applyFill="1" applyFont="1">
      <alignment readingOrder="0" shrinkToFit="0" wrapText="1"/>
    </xf>
    <xf borderId="0" fillId="0" fontId="18" numFmtId="0" xfId="0" applyAlignment="1" applyFont="1">
      <alignment shrinkToFit="0" vertical="top" wrapText="1"/>
    </xf>
    <xf borderId="0" fillId="15" fontId="18" numFmtId="0" xfId="0" applyAlignment="1" applyFont="1">
      <alignment shrinkToFit="0" wrapText="1"/>
    </xf>
    <xf borderId="0" fillId="0" fontId="16" numFmtId="0" xfId="0" applyAlignment="1" applyFont="1">
      <alignment readingOrder="0" shrinkToFit="0" vertical="top" wrapText="1"/>
    </xf>
    <xf borderId="0" fillId="18" fontId="18" numFmtId="0" xfId="0" applyAlignment="1" applyFill="1" applyFont="1">
      <alignment horizontal="center" readingOrder="0" shrinkToFit="0" textRotation="90" vertical="center" wrapText="1"/>
    </xf>
    <xf borderId="0" fillId="11" fontId="18" numFmtId="0" xfId="0" applyAlignment="1" applyFont="1">
      <alignment horizontal="center" readingOrder="0" shrinkToFit="0" textRotation="90" vertical="center" wrapText="1"/>
    </xf>
    <xf borderId="0" fillId="0" fontId="18" numFmtId="0" xfId="0" applyAlignment="1" applyFont="1">
      <alignment readingOrder="0" shrinkToFit="0" wrapText="1"/>
    </xf>
    <xf borderId="0" fillId="15" fontId="18" numFmtId="0" xfId="0" applyAlignment="1" applyFont="1">
      <alignment readingOrder="0"/>
    </xf>
    <xf borderId="0" fillId="7" fontId="18" numFmtId="0" xfId="0" applyAlignment="1" applyFont="1">
      <alignment horizontal="center" readingOrder="0" shrinkToFit="0" textRotation="90" vertical="center" wrapText="1"/>
    </xf>
    <xf borderId="0" fillId="15" fontId="16" numFmtId="0" xfId="0" applyAlignment="1" applyFont="1">
      <alignment readingOrder="0" shrinkToFit="0" wrapText="1"/>
    </xf>
    <xf borderId="18" fillId="0" fontId="18" numFmtId="0" xfId="0" applyAlignment="1" applyBorder="1" applyFont="1">
      <alignment shrinkToFit="0" vertical="top" wrapText="1"/>
    </xf>
    <xf borderId="18" fillId="0" fontId="18" numFmtId="0" xfId="0" applyAlignment="1" applyBorder="1" applyFont="1">
      <alignment shrinkToFit="0" vertical="bottom" wrapText="1"/>
    </xf>
    <xf borderId="19" fillId="0" fontId="16" numFmtId="0" xfId="0" applyAlignment="1" applyBorder="1" applyFont="1">
      <alignment shrinkToFit="0" vertical="top" wrapText="1"/>
    </xf>
    <xf borderId="19" fillId="0" fontId="16" numFmtId="0" xfId="0" applyAlignment="1" applyBorder="1" applyFont="1">
      <alignment readingOrder="0" shrinkToFit="0" vertical="bottom" wrapText="1"/>
    </xf>
    <xf borderId="7" fillId="0" fontId="16" numFmtId="0" xfId="0" applyAlignment="1" applyBorder="1" applyFont="1">
      <alignment shrinkToFit="0" vertical="top" wrapText="1"/>
    </xf>
    <xf borderId="7" fillId="0" fontId="16" numFmtId="0" xfId="0" applyAlignment="1" applyBorder="1" applyFont="1">
      <alignment readingOrder="0" shrinkToFit="0" vertical="bottom" wrapText="1"/>
    </xf>
    <xf borderId="7" fillId="0" fontId="16" numFmtId="0" xfId="0" applyAlignment="1" applyBorder="1" applyFont="1">
      <alignment readingOrder="0" shrinkToFit="0" vertical="top" wrapText="1"/>
    </xf>
    <xf borderId="7" fillId="0" fontId="16" numFmtId="0" xfId="0" applyAlignment="1" applyBorder="1" applyFont="1">
      <alignment readingOrder="0" shrinkToFit="0" wrapText="1"/>
    </xf>
    <xf borderId="7" fillId="0" fontId="26" numFmtId="0" xfId="0" applyAlignment="1" applyBorder="1" applyFont="1">
      <alignment readingOrder="0" shrinkToFit="0" vertical="top" wrapText="1"/>
    </xf>
    <xf borderId="7" fillId="0" fontId="20" numFmtId="0" xfId="0" applyAlignment="1" applyBorder="1" applyFont="1">
      <alignment readingOrder="0" shrinkToFit="0" vertical="top" wrapText="1"/>
    </xf>
    <xf borderId="7" fillId="0" fontId="27" numFmtId="0" xfId="0" applyAlignment="1" applyBorder="1" applyFont="1">
      <alignment readingOrder="0" shrinkToFit="0" wrapText="1"/>
    </xf>
    <xf borderId="7" fillId="0" fontId="18" numFmtId="0" xfId="0" applyAlignment="1" applyBorder="1" applyFont="1">
      <alignment readingOrder="0" shrinkToFit="0" vertical="top" wrapText="1"/>
    </xf>
    <xf borderId="20" fillId="0" fontId="18" numFmtId="0" xfId="0" applyAlignment="1" applyBorder="1" applyFont="1">
      <alignment readingOrder="0" shrinkToFit="0" vertical="top" wrapText="1"/>
    </xf>
    <xf borderId="21" fillId="0" fontId="16" numFmtId="0" xfId="0" applyAlignment="1" applyBorder="1" applyFont="1">
      <alignment readingOrder="0" shrinkToFit="0" wrapText="1"/>
    </xf>
    <xf borderId="22" fillId="0" fontId="18" numFmtId="0" xfId="0" applyAlignment="1" applyBorder="1" applyFont="1">
      <alignment readingOrder="0" shrinkToFit="0" vertical="top" wrapText="1"/>
    </xf>
    <xf borderId="0" fillId="19" fontId="18" numFmtId="0" xfId="0" applyAlignment="1" applyFill="1" applyFont="1">
      <alignment horizontal="center" readingOrder="0" shrinkToFit="0" textRotation="90" vertical="center" wrapText="1"/>
    </xf>
    <xf borderId="0" fillId="0" fontId="20" numFmtId="0" xfId="0" applyAlignment="1" applyFont="1">
      <alignment readingOrder="0" shrinkToFit="0" wrapText="1"/>
    </xf>
    <xf borderId="0" fillId="0" fontId="28" numFmtId="0" xfId="0" applyAlignment="1" applyFont="1">
      <alignment readingOrder="0" shrinkToFit="0" wrapText="1"/>
    </xf>
    <xf borderId="0" fillId="0" fontId="29" numFmtId="0" xfId="0" applyAlignment="1" applyFont="1">
      <alignment readingOrder="0" shrinkToFit="0" wrapText="1"/>
    </xf>
    <xf borderId="0" fillId="0" fontId="30" numFmtId="0" xfId="0" applyAlignment="1" applyFont="1">
      <alignment readingOrder="0" shrinkToFit="0" wrapText="1"/>
    </xf>
    <xf borderId="0" fillId="0" fontId="31" numFmtId="0" xfId="0" applyAlignment="1" applyFont="1">
      <alignment readingOrder="0" shrinkToFit="0" wrapText="1"/>
    </xf>
    <xf borderId="0" fillId="0" fontId="32" numFmtId="0" xfId="0" applyAlignment="1" applyFont="1">
      <alignment vertical="bottom"/>
    </xf>
    <xf borderId="0" fillId="0" fontId="33" numFmtId="0" xfId="0" applyAlignment="1" applyFont="1">
      <alignment vertical="bottom"/>
    </xf>
    <xf borderId="0" fillId="0" fontId="33" numFmtId="3" xfId="0" applyAlignment="1" applyFont="1" applyNumberFormat="1">
      <alignment vertical="bottom"/>
    </xf>
    <xf borderId="0" fillId="0" fontId="33" numFmtId="4" xfId="0" applyAlignment="1" applyFont="1" applyNumberFormat="1">
      <alignment vertical="bottom"/>
    </xf>
    <xf borderId="0" fillId="0" fontId="33" numFmtId="164" xfId="0" applyAlignment="1" applyFont="1" applyNumberFormat="1">
      <alignment vertical="bottom"/>
    </xf>
    <xf borderId="23" fillId="20" fontId="34" numFmtId="0" xfId="0" applyAlignment="1" applyBorder="1" applyFill="1" applyFont="1">
      <alignment horizontal="center"/>
    </xf>
    <xf borderId="24" fillId="0" fontId="2" numFmtId="0" xfId="0" applyBorder="1" applyFont="1"/>
    <xf borderId="25" fillId="0" fontId="2" numFmtId="0" xfId="0" applyBorder="1" applyFont="1"/>
    <xf borderId="0" fillId="0" fontId="33" numFmtId="0" xfId="0" applyFont="1"/>
    <xf borderId="26" fillId="0" fontId="35" numFmtId="0" xfId="0" applyAlignment="1" applyBorder="1" applyFont="1">
      <alignment horizontal="right" shrinkToFit="0" vertical="top" wrapText="1"/>
    </xf>
    <xf borderId="26" fillId="0" fontId="2" numFmtId="0" xfId="0" applyBorder="1" applyFont="1"/>
    <xf borderId="26" fillId="0" fontId="36" numFmtId="0" xfId="0" applyAlignment="1" applyBorder="1" applyFont="1">
      <alignment shrinkToFit="0" vertical="top" wrapText="1"/>
    </xf>
    <xf borderId="27" fillId="21" fontId="37" numFmtId="0" xfId="0" applyAlignment="1" applyBorder="1" applyFill="1" applyFont="1">
      <alignment vertical="bottom"/>
    </xf>
    <xf borderId="18" fillId="0" fontId="2" numFmtId="0" xfId="0" applyBorder="1" applyFont="1"/>
    <xf borderId="28" fillId="0" fontId="2" numFmtId="0" xfId="0" applyBorder="1" applyFont="1"/>
    <xf borderId="29" fillId="13" fontId="37" numFmtId="0" xfId="0" applyAlignment="1" applyBorder="1" applyFont="1">
      <alignment horizontal="center" vertical="bottom"/>
    </xf>
    <xf borderId="30" fillId="12" fontId="38" numFmtId="0" xfId="0" applyAlignment="1" applyBorder="1" applyFont="1">
      <alignment vertical="bottom"/>
    </xf>
    <xf borderId="31" fillId="12" fontId="33" numFmtId="0" xfId="0" applyAlignment="1" applyBorder="1" applyFont="1">
      <alignment vertical="bottom"/>
    </xf>
    <xf borderId="32" fillId="0" fontId="2" numFmtId="0" xfId="0" applyBorder="1" applyFont="1"/>
    <xf borderId="33" fillId="22" fontId="39" numFmtId="0" xfId="0" applyAlignment="1" applyBorder="1" applyFill="1" applyFont="1">
      <alignment horizontal="center" vertical="bottom"/>
    </xf>
    <xf borderId="34" fillId="13" fontId="40" numFmtId="0" xfId="0" applyAlignment="1" applyBorder="1" applyFont="1">
      <alignment horizontal="center" readingOrder="0"/>
    </xf>
    <xf borderId="35" fillId="12" fontId="38" numFmtId="0" xfId="0" applyAlignment="1" applyBorder="1" applyFont="1">
      <alignment vertical="bottom"/>
    </xf>
    <xf borderId="0" fillId="13" fontId="41" numFmtId="0" xfId="0" applyAlignment="1" applyFont="1">
      <alignment horizontal="center" shrinkToFit="0" vertical="center" wrapText="1"/>
    </xf>
    <xf borderId="0" fillId="0" fontId="33" numFmtId="0" xfId="0" applyAlignment="1" applyFont="1">
      <alignment vertical="top"/>
    </xf>
    <xf borderId="0" fillId="23" fontId="38" numFmtId="0" xfId="0" applyAlignment="1" applyFill="1" applyFont="1">
      <alignment horizontal="center" shrinkToFit="0" vertical="center" wrapText="1"/>
    </xf>
    <xf borderId="0" fillId="13" fontId="42" numFmtId="0" xfId="0" applyAlignment="1" applyFont="1">
      <alignment horizontal="center" vertical="center"/>
    </xf>
    <xf borderId="0" fillId="24" fontId="38" numFmtId="0" xfId="0" applyAlignment="1" applyFill="1" applyFont="1">
      <alignment horizontal="center" shrinkToFit="0" vertical="center" wrapText="1"/>
    </xf>
    <xf borderId="0" fillId="13" fontId="38" numFmtId="0" xfId="0" applyAlignment="1" applyFont="1">
      <alignment horizontal="center" shrinkToFit="0" vertical="center" wrapText="1"/>
    </xf>
    <xf borderId="0" fillId="19" fontId="43" numFmtId="0" xfId="0" applyAlignment="1" applyFont="1">
      <alignment horizontal="center" vertical="center"/>
    </xf>
    <xf borderId="36" fillId="0" fontId="2" numFmtId="0" xfId="0" applyBorder="1" applyFont="1"/>
    <xf borderId="0" fillId="13" fontId="44" numFmtId="3" xfId="0" applyAlignment="1" applyFont="1" applyNumberFormat="1">
      <alignment horizontal="center"/>
    </xf>
    <xf borderId="0" fillId="19" fontId="33" numFmtId="0" xfId="0" applyAlignment="1" applyFont="1">
      <alignment vertical="top"/>
    </xf>
    <xf borderId="37" fillId="13" fontId="45" numFmtId="0" xfId="0" applyAlignment="1" applyBorder="1" applyFont="1">
      <alignment horizontal="center" readingOrder="0"/>
    </xf>
    <xf borderId="38" fillId="12" fontId="38" numFmtId="0" xfId="0" applyAlignment="1" applyBorder="1" applyFont="1">
      <alignment vertical="bottom"/>
    </xf>
    <xf borderId="39" fillId="0" fontId="2" numFmtId="0" xfId="0" applyBorder="1" applyFont="1"/>
    <xf borderId="32" fillId="0" fontId="33" numFmtId="0" xfId="0" applyAlignment="1" applyBorder="1" applyFont="1">
      <alignment vertical="top"/>
    </xf>
    <xf borderId="40" fillId="9" fontId="34" numFmtId="0" xfId="0" applyAlignment="1" applyBorder="1" applyFont="1">
      <alignment horizontal="center"/>
    </xf>
    <xf borderId="41" fillId="0" fontId="2" numFmtId="0" xfId="0" applyBorder="1" applyFont="1"/>
    <xf borderId="42" fillId="0" fontId="2" numFmtId="0" xfId="0" applyBorder="1" applyFont="1"/>
    <xf borderId="43" fillId="25" fontId="45" numFmtId="0" xfId="0" applyAlignment="1" applyBorder="1" applyFill="1" applyFont="1">
      <alignment horizontal="center" readingOrder="0"/>
    </xf>
    <xf borderId="44" fillId="25" fontId="46" numFmtId="0" xfId="0" applyAlignment="1" applyBorder="1" applyFont="1">
      <alignment vertical="bottom"/>
    </xf>
    <xf borderId="45" fillId="0" fontId="2" numFmtId="0" xfId="0" applyBorder="1" applyFont="1"/>
    <xf borderId="21" fillId="12" fontId="38" numFmtId="0" xfId="0" applyAlignment="1" applyBorder="1" applyFont="1">
      <alignment vertical="bottom"/>
    </xf>
    <xf borderId="29" fillId="13" fontId="45" numFmtId="0" xfId="0" applyAlignment="1" applyBorder="1" applyFont="1">
      <alignment horizontal="center" readingOrder="0"/>
    </xf>
    <xf borderId="46" fillId="12" fontId="38" numFmtId="0" xfId="0" applyAlignment="1" applyBorder="1" applyFont="1">
      <alignment vertical="bottom"/>
    </xf>
    <xf borderId="47" fillId="0" fontId="2" numFmtId="0" xfId="0" applyBorder="1" applyFont="1"/>
    <xf borderId="48" fillId="13" fontId="45" numFmtId="0" xfId="0" applyAlignment="1" applyBorder="1" applyFont="1">
      <alignment horizontal="center" readingOrder="0"/>
    </xf>
    <xf borderId="49" fillId="12" fontId="38" numFmtId="0" xfId="0" applyAlignment="1" applyBorder="1" applyFont="1">
      <alignment vertical="bottom"/>
    </xf>
    <xf borderId="50" fillId="0" fontId="2" numFmtId="0" xfId="0" applyBorder="1" applyFont="1"/>
    <xf borderId="0" fillId="0" fontId="33" numFmtId="4" xfId="0" applyFont="1" applyNumberFormat="1"/>
    <xf borderId="0" fillId="0" fontId="33" numFmtId="3" xfId="0" applyFont="1" applyNumberFormat="1"/>
    <xf borderId="51" fillId="0" fontId="33" numFmtId="0" xfId="0" applyAlignment="1" applyBorder="1" applyFont="1">
      <alignment vertical="bottom"/>
    </xf>
    <xf borderId="2" fillId="12" fontId="46" numFmtId="0" xfId="0" applyAlignment="1" applyBorder="1" applyFont="1">
      <alignment textRotation="45" vertical="bottom"/>
    </xf>
    <xf borderId="4" fillId="12" fontId="46" numFmtId="0" xfId="0" applyAlignment="1" applyBorder="1" applyFont="1">
      <alignment textRotation="45" vertical="bottom"/>
    </xf>
    <xf borderId="2" fillId="0" fontId="47" numFmtId="3" xfId="0" applyAlignment="1" applyBorder="1" applyFont="1" applyNumberFormat="1">
      <alignment textRotation="45" vertical="bottom"/>
    </xf>
    <xf borderId="2" fillId="23" fontId="48" numFmtId="0" xfId="0" applyAlignment="1" applyBorder="1" applyFont="1">
      <alignment textRotation="45" vertical="bottom"/>
    </xf>
    <xf borderId="2" fillId="12" fontId="46" numFmtId="3" xfId="0" applyAlignment="1" applyBorder="1" applyFont="1" applyNumberFormat="1">
      <alignment textRotation="45" vertical="bottom"/>
    </xf>
    <xf borderId="4" fillId="22" fontId="46" numFmtId="3" xfId="0" applyAlignment="1" applyBorder="1" applyFont="1" applyNumberFormat="1">
      <alignment textRotation="45" vertical="bottom"/>
    </xf>
    <xf borderId="2" fillId="22" fontId="46" numFmtId="3" xfId="0" applyAlignment="1" applyBorder="1" applyFont="1" applyNumberFormat="1">
      <alignment textRotation="45" vertical="bottom"/>
    </xf>
    <xf borderId="1" fillId="12" fontId="46" numFmtId="164" xfId="0" applyAlignment="1" applyBorder="1" applyFont="1" applyNumberFormat="1">
      <alignment textRotation="45" vertical="bottom"/>
    </xf>
    <xf borderId="52" fillId="24" fontId="46" numFmtId="3" xfId="0" applyAlignment="1" applyBorder="1" applyFont="1" applyNumberFormat="1">
      <alignment textRotation="45" vertical="bottom"/>
    </xf>
    <xf borderId="1" fillId="24" fontId="46" numFmtId="3" xfId="0" applyAlignment="1" applyBorder="1" applyFont="1" applyNumberFormat="1">
      <alignment textRotation="45" vertical="bottom"/>
    </xf>
    <xf borderId="53" fillId="24" fontId="46" numFmtId="3" xfId="0" applyAlignment="1" applyBorder="1" applyFont="1" applyNumberFormat="1">
      <alignment textRotation="45" vertical="bottom"/>
    </xf>
    <xf borderId="54" fillId="12" fontId="46" numFmtId="0" xfId="0" applyAlignment="1" applyBorder="1" applyFont="1">
      <alignment textRotation="45" vertical="bottom"/>
    </xf>
    <xf borderId="55" fillId="13" fontId="46" numFmtId="3" xfId="0" applyAlignment="1" applyBorder="1" applyFont="1" applyNumberFormat="1">
      <alignment textRotation="45" vertical="bottom"/>
    </xf>
    <xf borderId="56" fillId="19" fontId="46" numFmtId="4" xfId="0" applyAlignment="1" applyBorder="1" applyFont="1" applyNumberFormat="1">
      <alignment textRotation="45" vertical="bottom"/>
    </xf>
    <xf borderId="53" fillId="19" fontId="46" numFmtId="4" xfId="0" applyAlignment="1" applyBorder="1" applyFont="1" applyNumberFormat="1">
      <alignment textRotation="45" vertical="bottom"/>
    </xf>
    <xf borderId="56" fillId="19" fontId="46" numFmtId="3" xfId="0" applyAlignment="1" applyBorder="1" applyFont="1" applyNumberFormat="1">
      <alignment textRotation="45" vertical="bottom"/>
    </xf>
    <xf borderId="1" fillId="19" fontId="46" numFmtId="3" xfId="0" applyAlignment="1" applyBorder="1" applyFont="1" applyNumberFormat="1">
      <alignment textRotation="45" vertical="bottom"/>
    </xf>
    <xf borderId="4" fillId="19" fontId="46" numFmtId="4" xfId="0" applyAlignment="1" applyBorder="1" applyFont="1" applyNumberFormat="1">
      <alignment textRotation="45" vertical="bottom"/>
    </xf>
    <xf borderId="2" fillId="19" fontId="46" numFmtId="4" xfId="0" applyAlignment="1" applyBorder="1" applyFont="1" applyNumberFormat="1">
      <alignment textRotation="45" vertical="bottom"/>
    </xf>
    <xf borderId="55" fillId="19" fontId="46" numFmtId="4" xfId="0" applyAlignment="1" applyBorder="1" applyFont="1" applyNumberFormat="1">
      <alignment textRotation="45" vertical="bottom"/>
    </xf>
    <xf borderId="57" fillId="19" fontId="49" numFmtId="3" xfId="0" applyAlignment="1" applyBorder="1" applyFont="1" applyNumberFormat="1">
      <alignment textRotation="45" vertical="bottom"/>
    </xf>
    <xf borderId="6" fillId="19" fontId="49" numFmtId="0" xfId="0" applyAlignment="1" applyBorder="1" applyFont="1">
      <alignment textRotation="45" vertical="bottom"/>
    </xf>
    <xf borderId="6" fillId="19" fontId="49" numFmtId="3" xfId="0" applyAlignment="1" applyBorder="1" applyFont="1" applyNumberFormat="1">
      <alignment textRotation="45" vertical="bottom"/>
    </xf>
    <xf borderId="1" fillId="26" fontId="46" numFmtId="3" xfId="0" applyAlignment="1" applyBorder="1" applyFill="1" applyFont="1" applyNumberFormat="1">
      <alignment textRotation="45" vertical="bottom"/>
    </xf>
    <xf borderId="19" fillId="16" fontId="50" numFmtId="0" xfId="0" applyAlignment="1" applyBorder="1" applyFont="1">
      <alignment vertical="bottom"/>
    </xf>
    <xf borderId="19" fillId="27" fontId="51" numFmtId="0" xfId="0" applyAlignment="1" applyBorder="1" applyFill="1" applyFont="1">
      <alignment horizontal="center"/>
    </xf>
    <xf borderId="19" fillId="27" fontId="37" numFmtId="0" xfId="0" applyAlignment="1" applyBorder="1" applyFont="1">
      <alignment vertical="bottom"/>
    </xf>
    <xf borderId="19" fillId="27" fontId="52" numFmtId="0" xfId="0" applyAlignment="1" applyBorder="1" applyFont="1">
      <alignment vertical="bottom"/>
    </xf>
    <xf borderId="19" fillId="27" fontId="32" numFmtId="0" xfId="0" applyAlignment="1" applyBorder="1" applyFont="1">
      <alignment vertical="bottom"/>
    </xf>
    <xf borderId="19" fillId="0" fontId="32" numFmtId="0" xfId="0" applyAlignment="1" applyBorder="1" applyFont="1">
      <alignment vertical="bottom"/>
    </xf>
    <xf borderId="19" fillId="0" fontId="32" numFmtId="0" xfId="0" applyAlignment="1" applyBorder="1" applyFont="1">
      <alignment readingOrder="0" vertical="bottom"/>
    </xf>
    <xf borderId="20" fillId="27" fontId="32" numFmtId="3" xfId="0" applyAlignment="1" applyBorder="1" applyFont="1" applyNumberFormat="1">
      <alignment horizontal="right" vertical="bottom"/>
    </xf>
    <xf borderId="19" fillId="27" fontId="52" numFmtId="3" xfId="0" applyAlignment="1" applyBorder="1" applyFont="1" applyNumberFormat="1">
      <alignment horizontal="right" vertical="bottom"/>
    </xf>
    <xf borderId="19" fillId="27" fontId="32" numFmtId="4" xfId="0" applyAlignment="1" applyBorder="1" applyFont="1" applyNumberFormat="1">
      <alignment horizontal="right" vertical="bottom"/>
    </xf>
    <xf borderId="20" fillId="27" fontId="32" numFmtId="1" xfId="0" applyAlignment="1" applyBorder="1" applyFont="1" applyNumberFormat="1">
      <alignment horizontal="right" vertical="bottom"/>
    </xf>
    <xf borderId="20" fillId="27" fontId="32" numFmtId="164" xfId="0" applyAlignment="1" applyBorder="1" applyFont="1" applyNumberFormat="1">
      <alignment horizontal="right" vertical="bottom"/>
    </xf>
    <xf borderId="18" fillId="27" fontId="32" numFmtId="164" xfId="0" applyAlignment="1" applyBorder="1" applyFont="1" applyNumberFormat="1">
      <alignment horizontal="right" vertical="bottom"/>
    </xf>
    <xf borderId="58" fillId="27" fontId="32" numFmtId="3" xfId="0" applyAlignment="1" applyBorder="1" applyFont="1" applyNumberFormat="1">
      <alignment horizontal="center" vertical="bottom"/>
    </xf>
    <xf borderId="18" fillId="27" fontId="32" numFmtId="3" xfId="0" applyAlignment="1" applyBorder="1" applyFont="1" applyNumberFormat="1">
      <alignment horizontal="center" vertical="bottom"/>
    </xf>
    <xf borderId="59" fillId="27" fontId="32" numFmtId="3" xfId="0" applyAlignment="1" applyBorder="1" applyFont="1" applyNumberFormat="1">
      <alignment horizontal="center" vertical="bottom"/>
    </xf>
    <xf borderId="60" fillId="27" fontId="32" numFmtId="4" xfId="0" applyAlignment="1" applyBorder="1" applyFont="1" applyNumberFormat="1">
      <alignment horizontal="right" vertical="bottom"/>
    </xf>
    <xf borderId="61" fillId="27" fontId="53" numFmtId="4" xfId="0" applyAlignment="1" applyBorder="1" applyFont="1" applyNumberFormat="1">
      <alignment horizontal="right" vertical="bottom"/>
    </xf>
    <xf borderId="61" fillId="27" fontId="32" numFmtId="3" xfId="0" applyAlignment="1" applyBorder="1" applyFont="1" applyNumberFormat="1">
      <alignment horizontal="right" vertical="bottom"/>
    </xf>
    <xf borderId="20" fillId="28" fontId="32" numFmtId="3" xfId="0" applyAlignment="1" applyBorder="1" applyFill="1" applyFont="1" applyNumberFormat="1">
      <alignment horizontal="right" vertical="bottom"/>
    </xf>
    <xf borderId="21" fillId="29" fontId="32" numFmtId="3" xfId="0" applyAlignment="1" applyBorder="1" applyFill="1" applyFont="1" applyNumberFormat="1">
      <alignment horizontal="right" vertical="bottom"/>
    </xf>
    <xf borderId="19" fillId="30" fontId="32" numFmtId="4" xfId="0" applyAlignment="1" applyBorder="1" applyFill="1" applyFont="1" applyNumberFormat="1">
      <alignment horizontal="right" vertical="bottom"/>
    </xf>
    <xf borderId="21" fillId="31" fontId="32" numFmtId="4" xfId="0" applyAlignment="1" applyBorder="1" applyFill="1" applyFont="1" applyNumberFormat="1">
      <alignment horizontal="right" vertical="bottom"/>
    </xf>
    <xf borderId="61" fillId="32" fontId="32" numFmtId="4" xfId="0" applyAlignment="1" applyBorder="1" applyFill="1" applyFont="1" applyNumberFormat="1">
      <alignment horizontal="right" vertical="bottom"/>
    </xf>
    <xf borderId="20" fillId="13" fontId="54" numFmtId="3" xfId="0" applyAlignment="1" applyBorder="1" applyFont="1" applyNumberFormat="1">
      <alignment horizontal="right" vertical="bottom"/>
    </xf>
    <xf borderId="20" fillId="13" fontId="54" numFmtId="4" xfId="0" applyAlignment="1" applyBorder="1" applyFont="1" applyNumberFormat="1">
      <alignment horizontal="right" vertical="bottom"/>
    </xf>
    <xf borderId="62" fillId="13" fontId="54" numFmtId="3" xfId="0" applyAlignment="1" applyBorder="1" applyFont="1" applyNumberFormat="1">
      <alignment horizontal="right" vertical="bottom"/>
    </xf>
    <xf borderId="18" fillId="31" fontId="37" numFmtId="3" xfId="0" applyAlignment="1" applyBorder="1" applyFont="1" applyNumberFormat="1">
      <alignment horizontal="right" vertical="bottom"/>
    </xf>
    <xf borderId="7" fillId="16" fontId="50" numFmtId="0" xfId="0" applyAlignment="1" applyBorder="1" applyFont="1">
      <alignment vertical="bottom"/>
    </xf>
    <xf borderId="7" fillId="13" fontId="51" numFmtId="0" xfId="0" applyAlignment="1" applyBorder="1" applyFont="1">
      <alignment horizontal="center"/>
    </xf>
    <xf borderId="7" fillId="13" fontId="37" numFmtId="0" xfId="0" applyAlignment="1" applyBorder="1" applyFont="1">
      <alignment vertical="bottom"/>
    </xf>
    <xf borderId="7" fillId="13" fontId="52" numFmtId="0" xfId="0" applyAlignment="1" applyBorder="1" applyFont="1">
      <alignment vertical="bottom"/>
    </xf>
    <xf borderId="7" fillId="13" fontId="32" numFmtId="0" xfId="0" applyAlignment="1" applyBorder="1" applyFont="1">
      <alignment vertical="bottom"/>
    </xf>
    <xf borderId="7" fillId="0" fontId="32" numFmtId="0" xfId="0" applyAlignment="1" applyBorder="1" applyFont="1">
      <alignment vertical="bottom"/>
    </xf>
    <xf borderId="20" fillId="13" fontId="32" numFmtId="3" xfId="0" applyAlignment="1" applyBorder="1" applyFont="1" applyNumberFormat="1">
      <alignment horizontal="right" vertical="bottom"/>
    </xf>
    <xf borderId="19" fillId="13" fontId="52" numFmtId="3" xfId="0" applyAlignment="1" applyBorder="1" applyFont="1" applyNumberFormat="1">
      <alignment horizontal="right" vertical="bottom"/>
    </xf>
    <xf borderId="19" fillId="13" fontId="32" numFmtId="4" xfId="0" applyAlignment="1" applyBorder="1" applyFont="1" applyNumberFormat="1">
      <alignment horizontal="right" vertical="bottom"/>
    </xf>
    <xf borderId="20" fillId="13" fontId="32" numFmtId="1" xfId="0" applyAlignment="1" applyBorder="1" applyFont="1" applyNumberFormat="1">
      <alignment horizontal="right" vertical="bottom"/>
    </xf>
    <xf borderId="20" fillId="13" fontId="32" numFmtId="164" xfId="0" applyAlignment="1" applyBorder="1" applyFont="1" applyNumberFormat="1">
      <alignment horizontal="right" vertical="bottom"/>
    </xf>
    <xf borderId="18" fillId="13" fontId="32" numFmtId="164" xfId="0" applyAlignment="1" applyBorder="1" applyFont="1" applyNumberFormat="1">
      <alignment horizontal="right" vertical="bottom"/>
    </xf>
    <xf borderId="63" fillId="13" fontId="32" numFmtId="3" xfId="0" applyAlignment="1" applyBorder="1" applyFont="1" applyNumberFormat="1">
      <alignment horizontal="center" vertical="bottom"/>
    </xf>
    <xf borderId="64" fillId="13" fontId="32" numFmtId="3" xfId="0" applyAlignment="1" applyBorder="1" applyFont="1" applyNumberFormat="1">
      <alignment horizontal="center" vertical="bottom"/>
    </xf>
    <xf borderId="65" fillId="13" fontId="32" numFmtId="3" xfId="0" applyAlignment="1" applyBorder="1" applyFont="1" applyNumberFormat="1">
      <alignment horizontal="center" vertical="bottom"/>
    </xf>
    <xf borderId="66" fillId="13" fontId="32" numFmtId="4" xfId="0" applyAlignment="1" applyBorder="1" applyFont="1" applyNumberFormat="1">
      <alignment horizontal="right" vertical="bottom"/>
    </xf>
    <xf borderId="67" fillId="13" fontId="53" numFmtId="4" xfId="0" applyAlignment="1" applyBorder="1" applyFont="1" applyNumberFormat="1">
      <alignment horizontal="right" vertical="bottom"/>
    </xf>
    <xf borderId="61" fillId="13" fontId="32" numFmtId="3" xfId="0" applyAlignment="1" applyBorder="1" applyFont="1" applyNumberFormat="1">
      <alignment horizontal="right" vertical="bottom"/>
    </xf>
    <xf borderId="68" fillId="33" fontId="32" numFmtId="3" xfId="0" applyAlignment="1" applyBorder="1" applyFill="1" applyFont="1" applyNumberFormat="1">
      <alignment horizontal="right" vertical="bottom"/>
    </xf>
    <xf borderId="21" fillId="34" fontId="32" numFmtId="3" xfId="0" applyAlignment="1" applyBorder="1" applyFill="1" applyFont="1" applyNumberFormat="1">
      <alignment horizontal="right" vertical="bottom"/>
    </xf>
    <xf borderId="7" fillId="35" fontId="32" numFmtId="4" xfId="0" applyAlignment="1" applyBorder="1" applyFill="1" applyFont="1" applyNumberFormat="1">
      <alignment horizontal="right" vertical="bottom"/>
    </xf>
    <xf borderId="46" fillId="36" fontId="32" numFmtId="4" xfId="0" applyAlignment="1" applyBorder="1" applyFill="1" applyFont="1" applyNumberFormat="1">
      <alignment horizontal="right" vertical="bottom"/>
    </xf>
    <xf borderId="61" fillId="37" fontId="32" numFmtId="4" xfId="0" applyAlignment="1" applyBorder="1" applyFill="1" applyFont="1" applyNumberFormat="1">
      <alignment horizontal="right" vertical="bottom"/>
    </xf>
    <xf borderId="64" fillId="38" fontId="37" numFmtId="3" xfId="0" applyAlignment="1" applyBorder="1" applyFill="1" applyFont="1" applyNumberFormat="1">
      <alignment horizontal="right" vertical="bottom"/>
    </xf>
    <xf borderId="7" fillId="27" fontId="51" numFmtId="0" xfId="0" applyAlignment="1" applyBorder="1" applyFont="1">
      <alignment horizontal="center"/>
    </xf>
    <xf borderId="7" fillId="27" fontId="37" numFmtId="0" xfId="0" applyAlignment="1" applyBorder="1" applyFont="1">
      <alignment vertical="bottom"/>
    </xf>
    <xf borderId="7" fillId="27" fontId="52" numFmtId="0" xfId="0" applyAlignment="1" applyBorder="1" applyFont="1">
      <alignment vertical="bottom"/>
    </xf>
    <xf borderId="7" fillId="27" fontId="32" numFmtId="0" xfId="0" applyAlignment="1" applyBorder="1" applyFont="1">
      <alignment vertical="bottom"/>
    </xf>
    <xf borderId="63" fillId="27" fontId="32" numFmtId="3" xfId="0" applyAlignment="1" applyBorder="1" applyFont="1" applyNumberFormat="1">
      <alignment horizontal="center" vertical="bottom"/>
    </xf>
    <xf borderId="64" fillId="27" fontId="32" numFmtId="3" xfId="0" applyAlignment="1" applyBorder="1" applyFont="1" applyNumberFormat="1">
      <alignment horizontal="center" vertical="bottom"/>
    </xf>
    <xf borderId="65" fillId="27" fontId="32" numFmtId="3" xfId="0" applyAlignment="1" applyBorder="1" applyFont="1" applyNumberFormat="1">
      <alignment horizontal="center" vertical="bottom"/>
    </xf>
    <xf borderId="66" fillId="27" fontId="32" numFmtId="4" xfId="0" applyAlignment="1" applyBorder="1" applyFont="1" applyNumberFormat="1">
      <alignment horizontal="right" vertical="bottom"/>
    </xf>
    <xf borderId="67" fillId="27" fontId="53" numFmtId="4" xfId="0" applyAlignment="1" applyBorder="1" applyFont="1" applyNumberFormat="1">
      <alignment horizontal="right" vertical="bottom"/>
    </xf>
    <xf borderId="68" fillId="39" fontId="32" numFmtId="3" xfId="0" applyAlignment="1" applyBorder="1" applyFill="1" applyFont="1" applyNumberFormat="1">
      <alignment horizontal="right" vertical="bottom"/>
    </xf>
    <xf borderId="21" fillId="28" fontId="32" numFmtId="3" xfId="0" applyAlignment="1" applyBorder="1" applyFont="1" applyNumberFormat="1">
      <alignment horizontal="right" vertical="bottom"/>
    </xf>
    <xf borderId="7" fillId="40" fontId="32" numFmtId="4" xfId="0" applyAlignment="1" applyBorder="1" applyFill="1" applyFont="1" applyNumberFormat="1">
      <alignment horizontal="right" vertical="bottom"/>
    </xf>
    <xf borderId="46" fillId="41" fontId="32" numFmtId="4" xfId="0" applyAlignment="1" applyBorder="1" applyFill="1" applyFont="1" applyNumberFormat="1">
      <alignment horizontal="right" vertical="bottom"/>
    </xf>
    <xf borderId="61" fillId="42" fontId="32" numFmtId="4" xfId="0" applyAlignment="1" applyBorder="1" applyFill="1" applyFont="1" applyNumberFormat="1">
      <alignment horizontal="right" vertical="bottom"/>
    </xf>
    <xf borderId="64" fillId="43" fontId="37" numFmtId="3" xfId="0" applyAlignment="1" applyBorder="1" applyFill="1" applyFont="1" applyNumberFormat="1">
      <alignment horizontal="right" vertical="bottom"/>
    </xf>
    <xf borderId="68" fillId="13" fontId="51" numFmtId="0" xfId="0" applyAlignment="1" applyBorder="1" applyFont="1">
      <alignment horizontal="center"/>
    </xf>
    <xf borderId="18" fillId="13" fontId="52" numFmtId="0" xfId="0" applyAlignment="1" applyBorder="1" applyFont="1">
      <alignment vertical="bottom"/>
    </xf>
    <xf borderId="20" fillId="0" fontId="32" numFmtId="0" xfId="0" applyAlignment="1" applyBorder="1" applyFont="1">
      <alignment vertical="bottom"/>
    </xf>
    <xf borderId="68" fillId="44" fontId="32" numFmtId="3" xfId="0" applyAlignment="1" applyBorder="1" applyFill="1" applyFont="1" applyNumberFormat="1">
      <alignment horizontal="right" vertical="bottom"/>
    </xf>
    <xf borderId="21" fillId="45" fontId="32" numFmtId="3" xfId="0" applyAlignment="1" applyBorder="1" applyFill="1" applyFont="1" applyNumberFormat="1">
      <alignment horizontal="right" vertical="bottom"/>
    </xf>
    <xf borderId="7" fillId="46" fontId="32" numFmtId="4" xfId="0" applyAlignment="1" applyBorder="1" applyFill="1" applyFont="1" applyNumberFormat="1">
      <alignment horizontal="right" vertical="bottom"/>
    </xf>
    <xf borderId="46" fillId="47" fontId="32" numFmtId="4" xfId="0" applyAlignment="1" applyBorder="1" applyFill="1" applyFont="1" applyNumberFormat="1">
      <alignment horizontal="right" vertical="bottom"/>
    </xf>
    <xf borderId="61" fillId="48" fontId="32" numFmtId="4" xfId="0" applyAlignment="1" applyBorder="1" applyFill="1" applyFont="1" applyNumberFormat="1">
      <alignment horizontal="right" vertical="bottom"/>
    </xf>
    <xf borderId="64" fillId="49" fontId="37" numFmtId="3" xfId="0" applyAlignment="1" applyBorder="1" applyFill="1" applyFont="1" applyNumberFormat="1">
      <alignment horizontal="right" vertical="bottom"/>
    </xf>
    <xf borderId="68" fillId="27" fontId="51" numFmtId="0" xfId="0" applyAlignment="1" applyBorder="1" applyFont="1">
      <alignment horizontal="center"/>
    </xf>
    <xf borderId="64" fillId="27" fontId="52" numFmtId="0" xfId="0" applyAlignment="1" applyBorder="1" applyFont="1">
      <alignment vertical="bottom"/>
    </xf>
    <xf borderId="68" fillId="0" fontId="32" numFmtId="0" xfId="0" applyAlignment="1" applyBorder="1" applyFont="1">
      <alignment vertical="bottom"/>
    </xf>
    <xf borderId="68" fillId="28" fontId="32" numFmtId="3" xfId="0" applyAlignment="1" applyBorder="1" applyFont="1" applyNumberFormat="1">
      <alignment horizontal="right" vertical="bottom"/>
    </xf>
    <xf borderId="21" fillId="50" fontId="32" numFmtId="3" xfId="0" applyAlignment="1" applyBorder="1" applyFill="1" applyFont="1" applyNumberFormat="1">
      <alignment horizontal="right" vertical="bottom"/>
    </xf>
    <xf borderId="7" fillId="36" fontId="32" numFmtId="4" xfId="0" applyAlignment="1" applyBorder="1" applyFont="1" applyNumberFormat="1">
      <alignment horizontal="right" vertical="bottom"/>
    </xf>
    <xf borderId="46" fillId="51" fontId="32" numFmtId="4" xfId="0" applyAlignment="1" applyBorder="1" applyFill="1" applyFont="1" applyNumberFormat="1">
      <alignment horizontal="right" vertical="bottom"/>
    </xf>
    <xf borderId="61" fillId="41" fontId="32" numFmtId="4" xfId="0" applyAlignment="1" applyBorder="1" applyFont="1" applyNumberFormat="1">
      <alignment horizontal="right" vertical="bottom"/>
    </xf>
    <xf borderId="64" fillId="52" fontId="37" numFmtId="3" xfId="0" applyAlignment="1" applyBorder="1" applyFill="1" applyFont="1" applyNumberFormat="1">
      <alignment horizontal="right" vertical="bottom"/>
    </xf>
    <xf borderId="64" fillId="13" fontId="52" numFmtId="0" xfId="0" applyAlignment="1" applyBorder="1" applyFont="1">
      <alignment vertical="bottom"/>
    </xf>
    <xf borderId="68" fillId="34" fontId="32" numFmtId="3" xfId="0" applyAlignment="1" applyBorder="1" applyFont="1" applyNumberFormat="1">
      <alignment horizontal="right" vertical="bottom"/>
    </xf>
    <xf borderId="21" fillId="53" fontId="32" numFmtId="3" xfId="0" applyAlignment="1" applyBorder="1" applyFill="1" applyFont="1" applyNumberFormat="1">
      <alignment horizontal="right" vertical="bottom"/>
    </xf>
    <xf borderId="7" fillId="54" fontId="32" numFmtId="4" xfId="0" applyAlignment="1" applyBorder="1" applyFill="1" applyFont="1" applyNumberFormat="1">
      <alignment horizontal="right" vertical="bottom"/>
    </xf>
    <xf borderId="46" fillId="55" fontId="32" numFmtId="4" xfId="0" applyAlignment="1" applyBorder="1" applyFill="1" applyFont="1" applyNumberFormat="1">
      <alignment horizontal="right" vertical="bottom"/>
    </xf>
    <xf borderId="61" fillId="56" fontId="32" numFmtId="4" xfId="0" applyAlignment="1" applyBorder="1" applyFill="1" applyFont="1" applyNumberFormat="1">
      <alignment horizontal="right" vertical="bottom"/>
    </xf>
    <xf borderId="64" fillId="57" fontId="37" numFmtId="3" xfId="0" applyAlignment="1" applyBorder="1" applyFill="1" applyFont="1" applyNumberFormat="1">
      <alignment horizontal="right" vertical="bottom"/>
    </xf>
    <xf borderId="7" fillId="27" fontId="37" numFmtId="0" xfId="0" applyAlignment="1" applyBorder="1" applyFont="1">
      <alignment readingOrder="0" vertical="bottom"/>
    </xf>
    <xf borderId="64" fillId="27" fontId="52" numFmtId="0" xfId="0" applyAlignment="1" applyBorder="1" applyFont="1">
      <alignment readingOrder="0" vertical="bottom"/>
    </xf>
    <xf borderId="7" fillId="27" fontId="32" numFmtId="0" xfId="0" applyAlignment="1" applyBorder="1" applyFont="1">
      <alignment readingOrder="0" vertical="bottom"/>
    </xf>
    <xf borderId="7" fillId="0" fontId="32" numFmtId="0" xfId="0" applyAlignment="1" applyBorder="1" applyFont="1">
      <alignment readingOrder="0" vertical="bottom"/>
    </xf>
    <xf borderId="68" fillId="0" fontId="32" numFmtId="0" xfId="0" applyAlignment="1" applyBorder="1" applyFont="1">
      <alignment readingOrder="0" vertical="bottom"/>
    </xf>
    <xf borderId="20" fillId="27" fontId="32" numFmtId="3" xfId="0" applyAlignment="1" applyBorder="1" applyFont="1" applyNumberFormat="1">
      <alignment horizontal="right" readingOrder="0" vertical="bottom"/>
    </xf>
    <xf borderId="68" fillId="58" fontId="32" numFmtId="3" xfId="0" applyAlignment="1" applyBorder="1" applyFill="1" applyFont="1" applyNumberFormat="1">
      <alignment horizontal="right" vertical="bottom"/>
    </xf>
    <xf borderId="21" fillId="58" fontId="32" numFmtId="3" xfId="0" applyAlignment="1" applyBorder="1" applyFont="1" applyNumberFormat="1">
      <alignment horizontal="right" vertical="bottom"/>
    </xf>
    <xf borderId="7" fillId="57" fontId="32" numFmtId="4" xfId="0" applyAlignment="1" applyBorder="1" applyFont="1" applyNumberFormat="1">
      <alignment horizontal="right" vertical="bottom"/>
    </xf>
    <xf borderId="46" fillId="57" fontId="32" numFmtId="4" xfId="0" applyAlignment="1" applyBorder="1" applyFont="1" applyNumberFormat="1">
      <alignment horizontal="right" vertical="bottom"/>
    </xf>
    <xf borderId="61" fillId="59" fontId="32" numFmtId="4" xfId="0" applyAlignment="1" applyBorder="1" applyFill="1" applyFont="1" applyNumberFormat="1">
      <alignment horizontal="right" vertical="bottom"/>
    </xf>
    <xf borderId="64" fillId="60" fontId="37" numFmtId="3" xfId="0" applyAlignment="1" applyBorder="1" applyFill="1" applyFont="1" applyNumberFormat="1">
      <alignment horizontal="right" vertical="bottom"/>
    </xf>
    <xf borderId="68" fillId="61" fontId="32" numFmtId="3" xfId="0" applyAlignment="1" applyBorder="1" applyFill="1" applyFont="1" applyNumberFormat="1">
      <alignment horizontal="right" vertical="bottom"/>
    </xf>
    <xf borderId="21" fillId="61" fontId="32" numFmtId="3" xfId="0" applyAlignment="1" applyBorder="1" applyFont="1" applyNumberFormat="1">
      <alignment horizontal="right" vertical="bottom"/>
    </xf>
    <xf borderId="7" fillId="62" fontId="32" numFmtId="4" xfId="0" applyAlignment="1" applyBorder="1" applyFill="1" applyFont="1" applyNumberFormat="1">
      <alignment horizontal="right" vertical="bottom"/>
    </xf>
    <xf borderId="46" fillId="62" fontId="32" numFmtId="4" xfId="0" applyAlignment="1" applyBorder="1" applyFont="1" applyNumberFormat="1">
      <alignment horizontal="right" vertical="bottom"/>
    </xf>
    <xf borderId="61" fillId="63" fontId="32" numFmtId="4" xfId="0" applyAlignment="1" applyBorder="1" applyFill="1" applyFont="1" applyNumberFormat="1">
      <alignment horizontal="right" vertical="bottom"/>
    </xf>
    <xf borderId="64" fillId="64" fontId="37" numFmtId="3" xfId="0" applyAlignment="1" applyBorder="1" applyFill="1" applyFont="1" applyNumberFormat="1">
      <alignment horizontal="right" vertical="bottom"/>
    </xf>
    <xf borderId="68" fillId="65" fontId="32" numFmtId="3" xfId="0" applyAlignment="1" applyBorder="1" applyFill="1" applyFont="1" applyNumberFormat="1">
      <alignment horizontal="right" vertical="bottom"/>
    </xf>
    <xf borderId="21" fillId="65" fontId="32" numFmtId="3" xfId="0" applyAlignment="1" applyBorder="1" applyFont="1" applyNumberFormat="1">
      <alignment horizontal="right" vertical="bottom"/>
    </xf>
    <xf borderId="7" fillId="66" fontId="32" numFmtId="4" xfId="0" applyAlignment="1" applyBorder="1" applyFill="1" applyFont="1" applyNumberFormat="1">
      <alignment horizontal="right" vertical="bottom"/>
    </xf>
    <xf borderId="46" fillId="66" fontId="32" numFmtId="4" xfId="0" applyAlignment="1" applyBorder="1" applyFont="1" applyNumberFormat="1">
      <alignment horizontal="right" vertical="bottom"/>
    </xf>
    <xf borderId="61" fillId="67" fontId="32" numFmtId="4" xfId="0" applyAlignment="1" applyBorder="1" applyFill="1" applyFont="1" applyNumberFormat="1">
      <alignment horizontal="right" vertical="bottom"/>
    </xf>
    <xf borderId="64" fillId="66" fontId="37" numFmtId="3" xfId="0" applyAlignment="1" applyBorder="1" applyFont="1" applyNumberFormat="1">
      <alignment horizontal="right" vertical="bottom"/>
    </xf>
    <xf borderId="7" fillId="68" fontId="32" numFmtId="4" xfId="0" applyAlignment="1" applyBorder="1" applyFill="1" applyFont="1" applyNumberFormat="1">
      <alignment horizontal="right" vertical="bottom"/>
    </xf>
    <xf borderId="46" fillId="68" fontId="32" numFmtId="4" xfId="0" applyAlignment="1" applyBorder="1" applyFont="1" applyNumberFormat="1">
      <alignment horizontal="right" vertical="bottom"/>
    </xf>
    <xf borderId="61" fillId="69" fontId="32" numFmtId="4" xfId="0" applyAlignment="1" applyBorder="1" applyFill="1" applyFont="1" applyNumberFormat="1">
      <alignment horizontal="right" vertical="bottom"/>
    </xf>
    <xf borderId="68" fillId="70" fontId="32" numFmtId="3" xfId="0" applyAlignment="1" applyBorder="1" applyFill="1" applyFont="1" applyNumberFormat="1">
      <alignment horizontal="right" vertical="bottom"/>
    </xf>
    <xf borderId="21" fillId="70" fontId="32" numFmtId="3" xfId="0" applyAlignment="1" applyBorder="1" applyFont="1" applyNumberFormat="1">
      <alignment horizontal="right" vertical="bottom"/>
    </xf>
    <xf borderId="7" fillId="71" fontId="32" numFmtId="4" xfId="0" applyAlignment="1" applyBorder="1" applyFill="1" applyFont="1" applyNumberFormat="1">
      <alignment horizontal="right" vertical="bottom"/>
    </xf>
    <xf borderId="46" fillId="71" fontId="32" numFmtId="4" xfId="0" applyAlignment="1" applyBorder="1" applyFont="1" applyNumberFormat="1">
      <alignment horizontal="right" vertical="bottom"/>
    </xf>
    <xf borderId="61" fillId="72" fontId="32" numFmtId="4" xfId="0" applyAlignment="1" applyBorder="1" applyFill="1" applyFont="1" applyNumberFormat="1">
      <alignment horizontal="right" vertical="bottom"/>
    </xf>
    <xf borderId="68" fillId="73" fontId="32" numFmtId="3" xfId="0" applyAlignment="1" applyBorder="1" applyFill="1" applyFont="1" applyNumberFormat="1">
      <alignment horizontal="right" vertical="bottom"/>
    </xf>
    <xf borderId="21" fillId="73" fontId="32" numFmtId="3" xfId="0" applyAlignment="1" applyBorder="1" applyFont="1" applyNumberFormat="1">
      <alignment horizontal="right" vertical="bottom"/>
    </xf>
    <xf borderId="7" fillId="74" fontId="32" numFmtId="4" xfId="0" applyAlignment="1" applyBorder="1" applyFill="1" applyFont="1" applyNumberFormat="1">
      <alignment horizontal="right" vertical="bottom"/>
    </xf>
    <xf borderId="46" fillId="74" fontId="32" numFmtId="4" xfId="0" applyAlignment="1" applyBorder="1" applyFont="1" applyNumberFormat="1">
      <alignment horizontal="right" vertical="bottom"/>
    </xf>
    <xf borderId="61" fillId="75" fontId="32" numFmtId="4" xfId="0" applyAlignment="1" applyBorder="1" applyFill="1" applyFont="1" applyNumberFormat="1">
      <alignment horizontal="right" vertical="bottom"/>
    </xf>
    <xf borderId="64" fillId="76" fontId="37" numFmtId="3" xfId="0" applyAlignment="1" applyBorder="1" applyFill="1" applyFont="1" applyNumberFormat="1">
      <alignment horizontal="right" vertical="bottom"/>
    </xf>
    <xf borderId="7" fillId="77" fontId="55" numFmtId="0" xfId="0" applyAlignment="1" applyBorder="1" applyFill="1" applyFont="1">
      <alignment vertical="bottom"/>
    </xf>
    <xf borderId="68" fillId="78" fontId="32" numFmtId="3" xfId="0" applyAlignment="1" applyBorder="1" applyFill="1" applyFont="1" applyNumberFormat="1">
      <alignment horizontal="right" vertical="bottom"/>
    </xf>
    <xf borderId="21" fillId="79" fontId="32" numFmtId="3" xfId="0" applyAlignment="1" applyBorder="1" applyFill="1" applyFont="1" applyNumberFormat="1">
      <alignment horizontal="right" vertical="bottom"/>
    </xf>
    <xf borderId="7" fillId="80" fontId="32" numFmtId="4" xfId="0" applyAlignment="1" applyBorder="1" applyFill="1" applyFont="1" applyNumberFormat="1">
      <alignment horizontal="right" vertical="bottom"/>
    </xf>
    <xf borderId="46" fillId="81" fontId="32" numFmtId="4" xfId="0" applyAlignment="1" applyBorder="1" applyFill="1" applyFont="1" applyNumberFormat="1">
      <alignment horizontal="right" vertical="bottom"/>
    </xf>
    <xf borderId="61" fillId="82" fontId="32" numFmtId="4" xfId="0" applyAlignment="1" applyBorder="1" applyFill="1" applyFont="1" applyNumberFormat="1">
      <alignment horizontal="right" vertical="bottom"/>
    </xf>
    <xf borderId="64" fillId="81" fontId="37" numFmtId="3" xfId="0" applyAlignment="1" applyBorder="1" applyFont="1" applyNumberFormat="1">
      <alignment horizontal="right" vertical="bottom"/>
    </xf>
    <xf borderId="68" fillId="83" fontId="32" numFmtId="3" xfId="0" applyAlignment="1" applyBorder="1" applyFill="1" applyFont="1" applyNumberFormat="1">
      <alignment horizontal="right" vertical="bottom"/>
    </xf>
    <xf borderId="21" fillId="83" fontId="32" numFmtId="3" xfId="0" applyAlignment="1" applyBorder="1" applyFont="1" applyNumberFormat="1">
      <alignment horizontal="right" vertical="bottom"/>
    </xf>
    <xf borderId="7" fillId="84" fontId="32" numFmtId="4" xfId="0" applyAlignment="1" applyBorder="1" applyFill="1" applyFont="1" applyNumberFormat="1">
      <alignment horizontal="right" vertical="bottom"/>
    </xf>
    <xf borderId="46" fillId="84" fontId="32" numFmtId="4" xfId="0" applyAlignment="1" applyBorder="1" applyFont="1" applyNumberFormat="1">
      <alignment horizontal="right" vertical="bottom"/>
    </xf>
    <xf borderId="61" fillId="85" fontId="32" numFmtId="4" xfId="0" applyAlignment="1" applyBorder="1" applyFill="1" applyFont="1" applyNumberFormat="1">
      <alignment horizontal="right" vertical="bottom"/>
    </xf>
    <xf borderId="64" fillId="86" fontId="37" numFmtId="3" xfId="0" applyAlignment="1" applyBorder="1" applyFill="1" applyFont="1" applyNumberFormat="1">
      <alignment horizontal="right" vertical="bottom"/>
    </xf>
    <xf borderId="68" fillId="30" fontId="32" numFmtId="3" xfId="0" applyAlignment="1" applyBorder="1" applyFont="1" applyNumberFormat="1">
      <alignment horizontal="right" vertical="bottom"/>
    </xf>
    <xf borderId="21" fillId="87" fontId="32" numFmtId="3" xfId="0" applyAlignment="1" applyBorder="1" applyFill="1" applyFont="1" applyNumberFormat="1">
      <alignment horizontal="right" vertical="bottom"/>
    </xf>
    <xf borderId="7" fillId="88" fontId="32" numFmtId="4" xfId="0" applyAlignment="1" applyBorder="1" applyFill="1" applyFont="1" applyNumberFormat="1">
      <alignment horizontal="right" vertical="bottom"/>
    </xf>
    <xf borderId="46" fillId="89" fontId="32" numFmtId="4" xfId="0" applyAlignment="1" applyBorder="1" applyFill="1" applyFont="1" applyNumberFormat="1">
      <alignment horizontal="right" vertical="bottom"/>
    </xf>
    <xf borderId="61" fillId="90" fontId="32" numFmtId="4" xfId="0" applyAlignment="1" applyBorder="1" applyFill="1" applyFont="1" applyNumberFormat="1">
      <alignment horizontal="right" vertical="bottom"/>
    </xf>
    <xf borderId="64" fillId="91" fontId="37" numFmtId="3" xfId="0" applyAlignment="1" applyBorder="1" applyFill="1" applyFont="1" applyNumberFormat="1">
      <alignment horizontal="right" vertical="bottom"/>
    </xf>
    <xf borderId="68" fillId="77" fontId="55" numFmtId="0" xfId="0" applyAlignment="1" applyBorder="1" applyFont="1">
      <alignment vertical="bottom"/>
    </xf>
    <xf borderId="68" fillId="92" fontId="32" numFmtId="3" xfId="0" applyAlignment="1" applyBorder="1" applyFill="1" applyFont="1" applyNumberFormat="1">
      <alignment horizontal="right" vertical="bottom"/>
    </xf>
    <xf borderId="21" fillId="93" fontId="32" numFmtId="3" xfId="0" applyAlignment="1" applyBorder="1" applyFill="1" applyFont="1" applyNumberFormat="1">
      <alignment horizontal="right" vertical="bottom"/>
    </xf>
    <xf borderId="7" fillId="94" fontId="32" numFmtId="4" xfId="0" applyAlignment="1" applyBorder="1" applyFill="1" applyFont="1" applyNumberFormat="1">
      <alignment horizontal="right" vertical="bottom"/>
    </xf>
    <xf borderId="46" fillId="90" fontId="32" numFmtId="4" xfId="0" applyAlignment="1" applyBorder="1" applyFont="1" applyNumberFormat="1">
      <alignment horizontal="right" vertical="bottom"/>
    </xf>
    <xf borderId="61" fillId="95" fontId="32" numFmtId="4" xfId="0" applyAlignment="1" applyBorder="1" applyFill="1" applyFont="1" applyNumberFormat="1">
      <alignment horizontal="right" vertical="bottom"/>
    </xf>
    <xf borderId="64" fillId="96" fontId="37" numFmtId="3" xfId="0" applyAlignment="1" applyBorder="1" applyFill="1" applyFont="1" applyNumberFormat="1">
      <alignment horizontal="right" vertical="bottom"/>
    </xf>
    <xf borderId="68" fillId="97" fontId="32" numFmtId="3" xfId="0" applyAlignment="1" applyBorder="1" applyFill="1" applyFont="1" applyNumberFormat="1">
      <alignment horizontal="right" vertical="bottom"/>
    </xf>
    <xf borderId="21" fillId="98" fontId="32" numFmtId="3" xfId="0" applyAlignment="1" applyBorder="1" applyFill="1" applyFont="1" applyNumberFormat="1">
      <alignment horizontal="right" vertical="bottom"/>
    </xf>
    <xf borderId="7" fillId="99" fontId="32" numFmtId="4" xfId="0" applyAlignment="1" applyBorder="1" applyFill="1" applyFont="1" applyNumberFormat="1">
      <alignment horizontal="right" vertical="bottom"/>
    </xf>
    <xf borderId="46" fillId="100" fontId="32" numFmtId="4" xfId="0" applyAlignment="1" applyBorder="1" applyFill="1" applyFont="1" applyNumberFormat="1">
      <alignment horizontal="right" vertical="bottom"/>
    </xf>
    <xf borderId="61" fillId="38" fontId="32" numFmtId="4" xfId="0" applyAlignment="1" applyBorder="1" applyFont="1" applyNumberFormat="1">
      <alignment horizontal="right" vertical="bottom"/>
    </xf>
    <xf borderId="64" fillId="51" fontId="37" numFmtId="3" xfId="0" applyAlignment="1" applyBorder="1" applyFont="1" applyNumberFormat="1">
      <alignment horizontal="right" vertical="bottom"/>
    </xf>
    <xf borderId="64" fillId="27" fontId="32" numFmtId="0" xfId="0" applyAlignment="1" applyBorder="1" applyFont="1">
      <alignment vertical="bottom"/>
    </xf>
    <xf borderId="68" fillId="89" fontId="32" numFmtId="3" xfId="0" applyAlignment="1" applyBorder="1" applyFont="1" applyNumberFormat="1">
      <alignment horizontal="right" vertical="bottom"/>
    </xf>
    <xf borderId="21" fillId="96" fontId="32" numFmtId="3" xfId="0" applyAlignment="1" applyBorder="1" applyFont="1" applyNumberFormat="1">
      <alignment horizontal="right" vertical="bottom"/>
    </xf>
    <xf borderId="7" fillId="101" fontId="32" numFmtId="4" xfId="0" applyAlignment="1" applyBorder="1" applyFill="1" applyFont="1" applyNumberFormat="1">
      <alignment horizontal="right" vertical="bottom"/>
    </xf>
    <xf borderId="46" fillId="102" fontId="32" numFmtId="4" xfId="0" applyAlignment="1" applyBorder="1" applyFill="1" applyFont="1" applyNumberFormat="1">
      <alignment horizontal="right" vertical="bottom"/>
    </xf>
    <xf borderId="61" fillId="103" fontId="32" numFmtId="4" xfId="0" applyAlignment="1" applyBorder="1" applyFill="1" applyFont="1" applyNumberFormat="1">
      <alignment horizontal="right" vertical="bottom"/>
    </xf>
    <xf borderId="64" fillId="104" fontId="37" numFmtId="3" xfId="0" applyAlignment="1" applyBorder="1" applyFill="1" applyFont="1" applyNumberFormat="1">
      <alignment horizontal="right" vertical="bottom"/>
    </xf>
    <xf borderId="64" fillId="13" fontId="32" numFmtId="0" xfId="0" applyAlignment="1" applyBorder="1" applyFont="1">
      <alignment vertical="bottom"/>
    </xf>
    <xf borderId="68" fillId="105" fontId="32" numFmtId="3" xfId="0" applyAlignment="1" applyBorder="1" applyFill="1" applyFont="1" applyNumberFormat="1">
      <alignment horizontal="right" vertical="bottom"/>
    </xf>
    <xf borderId="21" fillId="106" fontId="32" numFmtId="3" xfId="0" applyAlignment="1" applyBorder="1" applyFill="1" applyFont="1" applyNumberFormat="1">
      <alignment horizontal="right" vertical="bottom"/>
    </xf>
    <xf borderId="61" fillId="107" fontId="32" numFmtId="4" xfId="0" applyAlignment="1" applyBorder="1" applyFill="1" applyFont="1" applyNumberFormat="1">
      <alignment horizontal="right" vertical="bottom"/>
    </xf>
    <xf borderId="64" fillId="87" fontId="37" numFmtId="3" xfId="0" applyAlignment="1" applyBorder="1" applyFont="1" applyNumberFormat="1">
      <alignment horizontal="right" vertical="bottom"/>
    </xf>
    <xf borderId="68" fillId="81" fontId="32" numFmtId="3" xfId="0" applyAlignment="1" applyBorder="1" applyFont="1" applyNumberFormat="1">
      <alignment horizontal="right" vertical="bottom"/>
    </xf>
    <xf borderId="21" fillId="108" fontId="32" numFmtId="3" xfId="0" applyAlignment="1" applyBorder="1" applyFill="1" applyFont="1" applyNumberFormat="1">
      <alignment horizontal="right" vertical="bottom"/>
    </xf>
    <xf borderId="7" fillId="33" fontId="32" numFmtId="4" xfId="0" applyAlignment="1" applyBorder="1" applyFont="1" applyNumberFormat="1">
      <alignment horizontal="right" vertical="bottom"/>
    </xf>
    <xf borderId="46" fillId="39" fontId="32" numFmtId="4" xfId="0" applyAlignment="1" applyBorder="1" applyFont="1" applyNumberFormat="1">
      <alignment horizontal="right" vertical="bottom"/>
    </xf>
    <xf borderId="61" fillId="65" fontId="32" numFmtId="4" xfId="0" applyAlignment="1" applyBorder="1" applyFont="1" applyNumberFormat="1">
      <alignment horizontal="right" vertical="bottom"/>
    </xf>
    <xf borderId="68" fillId="109" fontId="32" numFmtId="3" xfId="0" applyAlignment="1" applyBorder="1" applyFill="1" applyFont="1" applyNumberFormat="1">
      <alignment horizontal="right" vertical="bottom"/>
    </xf>
    <xf borderId="21" fillId="51" fontId="32" numFmtId="3" xfId="0" applyAlignment="1" applyBorder="1" applyFont="1" applyNumberFormat="1">
      <alignment horizontal="right" vertical="bottom"/>
    </xf>
    <xf borderId="7" fillId="79" fontId="32" numFmtId="4" xfId="0" applyAlignment="1" applyBorder="1" applyFont="1" applyNumberFormat="1">
      <alignment horizontal="right" vertical="bottom"/>
    </xf>
    <xf borderId="46" fillId="48" fontId="32" numFmtId="4" xfId="0" applyAlignment="1" applyBorder="1" applyFont="1" applyNumberFormat="1">
      <alignment horizontal="right" vertical="bottom"/>
    </xf>
    <xf borderId="61" fillId="102" fontId="32" numFmtId="4" xfId="0" applyAlignment="1" applyBorder="1" applyFont="1" applyNumberFormat="1">
      <alignment horizontal="right" vertical="bottom"/>
    </xf>
    <xf borderId="64" fillId="42" fontId="37" numFmtId="3" xfId="0" applyAlignment="1" applyBorder="1" applyFont="1" applyNumberFormat="1">
      <alignment horizontal="right" vertical="bottom"/>
    </xf>
    <xf borderId="68" fillId="110" fontId="32" numFmtId="3" xfId="0" applyAlignment="1" applyBorder="1" applyFill="1" applyFont="1" applyNumberFormat="1">
      <alignment horizontal="right" vertical="bottom"/>
    </xf>
    <xf borderId="21" fillId="110" fontId="32" numFmtId="3" xfId="0" applyAlignment="1" applyBorder="1" applyFont="1" applyNumberFormat="1">
      <alignment horizontal="right" vertical="bottom"/>
    </xf>
    <xf borderId="7" fillId="111" fontId="32" numFmtId="4" xfId="0" applyAlignment="1" applyBorder="1" applyFill="1" applyFont="1" applyNumberFormat="1">
      <alignment horizontal="right" vertical="bottom"/>
    </xf>
    <xf borderId="46" fillId="111" fontId="32" numFmtId="4" xfId="0" applyAlignment="1" applyBorder="1" applyFont="1" applyNumberFormat="1">
      <alignment horizontal="right" vertical="bottom"/>
    </xf>
    <xf borderId="64" fillId="111" fontId="37" numFmtId="3" xfId="0" applyAlignment="1" applyBorder="1" applyFont="1" applyNumberFormat="1">
      <alignment horizontal="right" vertical="bottom"/>
    </xf>
    <xf borderId="7" fillId="100" fontId="32" numFmtId="4" xfId="0" applyAlignment="1" applyBorder="1" applyFont="1" applyNumberFormat="1">
      <alignment horizontal="right" vertical="bottom"/>
    </xf>
    <xf borderId="61" fillId="112" fontId="32" numFmtId="4" xfId="0" applyAlignment="1" applyBorder="1" applyFill="1" applyFont="1" applyNumberFormat="1">
      <alignment horizontal="right" vertical="bottom"/>
    </xf>
    <xf borderId="7" fillId="113" fontId="32" numFmtId="4" xfId="0" applyAlignment="1" applyBorder="1" applyFill="1" applyFont="1" applyNumberFormat="1">
      <alignment horizontal="right" vertical="bottom"/>
    </xf>
    <xf borderId="46" fillId="113" fontId="32" numFmtId="4" xfId="0" applyAlignment="1" applyBorder="1" applyFont="1" applyNumberFormat="1">
      <alignment horizontal="right" vertical="bottom"/>
    </xf>
    <xf borderId="61" fillId="62" fontId="32" numFmtId="4" xfId="0" applyAlignment="1" applyBorder="1" applyFont="1" applyNumberFormat="1">
      <alignment horizontal="right" vertical="bottom"/>
    </xf>
    <xf borderId="64" fillId="97" fontId="37" numFmtId="3" xfId="0" applyAlignment="1" applyBorder="1" applyFont="1" applyNumberFormat="1">
      <alignment horizontal="right" vertical="bottom"/>
    </xf>
    <xf borderId="21" fillId="44" fontId="32" numFmtId="3" xfId="0" applyAlignment="1" applyBorder="1" applyFont="1" applyNumberFormat="1">
      <alignment horizontal="right" vertical="bottom"/>
    </xf>
    <xf borderId="7" fillId="114" fontId="32" numFmtId="4" xfId="0" applyAlignment="1" applyBorder="1" applyFill="1" applyFont="1" applyNumberFormat="1">
      <alignment horizontal="right" vertical="bottom"/>
    </xf>
    <xf borderId="46" fillId="114" fontId="32" numFmtId="4" xfId="0" applyAlignment="1" applyBorder="1" applyFont="1" applyNumberFormat="1">
      <alignment horizontal="right" vertical="bottom"/>
    </xf>
    <xf borderId="61" fillId="115" fontId="32" numFmtId="4" xfId="0" applyAlignment="1" applyBorder="1" applyFill="1" applyFont="1" applyNumberFormat="1">
      <alignment horizontal="right" vertical="bottom"/>
    </xf>
    <xf borderId="64" fillId="79" fontId="37" numFmtId="3" xfId="0" applyAlignment="1" applyBorder="1" applyFont="1" applyNumberFormat="1">
      <alignment horizontal="right" vertical="bottom"/>
    </xf>
    <xf borderId="68" fillId="16" fontId="50" numFmtId="0" xfId="0" applyAlignment="1" applyBorder="1" applyFont="1">
      <alignment vertical="bottom"/>
    </xf>
    <xf borderId="68" fillId="57" fontId="32" numFmtId="3" xfId="0" applyAlignment="1" applyBorder="1" applyFont="1" applyNumberFormat="1">
      <alignment horizontal="right" vertical="bottom"/>
    </xf>
    <xf borderId="21" fillId="57" fontId="32" numFmtId="3" xfId="0" applyAlignment="1" applyBorder="1" applyFont="1" applyNumberFormat="1">
      <alignment horizontal="right" vertical="bottom"/>
    </xf>
    <xf borderId="7" fillId="116" fontId="32" numFmtId="4" xfId="0" applyAlignment="1" applyBorder="1" applyFill="1" applyFont="1" applyNumberFormat="1">
      <alignment horizontal="right" vertical="bottom"/>
    </xf>
    <xf borderId="46" fillId="116" fontId="32" numFmtId="4" xfId="0" applyAlignment="1" applyBorder="1" applyFont="1" applyNumberFormat="1">
      <alignment horizontal="right" vertical="bottom"/>
    </xf>
    <xf borderId="61" fillId="83" fontId="32" numFmtId="4" xfId="0" applyAlignment="1" applyBorder="1" applyFont="1" applyNumberFormat="1">
      <alignment horizontal="right" vertical="bottom"/>
    </xf>
    <xf borderId="7" fillId="13" fontId="37" numFmtId="0" xfId="0" applyAlignment="1" applyBorder="1" applyFont="1">
      <alignment readingOrder="0" vertical="bottom"/>
    </xf>
    <xf borderId="64" fillId="13" fontId="52" numFmtId="0" xfId="0" applyAlignment="1" applyBorder="1" applyFont="1">
      <alignment readingOrder="0" vertical="bottom"/>
    </xf>
    <xf borderId="7" fillId="13" fontId="32" numFmtId="0" xfId="0" applyAlignment="1" applyBorder="1" applyFont="1">
      <alignment readingOrder="0" vertical="bottom"/>
    </xf>
    <xf borderId="20" fillId="13" fontId="32" numFmtId="3" xfId="0" applyAlignment="1" applyBorder="1" applyFont="1" applyNumberFormat="1">
      <alignment horizontal="right" readingOrder="0" vertical="bottom"/>
    </xf>
    <xf borderId="67" fillId="27" fontId="56" numFmtId="4" xfId="0" applyAlignment="1" applyBorder="1" applyFont="1" applyNumberFormat="1">
      <alignment horizontal="right" vertical="bottom"/>
    </xf>
    <xf borderId="68" fillId="53" fontId="32" numFmtId="3" xfId="0" applyAlignment="1" applyBorder="1" applyFont="1" applyNumberFormat="1">
      <alignment horizontal="right" vertical="bottom"/>
    </xf>
    <xf borderId="21" fillId="117" fontId="32" numFmtId="3" xfId="0" applyAlignment="1" applyBorder="1" applyFill="1" applyFont="1" applyNumberFormat="1">
      <alignment horizontal="right" vertical="bottom"/>
    </xf>
    <xf borderId="7" fillId="38" fontId="32" numFmtId="4" xfId="0" applyAlignment="1" applyBorder="1" applyFont="1" applyNumberFormat="1">
      <alignment horizontal="right" vertical="bottom"/>
    </xf>
    <xf borderId="46" fillId="118" fontId="32" numFmtId="4" xfId="0" applyAlignment="1" applyBorder="1" applyFill="1" applyFont="1" applyNumberFormat="1">
      <alignment horizontal="right" vertical="bottom"/>
    </xf>
    <xf borderId="61" fillId="119" fontId="32" numFmtId="4" xfId="0" applyAlignment="1" applyBorder="1" applyFill="1" applyFont="1" applyNumberFormat="1">
      <alignment horizontal="right" vertical="bottom"/>
    </xf>
    <xf borderId="64" fillId="31" fontId="37" numFmtId="3" xfId="0" applyAlignment="1" applyBorder="1" applyFont="1" applyNumberFormat="1">
      <alignment horizontal="right" vertical="bottom"/>
    </xf>
    <xf borderId="68" fillId="120" fontId="32" numFmtId="3" xfId="0" applyAlignment="1" applyBorder="1" applyFill="1" applyFont="1" applyNumberFormat="1">
      <alignment horizontal="right" vertical="bottom"/>
    </xf>
    <xf borderId="21" fillId="121" fontId="32" numFmtId="3" xfId="0" applyAlignment="1" applyBorder="1" applyFill="1" applyFont="1" applyNumberFormat="1">
      <alignment horizontal="right" vertical="bottom"/>
    </xf>
    <xf borderId="46" fillId="122" fontId="32" numFmtId="4" xfId="0" applyAlignment="1" applyBorder="1" applyFill="1" applyFont="1" applyNumberFormat="1">
      <alignment horizontal="right" vertical="bottom"/>
    </xf>
    <xf borderId="64" fillId="116" fontId="37" numFmtId="3" xfId="0" applyAlignment="1" applyBorder="1" applyFont="1" applyNumberFormat="1">
      <alignment horizontal="right" vertical="bottom"/>
    </xf>
    <xf borderId="68" fillId="45" fontId="32" numFmtId="3" xfId="0" applyAlignment="1" applyBorder="1" applyFont="1" applyNumberFormat="1">
      <alignment horizontal="right" vertical="bottom"/>
    </xf>
    <xf borderId="7" fillId="30" fontId="32" numFmtId="4" xfId="0" applyAlignment="1" applyBorder="1" applyFont="1" applyNumberFormat="1">
      <alignment horizontal="right" vertical="bottom"/>
    </xf>
    <xf borderId="46" fillId="30" fontId="32" numFmtId="4" xfId="0" applyAlignment="1" applyBorder="1" applyFont="1" applyNumberFormat="1">
      <alignment horizontal="right" vertical="bottom"/>
    </xf>
    <xf borderId="61" fillId="79" fontId="32" numFmtId="4" xfId="0" applyAlignment="1" applyBorder="1" applyFont="1" applyNumberFormat="1">
      <alignment horizontal="right" vertical="bottom"/>
    </xf>
    <xf borderId="64" fillId="123" fontId="37" numFmtId="3" xfId="0" applyAlignment="1" applyBorder="1" applyFill="1" applyFont="1" applyNumberFormat="1">
      <alignment horizontal="right" vertical="bottom"/>
    </xf>
    <xf borderId="68" fillId="59" fontId="32" numFmtId="3" xfId="0" applyAlignment="1" applyBorder="1" applyFont="1" applyNumberFormat="1">
      <alignment horizontal="right" vertical="bottom"/>
    </xf>
    <xf borderId="21" fillId="59" fontId="32" numFmtId="3" xfId="0" applyAlignment="1" applyBorder="1" applyFont="1" applyNumberFormat="1">
      <alignment horizontal="right" vertical="bottom"/>
    </xf>
    <xf borderId="7" fillId="106" fontId="32" numFmtId="4" xfId="0" applyAlignment="1" applyBorder="1" applyFont="1" applyNumberFormat="1">
      <alignment horizontal="right" vertical="bottom"/>
    </xf>
    <xf borderId="46" fillId="106" fontId="32" numFmtId="4" xfId="0" applyAlignment="1" applyBorder="1" applyFont="1" applyNumberFormat="1">
      <alignment horizontal="right" vertical="bottom"/>
    </xf>
    <xf borderId="61" fillId="124" fontId="32" numFmtId="4" xfId="0" applyAlignment="1" applyBorder="1" applyFill="1" applyFont="1" applyNumberFormat="1">
      <alignment horizontal="right" vertical="bottom"/>
    </xf>
    <xf borderId="64" fillId="125" fontId="37" numFmtId="3" xfId="0" applyAlignment="1" applyBorder="1" applyFill="1" applyFont="1" applyNumberFormat="1">
      <alignment horizontal="right" vertical="bottom"/>
    </xf>
    <xf borderId="20" fillId="16" fontId="50" numFmtId="0" xfId="0" applyAlignment="1" applyBorder="1" applyFont="1">
      <alignment vertical="bottom"/>
    </xf>
    <xf borderId="20" fillId="27" fontId="51" numFmtId="0" xfId="0" applyAlignment="1" applyBorder="1" applyFont="1">
      <alignment horizontal="center"/>
    </xf>
    <xf borderId="20" fillId="27" fontId="33" numFmtId="164" xfId="0" applyAlignment="1" applyBorder="1" applyFont="1" applyNumberFormat="1">
      <alignment vertical="bottom"/>
    </xf>
    <xf borderId="68" fillId="121" fontId="32" numFmtId="3" xfId="0" applyAlignment="1" applyBorder="1" applyFont="1" applyNumberFormat="1">
      <alignment horizontal="right" vertical="bottom"/>
    </xf>
    <xf borderId="21" fillId="126" fontId="32" numFmtId="3" xfId="0" applyAlignment="1" applyBorder="1" applyFill="1" applyFont="1" applyNumberFormat="1">
      <alignment horizontal="right" vertical="bottom"/>
    </xf>
    <xf borderId="61" fillId="70" fontId="32" numFmtId="4" xfId="0" applyAlignment="1" applyBorder="1" applyFont="1" applyNumberFormat="1">
      <alignment horizontal="right" vertical="bottom"/>
    </xf>
    <xf borderId="64" fillId="114" fontId="37" numFmtId="3" xfId="0" applyAlignment="1" applyBorder="1" applyFont="1" applyNumberFormat="1">
      <alignment horizontal="right" vertical="bottom"/>
    </xf>
    <xf borderId="19" fillId="13" fontId="51" numFmtId="0" xfId="0" applyAlignment="1" applyBorder="1" applyFont="1">
      <alignment horizontal="center"/>
    </xf>
    <xf borderId="68" fillId="67" fontId="32" numFmtId="3" xfId="0" applyAlignment="1" applyBorder="1" applyFont="1" applyNumberFormat="1">
      <alignment horizontal="right" vertical="bottom"/>
    </xf>
    <xf borderId="21" fillId="127" fontId="32" numFmtId="3" xfId="0" applyAlignment="1" applyBorder="1" applyFill="1" applyFont="1" applyNumberFormat="1">
      <alignment horizontal="right" vertical="bottom"/>
    </xf>
    <xf borderId="7" fillId="63" fontId="32" numFmtId="4" xfId="0" applyAlignment="1" applyBorder="1" applyFont="1" applyNumberFormat="1">
      <alignment horizontal="right" vertical="bottom"/>
    </xf>
    <xf borderId="46" fillId="64" fontId="32" numFmtId="4" xfId="0" applyAlignment="1" applyBorder="1" applyFont="1" applyNumberFormat="1">
      <alignment horizontal="right" vertical="bottom"/>
    </xf>
    <xf borderId="61" fillId="128" fontId="32" numFmtId="4" xfId="0" applyAlignment="1" applyBorder="1" applyFill="1" applyFont="1" applyNumberFormat="1">
      <alignment horizontal="right" vertical="bottom"/>
    </xf>
    <xf borderId="64" fillId="129" fontId="37" numFmtId="3" xfId="0" applyAlignment="1" applyBorder="1" applyFill="1" applyFont="1" applyNumberFormat="1">
      <alignment horizontal="right" vertical="bottom"/>
    </xf>
    <xf borderId="46" fillId="63" fontId="32" numFmtId="4" xfId="0" applyAlignment="1" applyBorder="1" applyFont="1" applyNumberFormat="1">
      <alignment horizontal="right" vertical="bottom"/>
    </xf>
    <xf borderId="61" fillId="39" fontId="32" numFmtId="4" xfId="0" applyAlignment="1" applyBorder="1" applyFont="1" applyNumberFormat="1">
      <alignment horizontal="right" vertical="bottom"/>
    </xf>
    <xf borderId="64" fillId="130" fontId="37" numFmtId="3" xfId="0" applyAlignment="1" applyBorder="1" applyFill="1" applyFont="1" applyNumberFormat="1">
      <alignment horizontal="right" vertical="bottom"/>
    </xf>
    <xf borderId="67" fillId="13" fontId="56" numFmtId="4" xfId="0" applyAlignment="1" applyBorder="1" applyFont="1" applyNumberFormat="1">
      <alignment horizontal="right" vertical="bottom"/>
    </xf>
    <xf borderId="21" fillId="131" fontId="32" numFmtId="3" xfId="0" applyAlignment="1" applyBorder="1" applyFill="1" applyFont="1" applyNumberFormat="1">
      <alignment horizontal="right" vertical="bottom"/>
    </xf>
    <xf borderId="7" fillId="132" fontId="32" numFmtId="4" xfId="0" applyAlignment="1" applyBorder="1" applyFill="1" applyFont="1" applyNumberFormat="1">
      <alignment horizontal="right" vertical="bottom"/>
    </xf>
    <xf borderId="46" fillId="99" fontId="32" numFmtId="4" xfId="0" applyAlignment="1" applyBorder="1" applyFont="1" applyNumberFormat="1">
      <alignment horizontal="right" vertical="bottom"/>
    </xf>
    <xf borderId="61" fillId="133" fontId="32" numFmtId="4" xfId="0" applyAlignment="1" applyBorder="1" applyFill="1" applyFont="1" applyNumberFormat="1">
      <alignment horizontal="right" vertical="bottom"/>
    </xf>
    <xf borderId="64" fillId="134" fontId="37" numFmtId="3" xfId="0" applyAlignment="1" applyBorder="1" applyFill="1" applyFont="1" applyNumberFormat="1">
      <alignment horizontal="right" vertical="bottom"/>
    </xf>
    <xf borderId="68" fillId="135" fontId="32" numFmtId="3" xfId="0" applyAlignment="1" applyBorder="1" applyFill="1" applyFont="1" applyNumberFormat="1">
      <alignment horizontal="right" vertical="bottom"/>
    </xf>
    <xf borderId="21" fillId="135" fontId="32" numFmtId="3" xfId="0" applyAlignment="1" applyBorder="1" applyFont="1" applyNumberFormat="1">
      <alignment horizontal="right" vertical="bottom"/>
    </xf>
    <xf borderId="7" fillId="105" fontId="32" numFmtId="4" xfId="0" applyAlignment="1" applyBorder="1" applyFont="1" applyNumberFormat="1">
      <alignment horizontal="right" vertical="bottom"/>
    </xf>
    <xf borderId="46" fillId="105" fontId="32" numFmtId="4" xfId="0" applyAlignment="1" applyBorder="1" applyFont="1" applyNumberFormat="1">
      <alignment horizontal="right" vertical="bottom"/>
    </xf>
    <xf borderId="61" fillId="105" fontId="32" numFmtId="4" xfId="0" applyAlignment="1" applyBorder="1" applyFont="1" applyNumberFormat="1">
      <alignment horizontal="right" vertical="bottom"/>
    </xf>
    <xf borderId="64" fillId="136" fontId="37" numFmtId="3" xfId="0" applyAlignment="1" applyBorder="1" applyFill="1" applyFont="1" applyNumberFormat="1">
      <alignment horizontal="right" vertical="bottom"/>
    </xf>
    <xf borderId="68" fillId="38" fontId="32" numFmtId="3" xfId="0" applyAlignment="1" applyBorder="1" applyFont="1" applyNumberFormat="1">
      <alignment horizontal="right" vertical="bottom"/>
    </xf>
    <xf borderId="21" fillId="38" fontId="32" numFmtId="3" xfId="0" applyAlignment="1" applyBorder="1" applyFont="1" applyNumberFormat="1">
      <alignment horizontal="right" vertical="bottom"/>
    </xf>
    <xf borderId="30" fillId="13" fontId="51" numFmtId="0" xfId="0" applyAlignment="1" applyBorder="1" applyFont="1">
      <alignment horizontal="center"/>
    </xf>
    <xf borderId="30" fillId="13" fontId="37" numFmtId="0" xfId="0" applyAlignment="1" applyBorder="1" applyFont="1">
      <alignment vertical="bottom"/>
    </xf>
    <xf borderId="69" fillId="13" fontId="52" numFmtId="0" xfId="0" applyAlignment="1" applyBorder="1" applyFont="1">
      <alignment vertical="bottom"/>
    </xf>
    <xf borderId="68" fillId="137" fontId="32" numFmtId="3" xfId="0" applyAlignment="1" applyBorder="1" applyFill="1" applyFont="1" applyNumberFormat="1">
      <alignment horizontal="right" vertical="bottom"/>
    </xf>
    <xf borderId="21" fillId="137" fontId="32" numFmtId="3" xfId="0" applyAlignment="1" applyBorder="1" applyFont="1" applyNumberFormat="1">
      <alignment horizontal="right" vertical="bottom"/>
    </xf>
    <xf borderId="7" fillId="138" fontId="32" numFmtId="4" xfId="0" applyAlignment="1" applyBorder="1" applyFill="1" applyFont="1" applyNumberFormat="1">
      <alignment horizontal="right" vertical="bottom"/>
    </xf>
    <xf borderId="46" fillId="138" fontId="32" numFmtId="4" xfId="0" applyAlignment="1" applyBorder="1" applyFont="1" applyNumberFormat="1">
      <alignment horizontal="right" vertical="bottom"/>
    </xf>
    <xf borderId="61" fillId="138" fontId="32" numFmtId="4" xfId="0" applyAlignment="1" applyBorder="1" applyFont="1" applyNumberFormat="1">
      <alignment horizontal="right" vertical="bottom"/>
    </xf>
    <xf borderId="64" fillId="139" fontId="37" numFmtId="3" xfId="0" applyAlignment="1" applyBorder="1" applyFill="1" applyFont="1" applyNumberFormat="1">
      <alignment horizontal="right" vertical="bottom"/>
    </xf>
    <xf borderId="22" fillId="0" fontId="33" numFmtId="0" xfId="0" applyAlignment="1" applyBorder="1" applyFont="1">
      <alignment vertical="bottom"/>
    </xf>
    <xf borderId="30" fillId="27" fontId="51" numFmtId="0" xfId="0" applyAlignment="1" applyBorder="1" applyFont="1">
      <alignment horizontal="center"/>
    </xf>
    <xf borderId="30" fillId="27" fontId="37" numFmtId="0" xfId="0" applyAlignment="1" applyBorder="1" applyFont="1">
      <alignment vertical="bottom"/>
    </xf>
    <xf borderId="69" fillId="27" fontId="52" numFmtId="0" xfId="0" applyAlignment="1" applyBorder="1" applyFont="1">
      <alignment vertical="bottom"/>
    </xf>
    <xf borderId="68" fillId="124" fontId="32" numFmtId="3" xfId="0" applyAlignment="1" applyBorder="1" applyFont="1" applyNumberFormat="1">
      <alignment horizontal="right" vertical="bottom"/>
    </xf>
    <xf borderId="21" fillId="124" fontId="32" numFmtId="3" xfId="0" applyAlignment="1" applyBorder="1" applyFont="1" applyNumberFormat="1">
      <alignment horizontal="right" vertical="bottom"/>
    </xf>
    <xf borderId="70" fillId="0" fontId="32" numFmtId="0" xfId="0" applyAlignment="1" applyBorder="1" applyFont="1">
      <alignment vertical="bottom"/>
    </xf>
    <xf borderId="7" fillId="0" fontId="33" numFmtId="0" xfId="0" applyAlignment="1" applyBorder="1" applyFont="1">
      <alignment vertical="bottom"/>
    </xf>
    <xf borderId="68" fillId="29" fontId="32" numFmtId="3" xfId="0" applyAlignment="1" applyBorder="1" applyFont="1" applyNumberFormat="1">
      <alignment horizontal="right" vertical="bottom"/>
    </xf>
    <xf borderId="21" fillId="140" fontId="32" numFmtId="3" xfId="0" applyAlignment="1" applyBorder="1" applyFill="1" applyFont="1" applyNumberFormat="1">
      <alignment horizontal="right" vertical="bottom"/>
    </xf>
    <xf borderId="7" fillId="141" fontId="32" numFmtId="4" xfId="0" applyAlignment="1" applyBorder="1" applyFill="1" applyFont="1" applyNumberFormat="1">
      <alignment horizontal="right" vertical="bottom"/>
    </xf>
    <xf borderId="46" fillId="120" fontId="32" numFmtId="4" xfId="0" applyAlignment="1" applyBorder="1" applyFont="1" applyNumberFormat="1">
      <alignment horizontal="right" vertical="bottom"/>
    </xf>
    <xf borderId="61" fillId="142" fontId="32" numFmtId="4" xfId="0" applyAlignment="1" applyBorder="1" applyFill="1" applyFont="1" applyNumberFormat="1">
      <alignment horizontal="right" vertical="bottom"/>
    </xf>
    <xf borderId="64" fillId="29" fontId="37" numFmtId="3" xfId="0" applyAlignment="1" applyBorder="1" applyFont="1" applyNumberFormat="1">
      <alignment horizontal="right" vertical="bottom"/>
    </xf>
    <xf borderId="0" fillId="0" fontId="33" numFmtId="2" xfId="0" applyAlignment="1" applyFont="1" applyNumberFormat="1">
      <alignment vertical="bottom"/>
    </xf>
    <xf borderId="0" fillId="15" fontId="57" numFmtId="0" xfId="0" applyAlignment="1" applyFont="1">
      <alignment horizontal="center" vertical="bottom"/>
    </xf>
    <xf borderId="0" fillId="21" fontId="57" numFmtId="0" xfId="0" applyAlignment="1" applyFont="1">
      <alignment horizontal="center" vertical="bottom"/>
    </xf>
    <xf borderId="0" fillId="0" fontId="58" numFmtId="0" xfId="0" applyAlignment="1" applyFont="1">
      <alignment horizontal="center" vertical="bottom"/>
    </xf>
    <xf borderId="0" fillId="12" fontId="58" numFmtId="0" xfId="0" applyAlignment="1" applyFont="1">
      <alignment vertical="bottom"/>
    </xf>
    <xf borderId="0" fillId="24" fontId="58" numFmtId="0" xfId="0" applyAlignment="1" applyFont="1">
      <alignment vertical="bottom"/>
    </xf>
    <xf borderId="0" fillId="13" fontId="58" numFmtId="0" xfId="0" applyAlignment="1" applyFont="1">
      <alignment vertical="bottom"/>
    </xf>
    <xf borderId="0" fillId="13" fontId="57" numFmtId="0" xfId="0" applyAlignment="1" applyFont="1">
      <alignment vertical="bottom"/>
    </xf>
    <xf borderId="0" fillId="13" fontId="58" numFmtId="0" xfId="0" applyAlignment="1" applyFont="1">
      <alignment horizontal="right" vertical="bottom"/>
    </xf>
    <xf borderId="0" fillId="0" fontId="58" numFmtId="0" xfId="0" applyAlignment="1" applyFont="1">
      <alignment vertical="bottom"/>
    </xf>
    <xf borderId="0" fillId="0" fontId="58" numFmtId="0" xfId="0" applyAlignment="1" applyFont="1">
      <alignment horizontal="right" vertical="bottom"/>
    </xf>
    <xf borderId="0" fillId="13" fontId="58" numFmtId="2" xfId="0" applyAlignment="1" applyFont="1" applyNumberFormat="1">
      <alignment vertical="bottom"/>
    </xf>
    <xf borderId="0" fillId="27" fontId="58" numFmtId="0" xfId="0" applyAlignment="1" applyFont="1">
      <alignment horizontal="right" vertical="bottom"/>
    </xf>
    <xf borderId="0" fillId="0" fontId="58" numFmtId="165" xfId="0" applyAlignment="1" applyFont="1" applyNumberFormat="1">
      <alignment horizontal="right" vertical="bottom"/>
    </xf>
    <xf borderId="0" fillId="0" fontId="58" numFmtId="1" xfId="0" applyAlignment="1" applyFont="1" applyNumberFormat="1">
      <alignment horizontal="right" vertical="bottom"/>
    </xf>
    <xf borderId="0" fillId="0" fontId="58" numFmtId="2" xfId="0" applyAlignment="1" applyFont="1" applyNumberFormat="1">
      <alignment horizontal="right" vertical="bottom"/>
    </xf>
    <xf borderId="0" fillId="24" fontId="58" numFmtId="165" xfId="0" applyAlignment="1" applyFont="1" applyNumberFormat="1">
      <alignment horizontal="right" vertical="bottom"/>
    </xf>
    <xf borderId="0" fillId="25" fontId="58" numFmtId="0" xfId="0" applyAlignment="1" applyFont="1">
      <alignment horizontal="right" vertical="bottom"/>
    </xf>
    <xf borderId="0" fillId="13" fontId="58" numFmtId="2" xfId="0" applyAlignment="1" applyFont="1" applyNumberFormat="1">
      <alignment horizontal="right" vertical="bottom"/>
    </xf>
    <xf borderId="0" fillId="24" fontId="58" numFmtId="2" xfId="0" applyAlignment="1" applyFont="1" applyNumberFormat="1">
      <alignment horizontal="right" vertical="bottom"/>
    </xf>
    <xf borderId="0" fillId="0" fontId="58" numFmtId="0" xfId="0" applyAlignment="1" applyFont="1">
      <alignment horizontal="right" readingOrder="0" vertical="bottom"/>
    </xf>
    <xf borderId="0" fillId="13" fontId="58" numFmtId="1" xfId="0" applyAlignment="1" applyFont="1" applyNumberFormat="1">
      <alignment horizontal="right" vertical="bottom"/>
    </xf>
    <xf borderId="0" fillId="0" fontId="59" numFmtId="2" xfId="0" applyAlignment="1" applyFont="1" applyNumberFormat="1">
      <alignment horizontal="right" vertical="bottom"/>
    </xf>
    <xf borderId="0" fillId="0" fontId="58" numFmtId="2" xfId="0" applyAlignment="1" applyFont="1" applyNumberFormat="1">
      <alignment horizontal="center" vertical="bottom"/>
    </xf>
    <xf borderId="0" fillId="24" fontId="58" numFmtId="0" xfId="0" applyAlignment="1" applyFont="1">
      <alignment horizontal="right" vertical="bottom"/>
    </xf>
    <xf borderId="0" fillId="0" fontId="58" numFmtId="2" xfId="0" applyAlignment="1" applyFont="1" applyNumberFormat="1">
      <alignment horizontal="right" readingOrder="0" vertical="bottom"/>
    </xf>
    <xf borderId="0" fillId="0" fontId="33" numFmtId="1" xfId="0" applyAlignment="1" applyFont="1" applyNumberFormat="1">
      <alignment vertical="bottom"/>
    </xf>
    <xf borderId="0" fillId="0" fontId="32" numFmtId="0" xfId="0" applyAlignment="1" applyFont="1">
      <alignment readingOrder="0"/>
    </xf>
    <xf borderId="71" fillId="0" fontId="33" numFmtId="0" xfId="0" applyAlignment="1" applyBorder="1" applyFont="1">
      <alignment vertical="bottom"/>
    </xf>
    <xf borderId="0" fillId="0" fontId="37" numFmtId="0" xfId="0" applyAlignment="1" applyFont="1">
      <alignment readingOrder="0"/>
    </xf>
    <xf borderId="0" fillId="0" fontId="32" numFmtId="3" xfId="0" applyFont="1" applyNumberFormat="1"/>
    <xf borderId="0" fillId="0" fontId="32" numFmtId="4" xfId="0" applyAlignment="1" applyFont="1" applyNumberFormat="1">
      <alignment horizontal="right"/>
    </xf>
    <xf borderId="0" fillId="0" fontId="32" numFmtId="164" xfId="0" applyFont="1" applyNumberFormat="1"/>
    <xf borderId="0" fillId="0" fontId="32" numFmtId="0" xfId="0" applyFont="1"/>
    <xf borderId="0" fillId="0" fontId="32" numFmtId="4" xfId="0" applyFont="1" applyNumberFormat="1"/>
    <xf borderId="0" fillId="0" fontId="37" numFmtId="3" xfId="0" applyFont="1" applyNumberFormat="1"/>
    <xf borderId="0" fillId="0" fontId="60" numFmtId="4" xfId="0" applyFont="1" applyNumberFormat="1"/>
    <xf borderId="5" fillId="12" fontId="37" numFmtId="0" xfId="0" applyAlignment="1" applyBorder="1" applyFont="1">
      <alignment vertical="bottom"/>
    </xf>
    <xf borderId="71" fillId="19" fontId="37" numFmtId="0" xfId="0" applyAlignment="1" applyBorder="1" applyFont="1">
      <alignment readingOrder="0" vertical="bottom"/>
    </xf>
    <xf borderId="57" fillId="0" fontId="2" numFmtId="0" xfId="0" applyBorder="1" applyFont="1"/>
    <xf borderId="72" fillId="12" fontId="61" numFmtId="0" xfId="0" applyAlignment="1" applyBorder="1" applyFont="1">
      <alignment horizontal="center" readingOrder="0" shrinkToFit="0" vertical="center" wrapText="1"/>
    </xf>
    <xf borderId="0" fillId="0" fontId="62" numFmtId="0" xfId="0" applyAlignment="1" applyFont="1">
      <alignment readingOrder="0"/>
    </xf>
    <xf borderId="0" fillId="0" fontId="63" numFmtId="4" xfId="0" applyFont="1" applyNumberFormat="1"/>
    <xf borderId="0" fillId="0" fontId="32" numFmtId="4" xfId="0" applyAlignment="1" applyFont="1" applyNumberFormat="1">
      <alignment readingOrder="0"/>
    </xf>
    <xf borderId="73" fillId="143" fontId="64" numFmtId="4" xfId="0" applyAlignment="1" applyBorder="1" applyFill="1" applyFont="1" applyNumberFormat="1">
      <alignment horizontal="center" vertical="center"/>
    </xf>
    <xf borderId="69" fillId="0" fontId="2" numFmtId="0" xfId="0" applyBorder="1" applyFont="1"/>
    <xf borderId="70" fillId="0" fontId="2" numFmtId="0" xfId="0" applyBorder="1" applyFont="1"/>
    <xf borderId="57" fillId="12" fontId="37" numFmtId="0" xfId="0" applyAlignment="1" applyBorder="1" applyFont="1">
      <alignment horizontal="center" readingOrder="0" vertical="bottom"/>
    </xf>
    <xf borderId="22" fillId="12" fontId="52" numFmtId="0" xfId="0" applyAlignment="1" applyBorder="1" applyFont="1">
      <alignment readingOrder="0" vertical="bottom"/>
    </xf>
    <xf borderId="74" fillId="12" fontId="64" numFmtId="0" xfId="0" applyAlignment="1" applyBorder="1" applyFont="1">
      <alignment horizontal="center" readingOrder="0" shrinkToFit="0" vertical="center" wrapText="1"/>
    </xf>
    <xf borderId="0" fillId="0" fontId="65" numFmtId="0" xfId="0" applyAlignment="1" applyFont="1">
      <alignment readingOrder="0"/>
    </xf>
    <xf borderId="46" fillId="12" fontId="65" numFmtId="0" xfId="0" applyAlignment="1" applyBorder="1" applyFont="1">
      <alignment readingOrder="0"/>
    </xf>
    <xf borderId="64" fillId="0" fontId="2" numFmtId="0" xfId="0" applyBorder="1" applyFont="1"/>
    <xf borderId="64" fillId="12" fontId="66" numFmtId="3" xfId="0" applyAlignment="1" applyBorder="1" applyFont="1" applyNumberFormat="1">
      <alignment horizontal="left" readingOrder="0" vertical="center"/>
    </xf>
    <xf borderId="68" fillId="0" fontId="2" numFmtId="0" xfId="0" applyBorder="1" applyFont="1"/>
    <xf borderId="21" fillId="0" fontId="2" numFmtId="0" xfId="0" applyBorder="1" applyFont="1"/>
    <xf borderId="20" fillId="0" fontId="2" numFmtId="0" xfId="0" applyBorder="1" applyFont="1"/>
    <xf borderId="74" fillId="0" fontId="2" numFmtId="0" xfId="0" applyBorder="1" applyFont="1"/>
    <xf borderId="0" fillId="0" fontId="67" numFmtId="0" xfId="0" applyAlignment="1" applyFont="1">
      <alignment readingOrder="0"/>
    </xf>
    <xf borderId="46" fillId="12" fontId="67" numFmtId="0" xfId="0" applyAlignment="1" applyBorder="1" applyFont="1">
      <alignment readingOrder="0"/>
    </xf>
    <xf borderId="64" fillId="12" fontId="54" numFmtId="0" xfId="0" applyAlignment="1" applyBorder="1" applyFont="1">
      <alignment readingOrder="0"/>
    </xf>
    <xf borderId="0" fillId="27" fontId="61" numFmtId="4" xfId="0" applyAlignment="1" applyFont="1" applyNumberFormat="1">
      <alignment horizontal="right"/>
    </xf>
    <xf borderId="0" fillId="27" fontId="61" numFmtId="3" xfId="0" applyFont="1" applyNumberFormat="1"/>
    <xf borderId="57" fillId="19" fontId="37" numFmtId="0" xfId="0" applyAlignment="1" applyBorder="1" applyFont="1">
      <alignment horizontal="center" readingOrder="0" vertical="bottom"/>
    </xf>
    <xf borderId="22" fillId="12" fontId="52" numFmtId="0" xfId="0" applyAlignment="1" applyBorder="1" applyFont="1">
      <alignment vertical="bottom"/>
    </xf>
    <xf borderId="0" fillId="27" fontId="68" numFmtId="0" xfId="0" applyAlignment="1" applyFont="1">
      <alignment horizontal="center"/>
    </xf>
    <xf borderId="75" fillId="12" fontId="69" numFmtId="0" xfId="0" applyAlignment="1" applyBorder="1" applyFont="1">
      <alignment vertical="bottom"/>
    </xf>
    <xf borderId="0" fillId="12" fontId="70" numFmtId="0" xfId="0" applyAlignment="1" applyFont="1">
      <alignment readingOrder="0" vertical="bottom"/>
    </xf>
    <xf borderId="22" fillId="12" fontId="71" numFmtId="166" xfId="0" applyAlignment="1" applyBorder="1" applyFont="1" applyNumberFormat="1">
      <alignment horizontal="right" vertical="bottom"/>
    </xf>
    <xf borderId="0" fillId="0" fontId="65" numFmtId="0" xfId="0" applyAlignment="1" applyFont="1">
      <alignment horizontal="center"/>
    </xf>
    <xf borderId="76" fillId="12" fontId="37" numFmtId="0" xfId="0" applyAlignment="1" applyBorder="1" applyFont="1">
      <alignment vertical="bottom"/>
    </xf>
    <xf borderId="71" fillId="12" fontId="70" numFmtId="0" xfId="0" applyBorder="1" applyFont="1"/>
    <xf borderId="77" fillId="12" fontId="52" numFmtId="0" xfId="0" applyAlignment="1" applyBorder="1" applyFont="1">
      <alignment horizontal="right" vertical="bottom"/>
    </xf>
    <xf borderId="78" fillId="0" fontId="2" numFmtId="0" xfId="0" applyBorder="1" applyFont="1"/>
    <xf borderId="0" fillId="0" fontId="33" numFmtId="0" xfId="0" applyAlignment="1" applyFont="1">
      <alignment vertical="bottom"/>
    </xf>
    <xf borderId="0" fillId="0" fontId="33" numFmtId="0" xfId="0" applyAlignment="1" applyFont="1">
      <alignment readingOrder="0" vertical="bottom"/>
    </xf>
    <xf borderId="0" fillId="0" fontId="33" numFmtId="166" xfId="0" applyAlignment="1" applyFont="1" applyNumberFormat="1">
      <alignment vertical="bottom"/>
    </xf>
    <xf borderId="0" fillId="0" fontId="52" numFmtId="0" xfId="0" applyAlignment="1" applyFont="1">
      <alignment horizontal="right" readingOrder="0"/>
    </xf>
    <xf borderId="0" fillId="0" fontId="37" numFmtId="0" xfId="0" applyFont="1"/>
    <xf borderId="0" fillId="0" fontId="37" numFmtId="166" xfId="0" applyAlignment="1" applyFont="1" applyNumberFormat="1">
      <alignment horizontal="right" vertical="bottom"/>
    </xf>
    <xf borderId="0" fillId="0" fontId="32" numFmtId="3" xfId="0" applyAlignment="1" applyFont="1" applyNumberFormat="1">
      <alignment horizontal="center" readingOrder="0" vertical="center"/>
    </xf>
    <xf borderId="0" fillId="0" fontId="32" numFmtId="4" xfId="0" applyAlignment="1" applyFont="1" applyNumberFormat="1">
      <alignment horizontal="center" readingOrder="0" vertical="center"/>
    </xf>
    <xf borderId="0" fillId="0" fontId="54" numFmtId="0" xfId="0" applyAlignment="1" applyFont="1">
      <alignment readingOrder="0"/>
    </xf>
    <xf borderId="0" fillId="0" fontId="32" numFmtId="0" xfId="0" applyAlignment="1" applyFont="1">
      <alignment horizontal="right" vertical="bottom"/>
    </xf>
    <xf borderId="0" fillId="0" fontId="32" numFmtId="0" xfId="0" applyAlignment="1" applyFont="1">
      <alignment vertical="bottom"/>
    </xf>
    <xf borderId="0" fillId="0" fontId="72" numFmtId="0" xfId="0" applyFont="1"/>
    <xf borderId="0" fillId="0" fontId="66" numFmtId="4" xfId="0" applyAlignment="1" applyFont="1" applyNumberFormat="1">
      <alignment horizontal="left" readingOrder="0" vertical="center"/>
    </xf>
    <xf borderId="0" fillId="0" fontId="72" numFmtId="0" xfId="0" applyAlignment="1" applyFont="1">
      <alignment readingOrder="0"/>
    </xf>
    <xf borderId="0" fillId="0" fontId="73" numFmtId="4" xfId="0" applyAlignment="1" applyFont="1" applyNumberFormat="1">
      <alignment readingOrder="0"/>
    </xf>
    <xf borderId="0" fillId="0" fontId="74" numFmtId="3" xfId="0" applyAlignment="1" applyFont="1" applyNumberFormat="1">
      <alignment horizontal="center" readingOrder="0" vertical="center"/>
    </xf>
    <xf borderId="0" fillId="0" fontId="32" numFmtId="166" xfId="0" applyAlignment="1" applyFont="1" applyNumberFormat="1">
      <alignment horizontal="right" vertical="bottom"/>
    </xf>
    <xf borderId="0" fillId="27" fontId="68" numFmtId="4" xfId="0" applyAlignment="1" applyFont="1" applyNumberFormat="1">
      <alignment horizontal="center"/>
    </xf>
    <xf borderId="18" fillId="0" fontId="75" numFmtId="4" xfId="0" applyAlignment="1" applyBorder="1" applyFont="1" applyNumberFormat="1">
      <alignment horizontal="center" readingOrder="0" vertical="center"/>
    </xf>
    <xf borderId="69" fillId="13" fontId="76" numFmtId="3" xfId="0" applyAlignment="1" applyBorder="1" applyFont="1" applyNumberFormat="1">
      <alignment horizontal="center" readingOrder="0" vertical="center"/>
    </xf>
    <xf borderId="0" fillId="0" fontId="77" numFmtId="0" xfId="0" applyAlignment="1" applyFont="1">
      <alignment horizontal="center" readingOrder="0" vertical="center"/>
    </xf>
    <xf borderId="0" fillId="0" fontId="78" numFmtId="0" xfId="0" applyAlignment="1" applyFont="1">
      <alignment horizontal="center" readingOrder="0" vertical="center"/>
    </xf>
    <xf borderId="79" fillId="19" fontId="79" numFmtId="4" xfId="0" applyAlignment="1" applyBorder="1" applyFont="1" applyNumberFormat="1">
      <alignment horizontal="center" readingOrder="0" vertical="center"/>
    </xf>
    <xf borderId="22" fillId="0" fontId="2" numFmtId="0" xfId="0" applyBorder="1" applyFont="1"/>
    <xf borderId="0" fillId="0" fontId="80" numFmtId="0" xfId="0" applyAlignment="1" applyFont="1">
      <alignment horizontal="center" readingOrder="0"/>
    </xf>
    <xf borderId="80" fillId="0" fontId="2" numFmtId="0" xfId="0" applyBorder="1" applyFont="1"/>
    <xf borderId="71" fillId="0" fontId="2" numFmtId="0" xfId="0" applyBorder="1" applyFont="1"/>
    <xf borderId="77" fillId="0" fontId="2" numFmtId="0" xfId="0" applyBorder="1" applyFont="1"/>
    <xf borderId="0" fillId="0" fontId="16" numFmtId="0" xfId="0" applyAlignment="1" applyFont="1">
      <alignment horizontal="left" textRotation="45" vertical="bottom"/>
    </xf>
    <xf borderId="57" fillId="12" fontId="16" numFmtId="0" xfId="0" applyAlignment="1" applyBorder="1" applyFont="1">
      <alignment horizontal="left" readingOrder="0" textRotation="45" vertical="bottom"/>
    </xf>
    <xf borderId="57" fillId="12" fontId="18" numFmtId="0" xfId="0" applyAlignment="1" applyBorder="1" applyFont="1">
      <alignment horizontal="left" readingOrder="0" textRotation="45" vertical="bottom"/>
    </xf>
    <xf borderId="6" fillId="12" fontId="18" numFmtId="0" xfId="0" applyAlignment="1" applyBorder="1" applyFont="1">
      <alignment horizontal="left" readingOrder="0" textRotation="45" vertical="bottom"/>
    </xf>
    <xf borderId="6" fillId="12" fontId="16" numFmtId="0" xfId="0" applyAlignment="1" applyBorder="1" applyFont="1">
      <alignment horizontal="left" readingOrder="0" textRotation="45" vertical="bottom"/>
    </xf>
    <xf borderId="81" fillId="12" fontId="16" numFmtId="3" xfId="0" applyAlignment="1" applyBorder="1" applyFont="1" applyNumberFormat="1">
      <alignment horizontal="left" readingOrder="0" textRotation="45" vertical="bottom"/>
    </xf>
    <xf borderId="81" fillId="12" fontId="16" numFmtId="4" xfId="0" applyAlignment="1" applyBorder="1" applyFont="1" applyNumberFormat="1">
      <alignment horizontal="left" readingOrder="0" textRotation="45" vertical="bottom"/>
    </xf>
    <xf borderId="5" fillId="12" fontId="16" numFmtId="3" xfId="0" applyAlignment="1" applyBorder="1" applyFont="1" applyNumberFormat="1">
      <alignment horizontal="left" readingOrder="0" textRotation="45" vertical="bottom"/>
    </xf>
    <xf borderId="5" fillId="12" fontId="16" numFmtId="164" xfId="0" applyAlignment="1" applyBorder="1" applyFont="1" applyNumberFormat="1">
      <alignment horizontal="left" readingOrder="0" textRotation="45" vertical="bottom"/>
    </xf>
    <xf borderId="6" fillId="12" fontId="16" numFmtId="3" xfId="0" applyAlignment="1" applyBorder="1" applyFont="1" applyNumberFormat="1">
      <alignment horizontal="left" readingOrder="0" textRotation="45" vertical="bottom"/>
    </xf>
    <xf borderId="76" fillId="13" fontId="16" numFmtId="3" xfId="0" applyAlignment="1" applyBorder="1" applyFont="1" applyNumberFormat="1">
      <alignment horizontal="left" readingOrder="0" textRotation="45" vertical="bottom"/>
    </xf>
    <xf borderId="76" fillId="19" fontId="16" numFmtId="3" xfId="0" applyAlignment="1" applyBorder="1" applyFont="1" applyNumberFormat="1">
      <alignment horizontal="left" readingOrder="0" textRotation="45" vertical="bottom"/>
    </xf>
    <xf borderId="76" fillId="19" fontId="16" numFmtId="4" xfId="0" applyAlignment="1" applyBorder="1" applyFont="1" applyNumberFormat="1">
      <alignment horizontal="left" readingOrder="0" textRotation="45" vertical="bottom"/>
    </xf>
    <xf borderId="6" fillId="19" fontId="16" numFmtId="4" xfId="0" applyAlignment="1" applyBorder="1" applyFont="1" applyNumberFormat="1">
      <alignment horizontal="left" readingOrder="0" textRotation="45" vertical="bottom"/>
    </xf>
    <xf borderId="6" fillId="19" fontId="81" numFmtId="4" xfId="0" applyAlignment="1" applyBorder="1" applyFont="1" applyNumberFormat="1">
      <alignment horizontal="left" readingOrder="0" textRotation="45" vertical="bottom"/>
    </xf>
    <xf borderId="57" fillId="19" fontId="16" numFmtId="4" xfId="0" applyAlignment="1" applyBorder="1" applyFont="1" applyNumberFormat="1">
      <alignment horizontal="left" readingOrder="0" textRotation="45" vertical="bottom"/>
    </xf>
    <xf borderId="6" fillId="19" fontId="82" numFmtId="3" xfId="0" applyAlignment="1" applyBorder="1" applyFont="1" applyNumberFormat="1">
      <alignment horizontal="left" readingOrder="0" textRotation="45" vertical="bottom"/>
    </xf>
    <xf borderId="6" fillId="19" fontId="82" numFmtId="0" xfId="0" applyAlignment="1" applyBorder="1" applyFont="1">
      <alignment horizontal="left" readingOrder="0" textRotation="45" vertical="bottom"/>
    </xf>
    <xf borderId="76" fillId="19" fontId="18" numFmtId="3" xfId="0" applyAlignment="1" applyBorder="1" applyFont="1" applyNumberFormat="1">
      <alignment horizontal="left" readingOrder="0" textRotation="45" vertical="bottom"/>
    </xf>
    <xf borderId="5" fillId="0" fontId="60" numFmtId="4" xfId="0" applyAlignment="1" applyBorder="1" applyFont="1" applyNumberFormat="1">
      <alignment horizontal="left" readingOrder="0" textRotation="45" vertical="bottom"/>
    </xf>
    <xf borderId="0" fillId="0" fontId="16" numFmtId="0" xfId="0" applyAlignment="1" applyFont="1">
      <alignment readingOrder="0"/>
    </xf>
    <xf borderId="20" fillId="77" fontId="32" numFmtId="0" xfId="0" applyAlignment="1" applyBorder="1" applyFont="1">
      <alignment readingOrder="0"/>
    </xf>
    <xf borderId="20" fillId="14" fontId="42" numFmtId="0" xfId="0" applyAlignment="1" applyBorder="1" applyFont="1">
      <alignment readingOrder="0"/>
    </xf>
    <xf borderId="7" fillId="14" fontId="37" numFmtId="0" xfId="0" applyAlignment="1" applyBorder="1" applyFont="1">
      <alignment readingOrder="0"/>
    </xf>
    <xf borderId="21" fillId="14" fontId="37" numFmtId="0" xfId="0" applyAlignment="1" applyBorder="1" applyFont="1">
      <alignment readingOrder="0"/>
    </xf>
    <xf borderId="82" fillId="14" fontId="83" numFmtId="0" xfId="0" applyAlignment="1" applyBorder="1" applyFont="1">
      <alignment readingOrder="0"/>
    </xf>
    <xf borderId="18" fillId="14" fontId="52" numFmtId="0" xfId="0" applyAlignment="1" applyBorder="1" applyFont="1">
      <alignment readingOrder="0"/>
    </xf>
    <xf borderId="83" fillId="27" fontId="32" numFmtId="3" xfId="0" applyAlignment="1" applyBorder="1" applyFont="1" applyNumberFormat="1">
      <alignment horizontal="right" vertical="bottom"/>
    </xf>
    <xf borderId="7" fillId="27" fontId="52" numFmtId="3" xfId="0" applyAlignment="1" applyBorder="1" applyFont="1" applyNumberFormat="1">
      <alignment horizontal="right" vertical="bottom"/>
    </xf>
    <xf borderId="7" fillId="27" fontId="32" numFmtId="4" xfId="0" applyAlignment="1" applyBorder="1" applyFont="1" applyNumberFormat="1">
      <alignment horizontal="right" vertical="bottom"/>
    </xf>
    <xf borderId="68" fillId="27" fontId="32" numFmtId="3" xfId="0" applyAlignment="1" applyBorder="1" applyFont="1" applyNumberFormat="1">
      <alignment horizontal="right" vertical="bottom"/>
    </xf>
    <xf borderId="68" fillId="27" fontId="32" numFmtId="164" xfId="0" applyAlignment="1" applyBorder="1" applyFont="1" applyNumberFormat="1">
      <alignment horizontal="right" vertical="bottom"/>
    </xf>
    <xf borderId="18" fillId="12" fontId="84" numFmtId="4" xfId="0" applyAlignment="1" applyBorder="1" applyFont="1" applyNumberFormat="1">
      <alignment readingOrder="0"/>
    </xf>
    <xf borderId="19" fillId="12" fontId="32" numFmtId="3" xfId="0" applyBorder="1" applyFont="1" applyNumberFormat="1"/>
    <xf borderId="84" fillId="12" fontId="32" numFmtId="4" xfId="0" applyBorder="1" applyFont="1" applyNumberFormat="1"/>
    <xf borderId="20" fillId="12" fontId="32" numFmtId="3" xfId="0" applyBorder="1" applyFont="1" applyNumberFormat="1"/>
    <xf borderId="21" fillId="12" fontId="32" numFmtId="3" xfId="0" applyBorder="1" applyFont="1" applyNumberFormat="1"/>
    <xf borderId="21" fillId="12" fontId="32" numFmtId="4" xfId="0" applyAlignment="1" applyBorder="1" applyFont="1" applyNumberFormat="1">
      <alignment horizontal="right"/>
    </xf>
    <xf borderId="19" fillId="12" fontId="32" numFmtId="4" xfId="0" applyBorder="1" applyFont="1" applyNumberFormat="1"/>
    <xf borderId="21" fillId="12" fontId="32" numFmtId="4" xfId="0" applyBorder="1" applyFont="1" applyNumberFormat="1"/>
    <xf borderId="82" fillId="12" fontId="32" numFmtId="4" xfId="0" applyBorder="1" applyFont="1" applyNumberFormat="1"/>
    <xf borderId="20" fillId="12" fontId="54" numFmtId="3" xfId="0" applyBorder="1" applyFont="1" applyNumberFormat="1"/>
    <xf borderId="20" fillId="12" fontId="54" numFmtId="4" xfId="0" applyBorder="1" applyFont="1" applyNumberFormat="1"/>
    <xf borderId="62" fillId="12" fontId="54" numFmtId="3" xfId="0" applyBorder="1" applyFont="1" applyNumberFormat="1"/>
    <xf borderId="18" fillId="12" fontId="37" numFmtId="3" xfId="0" applyBorder="1" applyFont="1" applyNumberFormat="1"/>
    <xf borderId="0" fillId="0" fontId="60" numFmtId="3" xfId="0" applyFont="1" applyNumberFormat="1"/>
    <xf borderId="0" fillId="0" fontId="60" numFmtId="3" xfId="0" applyAlignment="1" applyFont="1" applyNumberFormat="1">
      <alignment horizontal="right" readingOrder="0" vertical="bottom"/>
    </xf>
    <xf borderId="68" fillId="16" fontId="32" numFmtId="0" xfId="0" applyAlignment="1" applyBorder="1" applyFont="1">
      <alignment readingOrder="0"/>
    </xf>
    <xf borderId="68" fillId="14" fontId="42" numFmtId="0" xfId="0" applyAlignment="1" applyBorder="1" applyFont="1">
      <alignment readingOrder="0"/>
    </xf>
    <xf borderId="46" fillId="14" fontId="37" numFmtId="0" xfId="0" applyAlignment="1" applyBorder="1" applyFont="1">
      <alignment readingOrder="0"/>
    </xf>
    <xf borderId="84" fillId="14" fontId="83" numFmtId="0" xfId="0" applyAlignment="1" applyBorder="1" applyFont="1">
      <alignment readingOrder="0"/>
    </xf>
    <xf borderId="85" fillId="27" fontId="32" numFmtId="3" xfId="0" applyAlignment="1" applyBorder="1" applyFont="1" applyNumberFormat="1">
      <alignment horizontal="right" vertical="bottom"/>
    </xf>
    <xf borderId="7" fillId="13" fontId="52" numFmtId="3" xfId="0" applyAlignment="1" applyBorder="1" applyFont="1" applyNumberFormat="1">
      <alignment horizontal="right" vertical="bottom"/>
    </xf>
    <xf borderId="18" fillId="21" fontId="84" numFmtId="4" xfId="0" applyAlignment="1" applyBorder="1" applyFont="1" applyNumberFormat="1">
      <alignment readingOrder="0"/>
    </xf>
    <xf borderId="19" fillId="21" fontId="32" numFmtId="3" xfId="0" applyBorder="1" applyFont="1" applyNumberFormat="1"/>
    <xf borderId="84" fillId="21" fontId="32" numFmtId="4" xfId="0" applyBorder="1" applyFont="1" applyNumberFormat="1"/>
    <xf borderId="68" fillId="12" fontId="32" numFmtId="3" xfId="0" applyBorder="1" applyFont="1" applyNumberFormat="1"/>
    <xf borderId="46" fillId="12" fontId="32" numFmtId="4" xfId="0" applyAlignment="1" applyBorder="1" applyFont="1" applyNumberFormat="1">
      <alignment horizontal="right"/>
    </xf>
    <xf borderId="7" fillId="12" fontId="32" numFmtId="4" xfId="0" applyBorder="1" applyFont="1" applyNumberFormat="1"/>
    <xf borderId="64" fillId="14" fontId="52" numFmtId="0" xfId="0" applyAlignment="1" applyBorder="1" applyFont="1">
      <alignment readingOrder="0"/>
    </xf>
    <xf borderId="85" fillId="13" fontId="52" numFmtId="3" xfId="0" applyAlignment="1" applyBorder="1" applyFont="1" applyNumberFormat="1">
      <alignment horizontal="right" vertical="bottom"/>
    </xf>
    <xf borderId="69" fillId="12" fontId="84" numFmtId="4" xfId="0" applyAlignment="1" applyBorder="1" applyFont="1" applyNumberFormat="1">
      <alignment readingOrder="0"/>
    </xf>
    <xf borderId="64" fillId="12" fontId="37" numFmtId="3" xfId="0" applyBorder="1" applyFont="1" applyNumberFormat="1"/>
    <xf borderId="68" fillId="77" fontId="32" numFmtId="0" xfId="0" applyAlignment="1" applyBorder="1" applyFont="1">
      <alignment readingOrder="0"/>
    </xf>
    <xf borderId="64" fillId="14" fontId="52" numFmtId="0" xfId="0" applyBorder="1" applyFont="1"/>
    <xf borderId="69" fillId="21" fontId="84" numFmtId="4" xfId="0" applyAlignment="1" applyBorder="1" applyFont="1" applyNumberFormat="1">
      <alignment readingOrder="0"/>
    </xf>
    <xf borderId="68" fillId="0" fontId="42" numFmtId="0" xfId="0" applyAlignment="1" applyBorder="1" applyFont="1">
      <alignment readingOrder="0"/>
    </xf>
    <xf borderId="7" fillId="0" fontId="85" numFmtId="0" xfId="0" applyAlignment="1" applyBorder="1" applyFont="1">
      <alignment readingOrder="0"/>
    </xf>
    <xf borderId="46" fillId="0" fontId="85" numFmtId="0" xfId="0" applyAlignment="1" applyBorder="1" applyFont="1">
      <alignment readingOrder="0"/>
    </xf>
    <xf borderId="84" fillId="0" fontId="86" numFmtId="0" xfId="0" applyAlignment="1" applyBorder="1" applyFont="1">
      <alignment readingOrder="0"/>
    </xf>
    <xf borderId="64" fillId="0" fontId="52" numFmtId="0" xfId="0" applyAlignment="1" applyBorder="1" applyFont="1">
      <alignment readingOrder="0"/>
    </xf>
    <xf borderId="85" fillId="13" fontId="32" numFmtId="3" xfId="0" applyAlignment="1" applyBorder="1" applyFont="1" applyNumberFormat="1">
      <alignment horizontal="right" vertical="bottom"/>
    </xf>
    <xf borderId="64" fillId="12" fontId="84" numFmtId="4" xfId="0" applyAlignment="1" applyBorder="1" applyFont="1" applyNumberFormat="1">
      <alignment readingOrder="0"/>
    </xf>
    <xf borderId="64" fillId="21" fontId="84" numFmtId="4" xfId="0" applyAlignment="1" applyBorder="1" applyFont="1" applyNumberFormat="1">
      <alignment horizontal="right" vertical="bottom"/>
    </xf>
    <xf borderId="19" fillId="21" fontId="32" numFmtId="3" xfId="0" applyAlignment="1" applyBorder="1" applyFont="1" applyNumberFormat="1">
      <alignment horizontal="right" vertical="bottom"/>
    </xf>
    <xf borderId="68" fillId="144" fontId="32" numFmtId="3" xfId="0" applyAlignment="1" applyBorder="1" applyFill="1" applyFont="1" applyNumberFormat="1">
      <alignment horizontal="right" vertical="bottom"/>
    </xf>
    <xf borderId="7" fillId="145" fontId="32" numFmtId="4" xfId="0" applyAlignment="1" applyBorder="1" applyFill="1" applyFont="1" applyNumberFormat="1">
      <alignment horizontal="right" vertical="bottom"/>
    </xf>
    <xf borderId="82" fillId="146" fontId="32" numFmtId="4" xfId="0" applyAlignment="1" applyBorder="1" applyFill="1" applyFont="1" applyNumberFormat="1">
      <alignment horizontal="right" vertical="bottom"/>
    </xf>
    <xf borderId="64" fillId="147" fontId="37" numFmtId="3" xfId="0" applyAlignment="1" applyBorder="1" applyFill="1" applyFont="1" applyNumberFormat="1">
      <alignment horizontal="right" vertical="bottom"/>
    </xf>
    <xf borderId="0" fillId="0" fontId="16" numFmtId="0" xfId="0" applyFont="1"/>
    <xf borderId="64" fillId="0" fontId="87" numFmtId="0" xfId="0" applyAlignment="1" applyBorder="1" applyFont="1">
      <alignment readingOrder="0"/>
    </xf>
    <xf borderId="64" fillId="21" fontId="84" numFmtId="4" xfId="0" applyAlignment="1" applyBorder="1" applyFont="1" applyNumberFormat="1">
      <alignment readingOrder="0"/>
    </xf>
    <xf borderId="64" fillId="14" fontId="88" numFmtId="0" xfId="0" applyAlignment="1" applyBorder="1" applyFont="1">
      <alignment readingOrder="0"/>
    </xf>
    <xf borderId="84" fillId="14" fontId="89" numFmtId="0" xfId="0" applyAlignment="1" applyBorder="1" applyFont="1">
      <alignment readingOrder="0"/>
    </xf>
    <xf borderId="68" fillId="144" fontId="42" numFmtId="0" xfId="0" applyAlignment="1" applyBorder="1" applyFont="1">
      <alignment readingOrder="0"/>
    </xf>
    <xf borderId="7" fillId="148" fontId="37" numFmtId="0" xfId="0" applyAlignment="1" applyBorder="1" applyFill="1" applyFont="1">
      <alignment readingOrder="0"/>
    </xf>
    <xf borderId="46" fillId="148" fontId="37" numFmtId="0" xfId="0" applyAlignment="1" applyBorder="1" applyFont="1">
      <alignment readingOrder="0"/>
    </xf>
    <xf borderId="84" fillId="148" fontId="83" numFmtId="0" xfId="0" applyAlignment="1" applyBorder="1" applyFont="1">
      <alignment readingOrder="0"/>
    </xf>
    <xf borderId="85" fillId="27" fontId="52" numFmtId="3" xfId="0" applyAlignment="1" applyBorder="1" applyFont="1" applyNumberFormat="1">
      <alignment horizontal="right" vertical="bottom"/>
    </xf>
    <xf borderId="7" fillId="0" fontId="37" numFmtId="0" xfId="0" applyAlignment="1" applyBorder="1" applyFont="1">
      <alignment readingOrder="0"/>
    </xf>
    <xf borderId="46" fillId="0" fontId="37" numFmtId="0" xfId="0" applyAlignment="1" applyBorder="1" applyFont="1">
      <alignment readingOrder="0"/>
    </xf>
    <xf borderId="84" fillId="0" fontId="83" numFmtId="0" xfId="0" applyAlignment="1" applyBorder="1" applyFont="1">
      <alignment readingOrder="0"/>
    </xf>
    <xf borderId="46" fillId="0" fontId="61" numFmtId="0" xfId="0" applyAlignment="1" applyBorder="1" applyFont="1">
      <alignment readingOrder="0"/>
    </xf>
    <xf borderId="84" fillId="14" fontId="90" numFmtId="0" xfId="0" applyAlignment="1" applyBorder="1" applyFont="1">
      <alignment readingOrder="0"/>
    </xf>
    <xf borderId="68" fillId="148" fontId="42" numFmtId="0" xfId="0" applyAlignment="1" applyBorder="1" applyFont="1">
      <alignment readingOrder="0"/>
    </xf>
    <xf borderId="68" fillId="149" fontId="32" numFmtId="0" xfId="0" applyAlignment="1" applyBorder="1" applyFill="1" applyFont="1">
      <alignment readingOrder="0"/>
    </xf>
    <xf borderId="68" fillId="149" fontId="42" numFmtId="0" xfId="0" applyAlignment="1" applyBorder="1" applyFont="1">
      <alignment readingOrder="0"/>
    </xf>
    <xf borderId="7" fillId="149" fontId="37" numFmtId="0" xfId="0" applyAlignment="1" applyBorder="1" applyFont="1">
      <alignment readingOrder="0"/>
    </xf>
    <xf borderId="46" fillId="149" fontId="37" numFmtId="0" xfId="0" applyAlignment="1" applyBorder="1" applyFont="1">
      <alignment readingOrder="0"/>
    </xf>
    <xf borderId="84" fillId="149" fontId="83" numFmtId="0" xfId="0" applyAlignment="1" applyBorder="1" applyFont="1">
      <alignment readingOrder="0"/>
    </xf>
    <xf borderId="64" fillId="149" fontId="52" numFmtId="0" xfId="0" applyAlignment="1" applyBorder="1" applyFont="1">
      <alignment readingOrder="0"/>
    </xf>
    <xf borderId="0" fillId="0" fontId="33" numFmtId="3" xfId="0" applyAlignment="1" applyFont="1" applyNumberFormat="1">
      <alignment readingOrder="0" vertical="bottom"/>
    </xf>
    <xf borderId="68" fillId="147" fontId="42" numFmtId="0" xfId="0" applyAlignment="1" applyBorder="1" applyFont="1">
      <alignment readingOrder="0"/>
    </xf>
    <xf borderId="7" fillId="147" fontId="37" numFmtId="0" xfId="0" applyAlignment="1" applyBorder="1" applyFont="1">
      <alignment readingOrder="0"/>
    </xf>
    <xf borderId="46" fillId="147" fontId="37" numFmtId="0" xfId="0" applyAlignment="1" applyBorder="1" applyFont="1">
      <alignment readingOrder="0"/>
    </xf>
    <xf borderId="84" fillId="147" fontId="83" numFmtId="0" xfId="0" applyAlignment="1" applyBorder="1" applyFont="1">
      <alignment readingOrder="0"/>
    </xf>
    <xf borderId="84" fillId="14" fontId="83" numFmtId="0" xfId="0" applyBorder="1" applyFont="1"/>
    <xf borderId="7" fillId="0" fontId="61" numFmtId="0" xfId="0" applyAlignment="1" applyBorder="1" applyFont="1">
      <alignment readingOrder="0"/>
    </xf>
    <xf borderId="64" fillId="0" fontId="88" numFmtId="0" xfId="0" applyAlignment="1" applyBorder="1" applyFont="1">
      <alignment readingOrder="0"/>
    </xf>
    <xf borderId="7" fillId="16" fontId="32" numFmtId="0" xfId="0" applyAlignment="1" applyBorder="1" applyFont="1">
      <alignment readingOrder="0"/>
    </xf>
    <xf borderId="7" fillId="0" fontId="42" numFmtId="0" xfId="0" applyAlignment="1" applyBorder="1" applyFont="1">
      <alignment readingOrder="0"/>
    </xf>
    <xf borderId="7" fillId="77" fontId="32" numFmtId="0" xfId="0" applyAlignment="1" applyBorder="1" applyFont="1">
      <alignment readingOrder="0"/>
    </xf>
    <xf borderId="84" fillId="0" fontId="83" numFmtId="0" xfId="0" applyBorder="1" applyFont="1"/>
    <xf borderId="7" fillId="14" fontId="42" numFmtId="0" xfId="0" applyAlignment="1" applyBorder="1" applyFont="1">
      <alignment readingOrder="0"/>
    </xf>
    <xf borderId="0" fillId="14" fontId="52" numFmtId="0" xfId="0" applyAlignment="1" applyFont="1">
      <alignment readingOrder="0"/>
    </xf>
    <xf borderId="0" fillId="14" fontId="52" numFmtId="0" xfId="0" applyFont="1"/>
    <xf borderId="70" fillId="77" fontId="32" numFmtId="0" xfId="0" applyAlignment="1" applyBorder="1" applyFont="1">
      <alignment readingOrder="0"/>
    </xf>
    <xf borderId="30" fillId="14" fontId="42" numFmtId="0" xfId="0" applyAlignment="1" applyBorder="1" applyFont="1">
      <alignment readingOrder="0"/>
    </xf>
    <xf borderId="30" fillId="14" fontId="37" numFmtId="0" xfId="0" applyAlignment="1" applyBorder="1" applyFont="1">
      <alignment readingOrder="0"/>
    </xf>
    <xf borderId="73" fillId="14" fontId="37" numFmtId="0" xfId="0" applyAlignment="1" applyBorder="1" applyFont="1">
      <alignment readingOrder="0"/>
    </xf>
    <xf borderId="86" fillId="14" fontId="83" numFmtId="0" xfId="0" applyBorder="1" applyFont="1"/>
    <xf borderId="20" fillId="14" fontId="52" numFmtId="0" xfId="0" applyBorder="1" applyFont="1"/>
    <xf borderId="68" fillId="12" fontId="84" numFmtId="4" xfId="0" applyAlignment="1" applyBorder="1" applyFont="1" applyNumberFormat="1">
      <alignment readingOrder="0"/>
    </xf>
    <xf borderId="7" fillId="148" fontId="42" numFmtId="0" xfId="0" applyAlignment="1" applyBorder="1" applyFont="1">
      <alignment readingOrder="0"/>
    </xf>
    <xf borderId="70" fillId="14" fontId="52" numFmtId="0" xfId="0" applyAlignment="1" applyBorder="1" applyFont="1">
      <alignment readingOrder="0"/>
    </xf>
    <xf borderId="68" fillId="21" fontId="84" numFmtId="4" xfId="0" applyAlignment="1" applyBorder="1" applyFont="1" applyNumberFormat="1">
      <alignment readingOrder="0"/>
    </xf>
    <xf borderId="7" fillId="21" fontId="32" numFmtId="3" xfId="0" applyBorder="1" applyFont="1" applyNumberFormat="1"/>
    <xf borderId="20" fillId="0" fontId="87" numFmtId="0" xfId="0" applyAlignment="1" applyBorder="1" applyFont="1">
      <alignment readingOrder="0"/>
    </xf>
    <xf borderId="7" fillId="12" fontId="32" numFmtId="3" xfId="0" applyBorder="1" applyFont="1" applyNumberFormat="1"/>
    <xf borderId="22" fillId="16" fontId="32" numFmtId="0" xfId="0" applyAlignment="1" applyBorder="1" applyFont="1">
      <alignment readingOrder="0"/>
    </xf>
    <xf borderId="87" fillId="144" fontId="42" numFmtId="0" xfId="0" applyAlignment="1" applyBorder="1" applyFont="1">
      <alignment readingOrder="0"/>
    </xf>
    <xf borderId="87" fillId="148" fontId="37" numFmtId="0" xfId="0" applyAlignment="1" applyBorder="1" applyFont="1">
      <alignment readingOrder="0"/>
    </xf>
    <xf borderId="79" fillId="148" fontId="37" numFmtId="0" xfId="0" applyAlignment="1" applyBorder="1" applyFont="1">
      <alignment readingOrder="0"/>
    </xf>
    <xf borderId="74" fillId="148" fontId="83" numFmtId="0" xfId="0" applyAlignment="1" applyBorder="1" applyFont="1">
      <alignment readingOrder="0"/>
    </xf>
    <xf borderId="20" fillId="16" fontId="32" numFmtId="0" xfId="0" applyAlignment="1" applyBorder="1" applyFont="1">
      <alignment readingOrder="0"/>
    </xf>
    <xf borderId="20" fillId="0" fontId="42" numFmtId="0" xfId="0" applyAlignment="1" applyBorder="1" applyFont="1">
      <alignment readingOrder="0"/>
    </xf>
    <xf borderId="18" fillId="0" fontId="87" numFmtId="0" xfId="0" applyAlignment="1" applyBorder="1" applyFont="1">
      <alignment readingOrder="0"/>
    </xf>
    <xf borderId="19" fillId="0" fontId="42" numFmtId="0" xfId="0" applyAlignment="1" applyBorder="1" applyFont="1">
      <alignment readingOrder="0"/>
    </xf>
    <xf borderId="19" fillId="14" fontId="42" numFmtId="0" xfId="0" applyAlignment="1" applyBorder="1" applyFont="1">
      <alignment readingOrder="0"/>
    </xf>
    <xf borderId="20" fillId="0" fontId="52" numFmtId="0" xfId="0" applyAlignment="1" applyBorder="1" applyFont="1">
      <alignment readingOrder="0"/>
    </xf>
    <xf borderId="7" fillId="0" fontId="52" numFmtId="0" xfId="0" applyAlignment="1" applyBorder="1" applyFont="1">
      <alignment readingOrder="0"/>
    </xf>
    <xf borderId="7" fillId="0" fontId="87" numFmtId="0" xfId="0" applyAlignment="1" applyBorder="1" applyFont="1">
      <alignment readingOrder="0"/>
    </xf>
    <xf borderId="68" fillId="14" fontId="52" numFmtId="0" xfId="0" applyAlignment="1" applyBorder="1" applyFont="1">
      <alignment readingOrder="0"/>
    </xf>
    <xf borderId="68" fillId="0" fontId="52" numFmtId="0" xfId="0" applyAlignment="1" applyBorder="1" applyFont="1">
      <alignment readingOrder="0"/>
    </xf>
    <xf borderId="22" fillId="0" fontId="16" numFmtId="0" xfId="0" applyBorder="1" applyFont="1"/>
    <xf borderId="30" fillId="16" fontId="32" numFmtId="0" xfId="0" applyAlignment="1" applyBorder="1" applyFont="1">
      <alignment readingOrder="0"/>
    </xf>
    <xf borderId="30" fillId="0" fontId="42" numFmtId="0" xfId="0" applyAlignment="1" applyBorder="1" applyFont="1">
      <alignment readingOrder="0"/>
    </xf>
    <xf borderId="30" fillId="0" fontId="61" numFmtId="0" xfId="0" applyAlignment="1" applyBorder="1" applyFont="1">
      <alignment readingOrder="0"/>
    </xf>
    <xf borderId="73" fillId="0" fontId="61" numFmtId="0" xfId="0" applyAlignment="1" applyBorder="1" applyFont="1">
      <alignment readingOrder="0"/>
    </xf>
    <xf borderId="86" fillId="0" fontId="90" numFmtId="0" xfId="0" applyAlignment="1" applyBorder="1" applyFont="1">
      <alignment readingOrder="0"/>
    </xf>
    <xf borderId="7" fillId="12" fontId="32" numFmtId="4" xfId="0" applyAlignment="1" applyBorder="1" applyFont="1" applyNumberFormat="1">
      <alignment horizontal="right"/>
    </xf>
    <xf borderId="68" fillId="12" fontId="37" numFmtId="3" xfId="0" applyBorder="1" applyFont="1" applyNumberFormat="1"/>
    <xf borderId="87" fillId="0" fontId="60" numFmtId="3" xfId="0" applyBorder="1" applyFont="1" applyNumberFormat="1"/>
    <xf borderId="7" fillId="12" fontId="37" numFmtId="3" xfId="0" applyBorder="1" applyFont="1" applyNumberFormat="1"/>
    <xf borderId="7" fillId="0" fontId="60" numFmtId="3" xfId="0" applyBorder="1" applyFont="1" applyNumberFormat="1"/>
    <xf borderId="68" fillId="14" fontId="52" numFmtId="0" xfId="0" applyBorder="1" applyFont="1"/>
    <xf borderId="86" fillId="14" fontId="83" numFmtId="0" xfId="0" applyAlignment="1" applyBorder="1" applyFont="1">
      <alignment readingOrder="0"/>
    </xf>
    <xf borderId="19" fillId="0" fontId="37" numFmtId="0" xfId="0" applyAlignment="1" applyBorder="1" applyFont="1">
      <alignment readingOrder="0"/>
    </xf>
    <xf borderId="21" fillId="0" fontId="37" numFmtId="0" xfId="0" applyAlignment="1" applyBorder="1" applyFont="1">
      <alignment readingOrder="0"/>
    </xf>
    <xf borderId="82" fillId="0" fontId="83" numFmtId="0" xfId="0" applyBorder="1" applyFont="1"/>
    <xf borderId="18" fillId="14" fontId="88" numFmtId="0" xfId="0" applyAlignment="1" applyBorder="1" applyFont="1">
      <alignment readingOrder="0"/>
    </xf>
    <xf borderId="68" fillId="0" fontId="87" numFmtId="0" xfId="0" applyAlignment="1" applyBorder="1" applyFont="1">
      <alignment readingOrder="0"/>
    </xf>
    <xf borderId="19" fillId="14" fontId="37" numFmtId="0" xfId="0" applyAlignment="1" applyBorder="1" applyFont="1">
      <alignment readingOrder="0"/>
    </xf>
    <xf borderId="19" fillId="147" fontId="42" numFmtId="0" xfId="0" applyAlignment="1" applyBorder="1" applyFont="1">
      <alignment readingOrder="0"/>
    </xf>
    <xf borderId="19" fillId="147" fontId="37" numFmtId="0" xfId="0" applyAlignment="1" applyBorder="1" applyFont="1">
      <alignment readingOrder="0"/>
    </xf>
    <xf borderId="21" fillId="147" fontId="37" numFmtId="0" xfId="0" applyAlignment="1" applyBorder="1" applyFont="1">
      <alignment readingOrder="0"/>
    </xf>
    <xf borderId="82" fillId="147" fontId="83" numFmtId="0" xfId="0" applyAlignment="1" applyBorder="1" applyFont="1">
      <alignment readingOrder="0"/>
    </xf>
    <xf borderId="70" fillId="0" fontId="42" numFmtId="0" xfId="0" applyAlignment="1" applyBorder="1" applyFont="1">
      <alignment readingOrder="0"/>
    </xf>
    <xf borderId="30" fillId="0" fontId="37" numFmtId="0" xfId="0" applyAlignment="1" applyBorder="1" applyFont="1">
      <alignment readingOrder="0"/>
    </xf>
    <xf borderId="73" fillId="0" fontId="37" numFmtId="0" xfId="0" applyAlignment="1" applyBorder="1" applyFont="1">
      <alignment readingOrder="0"/>
    </xf>
    <xf borderId="86" fillId="0" fontId="83" numFmtId="0" xfId="0" applyBorder="1" applyFont="1"/>
    <xf borderId="0" fillId="0" fontId="42" numFmtId="0" xfId="0" applyAlignment="1" applyFont="1">
      <alignment readingOrder="0"/>
    </xf>
    <xf borderId="22" fillId="0" fontId="37" numFmtId="0" xfId="0" applyAlignment="1" applyBorder="1" applyFont="1">
      <alignment readingOrder="0"/>
    </xf>
    <xf borderId="0" fillId="0" fontId="52" numFmtId="0" xfId="0" applyAlignment="1" applyFont="1">
      <alignment readingOrder="0"/>
    </xf>
    <xf borderId="70" fillId="16" fontId="32" numFmtId="0" xfId="0" applyAlignment="1" applyBorder="1" applyFont="1">
      <alignment readingOrder="0"/>
    </xf>
    <xf borderId="0" fillId="0" fontId="87" numFmtId="0" xfId="0" applyAlignment="1" applyFont="1">
      <alignment readingOrder="0"/>
    </xf>
    <xf borderId="7" fillId="144" fontId="42" numFmtId="0" xfId="0" applyAlignment="1" applyBorder="1" applyFont="1">
      <alignment readingOrder="0"/>
    </xf>
    <xf borderId="7" fillId="12" fontId="84" numFmtId="4" xfId="0" applyAlignment="1" applyBorder="1" applyFont="1" applyNumberFormat="1">
      <alignment readingOrder="0"/>
    </xf>
    <xf borderId="87" fillId="14" fontId="42" numFmtId="0" xfId="0" applyAlignment="1" applyBorder="1" applyFont="1">
      <alignment readingOrder="0"/>
    </xf>
    <xf borderId="87" fillId="14" fontId="37" numFmtId="0" xfId="0" applyAlignment="1" applyBorder="1" applyFont="1">
      <alignment readingOrder="0"/>
    </xf>
    <xf borderId="74" fillId="14" fontId="83" numFmtId="0" xfId="0" applyAlignment="1" applyBorder="1" applyFont="1">
      <alignment readingOrder="0"/>
    </xf>
    <xf borderId="88" fillId="13" fontId="52" numFmtId="3" xfId="0" applyAlignment="1" applyBorder="1" applyFont="1" applyNumberFormat="1">
      <alignment horizontal="right" vertical="bottom"/>
    </xf>
    <xf borderId="87" fillId="13" fontId="32" numFmtId="4" xfId="0" applyAlignment="1" applyBorder="1" applyFont="1" applyNumberFormat="1">
      <alignment horizontal="right" vertical="bottom"/>
    </xf>
    <xf borderId="22" fillId="13" fontId="32" numFmtId="3" xfId="0" applyAlignment="1" applyBorder="1" applyFont="1" applyNumberFormat="1">
      <alignment horizontal="right" vertical="bottom"/>
    </xf>
    <xf borderId="22" fillId="13" fontId="32" numFmtId="164" xfId="0" applyAlignment="1" applyBorder="1" applyFont="1" applyNumberFormat="1">
      <alignment horizontal="right" vertical="bottom"/>
    </xf>
    <xf borderId="7" fillId="21" fontId="84" numFmtId="4" xfId="0" applyAlignment="1" applyBorder="1" applyFont="1" applyNumberFormat="1">
      <alignment readingOrder="0"/>
    </xf>
    <xf borderId="0" fillId="0" fontId="33" numFmtId="0" xfId="0" applyAlignment="1" applyFont="1">
      <alignment shrinkToFit="0" vertical="bottom" wrapText="0"/>
    </xf>
    <xf borderId="0" fillId="0" fontId="33" numFmtId="0" xfId="0" applyAlignment="1" applyFont="1">
      <alignment horizontal="right" vertical="bottom"/>
    </xf>
    <xf borderId="0" fillId="0" fontId="33" numFmtId="167" xfId="0" applyAlignment="1" applyFont="1" applyNumberFormat="1">
      <alignment horizontal="right" vertical="bottom"/>
    </xf>
    <xf borderId="0" fillId="0" fontId="63" numFmtId="0" xfId="0" applyAlignment="1" applyFont="1">
      <alignment readingOrder="0"/>
    </xf>
    <xf borderId="4" fillId="150" fontId="63" numFmtId="0" xfId="0" applyAlignment="1" applyBorder="1" applyFill="1" applyFont="1">
      <alignment readingOrder="0"/>
    </xf>
    <xf borderId="0" fillId="0" fontId="33" numFmtId="0" xfId="0" applyAlignment="1" applyFont="1">
      <alignment horizontal="right" readingOrder="0" vertical="bottom"/>
    </xf>
    <xf borderId="71" fillId="0" fontId="63" numFmtId="0" xfId="0" applyBorder="1" applyFont="1"/>
    <xf borderId="1" fillId="149" fontId="91" numFmtId="0" xfId="0" applyAlignment="1" applyBorder="1" applyFont="1">
      <alignment horizontal="center" readingOrder="0" vertical="center"/>
    </xf>
    <xf borderId="56" fillId="0" fontId="2" numFmtId="0" xfId="0" applyBorder="1" applyFont="1"/>
    <xf borderId="1" fillId="13" fontId="52" numFmtId="0" xfId="0" applyAlignment="1" applyBorder="1" applyFont="1">
      <alignment horizontal="center" vertical="bottom"/>
    </xf>
    <xf borderId="1" fillId="13" fontId="92" numFmtId="0" xfId="0" applyAlignment="1" applyBorder="1" applyFont="1">
      <alignment horizontal="center" readingOrder="0" vertical="bottom"/>
    </xf>
    <xf borderId="0" fillId="0" fontId="93" numFmtId="0" xfId="0" applyAlignment="1" applyFont="1">
      <alignment horizontal="center" readingOrder="0" vertical="center"/>
    </xf>
    <xf borderId="89" fillId="21" fontId="37" numFmtId="0" xfId="0" applyAlignment="1" applyBorder="1" applyFont="1">
      <alignment textRotation="45" vertical="bottom"/>
    </xf>
    <xf borderId="90" fillId="21" fontId="37" numFmtId="0" xfId="0" applyAlignment="1" applyBorder="1" applyFont="1">
      <alignment textRotation="45" vertical="bottom"/>
    </xf>
    <xf borderId="91" fillId="21" fontId="37" numFmtId="0" xfId="0" applyAlignment="1" applyBorder="1" applyFont="1">
      <alignment textRotation="45" vertical="bottom"/>
    </xf>
    <xf borderId="92" fillId="21" fontId="37" numFmtId="0" xfId="0" applyAlignment="1" applyBorder="1" applyFont="1">
      <alignment textRotation="45" vertical="bottom"/>
    </xf>
    <xf borderId="92" fillId="21" fontId="37" numFmtId="164" xfId="0" applyAlignment="1" applyBorder="1" applyFont="1" applyNumberFormat="1">
      <alignment textRotation="45" vertical="bottom"/>
    </xf>
    <xf borderId="92" fillId="21" fontId="37" numFmtId="3" xfId="0" applyAlignment="1" applyBorder="1" applyFont="1" applyNumberFormat="1">
      <alignment textRotation="45" vertical="bottom"/>
    </xf>
    <xf borderId="92" fillId="0" fontId="33" numFmtId="0" xfId="0" applyAlignment="1" applyBorder="1" applyFont="1">
      <alignment textRotation="45" vertical="bottom"/>
    </xf>
    <xf borderId="4" fillId="143" fontId="37" numFmtId="0" xfId="0" applyAlignment="1" applyBorder="1" applyFont="1">
      <alignment readingOrder="0" vertical="bottom"/>
    </xf>
    <xf borderId="4" fillId="143" fontId="37" numFmtId="0" xfId="0" applyAlignment="1" applyBorder="1" applyFont="1">
      <alignment vertical="bottom"/>
    </xf>
    <xf borderId="0" fillId="0" fontId="32" numFmtId="3" xfId="0" applyAlignment="1" applyFont="1" applyNumberFormat="1">
      <alignment horizontal="right" vertical="bottom"/>
    </xf>
    <xf borderId="0" fillId="0" fontId="32" numFmtId="1" xfId="0" applyAlignment="1" applyFont="1" applyNumberFormat="1">
      <alignment horizontal="right" vertical="bottom"/>
    </xf>
    <xf borderId="0" fillId="0" fontId="32" numFmtId="4" xfId="0" applyAlignment="1" applyFont="1" applyNumberFormat="1">
      <alignment horizontal="right" vertical="bottom"/>
    </xf>
    <xf borderId="0" fillId="0" fontId="32" numFmtId="164" xfId="0" applyAlignment="1" applyFont="1" applyNumberFormat="1">
      <alignment horizontal="right" vertical="bottom"/>
    </xf>
    <xf borderId="0" fillId="0" fontId="32" numFmtId="2" xfId="0" applyAlignment="1" applyFont="1" applyNumberFormat="1">
      <alignment horizontal="right" vertical="bottom"/>
    </xf>
    <xf borderId="93" fillId="21" fontId="37" numFmtId="0" xfId="0" applyAlignment="1" applyBorder="1" applyFont="1">
      <alignment textRotation="45" vertical="bottom"/>
    </xf>
    <xf borderId="92" fillId="21" fontId="33" numFmtId="0" xfId="0" applyAlignment="1" applyBorder="1" applyFont="1">
      <alignment textRotation="45" vertical="bottom"/>
    </xf>
    <xf borderId="0" fillId="0" fontId="32" numFmtId="0" xfId="0" applyAlignment="1" applyFont="1">
      <alignment readingOrder="0" vertical="bottom"/>
    </xf>
    <xf borderId="81" fillId="0" fontId="32" numFmtId="0" xfId="0" applyAlignment="1" applyBorder="1" applyFont="1">
      <alignment readingOrder="0" vertical="bottom"/>
    </xf>
    <xf borderId="0" fillId="0" fontId="94" numFmtId="0" xfId="0" applyAlignment="1" applyFont="1">
      <alignment vertical="bottom"/>
    </xf>
    <xf borderId="0" fillId="0" fontId="94" numFmtId="3" xfId="0" applyAlignment="1" applyFont="1" applyNumberFormat="1">
      <alignment vertical="bottom"/>
    </xf>
    <xf borderId="0" fillId="0" fontId="94" numFmtId="164" xfId="0" applyAlignment="1" applyFont="1" applyNumberFormat="1">
      <alignment vertical="bottom"/>
    </xf>
    <xf borderId="0" fillId="0" fontId="94" numFmtId="1" xfId="0" applyAlignment="1" applyFont="1" applyNumberFormat="1">
      <alignment vertical="bottom"/>
    </xf>
    <xf borderId="0" fillId="0" fontId="94" numFmtId="4" xfId="0" applyAlignment="1" applyFont="1" applyNumberFormat="1">
      <alignment vertical="bottom"/>
    </xf>
    <xf borderId="81" fillId="0" fontId="32" numFmtId="0" xfId="0" applyAlignment="1" applyBorder="1" applyFont="1">
      <alignment vertical="bottom"/>
    </xf>
    <xf borderId="0" fillId="21" fontId="33" numFmtId="0" xfId="0" applyFont="1"/>
    <xf borderId="94" fillId="21" fontId="33" numFmtId="0" xfId="0" applyBorder="1" applyFont="1"/>
    <xf borderId="95" fillId="0" fontId="2" numFmtId="0" xfId="0" applyBorder="1" applyFont="1"/>
    <xf borderId="96" fillId="21" fontId="33" numFmtId="0" xfId="0" applyBorder="1" applyFont="1"/>
    <xf borderId="97" fillId="0" fontId="95" numFmtId="0" xfId="0" applyAlignment="1" applyBorder="1" applyFont="1">
      <alignment horizontal="center" vertical="center"/>
    </xf>
    <xf borderId="98" fillId="0" fontId="33" numFmtId="0" xfId="0" applyBorder="1" applyFont="1"/>
    <xf borderId="97" fillId="0" fontId="33" numFmtId="0" xfId="0" applyAlignment="1" applyBorder="1" applyFont="1">
      <alignment vertical="bottom"/>
    </xf>
    <xf borderId="98" fillId="0" fontId="33" numFmtId="0" xfId="0" applyAlignment="1" applyBorder="1" applyFont="1">
      <alignment vertical="bottom"/>
    </xf>
    <xf borderId="98" fillId="0" fontId="32" numFmtId="0" xfId="0" applyAlignment="1" applyBorder="1" applyFont="1">
      <alignment readingOrder="0" vertical="center"/>
    </xf>
    <xf borderId="99" fillId="0" fontId="32" numFmtId="0" xfId="0" applyAlignment="1" applyBorder="1" applyFont="1">
      <alignment readingOrder="0" vertical="center"/>
    </xf>
    <xf borderId="99" fillId="0" fontId="32" numFmtId="0" xfId="0" applyAlignment="1" applyBorder="1" applyFont="1">
      <alignment vertical="center"/>
    </xf>
    <xf borderId="100" fillId="20" fontId="34" numFmtId="0" xfId="0" applyBorder="1" applyFont="1"/>
    <xf borderId="51" fillId="0" fontId="2" numFmtId="0" xfId="0" applyBorder="1" applyFont="1"/>
    <xf borderId="101" fillId="0" fontId="2" numFmtId="0" xfId="0" applyBorder="1" applyFont="1"/>
    <xf borderId="102" fillId="21" fontId="33" numFmtId="0" xfId="0" applyBorder="1" applyFont="1"/>
    <xf borderId="97" fillId="0" fontId="2" numFmtId="0" xfId="0" applyBorder="1" applyFont="1"/>
    <xf borderId="103" fillId="0" fontId="33" numFmtId="0" xfId="0" applyBorder="1" applyFont="1"/>
    <xf borderId="104" fillId="21" fontId="33" numFmtId="0" xfId="0" applyBorder="1" applyFont="1"/>
    <xf borderId="105" fillId="21" fontId="33" numFmtId="0" xfId="0" applyBorder="1" applyFont="1"/>
    <xf borderId="106" fillId="0" fontId="33" numFmtId="0" xfId="0" applyBorder="1" applyFont="1"/>
    <xf borderId="106" fillId="0" fontId="38" numFmtId="0" xfId="0" applyAlignment="1" applyBorder="1" applyFont="1">
      <alignment readingOrder="0" vertical="center"/>
    </xf>
    <xf borderId="103" fillId="0" fontId="38" numFmtId="0" xfId="0" applyAlignment="1" applyBorder="1" applyFont="1">
      <alignment readingOrder="0" vertical="center"/>
    </xf>
    <xf borderId="6" fillId="13" fontId="33" numFmtId="0" xfId="0" applyBorder="1" applyFont="1"/>
    <xf borderId="71" fillId="13" fontId="32" numFmtId="0" xfId="0" applyBorder="1" applyFont="1"/>
    <xf borderId="76" fillId="13" fontId="32" numFmtId="0" xfId="0" applyAlignment="1" applyBorder="1" applyFont="1">
      <alignment horizontal="right"/>
    </xf>
    <xf borderId="57" fillId="13" fontId="32" numFmtId="0" xfId="0" applyAlignment="1" applyBorder="1" applyFont="1">
      <alignment horizontal="right"/>
    </xf>
    <xf borderId="71" fillId="13" fontId="96" numFmtId="0" xfId="0" applyAlignment="1" applyBorder="1" applyFont="1">
      <alignment horizontal="center"/>
    </xf>
    <xf borderId="57" fillId="13" fontId="32" numFmtId="0" xfId="0" applyBorder="1" applyFont="1"/>
    <xf borderId="103" fillId="0" fontId="33" numFmtId="0" xfId="0" applyBorder="1" applyFont="1"/>
    <xf borderId="107" fillId="21" fontId="52" numFmtId="0" xfId="0" applyAlignment="1" applyBorder="1" applyFont="1">
      <alignment textRotation="90" vertical="center"/>
    </xf>
    <xf borderId="108" fillId="13" fontId="33" numFmtId="0" xfId="0" applyBorder="1" applyFont="1"/>
    <xf borderId="109" fillId="0" fontId="2" numFmtId="0" xfId="0" applyBorder="1" applyFont="1"/>
    <xf borderId="110" fillId="13" fontId="32" numFmtId="0" xfId="0" applyAlignment="1" applyBorder="1" applyFont="1">
      <alignment horizontal="right"/>
    </xf>
    <xf borderId="111" fillId="13" fontId="32" numFmtId="0" xfId="0" applyAlignment="1" applyBorder="1" applyFont="1">
      <alignment horizontal="right"/>
    </xf>
    <xf borderId="112" fillId="21" fontId="33" numFmtId="0" xfId="0" applyBorder="1" applyFont="1"/>
    <xf borderId="107" fillId="21" fontId="33" numFmtId="0" xfId="0" applyBorder="1" applyFont="1"/>
    <xf borderId="113" fillId="0" fontId="2" numFmtId="0" xfId="0" applyBorder="1" applyFont="1"/>
    <xf borderId="114" fillId="0" fontId="2" numFmtId="0" xfId="0" applyBorder="1" applyFont="1"/>
    <xf borderId="5" fillId="22" fontId="97" numFmtId="0" xfId="0" applyAlignment="1" applyBorder="1" applyFont="1">
      <alignment horizontal="center"/>
    </xf>
    <xf borderId="0" fillId="22" fontId="37" numFmtId="0" xfId="0" applyFont="1"/>
    <xf borderId="0" fillId="22" fontId="32" numFmtId="0" xfId="0" applyFont="1"/>
    <xf borderId="75" fillId="22" fontId="37" numFmtId="9" xfId="0" applyAlignment="1" applyBorder="1" applyFont="1" applyNumberFormat="1">
      <alignment horizontal="right"/>
    </xf>
    <xf borderId="81" fillId="22" fontId="32" numFmtId="0" xfId="0" applyAlignment="1" applyBorder="1" applyFont="1">
      <alignment horizontal="right"/>
    </xf>
    <xf borderId="0" fillId="22" fontId="54" numFmtId="0" xfId="0" applyAlignment="1" applyFont="1">
      <alignment horizontal="center"/>
    </xf>
    <xf borderId="0" fillId="22" fontId="38" numFmtId="0" xfId="0" applyFont="1"/>
    <xf borderId="81" fillId="22" fontId="33" numFmtId="0" xfId="0" applyBorder="1" applyFont="1"/>
    <xf borderId="94" fillId="0" fontId="2" numFmtId="0" xfId="0" applyBorder="1" applyFont="1"/>
    <xf borderId="115" fillId="0" fontId="32" numFmtId="0" xfId="0" applyBorder="1" applyFont="1"/>
    <xf borderId="112" fillId="0" fontId="2" numFmtId="0" xfId="0" applyBorder="1" applyFont="1"/>
    <xf borderId="104" fillId="0" fontId="32" numFmtId="0" xfId="0" applyAlignment="1" applyBorder="1" applyFont="1">
      <alignment horizontal="right"/>
    </xf>
    <xf borderId="116" fillId="0" fontId="32" numFmtId="10" xfId="0" applyAlignment="1" applyBorder="1" applyFont="1" applyNumberFormat="1">
      <alignment horizontal="right"/>
    </xf>
    <xf borderId="117" fillId="0" fontId="2" numFmtId="0" xfId="0" applyBorder="1" applyFont="1"/>
    <xf borderId="118" fillId="0" fontId="18" numFmtId="0" xfId="0" applyBorder="1" applyFont="1"/>
    <xf borderId="119" fillId="0" fontId="2" numFmtId="0" xfId="0" applyBorder="1" applyFont="1"/>
    <xf borderId="120" fillId="0" fontId="16" numFmtId="0" xfId="0" applyAlignment="1" applyBorder="1" applyFont="1">
      <alignment horizontal="right"/>
    </xf>
    <xf borderId="121" fillId="0" fontId="32" numFmtId="10" xfId="0" applyAlignment="1" applyBorder="1" applyFont="1" applyNumberFormat="1">
      <alignment horizontal="right"/>
    </xf>
    <xf borderId="122" fillId="0" fontId="2" numFmtId="0" xfId="0" applyBorder="1" applyFont="1"/>
    <xf borderId="123" fillId="0" fontId="2" numFmtId="0" xfId="0" applyBorder="1" applyFont="1"/>
    <xf borderId="124" fillId="0" fontId="33" numFmtId="0" xfId="0" applyBorder="1" applyFont="1"/>
    <xf borderId="104" fillId="21" fontId="33" numFmtId="0" xfId="0" applyBorder="1" applyFont="1"/>
    <xf borderId="94" fillId="21" fontId="52" numFmtId="0" xfId="0" applyAlignment="1" applyBorder="1" applyFont="1">
      <alignment horizontal="center"/>
    </xf>
    <xf borderId="6" fillId="22" fontId="97" numFmtId="0" xfId="0" applyAlignment="1" applyBorder="1" applyFont="1">
      <alignment horizontal="center"/>
    </xf>
    <xf borderId="71" fillId="22" fontId="37" numFmtId="0" xfId="0" applyBorder="1" applyFont="1"/>
    <xf borderId="71" fillId="22" fontId="32" numFmtId="0" xfId="0" applyBorder="1" applyFont="1"/>
    <xf borderId="76" fillId="22" fontId="37" numFmtId="9" xfId="0" applyAlignment="1" applyBorder="1" applyFont="1" applyNumberFormat="1">
      <alignment horizontal="right"/>
    </xf>
    <xf borderId="57" fillId="22" fontId="32" numFmtId="0" xfId="0" applyAlignment="1" applyBorder="1" applyFont="1">
      <alignment horizontal="right"/>
    </xf>
    <xf borderId="71" fillId="22" fontId="54" numFmtId="0" xfId="0" applyAlignment="1" applyBorder="1" applyFont="1">
      <alignment horizontal="center"/>
    </xf>
    <xf borderId="71" fillId="22" fontId="38" numFmtId="0" xfId="0" applyBorder="1" applyFont="1"/>
    <xf borderId="57" fillId="22" fontId="33" numFmtId="0" xfId="0" applyBorder="1" applyFont="1"/>
    <xf borderId="108" fillId="13" fontId="37" numFmtId="0" xfId="0" applyAlignment="1" applyBorder="1" applyFont="1">
      <alignment horizontal="right"/>
    </xf>
    <xf borderId="109" fillId="13" fontId="32" numFmtId="0" xfId="0" applyAlignment="1" applyBorder="1" applyFont="1">
      <alignment horizontal="right"/>
    </xf>
    <xf borderId="125" fillId="13" fontId="32" numFmtId="0" xfId="0" applyAlignment="1" applyBorder="1" applyFont="1">
      <alignment horizontal="right"/>
    </xf>
    <xf borderId="51" fillId="13" fontId="32" numFmtId="0" xfId="0" applyAlignment="1" applyBorder="1" applyFont="1">
      <alignment horizontal="right"/>
    </xf>
    <xf borderId="101" fillId="13" fontId="32" numFmtId="0" xfId="0" applyAlignment="1" applyBorder="1" applyFont="1">
      <alignment horizontal="right"/>
    </xf>
    <xf borderId="126" fillId="21" fontId="33" numFmtId="0" xfId="0" applyBorder="1" applyFont="1"/>
    <xf borderId="124" fillId="0" fontId="33" numFmtId="0" xfId="0" applyBorder="1" applyFont="1"/>
    <xf borderId="94" fillId="21" fontId="33" numFmtId="0" xfId="0" applyAlignment="1" applyBorder="1" applyFont="1">
      <alignment vertical="bottom"/>
    </xf>
    <xf borderId="127" fillId="21" fontId="52" numFmtId="0" xfId="0" applyAlignment="1" applyBorder="1" applyFont="1">
      <alignment textRotation="90" vertical="center"/>
    </xf>
    <xf borderId="128" fillId="13" fontId="37" numFmtId="0" xfId="0" applyBorder="1" applyFont="1"/>
    <xf borderId="104" fillId="13" fontId="73" numFmtId="2" xfId="0" applyAlignment="1" applyBorder="1" applyFont="1" applyNumberFormat="1">
      <alignment horizontal="right"/>
    </xf>
    <xf borderId="129" fillId="13" fontId="73" numFmtId="166" xfId="0" applyAlignment="1" applyBorder="1" applyFont="1" applyNumberFormat="1">
      <alignment horizontal="right"/>
    </xf>
    <xf borderId="130" fillId="13" fontId="73" numFmtId="166" xfId="0" applyAlignment="1" applyBorder="1" applyFont="1" applyNumberFormat="1">
      <alignment horizontal="right"/>
    </xf>
    <xf borderId="131" fillId="0" fontId="2" numFmtId="0" xfId="0" applyBorder="1" applyFont="1"/>
    <xf borderId="18" fillId="13" fontId="73" numFmtId="166" xfId="0" applyAlignment="1" applyBorder="1" applyFont="1" applyNumberFormat="1">
      <alignment horizontal="right"/>
    </xf>
    <xf borderId="62" fillId="13" fontId="73" numFmtId="166" xfId="0" applyAlignment="1" applyBorder="1" applyFont="1" applyNumberFormat="1">
      <alignment horizontal="right"/>
    </xf>
    <xf borderId="132" fillId="0" fontId="2" numFmtId="0" xfId="0" applyBorder="1" applyFont="1"/>
    <xf borderId="133" fillId="0" fontId="2" numFmtId="0" xfId="0" applyBorder="1" applyFont="1"/>
    <xf borderId="128" fillId="13" fontId="32" numFmtId="0" xfId="0" applyBorder="1" applyFont="1"/>
    <xf borderId="134" fillId="13" fontId="73" numFmtId="166" xfId="0" applyAlignment="1" applyBorder="1" applyFont="1" applyNumberFormat="1">
      <alignment horizontal="right"/>
    </xf>
    <xf borderId="135" fillId="0" fontId="32" numFmtId="164" xfId="0" applyAlignment="1" applyBorder="1" applyFont="1" applyNumberFormat="1">
      <alignment horizontal="right"/>
    </xf>
    <xf borderId="0" fillId="0" fontId="32" numFmtId="164" xfId="0" applyAlignment="1" applyFont="1" applyNumberFormat="1">
      <alignment horizontal="right"/>
    </xf>
    <xf borderId="136" fillId="0" fontId="32" numFmtId="164" xfId="0" applyAlignment="1" applyBorder="1" applyFont="1" applyNumberFormat="1">
      <alignment horizontal="right"/>
    </xf>
    <xf borderId="81" fillId="0" fontId="32" numFmtId="164" xfId="0" applyAlignment="1" applyBorder="1" applyFont="1" applyNumberFormat="1">
      <alignment horizontal="right"/>
    </xf>
    <xf borderId="71" fillId="13" fontId="52" numFmtId="0" xfId="0" applyBorder="1" applyFont="1"/>
    <xf borderId="0" fillId="0" fontId="98" numFmtId="0" xfId="0" applyAlignment="1" applyFont="1">
      <alignment readingOrder="0"/>
    </xf>
    <xf borderId="0" fillId="22" fontId="52" numFmtId="0" xfId="0" applyFont="1"/>
    <xf borderId="0" fillId="22" fontId="33" numFmtId="0" xfId="0" applyFont="1"/>
    <xf borderId="0" fillId="22" fontId="32" numFmtId="0" xfId="0" applyAlignment="1" applyFont="1">
      <alignment horizontal="center"/>
    </xf>
    <xf borderId="81" fillId="22" fontId="83" numFmtId="0" xfId="0" applyBorder="1" applyFont="1"/>
    <xf borderId="106" fillId="0" fontId="32" numFmtId="0" xfId="0" applyAlignment="1" applyBorder="1" applyFont="1">
      <alignment vertical="center"/>
    </xf>
    <xf borderId="75" fillId="25" fontId="37" numFmtId="0" xfId="0" applyBorder="1" applyFont="1"/>
    <xf borderId="0" fillId="25" fontId="32" numFmtId="0" xfId="0" applyAlignment="1" applyFont="1">
      <alignment horizontal="center"/>
    </xf>
    <xf borderId="0" fillId="25" fontId="32" numFmtId="0" xfId="0" applyFont="1"/>
    <xf borderId="75" fillId="25" fontId="37" numFmtId="9" xfId="0" applyAlignment="1" applyBorder="1" applyFont="1" applyNumberFormat="1">
      <alignment horizontal="right"/>
    </xf>
    <xf borderId="81" fillId="25" fontId="32" numFmtId="0" xfId="0" applyAlignment="1" applyBorder="1" applyFont="1">
      <alignment horizontal="right"/>
    </xf>
    <xf borderId="0" fillId="25" fontId="33" numFmtId="0" xfId="0" applyFont="1"/>
    <xf borderId="0" fillId="25" fontId="38" numFmtId="0" xfId="0" applyFont="1"/>
    <xf borderId="81" fillId="25" fontId="83" numFmtId="0" xfId="0" applyBorder="1" applyFont="1"/>
    <xf borderId="75" fillId="24" fontId="37" numFmtId="0" xfId="0" applyBorder="1" applyFont="1"/>
    <xf borderId="0" fillId="24" fontId="32" numFmtId="0" xfId="0" applyAlignment="1" applyFont="1">
      <alignment horizontal="center" readingOrder="0"/>
    </xf>
    <xf borderId="0" fillId="24" fontId="32" numFmtId="0" xfId="0" applyFont="1"/>
    <xf borderId="75" fillId="24" fontId="37" numFmtId="9" xfId="0" applyAlignment="1" applyBorder="1" applyFont="1" applyNumberFormat="1">
      <alignment horizontal="right"/>
    </xf>
    <xf borderId="81" fillId="24" fontId="32" numFmtId="0" xfId="0" applyAlignment="1" applyBorder="1" applyFont="1">
      <alignment horizontal="right"/>
    </xf>
    <xf borderId="0" fillId="24" fontId="32" numFmtId="0" xfId="0" applyAlignment="1" applyFont="1">
      <alignment horizontal="center"/>
    </xf>
    <xf borderId="0" fillId="24" fontId="33" numFmtId="0" xfId="0" applyFont="1"/>
    <xf borderId="0" fillId="24" fontId="38" numFmtId="0" xfId="0" applyFont="1"/>
    <xf borderId="81" fillId="24" fontId="83" numFmtId="0" xfId="0" applyAlignment="1" applyBorder="1" applyFont="1">
      <alignment vertical="center"/>
    </xf>
    <xf borderId="81" fillId="0" fontId="2" numFmtId="0" xfId="0" applyBorder="1" applyFont="1"/>
    <xf borderId="76" fillId="24" fontId="37" numFmtId="0" xfId="0" applyBorder="1" applyFont="1"/>
    <xf borderId="71" fillId="24" fontId="32" numFmtId="0" xfId="0" applyAlignment="1" applyBorder="1" applyFont="1">
      <alignment horizontal="center"/>
    </xf>
    <xf borderId="71" fillId="24" fontId="32" numFmtId="0" xfId="0" applyBorder="1" applyFont="1"/>
    <xf borderId="76" fillId="24" fontId="37" numFmtId="9" xfId="0" applyAlignment="1" applyBorder="1" applyFont="1" applyNumberFormat="1">
      <alignment horizontal="right"/>
    </xf>
    <xf borderId="57" fillId="24" fontId="32" numFmtId="0" xfId="0" applyAlignment="1" applyBorder="1" applyFont="1">
      <alignment horizontal="right"/>
    </xf>
    <xf borderId="71" fillId="24" fontId="33" numFmtId="0" xfId="0" applyBorder="1" applyFont="1"/>
    <xf borderId="71" fillId="24" fontId="38" numFmtId="0" xfId="0" applyBorder="1" applyFont="1"/>
    <xf borderId="137" fillId="21" fontId="16" numFmtId="0" xfId="0" applyAlignment="1" applyBorder="1" applyFont="1">
      <alignment horizontal="center" vertical="center"/>
    </xf>
    <xf borderId="137" fillId="0" fontId="2" numFmtId="0" xfId="0" applyBorder="1" applyFont="1"/>
    <xf borderId="138" fillId="21" fontId="33" numFmtId="0" xfId="0" applyBorder="1" applyFont="1"/>
    <xf borderId="139" fillId="13" fontId="32" numFmtId="0" xfId="0" applyBorder="1" applyFont="1"/>
    <xf borderId="140" fillId="13" fontId="73" numFmtId="166" xfId="0" applyAlignment="1" applyBorder="1" applyFont="1" applyNumberFormat="1">
      <alignment horizontal="right"/>
    </xf>
    <xf borderId="141" fillId="0" fontId="32" numFmtId="164" xfId="0" applyAlignment="1" applyBorder="1" applyFont="1" applyNumberFormat="1">
      <alignment horizontal="right"/>
    </xf>
    <xf borderId="71" fillId="0" fontId="32" numFmtId="164" xfId="0" applyAlignment="1" applyBorder="1" applyFont="1" applyNumberFormat="1">
      <alignment horizontal="right"/>
    </xf>
    <xf borderId="142" fillId="0" fontId="32" numFmtId="164" xfId="0" applyAlignment="1" applyBorder="1" applyFont="1" applyNumberFormat="1">
      <alignment horizontal="right"/>
    </xf>
    <xf borderId="57" fillId="0" fontId="32" numFmtId="164" xfId="0" applyAlignment="1" applyBorder="1" applyFont="1" applyNumberFormat="1">
      <alignment horizontal="right"/>
    </xf>
    <xf borderId="143" fillId="0" fontId="2" numFmtId="0" xfId="0" applyBorder="1" applyFont="1"/>
    <xf borderId="144" fillId="0" fontId="2" numFmtId="0" xfId="0" applyBorder="1" applyFont="1"/>
    <xf borderId="145" fillId="21" fontId="33" numFmtId="0" xfId="0" applyAlignment="1" applyBorder="1" applyFont="1">
      <alignment vertical="bottom"/>
    </xf>
    <xf borderId="146" fillId="0" fontId="2" numFmtId="0" xfId="0" applyBorder="1" applyFont="1"/>
    <xf borderId="96" fillId="0" fontId="2" numFmtId="0" xfId="0" applyBorder="1" applyFont="1"/>
    <xf borderId="147" fillId="27" fontId="33" numFmtId="0" xfId="0" applyAlignment="1" applyBorder="1" applyFont="1">
      <alignment vertical="bottom"/>
    </xf>
    <xf borderId="148" fillId="27" fontId="33" numFmtId="0" xfId="0" applyAlignment="1" applyBorder="1" applyFont="1">
      <alignment vertical="bottom"/>
    </xf>
    <xf borderId="149" fillId="27" fontId="33" numFmtId="0" xfId="0" applyAlignment="1" applyBorder="1" applyFont="1">
      <alignment vertical="bottom"/>
    </xf>
    <xf borderId="150" fillId="27" fontId="33" numFmtId="0" xfId="0" applyAlignment="1" applyBorder="1" applyFont="1">
      <alignment vertical="bottom"/>
    </xf>
    <xf borderId="148" fillId="27" fontId="33" numFmtId="0" xfId="0" applyBorder="1" applyFont="1"/>
    <xf borderId="151" fillId="27" fontId="33" numFmtId="0" xfId="0" applyBorder="1" applyFont="1"/>
    <xf borderId="103" fillId="22" fontId="32" numFmtId="0" xfId="0" applyBorder="1" applyFont="1"/>
    <xf borderId="124" fillId="0" fontId="2" numFmtId="0" xfId="0" applyBorder="1" applyFont="1"/>
    <xf borderId="149" fillId="0" fontId="33" numFmtId="0" xfId="0" applyAlignment="1" applyBorder="1" applyFont="1">
      <alignment vertical="bottom"/>
    </xf>
    <xf borderId="124" fillId="0" fontId="33" numFmtId="0" xfId="0" applyAlignment="1" applyBorder="1" applyFont="1">
      <alignment vertical="bottom"/>
    </xf>
    <xf borderId="106" fillId="0" fontId="33" numFmtId="0" xfId="0" applyAlignment="1" applyBorder="1" applyFont="1">
      <alignment vertical="bottom"/>
    </xf>
    <xf borderId="152" fillId="19" fontId="99" numFmtId="0" xfId="0" applyAlignment="1" applyBorder="1" applyFont="1">
      <alignment horizontal="center" shrinkToFit="0" vertical="center" wrapText="1"/>
    </xf>
    <xf borderId="153" fillId="0" fontId="2" numFmtId="0" xfId="0" applyBorder="1" applyFont="1"/>
    <xf borderId="154" fillId="0" fontId="2" numFmtId="0" xfId="0" applyBorder="1" applyFont="1"/>
    <xf borderId="103" fillId="24" fontId="32" numFmtId="0" xfId="0" applyBorder="1" applyFont="1"/>
    <xf borderId="155" fillId="0" fontId="2" numFmtId="0" xfId="0" applyBorder="1" applyFont="1"/>
    <xf borderId="103" fillId="0" fontId="32" numFmtId="0" xfId="0" applyAlignment="1" applyBorder="1" applyFont="1">
      <alignment vertical="center"/>
    </xf>
    <xf borderId="98" fillId="0" fontId="2" numFmtId="0" xfId="0" applyBorder="1" applyFont="1"/>
    <xf borderId="152" fillId="0" fontId="33" numFmtId="0" xfId="0" applyBorder="1" applyFont="1"/>
    <xf borderId="152" fillId="25" fontId="32" numFmtId="0" xfId="0" applyBorder="1" applyFont="1"/>
    <xf borderId="149" fillId="0" fontId="33" numFmtId="0" xfId="0" applyAlignment="1" applyBorder="1" applyFont="1">
      <alignment vertical="bottom"/>
    </xf>
    <xf borderId="154" fillId="0" fontId="33" numFmtId="0" xfId="0" applyAlignment="1" applyBorder="1" applyFont="1">
      <alignment vertical="bottom"/>
    </xf>
    <xf borderId="156" fillId="0" fontId="33" numFmtId="0" xfId="0" applyAlignment="1" applyBorder="1" applyFont="1">
      <alignment vertical="bottom"/>
    </xf>
    <xf borderId="99" fillId="0" fontId="2" numFmtId="0" xfId="0" applyBorder="1" applyFont="1"/>
    <xf borderId="157" fillId="0" fontId="2" numFmtId="0" xfId="0" applyBorder="1" applyFont="1"/>
    <xf borderId="158" fillId="0" fontId="2" numFmtId="0" xfId="0" applyBorder="1" applyFont="1"/>
    <xf borderId="154" fillId="0" fontId="33" numFmtId="0" xfId="0" applyBorder="1" applyFont="1"/>
    <xf borderId="149" fillId="0" fontId="33" numFmtId="0" xfId="0" applyBorder="1" applyFont="1"/>
    <xf borderId="149" fillId="0" fontId="33" numFmtId="0" xfId="0" applyBorder="1" applyFont="1"/>
    <xf borderId="0" fillId="0" fontId="32" numFmtId="0" xfId="0" applyAlignment="1" applyFont="1">
      <alignment vertical="center"/>
    </xf>
    <xf borderId="0" fillId="24" fontId="32" numFmtId="0" xfId="0" applyAlignment="1" applyFont="1">
      <alignment vertical="bottom"/>
    </xf>
    <xf borderId="0" fillId="24" fontId="33" numFmtId="0" xfId="0" applyAlignment="1" applyFont="1">
      <alignment readingOrder="0" vertical="bottom"/>
    </xf>
    <xf borderId="100" fillId="0" fontId="33" numFmtId="0" xfId="0" applyAlignment="1" applyBorder="1" applyFont="1">
      <alignment vertical="bottom"/>
    </xf>
    <xf borderId="51" fillId="0" fontId="32" numFmtId="0" xfId="0" applyAlignment="1" applyBorder="1" applyFont="1">
      <alignment vertical="bottom"/>
    </xf>
    <xf borderId="101" fillId="0" fontId="33" numFmtId="0" xfId="0" applyAlignment="1" applyBorder="1" applyFont="1">
      <alignment readingOrder="0" vertical="bottom"/>
    </xf>
    <xf borderId="100" fillId="0" fontId="32" numFmtId="0" xfId="0" applyAlignment="1" applyBorder="1" applyFont="1">
      <alignment vertical="bottom"/>
    </xf>
    <xf borderId="101" fillId="0" fontId="32" numFmtId="0" xfId="0" applyAlignment="1" applyBorder="1" applyFont="1">
      <alignment vertical="bottom"/>
    </xf>
    <xf borderId="75" fillId="0" fontId="32" numFmtId="0" xfId="0" applyAlignment="1" applyBorder="1" applyFont="1">
      <alignment vertical="bottom"/>
    </xf>
    <xf borderId="100" fillId="0" fontId="32" numFmtId="0" xfId="0" applyAlignment="1" applyBorder="1" applyFont="1">
      <alignment readingOrder="0" vertical="bottom"/>
    </xf>
    <xf borderId="51" fillId="0" fontId="32" numFmtId="0" xfId="0" applyAlignment="1" applyBorder="1" applyFont="1">
      <alignment readingOrder="0" vertical="bottom"/>
    </xf>
    <xf borderId="101" fillId="0" fontId="33" numFmtId="0" xfId="0" applyAlignment="1" applyBorder="1" applyFont="1">
      <alignment vertical="bottom"/>
    </xf>
    <xf borderId="81" fillId="0" fontId="33" numFmtId="0" xfId="0" applyAlignment="1" applyBorder="1" applyFont="1">
      <alignment vertical="bottom"/>
    </xf>
    <xf borderId="81" fillId="0" fontId="33" numFmtId="0" xfId="0" applyAlignment="1" applyBorder="1" applyFont="1">
      <alignment readingOrder="0" shrinkToFit="0" vertical="bottom" wrapText="0"/>
    </xf>
    <xf borderId="75" fillId="0" fontId="33" numFmtId="0" xfId="0" applyAlignment="1" applyBorder="1" applyFont="1">
      <alignment vertical="bottom"/>
    </xf>
    <xf borderId="76" fillId="0" fontId="33" numFmtId="0" xfId="0" applyAlignment="1" applyBorder="1" applyFont="1">
      <alignment vertical="bottom"/>
    </xf>
    <xf borderId="57" fillId="0" fontId="33" numFmtId="0" xfId="0" applyAlignment="1" applyBorder="1" applyFont="1">
      <alignment readingOrder="0" vertical="bottom"/>
    </xf>
    <xf borderId="75" fillId="0" fontId="32" numFmtId="0" xfId="0" applyAlignment="1" applyBorder="1" applyFont="1">
      <alignment readingOrder="0" shrinkToFit="0" vertical="bottom" wrapText="0"/>
    </xf>
    <xf borderId="75" fillId="0" fontId="32" numFmtId="0" xfId="0" applyAlignment="1" applyBorder="1" applyFont="1">
      <alignment readingOrder="0" vertical="bottom"/>
    </xf>
    <xf borderId="76" fillId="0" fontId="32" numFmtId="0" xfId="0" applyAlignment="1" applyBorder="1" applyFont="1">
      <alignment vertical="bottom"/>
    </xf>
    <xf borderId="76" fillId="0" fontId="32" numFmtId="0" xfId="0" applyAlignment="1" applyBorder="1" applyFont="1">
      <alignment shrinkToFit="0" vertical="bottom" wrapText="0"/>
    </xf>
    <xf borderId="71" fillId="0" fontId="33" numFmtId="0" xfId="0" applyAlignment="1" applyBorder="1" applyFont="1">
      <alignment vertical="bottom"/>
    </xf>
    <xf borderId="57" fillId="0" fontId="33" numFmtId="0" xfId="0" applyAlignment="1" applyBorder="1" applyFont="1">
      <alignment vertical="bottom"/>
    </xf>
    <xf borderId="100" fillId="24" fontId="32" numFmtId="0" xfId="0" applyAlignment="1" applyBorder="1" applyFont="1">
      <alignment vertical="bottom"/>
    </xf>
    <xf borderId="81" fillId="0" fontId="32" numFmtId="3" xfId="0" applyAlignment="1" applyBorder="1" applyFont="1" applyNumberFormat="1">
      <alignment horizontal="right" vertical="bottom"/>
    </xf>
    <xf borderId="81" fillId="0" fontId="32" numFmtId="1" xfId="0" applyAlignment="1" applyBorder="1" applyFont="1" applyNumberFormat="1">
      <alignment horizontal="right" vertical="bottom"/>
    </xf>
    <xf borderId="0" fillId="0" fontId="32" numFmtId="0" xfId="0" applyAlignment="1" applyFont="1">
      <alignment horizontal="right" vertical="bottom"/>
    </xf>
    <xf borderId="81" fillId="0" fontId="32" numFmtId="0" xfId="0" applyAlignment="1" applyBorder="1" applyFont="1">
      <alignment horizontal="right" vertical="bottom"/>
    </xf>
    <xf borderId="71" fillId="0" fontId="32" numFmtId="3" xfId="0" applyAlignment="1" applyBorder="1" applyFont="1" applyNumberFormat="1">
      <alignment horizontal="right" vertical="bottom"/>
    </xf>
    <xf borderId="57" fillId="0" fontId="32" numFmtId="3" xfId="0" applyAlignment="1" applyBorder="1" applyFont="1" applyNumberFormat="1">
      <alignment horizontal="right" vertical="bottom"/>
    </xf>
    <xf borderId="76" fillId="0" fontId="33" numFmtId="0" xfId="0" applyAlignment="1" applyBorder="1" applyFont="1">
      <alignment readingOrder="0" vertical="bottom"/>
    </xf>
    <xf borderId="71" fillId="0" fontId="32" numFmtId="1" xfId="0" applyAlignment="1" applyBorder="1" applyFont="1" applyNumberFormat="1">
      <alignment horizontal="right" vertical="bottom"/>
    </xf>
    <xf borderId="57" fillId="0" fontId="32" numFmtId="1" xfId="0" applyAlignment="1" applyBorder="1" applyFont="1" applyNumberFormat="1">
      <alignment horizontal="right" vertical="bottom"/>
    </xf>
    <xf borderId="100" fillId="0" fontId="33" numFmtId="0" xfId="0" applyAlignment="1" applyBorder="1" applyFont="1">
      <alignment readingOrder="0" vertical="bottom"/>
    </xf>
    <xf borderId="101" fillId="0" fontId="32" numFmtId="0" xfId="0" applyAlignment="1" applyBorder="1" applyFont="1">
      <alignment readingOrder="0" vertical="bottom"/>
    </xf>
    <xf borderId="75" fillId="0" fontId="33" numFmtId="0" xfId="0" applyAlignment="1" applyBorder="1" applyFont="1">
      <alignment readingOrder="0" vertical="bottom"/>
    </xf>
    <xf borderId="0" fillId="27" fontId="33" numFmtId="0" xfId="0" applyAlignment="1" applyFont="1">
      <alignment vertical="bottom"/>
    </xf>
    <xf borderId="57" fillId="0" fontId="32" numFmtId="0" xfId="0" applyAlignment="1" applyBorder="1" applyFont="1">
      <alignment readingOrder="0" vertical="bottom"/>
    </xf>
  </cellXfs>
  <cellStyles count="1">
    <cellStyle xfId="0" name="Normal" builtinId="0"/>
  </cellStyles>
  <dxfs count="8">
    <dxf>
      <font/>
      <fill>
        <patternFill patternType="none"/>
      </fill>
      <border/>
    </dxf>
    <dxf>
      <font/>
      <fill>
        <patternFill patternType="none"/>
      </fill>
      <border/>
    </dxf>
    <dxf>
      <font/>
      <fill>
        <patternFill patternType="solid">
          <fgColor rgb="FF93C47D"/>
          <bgColor rgb="FF93C47D"/>
        </patternFill>
      </fill>
      <border/>
    </dxf>
    <dxf>
      <font/>
      <fill>
        <patternFill patternType="solid">
          <fgColor rgb="FFB7E1CD"/>
          <bgColor rgb="FFB7E1CD"/>
        </patternFill>
      </fill>
      <border/>
    </dxf>
    <dxf>
      <font>
        <color rgb="FF0B8043"/>
      </font>
      <fill>
        <patternFill patternType="none"/>
      </fill>
      <border/>
    </dxf>
    <dxf>
      <font>
        <color rgb="FF000000"/>
      </font>
      <fill>
        <patternFill patternType="solid">
          <fgColor rgb="FFC9DAF8"/>
          <bgColor rgb="FFC9DAF8"/>
        </patternFill>
      </fill>
      <border/>
    </dxf>
    <dxf>
      <font/>
      <fill>
        <patternFill patternType="none"/>
      </fill>
      <border/>
    </dxf>
    <dxf>
      <font>
        <color rgb="FFBF9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chartsheet" Target="chartsheets/sheet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chartsheet" Target="chartsheets/sheet2.xml"/><Relationship Id="rId14" Type="http://schemas.openxmlformats.org/officeDocument/2006/relationships/worksheet" Target="worksheets/sheet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Database!$AI$14</c:f>
            </c:strRef>
          </c:tx>
          <c:spPr>
            <a:solidFill>
              <a:schemeClr val="accent1"/>
            </a:solidFill>
            <a:ln cmpd="sng">
              <a:solidFill>
                <a:srgbClr val="000000"/>
              </a:solidFill>
            </a:ln>
          </c:spPr>
          <c:cat>
            <c:strRef>
              <c:f>Database!$G$15:$G$57</c:f>
            </c:strRef>
          </c:cat>
          <c:val>
            <c:numRef>
              <c:f>Database!$AI$15:$AI$57</c:f>
              <c:numCache/>
            </c:numRef>
          </c:val>
        </c:ser>
        <c:axId val="1258170058"/>
        <c:axId val="867337423"/>
      </c:barChart>
      <c:catAx>
        <c:axId val="1258170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7337423"/>
      </c:catAx>
      <c:valAx>
        <c:axId val="867337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Damage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8170058"/>
      </c:valAx>
      <c:barChart>
        <c:barDir val="col"/>
        <c:ser>
          <c:idx val="1"/>
          <c:order val="1"/>
          <c:tx>
            <c:strRef>
              <c:f>Database!$AL$14</c:f>
            </c:strRef>
          </c:tx>
          <c:spPr>
            <a:solidFill>
              <a:schemeClr val="accent2"/>
            </a:solidFill>
            <a:ln cmpd="sng">
              <a:solidFill>
                <a:srgbClr val="000000"/>
              </a:solidFill>
            </a:ln>
          </c:spPr>
          <c:cat>
            <c:strRef>
              <c:f>Database!$G$15:$G$57</c:f>
            </c:strRef>
          </c:cat>
          <c:val>
            <c:numRef>
              <c:f>Database!$AL$15:$AL$57</c:f>
              <c:numCache/>
            </c:numRef>
          </c:val>
        </c:ser>
        <c:axId val="2050641863"/>
        <c:axId val="339119515"/>
      </c:barChart>
      <c:catAx>
        <c:axId val="2050641863"/>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339119515"/>
      </c:catAx>
      <c:valAx>
        <c:axId val="33911951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Damage per second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0641863"/>
        <c:crosses val="max"/>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Damage Chart</a:t>
            </a:r>
          </a:p>
        </c:rich>
      </c:tx>
      <c:overlay val="0"/>
    </c:title>
    <c:plotArea>
      <c:layout/>
      <c:barChart>
        <c:barDir val="col"/>
        <c:ser>
          <c:idx val="0"/>
          <c:order val="0"/>
          <c:tx>
            <c:strRef>
              <c:f>'Database OLD'!$W$21</c:f>
            </c:strRef>
          </c:tx>
          <c:spPr>
            <a:solidFill>
              <a:schemeClr val="accent1"/>
            </a:solidFill>
            <a:ln cmpd="sng">
              <a:solidFill>
                <a:srgbClr val="000000"/>
              </a:solidFill>
            </a:ln>
          </c:spPr>
          <c:cat>
            <c:strRef>
              <c:f>'Database OLD'!$D$22:$D$137</c:f>
            </c:strRef>
          </c:cat>
          <c:val>
            <c:numRef>
              <c:f>'Database OLD'!$W$22:$W$137</c:f>
              <c:numCache/>
            </c:numRef>
          </c:val>
        </c:ser>
        <c:axId val="1664207838"/>
        <c:axId val="629940000"/>
      </c:barChart>
      <c:catAx>
        <c:axId val="1664207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629940000"/>
      </c:catAx>
      <c:valAx>
        <c:axId val="629940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DPS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4207838"/>
      </c:valAx>
      <c:barChart>
        <c:barDir val="col"/>
        <c:ser>
          <c:idx val="1"/>
          <c:order val="1"/>
          <c:tx>
            <c:strRef>
              <c:f>'Database OLD'!$T$21</c:f>
            </c:strRef>
          </c:tx>
          <c:spPr>
            <a:solidFill>
              <a:schemeClr val="accent2"/>
            </a:solidFill>
            <a:ln cmpd="sng">
              <a:solidFill>
                <a:srgbClr val="000000"/>
              </a:solidFill>
            </a:ln>
          </c:spPr>
          <c:cat>
            <c:strRef>
              <c:f>'Database OLD'!$D$22:$D$137</c:f>
            </c:strRef>
          </c:cat>
          <c:val>
            <c:numRef>
              <c:f>'Database OLD'!$T$22:$T$137</c:f>
              <c:numCache/>
            </c:numRef>
          </c:val>
        </c:ser>
        <c:ser>
          <c:idx val="2"/>
          <c:order val="2"/>
          <c:tx>
            <c:strRef>
              <c:f>'Database OLD'!$S$21</c:f>
            </c:strRef>
          </c:tx>
          <c:spPr>
            <a:solidFill>
              <a:schemeClr val="accent3"/>
            </a:solidFill>
            <a:ln cmpd="sng">
              <a:solidFill>
                <a:srgbClr val="000000"/>
              </a:solidFill>
              <a:prstDash val="solid"/>
            </a:ln>
          </c:spPr>
          <c:cat>
            <c:strRef>
              <c:f>'Database OLD'!$D$22:$D$137</c:f>
            </c:strRef>
          </c:cat>
          <c:val>
            <c:numRef>
              <c:f>'Database OLD'!$S$22:$S$137</c:f>
              <c:numCache/>
            </c:numRef>
          </c:val>
        </c:ser>
        <c:axId val="1591572881"/>
        <c:axId val="1181823888"/>
      </c:barChart>
      <c:catAx>
        <c:axId val="1591572881"/>
        <c:scaling>
          <c:orientation val="minMax"/>
        </c:scaling>
        <c:delete val="0"/>
        <c:axPos val="b"/>
        <c:numFmt formatCode="General" sourceLinked="1"/>
        <c:majorTickMark val="out"/>
        <c:minorTickMark val="none"/>
        <c:spPr/>
        <c:txPr>
          <a:bodyPr/>
          <a:lstStyle/>
          <a:p>
            <a:pPr lvl="0">
              <a:defRPr b="0">
                <a:solidFill>
                  <a:srgbClr val="000000"/>
                </a:solidFill>
                <a:latin typeface="+mn-lt"/>
              </a:defRPr>
            </a:pPr>
          </a:p>
        </c:txPr>
        <c:crossAx val="1181823888"/>
      </c:catAx>
      <c:valAx>
        <c:axId val="118182388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1572881"/>
        <c:crosses val="max"/>
      </c:valAx>
    </c:plotArea>
    <c:legend>
      <c:legendPos val="r"/>
      <c:overlay val="0"/>
      <c:txPr>
        <a:bodyPr/>
        <a:lstStyle/>
        <a:p>
          <a:pPr lvl="0">
            <a:defRPr b="0">
              <a:solidFill>
                <a:srgbClr val="1A1A1A"/>
              </a:solidFill>
              <a:latin typeface="+mn-lt"/>
            </a:defRPr>
          </a:pPr>
        </a:p>
      </c:txPr>
    </c:legend>
    <c:plotVisOnly val="0"/>
  </c:chart>
  <c:spPr>
    <a:solidFill>
      <a:srgbClr val="FFFFFF"/>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sheetPr>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sheetPr>
  <sheetViews>
    <sheetView workbookViewId="0"/>
  </sheetViews>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2387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stiny2.science/damage-generato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b57Hb8m1L3daFfUckQQqvvN6VOpD03KEssvQLMFpC5I/edit" TargetMode="External"/><Relationship Id="rId2" Type="http://schemas.openxmlformats.org/officeDocument/2006/relationships/hyperlink" Target="https://docs.google.com/spreadsheets/d/1_5wtBjRYHHxuF4oJKDb_iOGZs-wTkzB6RYbnyNLbuz4/edit" TargetMode="External"/><Relationship Id="rId3" Type="http://schemas.openxmlformats.org/officeDocument/2006/relationships/hyperlink" Target="https://docs.google.com/spreadsheets/d/1WaxvbLx7UoSZaBqdFr1u32F2uWVLo-CJunJB4nlGUE4/htmlview?pru=AAABe9E7ngw*TxEsfbPsk5ukmr0FbZfK8w" TargetMode="External"/><Relationship Id="rId4" Type="http://schemas.openxmlformats.org/officeDocument/2006/relationships/hyperlink" Target="https://linktr.ee/destinyspreadsheets"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d2gunsmith.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8.38"/>
    <col customWidth="1" min="2" max="2" width="195.38"/>
  </cols>
  <sheetData>
    <row r="1" ht="1.5" customHeight="1">
      <c r="A1" s="1"/>
      <c r="B1" s="2"/>
    </row>
    <row r="2" ht="41.25" customHeight="1">
      <c r="A2" s="3"/>
      <c r="B2" s="4" t="s">
        <v>0</v>
      </c>
    </row>
    <row r="3" ht="11.25" customHeight="1">
      <c r="A3" s="5"/>
      <c r="B3" s="6" t="s">
        <v>1</v>
      </c>
    </row>
    <row r="4" ht="2.25" customHeight="1">
      <c r="A4" s="5"/>
      <c r="B4" s="7"/>
    </row>
    <row r="5" ht="23.25" customHeight="1">
      <c r="A5" s="8"/>
      <c r="B5" s="9" t="s">
        <v>2</v>
      </c>
    </row>
    <row r="6">
      <c r="A6" s="10" t="s">
        <v>3</v>
      </c>
      <c r="B6" s="11" t="s">
        <v>4</v>
      </c>
    </row>
    <row r="7">
      <c r="A7" s="10" t="s">
        <v>5</v>
      </c>
      <c r="B7" s="12" t="str">
        <f>IFERROR(__xludf.DUMMYFUNCTION("importrange(""https://docs.google.com/spreadsheets/d/1rY_iChu08CVnIMfHliZQwup10-GnmPtEu5FG0DNy8VM/edit"",""Information!B6"")"),"3.1")</f>
        <v>3.1</v>
      </c>
    </row>
    <row r="8">
      <c r="A8" s="13"/>
      <c r="B8" s="14" t="str">
        <f>IF(B6=B7,"","Update available! - In order to update the sheet, you need to create a new personal copy with the link below. Please check the changelog on the original sheet.")</f>
        <v/>
      </c>
    </row>
    <row r="9" ht="18.75" customHeight="1">
      <c r="A9" s="15" t="s">
        <v>6</v>
      </c>
      <c r="B9" s="16" t="str">
        <f>HYPERLINK("https://docs.google.com/spreadsheets/d/1rY_iChu08CVnIMfHliZQwup10-GnmPtEu5FG0DNy8VM/edit?usp=sharing")</f>
        <v>https://docs.google.com/spreadsheets/d/1rY_iChu08CVnIMfHliZQwup10-GnmPtEu5FG0DNy8VM/edit?usp=sharing</v>
      </c>
    </row>
    <row r="10" ht="18.75" customHeight="1">
      <c r="A10" s="17" t="s">
        <v>7</v>
      </c>
      <c r="B10" s="18" t="s">
        <v>8</v>
      </c>
    </row>
    <row r="11" ht="111.0" customHeight="1">
      <c r="A11" s="19" t="s">
        <v>9</v>
      </c>
      <c r="B11" s="20" t="s">
        <v>10</v>
      </c>
    </row>
    <row r="12" ht="22.5" customHeight="1">
      <c r="A12" s="21" t="str">
        <f>IMAGE("https://cdn.icon-icons.com/icons2/272/PNG/512/Youtube_30038.png")</f>
        <v/>
      </c>
      <c r="B12" s="22" t="str">
        <f>HYPERLINK("https://www.youtube.com/watch?v=khlzyX72jkc","You can find a tutorial on how to use this spreadsheet on YouTube (outdated)")</f>
        <v>You can find a tutorial on how to use this spreadsheet on YouTube (outdated)</v>
      </c>
    </row>
    <row r="13" ht="22.5" customHeight="1">
      <c r="A13" s="23" t="str">
        <f>IMAGE("https://encrypted-tbn3.gstatic.com/images?q=tbn:ANd9GcR8t3Q_kYYlM9FI7Y_IThJlk8MR9eyAzShqgzdzoXr3m7ymrwQ")</f>
        <v/>
      </c>
      <c r="B13" s="24" t="str">
        <f>HYPERLINK("https://podcasts.google.com/feed/aHR0cHM6Ly9mZWVkcy5jYXB0aXZhdGUuZm0vcHZlLXBvZGNhc3QtdmVyc3VzLWVuZW1pZXMv/episode/YmI4NTVjYmQtMzhhMS00OTU3LWExYTMtOWJkMGU2MTFhNzQ2?sa=X&amp;ved=0CAUQkfYCahcKEwjQh-mQlOqCAxUAAAAAHQAAAAAQAQ","RokDC and this spreadsheet on PvE: Podcast Versus Enemies")</f>
        <v>RokDC and this spreadsheet on PvE: Podcast Versus Enemies</v>
      </c>
    </row>
    <row r="14" ht="22.5" customHeight="1">
      <c r="A14" s="25"/>
      <c r="B14" s="26"/>
    </row>
    <row r="15">
      <c r="A15" s="27" t="s">
        <v>11</v>
      </c>
      <c r="B15" s="28"/>
    </row>
    <row r="16">
      <c r="A16" s="29" t="s">
        <v>12</v>
      </c>
      <c r="B16" s="30" t="s">
        <v>13</v>
      </c>
    </row>
    <row r="17">
      <c r="A17" s="31" t="s">
        <v>14</v>
      </c>
      <c r="B17" s="30" t="s">
        <v>15</v>
      </c>
    </row>
    <row r="18">
      <c r="A18" s="32"/>
      <c r="B18" s="30" t="s">
        <v>16</v>
      </c>
    </row>
    <row r="19">
      <c r="A19" s="32"/>
      <c r="B19" s="30" t="s">
        <v>17</v>
      </c>
    </row>
    <row r="20">
      <c r="A20" s="32"/>
      <c r="B20" s="30" t="s">
        <v>18</v>
      </c>
    </row>
    <row r="21">
      <c r="A21" s="32"/>
      <c r="B21" s="30" t="s">
        <v>19</v>
      </c>
    </row>
    <row r="22">
      <c r="A22" s="33" t="s">
        <v>20</v>
      </c>
      <c r="B22" s="34" t="s">
        <v>21</v>
      </c>
    </row>
    <row r="23">
      <c r="A23" s="35" t="s">
        <v>22</v>
      </c>
      <c r="B23" s="36" t="s">
        <v>23</v>
      </c>
    </row>
    <row r="24" hidden="1">
      <c r="A24" s="37" t="s">
        <v>24</v>
      </c>
      <c r="B24" s="38" t="s">
        <v>25</v>
      </c>
    </row>
    <row r="25" hidden="1">
      <c r="A25" s="39" t="s">
        <v>26</v>
      </c>
      <c r="B25" s="40" t="s">
        <v>27</v>
      </c>
    </row>
    <row r="26" ht="22.5" customHeight="1">
      <c r="A26" s="41"/>
      <c r="B26" s="42"/>
    </row>
    <row r="27">
      <c r="A27" s="43" t="s">
        <v>28</v>
      </c>
      <c r="B27" s="44"/>
    </row>
    <row r="28">
      <c r="A28" s="45" t="s">
        <v>29</v>
      </c>
      <c r="B28" s="46" t="s">
        <v>30</v>
      </c>
    </row>
    <row r="29">
      <c r="A29" s="43" t="s">
        <v>31</v>
      </c>
      <c r="B29" s="46" t="s">
        <v>32</v>
      </c>
    </row>
    <row r="30">
      <c r="A30" s="45" t="s">
        <v>33</v>
      </c>
      <c r="B30" s="46" t="s">
        <v>34</v>
      </c>
    </row>
    <row r="31">
      <c r="A31" s="45" t="s">
        <v>35</v>
      </c>
      <c r="B31" s="46" t="s">
        <v>36</v>
      </c>
    </row>
    <row r="32">
      <c r="A32" s="45" t="s">
        <v>37</v>
      </c>
      <c r="B32" s="46" t="s">
        <v>38</v>
      </c>
    </row>
    <row r="33">
      <c r="A33" s="45" t="s">
        <v>39</v>
      </c>
      <c r="B33" s="46" t="s">
        <v>40</v>
      </c>
    </row>
    <row r="34">
      <c r="A34" s="45" t="s">
        <v>41</v>
      </c>
      <c r="B34" s="46" t="s">
        <v>42</v>
      </c>
    </row>
    <row r="35">
      <c r="A35" s="45" t="s">
        <v>43</v>
      </c>
      <c r="B35" s="46" t="s">
        <v>44</v>
      </c>
    </row>
    <row r="36">
      <c r="A36" s="45" t="s">
        <v>45</v>
      </c>
      <c r="B36" s="46" t="s">
        <v>46</v>
      </c>
    </row>
    <row r="37">
      <c r="A37" s="45" t="s">
        <v>47</v>
      </c>
      <c r="B37" s="46" t="s">
        <v>48</v>
      </c>
    </row>
    <row r="38">
      <c r="A38" s="45" t="s">
        <v>49</v>
      </c>
      <c r="B38" s="46" t="s">
        <v>50</v>
      </c>
    </row>
    <row r="39">
      <c r="A39" s="45" t="s">
        <v>51</v>
      </c>
      <c r="B39" s="46" t="s">
        <v>52</v>
      </c>
    </row>
    <row r="40">
      <c r="A40" s="45" t="s">
        <v>53</v>
      </c>
      <c r="B40" s="46" t="s">
        <v>54</v>
      </c>
    </row>
    <row r="41">
      <c r="A41" s="45" t="s">
        <v>55</v>
      </c>
      <c r="B41" s="46" t="s">
        <v>56</v>
      </c>
    </row>
    <row r="42">
      <c r="A42" s="45" t="s">
        <v>57</v>
      </c>
      <c r="B42" s="46" t="s">
        <v>58</v>
      </c>
    </row>
    <row r="43">
      <c r="A43" s="45" t="s">
        <v>59</v>
      </c>
      <c r="B43" s="46" t="s">
        <v>60</v>
      </c>
    </row>
    <row r="44">
      <c r="A44" s="45" t="s">
        <v>61</v>
      </c>
      <c r="B44" s="47" t="s">
        <v>62</v>
      </c>
    </row>
    <row r="45">
      <c r="A45" s="45" t="s">
        <v>63</v>
      </c>
      <c r="B45" s="46" t="s">
        <v>64</v>
      </c>
    </row>
    <row r="46">
      <c r="A46" s="45" t="s">
        <v>65</v>
      </c>
      <c r="B46" s="48" t="s">
        <v>66</v>
      </c>
    </row>
    <row r="47">
      <c r="A47" s="45" t="s">
        <v>67</v>
      </c>
      <c r="B47" s="48" t="s">
        <v>68</v>
      </c>
    </row>
    <row r="48">
      <c r="A48" s="45" t="s">
        <v>69</v>
      </c>
      <c r="B48" s="48" t="s">
        <v>70</v>
      </c>
    </row>
    <row r="49">
      <c r="A49" s="43" t="s">
        <v>71</v>
      </c>
      <c r="B49" s="48" t="s">
        <v>72</v>
      </c>
    </row>
    <row r="50">
      <c r="A50" s="45" t="s">
        <v>73</v>
      </c>
      <c r="B50" s="48" t="s">
        <v>74</v>
      </c>
    </row>
    <row r="51">
      <c r="A51" s="45" t="s">
        <v>75</v>
      </c>
      <c r="B51" s="48" t="s">
        <v>76</v>
      </c>
    </row>
    <row r="52">
      <c r="A52" s="45" t="s">
        <v>77</v>
      </c>
      <c r="B52" s="48" t="s">
        <v>78</v>
      </c>
    </row>
    <row r="53">
      <c r="A53" s="45" t="s">
        <v>79</v>
      </c>
      <c r="B53" s="48" t="s">
        <v>80</v>
      </c>
    </row>
    <row r="54">
      <c r="A54" s="45" t="s">
        <v>81</v>
      </c>
      <c r="B54" s="48" t="s">
        <v>82</v>
      </c>
    </row>
    <row r="55">
      <c r="A55" s="45" t="s">
        <v>83</v>
      </c>
      <c r="B55" s="48" t="s">
        <v>84</v>
      </c>
    </row>
    <row r="56">
      <c r="A56" s="45" t="s">
        <v>85</v>
      </c>
      <c r="B56" s="48" t="s">
        <v>86</v>
      </c>
    </row>
    <row r="57">
      <c r="A57" s="45" t="s">
        <v>87</v>
      </c>
      <c r="B57" s="48" t="s">
        <v>88</v>
      </c>
    </row>
    <row r="58">
      <c r="A58" s="45" t="s">
        <v>89</v>
      </c>
      <c r="B58" s="48" t="s">
        <v>90</v>
      </c>
    </row>
    <row r="59">
      <c r="A59" s="45" t="s">
        <v>91</v>
      </c>
      <c r="B59" s="48" t="s">
        <v>92</v>
      </c>
    </row>
    <row r="60">
      <c r="A60" s="45" t="s">
        <v>93</v>
      </c>
      <c r="B60" s="48" t="s">
        <v>94</v>
      </c>
    </row>
    <row r="61">
      <c r="A61" s="45" t="s">
        <v>95</v>
      </c>
      <c r="B61" s="48" t="s">
        <v>96</v>
      </c>
    </row>
    <row r="62">
      <c r="A62" s="45" t="s">
        <v>97</v>
      </c>
      <c r="B62" s="48" t="s">
        <v>98</v>
      </c>
    </row>
    <row r="63">
      <c r="A63" s="45" t="s">
        <v>99</v>
      </c>
      <c r="B63" s="48" t="s">
        <v>100</v>
      </c>
    </row>
    <row r="64">
      <c r="A64" s="45" t="s">
        <v>101</v>
      </c>
      <c r="B64" s="48" t="s">
        <v>102</v>
      </c>
    </row>
    <row r="65">
      <c r="A65" s="45" t="s">
        <v>103</v>
      </c>
      <c r="B65" s="48" t="s">
        <v>104</v>
      </c>
    </row>
    <row r="66">
      <c r="A66" s="45" t="s">
        <v>105</v>
      </c>
      <c r="B66" s="48" t="s">
        <v>106</v>
      </c>
    </row>
    <row r="67">
      <c r="A67" s="45" t="s">
        <v>107</v>
      </c>
      <c r="B67" s="48" t="s">
        <v>108</v>
      </c>
    </row>
    <row r="68">
      <c r="A68" s="45" t="s">
        <v>109</v>
      </c>
      <c r="B68" s="48" t="s">
        <v>110</v>
      </c>
    </row>
    <row r="69">
      <c r="A69" s="45" t="s">
        <v>111</v>
      </c>
      <c r="B69" s="48" t="s">
        <v>112</v>
      </c>
    </row>
    <row r="70">
      <c r="A70" s="45" t="s">
        <v>113</v>
      </c>
      <c r="B70" s="48" t="s">
        <v>114</v>
      </c>
    </row>
    <row r="71">
      <c r="A71" s="45" t="s">
        <v>115</v>
      </c>
      <c r="B71" s="48" t="s">
        <v>116</v>
      </c>
    </row>
    <row r="72">
      <c r="A72" s="45" t="s">
        <v>117</v>
      </c>
      <c r="B72" s="48" t="s">
        <v>118</v>
      </c>
    </row>
    <row r="73">
      <c r="A73" s="45" t="s">
        <v>119</v>
      </c>
      <c r="B73" s="48" t="s">
        <v>120</v>
      </c>
    </row>
    <row r="74">
      <c r="A74" s="45" t="s">
        <v>121</v>
      </c>
      <c r="B74" s="48" t="s">
        <v>122</v>
      </c>
    </row>
    <row r="75">
      <c r="A75" s="45" t="s">
        <v>123</v>
      </c>
      <c r="B75" s="48" t="s">
        <v>124</v>
      </c>
    </row>
    <row r="76">
      <c r="A76" s="45" t="s">
        <v>125</v>
      </c>
      <c r="B76" s="48" t="s">
        <v>126</v>
      </c>
    </row>
    <row r="77">
      <c r="A77" s="45" t="s">
        <v>127</v>
      </c>
      <c r="B77" s="48" t="s">
        <v>128</v>
      </c>
    </row>
    <row r="78">
      <c r="A78" s="45" t="s">
        <v>129</v>
      </c>
      <c r="B78" s="48" t="s">
        <v>130</v>
      </c>
    </row>
    <row r="79">
      <c r="A79" s="45" t="s">
        <v>131</v>
      </c>
      <c r="B79" s="48" t="s">
        <v>132</v>
      </c>
    </row>
    <row r="80">
      <c r="A80" s="45" t="s">
        <v>133</v>
      </c>
      <c r="B80" s="48" t="s">
        <v>134</v>
      </c>
    </row>
    <row r="81">
      <c r="A81" s="45" t="s">
        <v>135</v>
      </c>
      <c r="B81" s="48" t="s">
        <v>136</v>
      </c>
    </row>
    <row r="82">
      <c r="A82" s="45" t="s">
        <v>137</v>
      </c>
      <c r="B82" s="48" t="s">
        <v>138</v>
      </c>
    </row>
    <row r="83">
      <c r="A83" s="45" t="s">
        <v>139</v>
      </c>
      <c r="B83" s="48" t="s">
        <v>140</v>
      </c>
    </row>
    <row r="84">
      <c r="A84" s="45" t="s">
        <v>141</v>
      </c>
      <c r="B84" s="48" t="s">
        <v>142</v>
      </c>
    </row>
    <row r="85">
      <c r="A85" s="45" t="s">
        <v>143</v>
      </c>
      <c r="B85" s="48" t="s">
        <v>144</v>
      </c>
    </row>
    <row r="86">
      <c r="A86" s="45" t="s">
        <v>145</v>
      </c>
      <c r="B86" s="48" t="s">
        <v>146</v>
      </c>
    </row>
    <row r="87">
      <c r="A87" s="45" t="s">
        <v>147</v>
      </c>
      <c r="B87" s="45" t="s">
        <v>148</v>
      </c>
    </row>
    <row r="88">
      <c r="A88" s="45" t="s">
        <v>149</v>
      </c>
      <c r="B88" s="45" t="s">
        <v>150</v>
      </c>
    </row>
    <row r="89">
      <c r="A89" s="45" t="s">
        <v>151</v>
      </c>
      <c r="B89" s="45" t="s">
        <v>152</v>
      </c>
    </row>
    <row r="90">
      <c r="A90" s="45" t="s">
        <v>153</v>
      </c>
      <c r="B90" s="45" t="s">
        <v>154</v>
      </c>
    </row>
    <row r="91">
      <c r="A91" s="43" t="s">
        <v>155</v>
      </c>
      <c r="B91" s="45" t="s">
        <v>156</v>
      </c>
    </row>
    <row r="92">
      <c r="A92" s="45" t="s">
        <v>157</v>
      </c>
      <c r="B92" s="45" t="s">
        <v>158</v>
      </c>
    </row>
    <row r="93">
      <c r="A93" s="45" t="s">
        <v>159</v>
      </c>
      <c r="B93" s="45" t="s">
        <v>160</v>
      </c>
    </row>
    <row r="94">
      <c r="A94" s="45" t="s">
        <v>161</v>
      </c>
      <c r="B94" s="45" t="s">
        <v>162</v>
      </c>
    </row>
    <row r="95">
      <c r="A95" s="45" t="s">
        <v>163</v>
      </c>
      <c r="B95" s="48" t="s">
        <v>164</v>
      </c>
    </row>
    <row r="96">
      <c r="A96" s="45" t="s">
        <v>165</v>
      </c>
      <c r="B96" s="48" t="s">
        <v>166</v>
      </c>
    </row>
    <row r="97" ht="22.5" customHeight="1">
      <c r="A97" s="49"/>
      <c r="B97" s="50"/>
    </row>
    <row r="98">
      <c r="A98" s="43" t="s">
        <v>167</v>
      </c>
      <c r="B98" s="51" t="s">
        <v>168</v>
      </c>
    </row>
    <row r="99">
      <c r="A99" s="45" t="s">
        <v>169</v>
      </c>
      <c r="B99" s="45" t="s">
        <v>170</v>
      </c>
    </row>
    <row r="100" ht="22.5" customHeight="1">
      <c r="A100" s="49"/>
      <c r="B100" s="52"/>
    </row>
    <row r="101">
      <c r="A101" s="53" t="s">
        <v>171</v>
      </c>
      <c r="B101" s="54" t="s">
        <v>172</v>
      </c>
    </row>
    <row r="102">
      <c r="A102" s="55"/>
      <c r="B102" s="56" t="s">
        <v>173</v>
      </c>
    </row>
    <row r="103">
      <c r="A103" s="55"/>
      <c r="B103" s="56" t="s">
        <v>174</v>
      </c>
    </row>
    <row r="104">
      <c r="A104" s="55"/>
      <c r="B104" s="54" t="s">
        <v>175</v>
      </c>
    </row>
    <row r="105" ht="22.5" customHeight="1">
      <c r="A105" s="49"/>
      <c r="B105" s="57"/>
    </row>
    <row r="106" ht="22.5" customHeight="1">
      <c r="A106" s="58" t="s">
        <v>176</v>
      </c>
      <c r="B106" s="59" t="s">
        <v>177</v>
      </c>
    </row>
    <row r="107" ht="22.5" customHeight="1">
      <c r="A107" s="60"/>
      <c r="B107" s="61"/>
    </row>
  </sheetData>
  <mergeCells count="3">
    <mergeCell ref="A1:B1"/>
    <mergeCell ref="A2:A5"/>
    <mergeCell ref="A17:A21"/>
  </mergeCells>
  <hyperlinks>
    <hyperlink r:id="rId1" ref="B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2" max="2" width="21.5"/>
    <col customWidth="1" min="3" max="3" width="175.75"/>
  </cols>
  <sheetData>
    <row r="1" ht="1.5" customHeight="1">
      <c r="A1" s="62"/>
      <c r="B1" s="62"/>
      <c r="C1" s="62"/>
    </row>
    <row r="2" ht="45.0" customHeight="1">
      <c r="A2" s="62" t="s">
        <v>178</v>
      </c>
    </row>
    <row r="3">
      <c r="A3" s="63" t="s">
        <v>179</v>
      </c>
      <c r="B3" s="64" t="s">
        <v>180</v>
      </c>
      <c r="C3" s="65"/>
    </row>
    <row r="4">
      <c r="B4" s="66" t="s">
        <v>181</v>
      </c>
      <c r="C4" s="67" t="s">
        <v>182</v>
      </c>
    </row>
    <row r="5">
      <c r="B5" s="66"/>
      <c r="C5" s="67" t="s">
        <v>183</v>
      </c>
    </row>
    <row r="6">
      <c r="B6" s="68"/>
      <c r="C6" s="69" t="s">
        <v>184</v>
      </c>
    </row>
    <row r="7">
      <c r="B7" s="68"/>
      <c r="C7" s="70" t="s">
        <v>185</v>
      </c>
    </row>
    <row r="8">
      <c r="B8" s="66" t="s">
        <v>186</v>
      </c>
      <c r="C8" s="67" t="s">
        <v>187</v>
      </c>
    </row>
    <row r="9">
      <c r="B9" s="64" t="s">
        <v>188</v>
      </c>
      <c r="C9" s="65"/>
    </row>
    <row r="10">
      <c r="B10" s="66" t="s">
        <v>189</v>
      </c>
      <c r="C10" s="67" t="s">
        <v>190</v>
      </c>
    </row>
    <row r="11">
      <c r="B11" s="71"/>
      <c r="C11" s="67" t="s">
        <v>191</v>
      </c>
    </row>
    <row r="12">
      <c r="B12" s="66" t="s">
        <v>192</v>
      </c>
      <c r="C12" s="67" t="s">
        <v>193</v>
      </c>
    </row>
    <row r="13">
      <c r="B13" s="66" t="s">
        <v>194</v>
      </c>
      <c r="C13" s="67" t="s">
        <v>195</v>
      </c>
    </row>
    <row r="14">
      <c r="B14" s="64" t="s">
        <v>196</v>
      </c>
      <c r="C14" s="72"/>
    </row>
    <row r="15">
      <c r="B15" s="66" t="s">
        <v>197</v>
      </c>
      <c r="C15" s="67" t="s">
        <v>198</v>
      </c>
    </row>
    <row r="16">
      <c r="B16" s="73"/>
      <c r="C16" s="67" t="s">
        <v>199</v>
      </c>
    </row>
    <row r="17">
      <c r="B17" s="73"/>
      <c r="C17" s="67" t="s">
        <v>200</v>
      </c>
    </row>
    <row r="18">
      <c r="B18" s="73"/>
      <c r="C18" s="67" t="s">
        <v>201</v>
      </c>
    </row>
    <row r="19">
      <c r="B19" s="64" t="s">
        <v>202</v>
      </c>
      <c r="C19" s="72"/>
    </row>
    <row r="20">
      <c r="B20" s="66" t="s">
        <v>203</v>
      </c>
      <c r="C20" s="67" t="s">
        <v>204</v>
      </c>
    </row>
    <row r="21">
      <c r="B21" s="66" t="s">
        <v>205</v>
      </c>
      <c r="C21" s="67" t="s">
        <v>206</v>
      </c>
    </row>
    <row r="22">
      <c r="A22" s="74" t="s">
        <v>207</v>
      </c>
      <c r="B22" s="64" t="s">
        <v>208</v>
      </c>
      <c r="C22" s="72"/>
    </row>
    <row r="23">
      <c r="B23" s="66" t="s">
        <v>197</v>
      </c>
      <c r="C23" s="67" t="s">
        <v>209</v>
      </c>
    </row>
    <row r="24">
      <c r="B24" s="68"/>
      <c r="C24" s="67" t="s">
        <v>210</v>
      </c>
    </row>
    <row r="25" hidden="1">
      <c r="A25" s="75" t="s">
        <v>211</v>
      </c>
      <c r="B25" s="64" t="s">
        <v>212</v>
      </c>
      <c r="C25" s="72"/>
    </row>
    <row r="26" hidden="1">
      <c r="B26" s="66" t="s">
        <v>186</v>
      </c>
      <c r="C26" s="76" t="s">
        <v>213</v>
      </c>
    </row>
    <row r="27" hidden="1">
      <c r="B27" s="77" t="s">
        <v>214</v>
      </c>
      <c r="C27" s="72"/>
    </row>
    <row r="28" hidden="1">
      <c r="B28" s="66" t="s">
        <v>24</v>
      </c>
      <c r="C28" s="76" t="s">
        <v>215</v>
      </c>
    </row>
    <row r="29" hidden="1">
      <c r="B29" s="64" t="s">
        <v>216</v>
      </c>
      <c r="C29" s="65"/>
    </row>
    <row r="30" hidden="1">
      <c r="B30" s="66" t="s">
        <v>217</v>
      </c>
      <c r="C30" s="76" t="s">
        <v>218</v>
      </c>
    </row>
    <row r="31" ht="45.0" customHeight="1">
      <c r="A31" s="62" t="s">
        <v>219</v>
      </c>
    </row>
    <row r="32">
      <c r="A32" s="78" t="s">
        <v>220</v>
      </c>
      <c r="B32" s="64" t="s">
        <v>221</v>
      </c>
      <c r="C32" s="79"/>
    </row>
    <row r="33">
      <c r="B33" s="80" t="s">
        <v>222</v>
      </c>
      <c r="C33" s="81" t="s">
        <v>223</v>
      </c>
    </row>
    <row r="34">
      <c r="B34" s="82" t="s">
        <v>224</v>
      </c>
      <c r="C34" s="83" t="s">
        <v>225</v>
      </c>
    </row>
    <row r="35">
      <c r="B35" s="84" t="s">
        <v>226</v>
      </c>
      <c r="C35" s="85" t="s">
        <v>227</v>
      </c>
    </row>
    <row r="36">
      <c r="B36" s="84" t="s">
        <v>228</v>
      </c>
      <c r="C36" s="85" t="s">
        <v>229</v>
      </c>
    </row>
    <row r="37">
      <c r="B37" s="86" t="s">
        <v>230</v>
      </c>
      <c r="C37" s="85" t="s">
        <v>231</v>
      </c>
    </row>
    <row r="38">
      <c r="B38" s="86" t="s">
        <v>232</v>
      </c>
      <c r="C38" s="87" t="s">
        <v>233</v>
      </c>
    </row>
    <row r="39">
      <c r="B39" s="86" t="s">
        <v>234</v>
      </c>
      <c r="C39" s="87" t="s">
        <v>235</v>
      </c>
    </row>
    <row r="40">
      <c r="B40" s="66" t="s">
        <v>236</v>
      </c>
      <c r="C40" s="76" t="s">
        <v>237</v>
      </c>
    </row>
    <row r="41">
      <c r="B41" s="86" t="s">
        <v>238</v>
      </c>
      <c r="C41" s="87" t="s">
        <v>239</v>
      </c>
    </row>
    <row r="42">
      <c r="B42" s="86" t="s">
        <v>240</v>
      </c>
      <c r="C42" s="87" t="s">
        <v>241</v>
      </c>
    </row>
    <row r="43">
      <c r="B43" s="86" t="s">
        <v>242</v>
      </c>
      <c r="C43" s="87" t="s">
        <v>243</v>
      </c>
    </row>
    <row r="44">
      <c r="B44" s="86" t="s">
        <v>244</v>
      </c>
      <c r="C44" s="87" t="s">
        <v>245</v>
      </c>
    </row>
    <row r="45">
      <c r="B45" s="86" t="s">
        <v>246</v>
      </c>
      <c r="C45" s="87" t="s">
        <v>247</v>
      </c>
    </row>
    <row r="46">
      <c r="B46" s="86" t="s">
        <v>248</v>
      </c>
      <c r="C46" s="87" t="s">
        <v>249</v>
      </c>
    </row>
    <row r="47">
      <c r="B47" s="88" t="s">
        <v>250</v>
      </c>
      <c r="C47" s="87" t="s">
        <v>251</v>
      </c>
    </row>
    <row r="48">
      <c r="B48" s="86" t="s">
        <v>252</v>
      </c>
      <c r="C48" s="87" t="s">
        <v>253</v>
      </c>
    </row>
    <row r="49">
      <c r="B49" s="89" t="s">
        <v>254</v>
      </c>
      <c r="C49" s="90" t="str">
        <f>HYPERLINK("https://imgur.com/a/4qAQ6Ba", "Click this link for a visualization of the different DPS values")</f>
        <v>Click this link for a visualization of the different DPS values</v>
      </c>
    </row>
    <row r="50">
      <c r="B50" s="91" t="s">
        <v>194</v>
      </c>
      <c r="C50" s="87" t="s">
        <v>255</v>
      </c>
    </row>
    <row r="51">
      <c r="B51" s="64" t="s">
        <v>256</v>
      </c>
      <c r="C51" s="72"/>
    </row>
    <row r="52">
      <c r="B52" s="64" t="s">
        <v>257</v>
      </c>
      <c r="C52" s="72"/>
    </row>
    <row r="53">
      <c r="B53" s="92" t="s">
        <v>258</v>
      </c>
      <c r="C53" s="93" t="s">
        <v>259</v>
      </c>
    </row>
    <row r="54">
      <c r="B54" s="92" t="s">
        <v>260</v>
      </c>
      <c r="C54" s="93" t="s">
        <v>261</v>
      </c>
    </row>
    <row r="55">
      <c r="B55" s="92" t="s">
        <v>262</v>
      </c>
      <c r="C55" s="93" t="s">
        <v>263</v>
      </c>
    </row>
    <row r="56">
      <c r="B56" s="94" t="s">
        <v>264</v>
      </c>
      <c r="C56" s="93" t="s">
        <v>265</v>
      </c>
    </row>
    <row r="57">
      <c r="B57" s="64" t="s">
        <v>266</v>
      </c>
      <c r="C57" s="72"/>
    </row>
    <row r="58">
      <c r="A58" s="95" t="s">
        <v>267</v>
      </c>
      <c r="B58" s="64" t="s">
        <v>268</v>
      </c>
    </row>
    <row r="59">
      <c r="B59" s="66" t="s">
        <v>269</v>
      </c>
      <c r="C59" s="96" t="s">
        <v>270</v>
      </c>
    </row>
    <row r="60">
      <c r="B60" s="66"/>
      <c r="C60" s="97" t="s">
        <v>271</v>
      </c>
    </row>
    <row r="61">
      <c r="B61" s="66" t="s">
        <v>272</v>
      </c>
      <c r="C61" s="96" t="s">
        <v>273</v>
      </c>
    </row>
    <row r="62">
      <c r="B62" s="66"/>
      <c r="C62" s="98" t="s">
        <v>274</v>
      </c>
    </row>
    <row r="63">
      <c r="B63" s="66" t="s">
        <v>275</v>
      </c>
      <c r="C63" s="96" t="s">
        <v>276</v>
      </c>
    </row>
    <row r="64">
      <c r="B64" s="66"/>
      <c r="C64" s="99" t="str">
        <f>HYPERLINK("https://docs.google.com/spreadsheets/d/1i1KUwgVkd8qhwYj481gkV9sZNJQCE-C3Q-dpQutPCi4/edit#gid=242217075")</f>
        <v>https://docs.google.com/spreadsheets/d/1i1KUwgVkd8qhwYj481gkV9sZNJQCE-C3Q-dpQutPCi4/edit#gid=242217075</v>
      </c>
    </row>
    <row r="65">
      <c r="B65" s="66" t="s">
        <v>277</v>
      </c>
      <c r="C65" s="96" t="s">
        <v>278</v>
      </c>
    </row>
    <row r="66">
      <c r="B66" s="66"/>
      <c r="C66" s="99" t="s">
        <v>279</v>
      </c>
    </row>
    <row r="67">
      <c r="B67" s="66" t="s">
        <v>280</v>
      </c>
      <c r="C67" s="100" t="s">
        <v>281</v>
      </c>
    </row>
  </sheetData>
  <mergeCells count="8">
    <mergeCell ref="A2:C2"/>
    <mergeCell ref="A3:A21"/>
    <mergeCell ref="A22:A24"/>
    <mergeCell ref="A25:A30"/>
    <mergeCell ref="A31:C31"/>
    <mergeCell ref="A32:A57"/>
    <mergeCell ref="A58:A67"/>
    <mergeCell ref="B58:C58"/>
  </mergeCells>
  <hyperlinks>
    <hyperlink r:id="rId1" location="gid=1386975095" ref="C60"/>
    <hyperlink r:id="rId2" location="gid=1313551887" ref="C62"/>
    <hyperlink r:id="rId3" location="gid=1158705568" ref="C66"/>
    <hyperlink r:id="rId4" ref="C6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0" ySplit="14.0" topLeftCell="K15" activePane="bottomRight" state="frozen"/>
      <selection activeCell="K1" sqref="K1" pane="topRight"/>
      <selection activeCell="A15" sqref="A15" pane="bottomLeft"/>
      <selection activeCell="K15" sqref="K15" pane="bottomRight"/>
    </sheetView>
  </sheetViews>
  <sheetFormatPr customHeight="1" defaultColWidth="12.63" defaultRowHeight="15.75"/>
  <cols>
    <col customWidth="1" min="1" max="1" width="0.75"/>
    <col customWidth="1" min="2" max="2" width="7.25"/>
    <col customWidth="1" min="3" max="3" width="5.63"/>
    <col customWidth="1" min="4" max="4" width="22.0"/>
    <col customWidth="1" hidden="1" min="5" max="5" width="22.0"/>
    <col customWidth="1" min="6" max="6" width="22.0"/>
    <col hidden="1" min="7" max="7" width="12.63"/>
    <col customWidth="1" min="9" max="10" width="18.88"/>
    <col customWidth="1" hidden="1" min="11" max="12" width="9.63"/>
    <col customWidth="1" hidden="1" min="13" max="13" width="6.13"/>
    <col customWidth="1" hidden="1" min="14" max="23" width="7.63"/>
    <col customWidth="1" hidden="1" min="24" max="27" width="8.0"/>
    <col customWidth="1" min="28" max="32" width="7.63"/>
    <col customWidth="1" min="33" max="34" width="9.5"/>
    <col hidden="1" min="36" max="36" width="12.63"/>
    <col hidden="1" min="40" max="47" width="12.63"/>
    <col customWidth="1" min="48" max="48" width="14.75"/>
  </cols>
  <sheetData>
    <row r="1" ht="3.75" customHeight="1">
      <c r="A1" s="101" t="s">
        <v>282</v>
      </c>
      <c r="B1" s="102"/>
      <c r="C1" s="102"/>
      <c r="D1" s="102"/>
      <c r="E1" s="102"/>
      <c r="F1" s="102"/>
      <c r="G1" s="102"/>
      <c r="H1" s="102"/>
      <c r="I1" s="102"/>
      <c r="J1" s="102"/>
      <c r="K1" s="103"/>
      <c r="L1" s="103"/>
      <c r="M1" s="104"/>
      <c r="N1" s="103"/>
      <c r="O1" s="103"/>
      <c r="P1" s="103"/>
      <c r="Q1" s="103"/>
      <c r="R1" s="103"/>
      <c r="S1" s="103"/>
      <c r="T1" s="103"/>
      <c r="U1" s="103"/>
      <c r="V1" s="102"/>
      <c r="W1" s="103"/>
      <c r="X1" s="103"/>
      <c r="Y1" s="105"/>
      <c r="Z1" s="105"/>
      <c r="AA1" s="105"/>
      <c r="AB1" s="103"/>
      <c r="AC1" s="103"/>
      <c r="AD1" s="103"/>
      <c r="AE1" s="102"/>
      <c r="AF1" s="103"/>
      <c r="AG1" s="103"/>
      <c r="AH1" s="104"/>
      <c r="AI1" s="103"/>
      <c r="AJ1" s="103"/>
      <c r="AK1" s="104"/>
      <c r="AL1" s="104"/>
      <c r="AM1" s="104"/>
      <c r="AN1" s="103"/>
      <c r="AO1" s="102"/>
      <c r="AP1" s="102"/>
      <c r="AQ1" s="103"/>
      <c r="AR1" s="103"/>
      <c r="AS1" s="102"/>
      <c r="AT1" s="103"/>
      <c r="AU1" s="103"/>
      <c r="AV1" s="103"/>
    </row>
    <row r="2" ht="18.75" customHeight="1">
      <c r="A2" s="102"/>
      <c r="B2" s="106" t="s">
        <v>283</v>
      </c>
      <c r="C2" s="107"/>
      <c r="D2" s="108"/>
      <c r="E2" s="109"/>
      <c r="F2" s="110" t="s">
        <v>284</v>
      </c>
      <c r="G2" s="111"/>
      <c r="H2" s="111"/>
      <c r="I2" s="111"/>
      <c r="J2" s="111"/>
      <c r="K2" s="112" t="s">
        <v>285</v>
      </c>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row>
    <row r="3">
      <c r="A3" s="102"/>
      <c r="B3" s="113" t="s">
        <v>286</v>
      </c>
      <c r="C3" s="114"/>
      <c r="D3" s="115"/>
      <c r="E3" s="109"/>
    </row>
    <row r="4">
      <c r="A4" s="102"/>
      <c r="B4" s="116">
        <f>IF(C5=TRUE,B5,VLOOKUP(B3,backend!$E$4:F57,2,FALSE))</f>
        <v>20</v>
      </c>
      <c r="C4" s="117" t="s">
        <v>287</v>
      </c>
      <c r="D4" s="118"/>
      <c r="E4" s="10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row>
    <row r="5">
      <c r="A5" s="102"/>
      <c r="B5" s="120">
        <v>30.0</v>
      </c>
      <c r="C5" s="121" t="b">
        <v>0</v>
      </c>
      <c r="D5" s="122" t="s">
        <v>288</v>
      </c>
      <c r="E5" s="109"/>
      <c r="F5" s="123" t="s">
        <v>289</v>
      </c>
      <c r="G5" s="124"/>
      <c r="H5" s="125" t="s">
        <v>290</v>
      </c>
      <c r="K5" s="126" t="s">
        <v>291</v>
      </c>
      <c r="AB5" s="127" t="s">
        <v>292</v>
      </c>
      <c r="AE5" s="128" t="s">
        <v>293</v>
      </c>
      <c r="AG5" s="129" t="s">
        <v>294</v>
      </c>
      <c r="AM5" s="130"/>
      <c r="AN5" s="131" t="s">
        <v>295</v>
      </c>
      <c r="AV5" s="132"/>
    </row>
    <row r="6">
      <c r="A6" s="102"/>
      <c r="B6" s="133" t="b">
        <v>0</v>
      </c>
      <c r="C6" s="134" t="s">
        <v>296</v>
      </c>
      <c r="D6" s="135"/>
      <c r="E6" s="109"/>
      <c r="G6" s="136"/>
      <c r="AM6" s="130"/>
    </row>
    <row r="7" ht="18.75" customHeight="1">
      <c r="A7" s="109"/>
      <c r="B7" s="137" t="s">
        <v>297</v>
      </c>
      <c r="C7" s="138"/>
      <c r="D7" s="139"/>
      <c r="E7" s="109"/>
      <c r="G7" s="109"/>
      <c r="AM7" s="130"/>
    </row>
    <row r="8">
      <c r="A8" s="102"/>
      <c r="B8" s="140" t="b">
        <v>0</v>
      </c>
      <c r="C8" s="141" t="s">
        <v>298</v>
      </c>
      <c r="D8" s="142"/>
      <c r="E8" s="109"/>
      <c r="G8" s="109"/>
      <c r="AM8" s="130"/>
    </row>
    <row r="9">
      <c r="A9" s="102"/>
      <c r="B9" s="133" t="b">
        <v>0</v>
      </c>
      <c r="C9" s="143" t="s">
        <v>299</v>
      </c>
      <c r="D9" s="115"/>
      <c r="E9" s="109"/>
      <c r="G9" s="109"/>
      <c r="AM9" s="130"/>
    </row>
    <row r="10">
      <c r="A10" s="102"/>
      <c r="B10" s="133" t="b">
        <v>0</v>
      </c>
      <c r="C10" s="143" t="s">
        <v>300</v>
      </c>
      <c r="D10" s="115"/>
      <c r="E10" s="109"/>
      <c r="G10" s="109"/>
      <c r="AM10" s="130"/>
    </row>
    <row r="11">
      <c r="A11" s="102"/>
      <c r="B11" s="144" t="b">
        <v>0</v>
      </c>
      <c r="C11" s="145" t="s">
        <v>301</v>
      </c>
      <c r="D11" s="146"/>
      <c r="E11" s="109"/>
      <c r="G11" s="109"/>
      <c r="AM11" s="130"/>
    </row>
    <row r="12">
      <c r="A12" s="102"/>
      <c r="B12" s="147" t="b">
        <v>0</v>
      </c>
      <c r="C12" s="148" t="s">
        <v>302</v>
      </c>
      <c r="D12" s="149"/>
      <c r="E12" s="109"/>
      <c r="G12" s="109"/>
      <c r="AM12" s="130"/>
    </row>
    <row r="13" ht="3.75" customHeight="1">
      <c r="A13" s="102"/>
      <c r="B13" s="109"/>
      <c r="C13" s="109"/>
      <c r="D13" s="109"/>
      <c r="E13" s="109"/>
      <c r="F13" s="109"/>
      <c r="G13" s="109"/>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50"/>
      <c r="AI13" s="102"/>
      <c r="AJ13" s="102"/>
      <c r="AK13" s="150"/>
      <c r="AL13" s="150"/>
      <c r="AM13" s="150"/>
      <c r="AN13" s="151"/>
      <c r="AO13" s="151"/>
      <c r="AP13" s="151"/>
      <c r="AQ13" s="151"/>
      <c r="AR13" s="151"/>
      <c r="AS13" s="151"/>
      <c r="AT13" s="151"/>
      <c r="AU13" s="151"/>
      <c r="AV13" s="102"/>
    </row>
    <row r="14">
      <c r="A14" s="152"/>
      <c r="B14" s="153" t="s">
        <v>303</v>
      </c>
      <c r="C14" s="153" t="str">
        <f>"Select: "&amp;COUNTIF(C15:C57,TRUE)&amp;"/10"</f>
        <v>Select: 0/10</v>
      </c>
      <c r="D14" s="154" t="s">
        <v>304</v>
      </c>
      <c r="E14" s="155" t="s">
        <v>305</v>
      </c>
      <c r="F14" s="154" t="s">
        <v>306</v>
      </c>
      <c r="G14" s="153" t="s">
        <v>307</v>
      </c>
      <c r="H14" s="156" t="s">
        <v>308</v>
      </c>
      <c r="I14" s="156" t="s">
        <v>309</v>
      </c>
      <c r="J14" s="156" t="s">
        <v>310</v>
      </c>
      <c r="K14" s="157" t="s">
        <v>311</v>
      </c>
      <c r="L14" s="157" t="s">
        <v>312</v>
      </c>
      <c r="M14" s="157" t="s">
        <v>313</v>
      </c>
      <c r="N14" s="158" t="s">
        <v>314</v>
      </c>
      <c r="O14" s="159" t="s">
        <v>315</v>
      </c>
      <c r="P14" s="157" t="s">
        <v>316</v>
      </c>
      <c r="Q14" s="157" t="s">
        <v>232</v>
      </c>
      <c r="R14" s="157" t="s">
        <v>317</v>
      </c>
      <c r="S14" s="158" t="s">
        <v>318</v>
      </c>
      <c r="T14" s="159" t="s">
        <v>319</v>
      </c>
      <c r="U14" s="157" t="s">
        <v>320</v>
      </c>
      <c r="V14" s="157" t="s">
        <v>321</v>
      </c>
      <c r="W14" s="157" t="s">
        <v>322</v>
      </c>
      <c r="X14" s="157" t="s">
        <v>323</v>
      </c>
      <c r="Y14" s="157" t="s">
        <v>324</v>
      </c>
      <c r="Z14" s="157" t="s">
        <v>325</v>
      </c>
      <c r="AA14" s="160" t="s">
        <v>234</v>
      </c>
      <c r="AB14" s="161" t="s">
        <v>326</v>
      </c>
      <c r="AC14" s="162" t="s">
        <v>327</v>
      </c>
      <c r="AD14" s="163" t="s">
        <v>205</v>
      </c>
      <c r="AE14" s="164" t="s">
        <v>328</v>
      </c>
      <c r="AF14" s="165" t="s">
        <v>329</v>
      </c>
      <c r="AG14" s="166" t="s">
        <v>330</v>
      </c>
      <c r="AH14" s="167" t="s">
        <v>331</v>
      </c>
      <c r="AI14" s="168" t="s">
        <v>332</v>
      </c>
      <c r="AJ14" s="169" t="s">
        <v>333</v>
      </c>
      <c r="AK14" s="170" t="s">
        <v>334</v>
      </c>
      <c r="AL14" s="171" t="s">
        <v>250</v>
      </c>
      <c r="AM14" s="172" t="s">
        <v>252</v>
      </c>
      <c r="AN14" s="173" t="s">
        <v>335</v>
      </c>
      <c r="AO14" s="174" t="s">
        <v>336</v>
      </c>
      <c r="AP14" s="174" t="s">
        <v>337</v>
      </c>
      <c r="AQ14" s="175" t="s">
        <v>338</v>
      </c>
      <c r="AR14" s="175" t="s">
        <v>339</v>
      </c>
      <c r="AS14" s="174" t="s">
        <v>340</v>
      </c>
      <c r="AT14" s="175" t="s">
        <v>341</v>
      </c>
      <c r="AU14" s="175" t="s">
        <v>342</v>
      </c>
      <c r="AV14" s="176" t="s">
        <v>343</v>
      </c>
    </row>
    <row r="15">
      <c r="A15" s="102"/>
      <c r="B15" s="177" t="s">
        <v>344</v>
      </c>
      <c r="C15" s="178" t="b">
        <v>0</v>
      </c>
      <c r="D15" s="179" t="s">
        <v>345</v>
      </c>
      <c r="E15" s="180" t="s">
        <v>346</v>
      </c>
      <c r="F15" s="181" t="s">
        <v>347</v>
      </c>
      <c r="G15" s="182" t="str">
        <f t="shared" ref="G15:G20" si="1">D15&amp;" - "&amp; F15</f>
        <v>Fusion Rifle - Adaptive</v>
      </c>
      <c r="H15" s="182" t="s">
        <v>348</v>
      </c>
      <c r="I15" s="183" t="s">
        <v>349</v>
      </c>
      <c r="J15" s="182" t="s">
        <v>349</v>
      </c>
      <c r="K15" s="184">
        <f>VLOOKUP(E15,backend!$BP$5:$BQ57,2,FALSE)</f>
        <v>39074</v>
      </c>
      <c r="L15" s="185">
        <f>K15*M15*IF(B15="Special",VLOOKUP(I15,backend!$H$4:$M57,2,FALSE),VLOOKUP(I15,backend!$H$4:$M57,3,FALSE))*IF(B15="Special",VLOOKUP(J15,backend!$H$4:$M57,2,FALSE),VLOOKUP(J15,backend!$H$4:$M57,3,FALSE))*IF($B$8=TRUE,VLOOKUP(D15,BuffsDebuffs!$P$8:$X$27,MATCH(H15,BuffsDebuffs!$P$8:$X$8,0),FALSE),1)*IF($B$6=TRUE,backend!$BN$5,1)</f>
        <v>39074</v>
      </c>
      <c r="M15" s="186">
        <f>VLOOKUP(E15,backend!$BP$5:$BS57,4,FALSE)</f>
        <v>1</v>
      </c>
      <c r="N15" s="184">
        <v>6.0</v>
      </c>
      <c r="O15" s="184">
        <v>8.0</v>
      </c>
      <c r="P15" s="184">
        <f>MAX(IFNA(VLOOKUP(IF($B$10=TRUE,O15,N15),backend!$P$4:$Y57,MATCH(I15,backend!$P$3:$Y$3,0),FALSE),IF($B$10=TRUE,O15,N15)),IFNA(VLOOKUP(IF($B$10=TRUE,O15,N15),backend!$P$4:$Y57,MATCH(J15,backend!$P$3:$Y$3,0),FALSE),IF($B$10=TRUE,O15,N15)))</f>
        <v>6</v>
      </c>
      <c r="Q15" s="184">
        <v>50.0</v>
      </c>
      <c r="R15" s="184">
        <f>Q15/VLOOKUP(I15,backend!$H$4:$N57,7,FALSE)/VLOOKUP(J15,backend!$H$4:$N57,7,FALSE)</f>
        <v>50</v>
      </c>
      <c r="S15" s="184">
        <v>19.0</v>
      </c>
      <c r="T15" s="184">
        <v>25.0</v>
      </c>
      <c r="U15" s="184">
        <f>MAX(IFNA(VLOOKUP(IF($B$9=TRUE,T15,S15),backend!$AA$4:$AF57,MATCH(I15,backend!$AA$3:$AF$3,0),FALSE),IF($B$9=TRUE,T15,S15)),IFNA(VLOOKUP(IF($B$9=TRUE,T15,S15),backend!$AA$4:$AF57,MATCH(J15,backend!$AA$3:$AF$3,0),FALSE),IF($B$9=TRUE,T15,S15)))</f>
        <v>19</v>
      </c>
      <c r="V15" s="187">
        <f>VLOOKUP(E15,backend!$BB$4:$BH57,7,FALSE)</f>
        <v>33.6</v>
      </c>
      <c r="W15" s="184">
        <f>MIN(100,V15+VLOOKUP(I15,backend!$H$4:$N57,5,FALSE)+VLOOKUP(J15,backend!$H$4:$N57,5,FALSE)+IF($B$11=TRUE,100,0)+IF($B$12,10,0))</f>
        <v>33.6</v>
      </c>
      <c r="X15" s="188">
        <f>(VLOOKUP(D15,backend!$AV$4:$AZ57,2,FALSE)*W15^2+VLOOKUP(D15,backend!$AV$4:$AZ57,3,FALSE)*W15+VLOOKUP(D15,backend!$AV$4:$AZ57,4,FALSE))*VLOOKUP(I15,backend!$H$4:$N57,6,FALSE)*VLOOKUP(J15,backend!$H$4:$N57,6,FALSE)*IF($B$12=TRUE,0.85,1)*IF($B$11=TRUE,0.9,1)*IF(D15="Shotgun",P15,1)*IF(F15="Rapid-Fire",0.8,1)+IF(OR(D15="Fusion Rifle",D15="Linear Fusion Rifle"),0.516,0)</f>
        <v>2.748571724</v>
      </c>
      <c r="Y15" s="188">
        <v>1.8</v>
      </c>
      <c r="Z15" s="188">
        <f>VLOOKUP(D15,backend!$AV$4:$AZ57,5,FALSE)*IF(D15="Shotgun",P15,1)+IF(OR(D15="Fusion Rifle",D15="Linear Fusion Rifle"),0.516,0)</f>
        <v>1.583</v>
      </c>
      <c r="AA15" s="189">
        <f t="shared" ref="AA15:AA57" si="2">MAX(X15,Z15)</f>
        <v>2.748571724</v>
      </c>
      <c r="AB15" s="190">
        <f t="shared" ref="AB15:AB57" si="3">AJ15/MAX(AJ$15:AJ57)*100</f>
        <v>34.11086862</v>
      </c>
      <c r="AC15" s="191">
        <f t="shared" ref="AC15:AC57" si="4">AL15/MAX(AL$15:AL57)*100</f>
        <v>57.93603033</v>
      </c>
      <c r="AD15" s="192">
        <f t="shared" ref="AD15:AD57" si="5">AVERAGE(AB15:AC15)</f>
        <v>46.02344947</v>
      </c>
      <c r="AE15" s="193">
        <f t="shared" ref="AE15:AE57" si="6">60/R15*(P15-1)</f>
        <v>6</v>
      </c>
      <c r="AF15" s="194">
        <f t="shared" ref="AF15:AF57" si="7">ROUNDDOWN(U15/P15,0)*AE15+ROUNDDOWN((U15-1)/P15,0)*AA15+Max(0,((U15-ROUNDDOWN(U15/P15,0)*P15)-1)*(60/R15))</f>
        <v>26.24571517</v>
      </c>
      <c r="AG15" s="184">
        <f t="shared" ref="AG15:AG57" si="8">P15*L15</f>
        <v>234444</v>
      </c>
      <c r="AH15" s="195">
        <f t="shared" ref="AH15:AH57" si="9">IF(ISERROR(AG15/AE15),"-",AG15/AE15)</f>
        <v>39074</v>
      </c>
      <c r="AI15" s="196">
        <f t="shared" ref="AI15:AI57" si="10">U15*L15</f>
        <v>742406</v>
      </c>
      <c r="AJ15" s="197">
        <f t="shared" ref="AJ15:AJ57" si="11">ROUNDDOWN(U15/N15,0)*AG15</f>
        <v>703332</v>
      </c>
      <c r="AK15" s="198">
        <f t="shared" ref="AK15:AK57" si="12">AI15/AF15</f>
        <v>28286.75062</v>
      </c>
      <c r="AL15" s="199">
        <f t="shared" ref="AL15:AL57" si="13">IF(P15=1,AK15,MAX(AK15,(ROUNDDOWN(U15/P15,0)*AG15)/(ROUNDDOWN(U15/P15,0)*AE15+(ROUNDDOWN(U15/P15,0)-1)*AA15)))</f>
        <v>29932.65975</v>
      </c>
      <c r="AM15" s="200">
        <f t="shared" ref="AM15:AM57" si="14">IF(P15=U15,AH15,AG15/(AE15+AA15))</f>
        <v>26797.97428</v>
      </c>
      <c r="AN15" s="201">
        <f t="shared" ref="AN15:AN57" si="15">ROUNDDOWN(B$4/(AA15+AE15),0)</f>
        <v>2</v>
      </c>
      <c r="AO15" s="202">
        <f t="shared" ref="AO15:AO57" si="16">B$4-AN15*AA15</f>
        <v>14.50285655</v>
      </c>
      <c r="AP15" s="202">
        <f t="shared" ref="AP15:AP57" si="17">IF(AN15=AQ15,0,B$4-(AN15*AA15+AQ15*AE15))</f>
        <v>0</v>
      </c>
      <c r="AQ15" s="201">
        <f t="shared" ref="AQ15:AQ57" si="18">MIN(AN15+1,IF(ISERROR(ROUNDDOWN(AO15/AE15,0)),AN15+1,ROUNDDOWN(AO15/AE15,0)))</f>
        <v>2</v>
      </c>
      <c r="AR15" s="201">
        <f t="shared" ref="AR15:AR57" si="19">AQ15*AG15</f>
        <v>468888</v>
      </c>
      <c r="AS15" s="202">
        <f t="shared" ref="AS15:AS57" si="20">Max(0,AO15-AQ15*AE15)-AP15</f>
        <v>2.502856552</v>
      </c>
      <c r="AT15" s="201">
        <f t="shared" ref="AT15:AT57" si="21">MIN(N15,IF(AN15&lt;AQ15,0,ROUNDDOWN(IF(AS15=0,0,AS15*(R15/60)+1),0)))</f>
        <v>3</v>
      </c>
      <c r="AU15" s="203">
        <f t="shared" ref="AU15:AU57" si="22">AT15*L15</f>
        <v>117222</v>
      </c>
      <c r="AV15" s="204">
        <f t="shared" ref="AV15:AV57" si="23">Min(AI15,AU15+AR15)</f>
        <v>586110</v>
      </c>
    </row>
    <row r="16">
      <c r="A16" s="102"/>
      <c r="B16" s="205" t="s">
        <v>344</v>
      </c>
      <c r="C16" s="206" t="b">
        <v>0</v>
      </c>
      <c r="D16" s="207" t="s">
        <v>345</v>
      </c>
      <c r="E16" s="208" t="s">
        <v>350</v>
      </c>
      <c r="F16" s="209" t="s">
        <v>351</v>
      </c>
      <c r="G16" s="210" t="str">
        <f t="shared" si="1"/>
        <v>Fusion Rifle - Aggressive</v>
      </c>
      <c r="H16" s="210" t="s">
        <v>348</v>
      </c>
      <c r="I16" s="210" t="s">
        <v>349</v>
      </c>
      <c r="J16" s="210" t="s">
        <v>349</v>
      </c>
      <c r="K16" s="211">
        <f>VLOOKUP(E16,backend!$BP$5:$BQ57,2,FALSE)</f>
        <v>45164</v>
      </c>
      <c r="L16" s="212">
        <f>K16*M16*IF(B16="Special",VLOOKUP(I16,backend!$H$4:$M57,2,FALSE),VLOOKUP(I16,backend!$H$4:$M57,3,FALSE))*IF(B16="Special",VLOOKUP(J16,backend!$H$4:$M57,2,FALSE),VLOOKUP(J16,backend!$H$4:$M57,3,FALSE))*IF($B$8=TRUE,VLOOKUP(D16,BuffsDebuffs!$P$8:$X$27,MATCH(H16,BuffsDebuffs!$P$8:$X$8,0),FALSE),1)*IF($B$6=TRUE,backend!$BN$5,1)</f>
        <v>45164</v>
      </c>
      <c r="M16" s="213">
        <f>VLOOKUP(E16,backend!$BP$5:$BS57,4,FALSE)</f>
        <v>1</v>
      </c>
      <c r="N16" s="211">
        <v>7.0</v>
      </c>
      <c r="O16" s="211">
        <v>8.0</v>
      </c>
      <c r="P16" s="211">
        <f>MAX(IFNA(VLOOKUP(IF($B$10=TRUE,O16,N16),backend!$P$4:$Y57,MATCH(I16,backend!$P$3:$Y$3,0),FALSE),IF($B$10=TRUE,O16,N16)),IFNA(VLOOKUP(IF($B$10=TRUE,O16,N16),backend!$P$4:$Y57,MATCH(J16,backend!$P$3:$Y$3,0),FALSE),IF($B$10=TRUE,O16,N16)))</f>
        <v>7</v>
      </c>
      <c r="Q16" s="211">
        <v>45.0</v>
      </c>
      <c r="R16" s="211">
        <f>Q16/VLOOKUP(I16,backend!$H$4:$N57,7,FALSE)/VLOOKUP(J16,backend!$H$4:$N57,7,FALSE)</f>
        <v>45</v>
      </c>
      <c r="S16" s="211">
        <v>19.0</v>
      </c>
      <c r="T16" s="211">
        <v>25.0</v>
      </c>
      <c r="U16" s="211">
        <f>MAX(IFNA(VLOOKUP(IF($B$9=TRUE,T16,S16),backend!$AA$4:$AF57,MATCH(I16,backend!$AA$3:$AF$3,0),FALSE),IF($B$9=TRUE,T16,S16)),IFNA(VLOOKUP(IF($B$9=TRUE,T16,S16),backend!$AA$4:$AF57,MATCH(J16,backend!$AA$3:$AF$3,0),FALSE),IF($B$9=TRUE,T16,S16)))</f>
        <v>19</v>
      </c>
      <c r="V16" s="214">
        <f>VLOOKUP(E16,backend!$BB$4:$BH57,7,FALSE)</f>
        <v>34</v>
      </c>
      <c r="W16" s="211">
        <f>MIN(100,V16+VLOOKUP(I16,backend!$H$4:$N57,5,FALSE)+VLOOKUP(J16,backend!$H$4:$N57,5,FALSE)+IF($B$11=TRUE,100,0)+IF($B$12,10,0))</f>
        <v>34</v>
      </c>
      <c r="X16" s="215">
        <f>(VLOOKUP(D16,backend!$AV$4:$AZ57,2,FALSE)*W16^2+VLOOKUP(D16,backend!$AV$4:$AZ57,3,FALSE)*W16+VLOOKUP(D16,backend!$AV$4:$AZ57,4,FALSE))*VLOOKUP(I16,backend!$H$4:$N57,6,FALSE)*VLOOKUP(J16,backend!$H$4:$N57,6,FALSE)*IF($B$12=TRUE,0.85,1)*IF($B$11=TRUE,0.9,1)*IF(D16="Shotgun",P16,1)*IF(F16="Rapid-Fire",0.8,1)+IF(OR(D16="Fusion Rifle",D16="Linear Fusion Rifle"),0.516,0)</f>
        <v>2.742313284</v>
      </c>
      <c r="Y16" s="215">
        <v>1.816</v>
      </c>
      <c r="Z16" s="215">
        <f>VLOOKUP(D16,backend!$AV$4:$AZ57,5,FALSE)*IF(D16="Shotgun",P16,1)+IF(OR(D16="Fusion Rifle",D16="Linear Fusion Rifle"),0.516,0)</f>
        <v>1.583</v>
      </c>
      <c r="AA16" s="216">
        <f t="shared" si="2"/>
        <v>2.742313284</v>
      </c>
      <c r="AB16" s="217">
        <f t="shared" si="3"/>
        <v>30.66569669</v>
      </c>
      <c r="AC16" s="218">
        <f t="shared" si="4"/>
        <v>65.29811843</v>
      </c>
      <c r="AD16" s="219">
        <f t="shared" si="5"/>
        <v>47.98190756</v>
      </c>
      <c r="AE16" s="220">
        <f t="shared" si="6"/>
        <v>8</v>
      </c>
      <c r="AF16" s="221">
        <f t="shared" si="7"/>
        <v>26.8179599</v>
      </c>
      <c r="AG16" s="211">
        <f t="shared" si="8"/>
        <v>316148</v>
      </c>
      <c r="AH16" s="222">
        <f t="shared" si="9"/>
        <v>39518.5</v>
      </c>
      <c r="AI16" s="223">
        <f t="shared" si="10"/>
        <v>858116</v>
      </c>
      <c r="AJ16" s="224">
        <f t="shared" si="11"/>
        <v>632296</v>
      </c>
      <c r="AK16" s="225">
        <f t="shared" si="12"/>
        <v>31997.81054</v>
      </c>
      <c r="AL16" s="226">
        <f t="shared" si="13"/>
        <v>33736.2838</v>
      </c>
      <c r="AM16" s="227">
        <f t="shared" si="14"/>
        <v>29430.16012</v>
      </c>
      <c r="AN16" s="201">
        <f t="shared" si="15"/>
        <v>1</v>
      </c>
      <c r="AO16" s="202">
        <f t="shared" si="16"/>
        <v>17.25768672</v>
      </c>
      <c r="AP16" s="202">
        <f t="shared" si="17"/>
        <v>1.257686716</v>
      </c>
      <c r="AQ16" s="201">
        <f t="shared" si="18"/>
        <v>2</v>
      </c>
      <c r="AR16" s="201">
        <f t="shared" si="19"/>
        <v>632296</v>
      </c>
      <c r="AS16" s="202">
        <f t="shared" si="20"/>
        <v>0</v>
      </c>
      <c r="AT16" s="201">
        <f t="shared" si="21"/>
        <v>0</v>
      </c>
      <c r="AU16" s="203">
        <f t="shared" si="22"/>
        <v>0</v>
      </c>
      <c r="AV16" s="228">
        <f t="shared" si="23"/>
        <v>632296</v>
      </c>
    </row>
    <row r="17">
      <c r="A17" s="102"/>
      <c r="B17" s="205" t="s">
        <v>344</v>
      </c>
      <c r="C17" s="229" t="b">
        <v>0</v>
      </c>
      <c r="D17" s="230" t="s">
        <v>345</v>
      </c>
      <c r="E17" s="231" t="s">
        <v>352</v>
      </c>
      <c r="F17" s="232" t="s">
        <v>353</v>
      </c>
      <c r="G17" s="210" t="str">
        <f t="shared" si="1"/>
        <v>Fusion Rifle - High-Impact</v>
      </c>
      <c r="H17" s="210" t="s">
        <v>348</v>
      </c>
      <c r="I17" s="210" t="s">
        <v>349</v>
      </c>
      <c r="J17" s="210" t="s">
        <v>349</v>
      </c>
      <c r="K17" s="184">
        <f>VLOOKUP(E17,backend!$BP$5:$BQ57,2,FALSE)</f>
        <v>49575</v>
      </c>
      <c r="L17" s="185">
        <f>K17*M17*IF(B17="Special",VLOOKUP(I17,backend!$H$4:$M57,2,FALSE),VLOOKUP(I17,backend!$H$4:$M57,3,FALSE))*IF(B17="Special",VLOOKUP(J17,backend!$H$4:$M57,2,FALSE),VLOOKUP(J17,backend!$H$4:$M57,3,FALSE))*IF($B$8=TRUE,VLOOKUP(D17,BuffsDebuffs!$P$8:$X$27,MATCH(H17,BuffsDebuffs!$P$8:$X$8,0),FALSE),1)*IF($B$6=TRUE,backend!$BN$5,1)</f>
        <v>49575</v>
      </c>
      <c r="M17" s="186">
        <f>VLOOKUP(E17,backend!$BP$5:$BS57,4,FALSE)</f>
        <v>1</v>
      </c>
      <c r="N17" s="184">
        <v>5.0</v>
      </c>
      <c r="O17" s="184">
        <v>8.0</v>
      </c>
      <c r="P17" s="184">
        <f>MAX(IFNA(VLOOKUP(IF($B$10=TRUE,O17,N17),backend!$P$4:$Y57,MATCH(I17,backend!$P$3:$Y$3,0),FALSE),IF($B$10=TRUE,O17,N17)),IFNA(VLOOKUP(IF($B$10=TRUE,O17,N17),backend!$P$4:$Y57,MATCH(J17,backend!$P$3:$Y$3,0),FALSE),IF($B$10=TRUE,O17,N17)))</f>
        <v>5</v>
      </c>
      <c r="Q17" s="184">
        <v>39.56</v>
      </c>
      <c r="R17" s="184">
        <f>Q17/VLOOKUP(I17,backend!$H$4:$N57,7,FALSE)/VLOOKUP(J17,backend!$H$4:$N57,7,FALSE)</f>
        <v>39.56</v>
      </c>
      <c r="S17" s="184">
        <v>18.0</v>
      </c>
      <c r="T17" s="184">
        <v>25.0</v>
      </c>
      <c r="U17" s="184">
        <f>MAX(IFNA(VLOOKUP(IF($B$9=TRUE,T17,S17),backend!$AA$4:$AF57,MATCH(I17,backend!$AA$3:$AF$3,0),FALSE),IF($B$9=TRUE,T17,S17)),IFNA(VLOOKUP(IF($B$9=TRUE,T17,S17),backend!$AA$4:$AF57,MATCH(J17,backend!$AA$3:$AF$3,0),FALSE),IF($B$9=TRUE,T17,S17)))</f>
        <v>18</v>
      </c>
      <c r="V17" s="187">
        <f>VLOOKUP(E17,backend!$BB$4:$BH57,7,FALSE)</f>
        <v>19</v>
      </c>
      <c r="W17" s="184">
        <f>MIN(100,V17+VLOOKUP(I17,backend!$H$4:$N57,5,FALSE)+VLOOKUP(J17,backend!$H$4:$N57,5,FALSE)+IF($B$11=TRUE,100,0)+IF($B$12,10,0))</f>
        <v>19</v>
      </c>
      <c r="X17" s="188">
        <f>(VLOOKUP(D17,backend!$AV$4:$AZ57,2,FALSE)*W17^2+VLOOKUP(D17,backend!$AV$4:$AZ57,3,FALSE)*W17+VLOOKUP(D17,backend!$AV$4:$AZ57,4,FALSE))*VLOOKUP(I17,backend!$H$4:$N57,6,FALSE)*VLOOKUP(J17,backend!$H$4:$N57,6,FALSE)*IF($B$12=TRUE,0.85,1)*IF($B$11=TRUE,0.9,1)*IF(D17="Shotgun",P17,1)*IF(F17="Rapid-Fire",0.8,1)+IF(OR(D17="Fusion Rifle",D17="Linear Fusion Rifle"),0.516,0)</f>
        <v>2.990479444</v>
      </c>
      <c r="Y17" s="188">
        <v>2.034</v>
      </c>
      <c r="Z17" s="188">
        <f>VLOOKUP(D17,backend!$AV$4:$AZ57,5,FALSE)*IF(D17="Shotgun",P17,1)+IF(OR(D17="Fusion Rifle",D17="Linear Fusion Rifle"),0.516,0)</f>
        <v>1.583</v>
      </c>
      <c r="AA17" s="189">
        <f t="shared" si="2"/>
        <v>2.990479444</v>
      </c>
      <c r="AB17" s="233">
        <f t="shared" si="3"/>
        <v>36.0650371</v>
      </c>
      <c r="AC17" s="234">
        <f t="shared" si="4"/>
        <v>59.52237574</v>
      </c>
      <c r="AD17" s="235">
        <f t="shared" si="5"/>
        <v>47.79370642</v>
      </c>
      <c r="AE17" s="236">
        <f t="shared" si="6"/>
        <v>6.066734075</v>
      </c>
      <c r="AF17" s="237">
        <f t="shared" si="7"/>
        <v>30.20500759</v>
      </c>
      <c r="AG17" s="184">
        <f t="shared" si="8"/>
        <v>247875</v>
      </c>
      <c r="AH17" s="195">
        <f t="shared" si="9"/>
        <v>40858.0625</v>
      </c>
      <c r="AI17" s="238">
        <f t="shared" si="10"/>
        <v>892350</v>
      </c>
      <c r="AJ17" s="239">
        <f t="shared" si="11"/>
        <v>743625</v>
      </c>
      <c r="AK17" s="240">
        <f t="shared" si="12"/>
        <v>29543.11457</v>
      </c>
      <c r="AL17" s="241">
        <f t="shared" si="13"/>
        <v>30752.24538</v>
      </c>
      <c r="AM17" s="242">
        <f t="shared" si="14"/>
        <v>27367.68869</v>
      </c>
      <c r="AN17" s="201">
        <f t="shared" si="15"/>
        <v>2</v>
      </c>
      <c r="AO17" s="202">
        <f t="shared" si="16"/>
        <v>14.01904111</v>
      </c>
      <c r="AP17" s="202">
        <f t="shared" si="17"/>
        <v>0</v>
      </c>
      <c r="AQ17" s="201">
        <f t="shared" si="18"/>
        <v>2</v>
      </c>
      <c r="AR17" s="201">
        <f t="shared" si="19"/>
        <v>495750</v>
      </c>
      <c r="AS17" s="202">
        <f t="shared" si="20"/>
        <v>1.885572962</v>
      </c>
      <c r="AT17" s="201">
        <f t="shared" si="21"/>
        <v>2</v>
      </c>
      <c r="AU17" s="203">
        <f t="shared" si="22"/>
        <v>99150</v>
      </c>
      <c r="AV17" s="243">
        <f t="shared" si="23"/>
        <v>594900</v>
      </c>
    </row>
    <row r="18">
      <c r="A18" s="102"/>
      <c r="B18" s="205" t="s">
        <v>344</v>
      </c>
      <c r="C18" s="244" t="b">
        <v>0</v>
      </c>
      <c r="D18" s="207" t="s">
        <v>345</v>
      </c>
      <c r="E18" s="245" t="s">
        <v>354</v>
      </c>
      <c r="F18" s="209" t="s">
        <v>355</v>
      </c>
      <c r="G18" s="210" t="str">
        <f t="shared" si="1"/>
        <v>Fusion Rifle - Precision</v>
      </c>
      <c r="H18" s="246" t="s">
        <v>348</v>
      </c>
      <c r="I18" s="210" t="s">
        <v>349</v>
      </c>
      <c r="J18" s="210" t="s">
        <v>349</v>
      </c>
      <c r="K18" s="211">
        <f>VLOOKUP(E18,backend!$BP$5:$BQ57,2,FALSE)</f>
        <v>40523</v>
      </c>
      <c r="L18" s="212">
        <f>K18*M18*IF(B18="Special",VLOOKUP(I18,backend!$H$4:$M57,2,FALSE),VLOOKUP(I18,backend!$H$4:$M57,3,FALSE))*IF(B18="Special",VLOOKUP(J18,backend!$H$4:$M57,2,FALSE),VLOOKUP(J18,backend!$H$4:$M57,3,FALSE))*IF($B$8=TRUE,VLOOKUP(D18,BuffsDebuffs!$P$8:$X$27,MATCH(H18,BuffsDebuffs!$P$8:$X$8,0),FALSE),1)*IF($B$6=TRUE,backend!$BN$5,1)</f>
        <v>40523</v>
      </c>
      <c r="M18" s="213">
        <f>VLOOKUP(E18,backend!$BP$5:$BS57,4,FALSE)</f>
        <v>1</v>
      </c>
      <c r="N18" s="211">
        <v>6.0</v>
      </c>
      <c r="O18" s="211">
        <v>8.0</v>
      </c>
      <c r="P18" s="211">
        <f>MAX(IFNA(VLOOKUP(IF($B$10=TRUE,O18,N18),backend!$P$4:$Y57,MATCH(I18,backend!$P$3:$Y$3,0),FALSE),IF($B$10=TRUE,O18,N18)),IFNA(VLOOKUP(IF($B$10=TRUE,O18,N18),backend!$P$4:$Y57,MATCH(J18,backend!$P$3:$Y$3,0),FALSE),IF($B$10=TRUE,O18,N18)))</f>
        <v>6</v>
      </c>
      <c r="Q18" s="211">
        <v>45.57</v>
      </c>
      <c r="R18" s="211">
        <f>Q18/VLOOKUP(I18,backend!$H$4:$N57,7,FALSE)/VLOOKUP(J18,backend!$H$4:$N57,7,FALSE)</f>
        <v>45.57</v>
      </c>
      <c r="S18" s="211">
        <v>20.0</v>
      </c>
      <c r="T18" s="211">
        <v>28.0</v>
      </c>
      <c r="U18" s="211">
        <f>MAX(IFNA(VLOOKUP(IF($B$9=TRUE,T18,S18),backend!$AA$4:$AF57,MATCH(I18,backend!$AA$3:$AF$3,0),FALSE),IF($B$9=TRUE,T18,S18)),IFNA(VLOOKUP(IF($B$9=TRUE,T18,S18),backend!$AA$4:$AF57,MATCH(J18,backend!$AA$3:$AF$3,0),FALSE),IF($B$9=TRUE,T18,S18)))</f>
        <v>20</v>
      </c>
      <c r="V18" s="214">
        <f>VLOOKUP(E18,backend!$BB$4:$BH57,7,FALSE)</f>
        <v>30.8</v>
      </c>
      <c r="W18" s="211">
        <f>MIN(100,V18+VLOOKUP(I18,backend!$H$4:$N57,5,FALSE)+VLOOKUP(J18,backend!$H$4:$N57,5,FALSE)+IF($B$11=TRUE,100,0)+IF($B$12,10,0))</f>
        <v>30.8</v>
      </c>
      <c r="X18" s="215">
        <f>(VLOOKUP(D18,backend!$AV$4:$AZ57,2,FALSE)*W18^2+VLOOKUP(D18,backend!$AV$4:$AZ57,3,FALSE)*W18+VLOOKUP(D18,backend!$AV$4:$AZ57,4,FALSE))*VLOOKUP(I18,backend!$H$4:$N57,6,FALSE)*VLOOKUP(J18,backend!$H$4:$N57,6,FALSE)*IF($B$12=TRUE,0.85,1)*IF($B$11=TRUE,0.9,1)*IF(D18="Shotgun",P18,1)*IF(F18="Rapid-Fire",0.8,1)+IF(OR(D18="Fusion Rifle",D18="Linear Fusion Rifle"),0.516,0)</f>
        <v>2.792932097</v>
      </c>
      <c r="Y18" s="215">
        <v>1.9</v>
      </c>
      <c r="Z18" s="215">
        <f>VLOOKUP(D18,backend!$AV$4:$AZ57,5,FALSE)*IF(D18="Shotgun",P18,1)+IF(OR(D18="Fusion Rifle",D18="Linear Fusion Rifle"),0.516,0)</f>
        <v>1.583</v>
      </c>
      <c r="AA18" s="216">
        <f t="shared" si="2"/>
        <v>2.792932097</v>
      </c>
      <c r="AB18" s="217">
        <f t="shared" si="3"/>
        <v>35.37581842</v>
      </c>
      <c r="AC18" s="218">
        <f t="shared" si="4"/>
        <v>55.72429968</v>
      </c>
      <c r="AD18" s="219">
        <f t="shared" si="5"/>
        <v>45.55005905</v>
      </c>
      <c r="AE18" s="220">
        <f t="shared" si="6"/>
        <v>6.583278473</v>
      </c>
      <c r="AF18" s="221">
        <f t="shared" si="7"/>
        <v>29.4452874</v>
      </c>
      <c r="AG18" s="211">
        <f t="shared" si="8"/>
        <v>243138</v>
      </c>
      <c r="AH18" s="222">
        <f t="shared" si="9"/>
        <v>36932.6622</v>
      </c>
      <c r="AI18" s="247">
        <f t="shared" si="10"/>
        <v>810460</v>
      </c>
      <c r="AJ18" s="248">
        <f t="shared" si="11"/>
        <v>729414</v>
      </c>
      <c r="AK18" s="249">
        <f t="shared" si="12"/>
        <v>27524.26862</v>
      </c>
      <c r="AL18" s="250">
        <f t="shared" si="13"/>
        <v>28789.96875</v>
      </c>
      <c r="AM18" s="251">
        <f t="shared" si="14"/>
        <v>25931.37155</v>
      </c>
      <c r="AN18" s="201">
        <f t="shared" si="15"/>
        <v>2</v>
      </c>
      <c r="AO18" s="202">
        <f t="shared" si="16"/>
        <v>14.41413581</v>
      </c>
      <c r="AP18" s="202">
        <f t="shared" si="17"/>
        <v>0</v>
      </c>
      <c r="AQ18" s="201">
        <f t="shared" si="18"/>
        <v>2</v>
      </c>
      <c r="AR18" s="201">
        <f t="shared" si="19"/>
        <v>486276</v>
      </c>
      <c r="AS18" s="202">
        <f t="shared" si="20"/>
        <v>1.247578861</v>
      </c>
      <c r="AT18" s="201">
        <f t="shared" si="21"/>
        <v>1</v>
      </c>
      <c r="AU18" s="203">
        <f t="shared" si="22"/>
        <v>40523</v>
      </c>
      <c r="AV18" s="252">
        <f t="shared" si="23"/>
        <v>526799</v>
      </c>
    </row>
    <row r="19">
      <c r="A19" s="102"/>
      <c r="B19" s="205" t="s">
        <v>344</v>
      </c>
      <c r="C19" s="253" t="b">
        <v>0</v>
      </c>
      <c r="D19" s="230" t="s">
        <v>345</v>
      </c>
      <c r="E19" s="254" t="s">
        <v>356</v>
      </c>
      <c r="F19" s="232" t="s">
        <v>357</v>
      </c>
      <c r="G19" s="210" t="str">
        <f t="shared" si="1"/>
        <v>Fusion Rifle - Rapid-Fire</v>
      </c>
      <c r="H19" s="255" t="s">
        <v>348</v>
      </c>
      <c r="I19" s="210" t="s">
        <v>349</v>
      </c>
      <c r="J19" s="210" t="s">
        <v>349</v>
      </c>
      <c r="K19" s="184">
        <f>VLOOKUP(E19,backend!$BP$5:$BQ57,2,FALSE)</f>
        <v>36900</v>
      </c>
      <c r="L19" s="185">
        <f>K19*M19*IF(B19="Special",VLOOKUP(I19,backend!$H$4:$M57,2,FALSE),VLOOKUP(I19,backend!$H$4:$M57,3,FALSE))*IF(B19="Special",VLOOKUP(J19,backend!$H$4:$M57,2,FALSE),VLOOKUP(J19,backend!$H$4:$M57,3,FALSE))*IF($B$8=TRUE,VLOOKUP(D19,BuffsDebuffs!$P$8:$X$27,MATCH(H19,BuffsDebuffs!$P$8:$X$8,0),FALSE),1)*IF($B$6=TRUE,backend!$BN$5,1)</f>
        <v>36900</v>
      </c>
      <c r="M19" s="186">
        <f>VLOOKUP(E19,backend!$BP$5:$BS57,4,FALSE)</f>
        <v>1</v>
      </c>
      <c r="N19" s="184">
        <v>7.0</v>
      </c>
      <c r="O19" s="184">
        <v>8.0</v>
      </c>
      <c r="P19" s="184">
        <f>MAX(IFNA(VLOOKUP(IF($B$10=TRUE,O19,N19),backend!$P$4:$Y57,MATCH(I19,backend!$P$3:$Y$3,0),FALSE),IF($B$10=TRUE,O19,N19)),IFNA(VLOOKUP(IF($B$10=TRUE,O19,N19),backend!$P$4:$Y57,MATCH(J19,backend!$P$3:$Y$3,0),FALSE),IF($B$10=TRUE,O19,N19)))</f>
        <v>7</v>
      </c>
      <c r="Q19" s="184">
        <v>58.06</v>
      </c>
      <c r="R19" s="184">
        <f>Q19/VLOOKUP(I19,backend!$H$4:$N57,7,FALSE)/VLOOKUP(J19,backend!$H$4:$N57,7,FALSE)</f>
        <v>58.06</v>
      </c>
      <c r="S19" s="184">
        <v>20.0</v>
      </c>
      <c r="T19" s="184">
        <v>26.0</v>
      </c>
      <c r="U19" s="184">
        <f>MAX(IFNA(VLOOKUP(IF($B$9=TRUE,T19,S19),backend!$AA$4:$AF57,MATCH(I19,backend!$AA$3:$AF$3,0),FALSE),IF($B$9=TRUE,T19,S19)),IFNA(VLOOKUP(IF($B$9=TRUE,T19,S19),backend!$AA$4:$AF57,MATCH(J19,backend!$AA$3:$AF$3,0),FALSE),IF($B$9=TRUE,T19,S19)))</f>
        <v>20</v>
      </c>
      <c r="V19" s="187">
        <f>VLOOKUP(E19,backend!$BB$4:$BH57,7,FALSE)</f>
        <v>45.8</v>
      </c>
      <c r="W19" s="184">
        <f>MIN(100,V19+VLOOKUP(I19,backend!$H$4:$N57,5,FALSE)+VLOOKUP(J19,backend!$H$4:$N57,5,FALSE)+IF($B$11=TRUE,100,0)+IF($B$12,10,0))</f>
        <v>45.8</v>
      </c>
      <c r="X19" s="188">
        <f>(VLOOKUP(D19,backend!$AV$4:$AZ57,2,FALSE)*W19^2+VLOOKUP(D19,backend!$AV$4:$AZ57,3,FALSE)*W19+VLOOKUP(D19,backend!$AV$4:$AZ57,4,FALSE))*VLOOKUP(I19,backend!$H$4:$N57,6,FALSE)*VLOOKUP(J19,backend!$H$4:$N57,6,FALSE)*IF($B$12=TRUE,0.85,1)*IF($B$11=TRUE,0.9,1)*IF(D19="Shotgun",P19,1)*IF(F19="Rapid-Fire",0.8,1)+IF(OR(D19="Fusion Rifle",D19="Linear Fusion Rifle"),0.516,0)</f>
        <v>2.156437507</v>
      </c>
      <c r="Y19" s="188">
        <v>1.684</v>
      </c>
      <c r="Z19" s="188">
        <f>VLOOKUP(D19,backend!$AV$4:$AZ57,5,FALSE)*IF(D19="Shotgun",P19,1)+IF(OR(D19="Fusion Rifle",D19="Linear Fusion Rifle"),0.516,0)</f>
        <v>1.583</v>
      </c>
      <c r="AA19" s="189">
        <f t="shared" si="2"/>
        <v>2.156437507</v>
      </c>
      <c r="AB19" s="233">
        <f t="shared" si="3"/>
        <v>25.05456133</v>
      </c>
      <c r="AC19" s="234">
        <f t="shared" si="4"/>
        <v>68.68690563</v>
      </c>
      <c r="AD19" s="235">
        <f t="shared" si="5"/>
        <v>46.87073348</v>
      </c>
      <c r="AE19" s="236">
        <f t="shared" si="6"/>
        <v>6.20048226</v>
      </c>
      <c r="AF19" s="237">
        <f t="shared" si="7"/>
        <v>21.88090808</v>
      </c>
      <c r="AG19" s="184">
        <f t="shared" si="8"/>
        <v>258300</v>
      </c>
      <c r="AH19" s="195">
        <f t="shared" si="9"/>
        <v>41658.05</v>
      </c>
      <c r="AI19" s="256">
        <f t="shared" si="10"/>
        <v>738000</v>
      </c>
      <c r="AJ19" s="257">
        <f t="shared" si="11"/>
        <v>516600</v>
      </c>
      <c r="AK19" s="258">
        <f t="shared" si="12"/>
        <v>33728.03346</v>
      </c>
      <c r="AL19" s="259">
        <f t="shared" si="13"/>
        <v>35487.10127</v>
      </c>
      <c r="AM19" s="260">
        <f t="shared" si="14"/>
        <v>30908.5174</v>
      </c>
      <c r="AN19" s="201">
        <f t="shared" si="15"/>
        <v>2</v>
      </c>
      <c r="AO19" s="202">
        <f t="shared" si="16"/>
        <v>15.68712499</v>
      </c>
      <c r="AP19" s="202">
        <f t="shared" si="17"/>
        <v>0</v>
      </c>
      <c r="AQ19" s="201">
        <f t="shared" si="18"/>
        <v>2</v>
      </c>
      <c r="AR19" s="201">
        <f t="shared" si="19"/>
        <v>516600</v>
      </c>
      <c r="AS19" s="202">
        <f t="shared" si="20"/>
        <v>3.286160467</v>
      </c>
      <c r="AT19" s="201">
        <f t="shared" si="21"/>
        <v>4</v>
      </c>
      <c r="AU19" s="203">
        <f t="shared" si="22"/>
        <v>147600</v>
      </c>
      <c r="AV19" s="261">
        <f t="shared" si="23"/>
        <v>664200</v>
      </c>
    </row>
    <row r="20">
      <c r="A20" s="102"/>
      <c r="B20" s="205" t="s">
        <v>344</v>
      </c>
      <c r="C20" s="244" t="b">
        <v>0</v>
      </c>
      <c r="D20" s="207" t="s">
        <v>358</v>
      </c>
      <c r="E20" s="262" t="s">
        <v>359</v>
      </c>
      <c r="F20" s="209" t="s">
        <v>347</v>
      </c>
      <c r="G20" s="210" t="str">
        <f t="shared" si="1"/>
        <v>Glaive - Adaptive</v>
      </c>
      <c r="H20" s="255" t="s">
        <v>348</v>
      </c>
      <c r="I20" s="210" t="s">
        <v>349</v>
      </c>
      <c r="J20" s="210" t="s">
        <v>349</v>
      </c>
      <c r="K20" s="211">
        <f>VLOOKUP(E20,backend!$BP$5:$BQ57,2,FALSE)</f>
        <v>23455</v>
      </c>
      <c r="L20" s="212">
        <f>K20*M20*IF(B20="Special",VLOOKUP(I20,backend!$H$4:$M57,2,FALSE),VLOOKUP(I20,backend!$H$4:$M57,3,FALSE))*IF(B20="Special",VLOOKUP(J20,backend!$H$4:$M57,2,FALSE),VLOOKUP(J20,backend!$H$4:$M57,3,FALSE))*IF($B$8=TRUE,VLOOKUP(D20,BuffsDebuffs!$P$8:$X$27,MATCH(H20,BuffsDebuffs!$P$8:$X$8,0),FALSE),1)*IF($B$6=TRUE,backend!$BN$5,1)</f>
        <v>23455</v>
      </c>
      <c r="M20" s="213">
        <f>VLOOKUP(E20,backend!$BP$5:$BS57,4,FALSE)</f>
        <v>1</v>
      </c>
      <c r="N20" s="211">
        <v>5.0</v>
      </c>
      <c r="O20" s="211">
        <v>7.0</v>
      </c>
      <c r="P20" s="211">
        <f>MAX(IFNA(VLOOKUP(IF($B$10=TRUE,O20,N20),backend!$P$4:$Y57,MATCH(I20,backend!$P$3:$Y$3,0),FALSE),IF($B$10=TRUE,O20,N20)),IFNA(VLOOKUP(IF($B$10=TRUE,O20,N20),backend!$P$4:$Y57,MATCH(J20,backend!$P$3:$Y$3,0),FALSE),IF($B$10=TRUE,O20,N20)))</f>
        <v>5</v>
      </c>
      <c r="Q20" s="211">
        <v>66.0</v>
      </c>
      <c r="R20" s="211">
        <f>Q20/VLOOKUP(I20,backend!$H$4:$N57,7,FALSE)/VLOOKUP(J20,backend!$H$4:$N57,7,FALSE)</f>
        <v>66</v>
      </c>
      <c r="S20" s="211">
        <v>27.0</v>
      </c>
      <c r="T20" s="211">
        <v>35.0</v>
      </c>
      <c r="U20" s="211">
        <f>MAX(IFNA(VLOOKUP(IF($B$9=TRUE,T20,S20),backend!$AA$4:$AF57,MATCH(I20,backend!$AA$3:$AF$3,0),FALSE),IF($B$9=TRUE,T20,S20)),IFNA(VLOOKUP(IF($B$9=TRUE,T20,S20),backend!$AA$4:$AF57,MATCH(J20,backend!$AA$3:$AF$3,0),FALSE),IF($B$9=TRUE,T20,S20)))</f>
        <v>27</v>
      </c>
      <c r="V20" s="214">
        <f>VLOOKUP(E20,backend!$BB$4:$BH57,7,FALSE)</f>
        <v>44.8</v>
      </c>
      <c r="W20" s="211">
        <f>MIN(100,V20+VLOOKUP(I20,backend!$H$4:$N57,5,FALSE)+VLOOKUP(J20,backend!$H$4:$N57,5,FALSE)+IF($B$11=TRUE,100,0)+IF($B$12,10,0))</f>
        <v>44.8</v>
      </c>
      <c r="X20" s="215">
        <f>(VLOOKUP(D20,backend!$AV$4:$AZ57,2,FALSE)*W20^2+VLOOKUP(D20,backend!$AV$4:$AZ57,3,FALSE)*W20+VLOOKUP(D20,backend!$AV$4:$AZ57,4,FALSE))*VLOOKUP(I20,backend!$H$4:$N57,6,FALSE)*VLOOKUP(J20,backend!$H$4:$N57,6,FALSE)*IF($B$12=TRUE,0.85,1)*IF($B$11=TRUE,0.9,1)*IF(D20="Shotgun",P20,1)*IF(F20="Rapid-Fire",0.8,1)+IF(OR(D20="Fusion Rifle",D20="Linear Fusion Rifle"),0.516,0)</f>
        <v>2.716</v>
      </c>
      <c r="Y20" s="215">
        <v>1.35</v>
      </c>
      <c r="Z20" s="215">
        <f>VLOOKUP(D20,backend!$AV$4:$AZ57,5,FALSE)*IF(D20="Shotgun",P20,1)+IF(OR(D20="Fusion Rifle",D20="Linear Fusion Rifle"),0.516,0)</f>
        <v>1.35</v>
      </c>
      <c r="AA20" s="216">
        <f t="shared" si="2"/>
        <v>2.716</v>
      </c>
      <c r="AB20" s="217">
        <f t="shared" si="3"/>
        <v>28.43857607</v>
      </c>
      <c r="AC20" s="218">
        <f t="shared" si="4"/>
        <v>39.07466445</v>
      </c>
      <c r="AD20" s="219">
        <f t="shared" si="5"/>
        <v>33.75662026</v>
      </c>
      <c r="AE20" s="220">
        <f t="shared" si="6"/>
        <v>3.636363636</v>
      </c>
      <c r="AF20" s="221">
        <f t="shared" si="7"/>
        <v>32.67090909</v>
      </c>
      <c r="AG20" s="211">
        <f t="shared" si="8"/>
        <v>117275</v>
      </c>
      <c r="AH20" s="222">
        <f t="shared" si="9"/>
        <v>32250.625</v>
      </c>
      <c r="AI20" s="263">
        <f t="shared" si="10"/>
        <v>633285</v>
      </c>
      <c r="AJ20" s="264">
        <f t="shared" si="11"/>
        <v>586375</v>
      </c>
      <c r="AK20" s="265">
        <f t="shared" si="12"/>
        <v>19383.75814</v>
      </c>
      <c r="AL20" s="266">
        <f t="shared" si="13"/>
        <v>20187.93192</v>
      </c>
      <c r="AM20" s="267">
        <f t="shared" si="14"/>
        <v>18461.63203</v>
      </c>
      <c r="AN20" s="201">
        <f t="shared" si="15"/>
        <v>3</v>
      </c>
      <c r="AO20" s="202">
        <f t="shared" si="16"/>
        <v>11.852</v>
      </c>
      <c r="AP20" s="202">
        <f t="shared" si="17"/>
        <v>0</v>
      </c>
      <c r="AQ20" s="201">
        <f t="shared" si="18"/>
        <v>3</v>
      </c>
      <c r="AR20" s="201">
        <f t="shared" si="19"/>
        <v>351825</v>
      </c>
      <c r="AS20" s="202">
        <f t="shared" si="20"/>
        <v>0.9429090909</v>
      </c>
      <c r="AT20" s="201">
        <f t="shared" si="21"/>
        <v>2</v>
      </c>
      <c r="AU20" s="203">
        <f t="shared" si="22"/>
        <v>46910</v>
      </c>
      <c r="AV20" s="268">
        <f t="shared" si="23"/>
        <v>398735</v>
      </c>
    </row>
    <row r="21">
      <c r="A21" s="102"/>
      <c r="B21" s="205" t="s">
        <v>344</v>
      </c>
      <c r="C21" s="253" t="b">
        <v>0</v>
      </c>
      <c r="D21" s="269" t="s">
        <v>358</v>
      </c>
      <c r="E21" s="270" t="s">
        <v>360</v>
      </c>
      <c r="F21" s="271" t="s">
        <v>351</v>
      </c>
      <c r="G21" s="272" t="s">
        <v>361</v>
      </c>
      <c r="H21" s="273" t="s">
        <v>348</v>
      </c>
      <c r="I21" s="272" t="s">
        <v>349</v>
      </c>
      <c r="J21" s="272" t="s">
        <v>349</v>
      </c>
      <c r="K21" s="184">
        <f>VLOOKUP(E21,backend!$BP$5:$BQ57,2,FALSE)</f>
        <v>26918</v>
      </c>
      <c r="L21" s="185">
        <f>K21*M21*IF(B21="Special",VLOOKUP(I21,backend!$H$4:$M57,2,FALSE),VLOOKUP(I21,backend!$H$4:$M57,3,FALSE))*IF(B21="Special",VLOOKUP(J21,backend!$H$4:$M57,2,FALSE),VLOOKUP(J21,backend!$H$4:$M57,3,FALSE))*IF($B$8=TRUE,VLOOKUP(D21,BuffsDebuffs!$P$8:$X$27,MATCH(H21,BuffsDebuffs!$P$8:$X$8,0),FALSE),1)*IF($B$6=TRUE,backend!$BN$5,1)</f>
        <v>26918</v>
      </c>
      <c r="M21" s="186">
        <f>VLOOKUP(E21,backend!$BP$5:$BS57,4,FALSE)</f>
        <v>1</v>
      </c>
      <c r="N21" s="274">
        <v>5.0</v>
      </c>
      <c r="O21" s="274">
        <v>7.0</v>
      </c>
      <c r="P21" s="184">
        <f>MAX(IFNA(VLOOKUP(IF($B$10=TRUE,O21,N21),backend!$P$4:$Y57,MATCH(I21,backend!$P$3:$Y$3,0),FALSE),IF($B$10=TRUE,O21,N21)),IFNA(VLOOKUP(IF($B$10=TRUE,O21,N21),backend!$P$4:$Y57,MATCH(J21,backend!$P$3:$Y$3,0),FALSE),IF($B$10=TRUE,O21,N21)))</f>
        <v>5</v>
      </c>
      <c r="Q21" s="274">
        <v>45.0</v>
      </c>
      <c r="R21" s="184">
        <f>Q21/VLOOKUP(I21,backend!$H$4:$N57,7,FALSE)/VLOOKUP(J21,backend!$H$4:$N57,7,FALSE)</f>
        <v>45</v>
      </c>
      <c r="S21" s="274">
        <v>27.0</v>
      </c>
      <c r="T21" s="274">
        <v>34.0</v>
      </c>
      <c r="U21" s="184">
        <f>MAX(IFNA(VLOOKUP(IF($B$9=TRUE,T21,S21),backend!$AA$4:$AF57,MATCH(I21,backend!$AA$3:$AF$3,0),FALSE),IF($B$9=TRUE,T21,S21)),IFNA(VLOOKUP(IF($B$9=TRUE,T21,S21),backend!$AA$4:$AF57,MATCH(J21,backend!$AA$3:$AF$3,0),FALSE),IF($B$9=TRUE,T21,S21)))</f>
        <v>27</v>
      </c>
      <c r="V21" s="187">
        <f>VLOOKUP(E21,backend!$BB$4:$BH57,7,FALSE)</f>
        <v>36</v>
      </c>
      <c r="W21" s="184">
        <f>MIN(100,V21+VLOOKUP(I21,backend!$H$4:$N57,5,FALSE)+VLOOKUP(J21,backend!$H$4:$N57,5,FALSE)+IF($B$11=TRUE,100,0)+IF($B$12,10,0))</f>
        <v>36</v>
      </c>
      <c r="X21" s="188">
        <f>(VLOOKUP(D21,backend!$AV$4:$AZ57,2,FALSE)*W21^2+VLOOKUP(D21,backend!$AV$4:$AZ57,3,FALSE)*W21+VLOOKUP(D21,backend!$AV$4:$AZ57,4,FALSE))*VLOOKUP(I21,backend!$H$4:$N57,6,FALSE)*VLOOKUP(J21,backend!$H$4:$N57,6,FALSE)*IF($B$12=TRUE,0.85,1)*IF($B$11=TRUE,0.9,1)*IF(D21="Shotgun",P21,1)*IF(F21="Rapid-Fire",0.8,1)+IF(OR(D21="Fusion Rifle",D21="Linear Fusion Rifle"),0.516,0)</f>
        <v>2.87</v>
      </c>
      <c r="Y21" s="188">
        <v>1.35</v>
      </c>
      <c r="Z21" s="188">
        <f>VLOOKUP(D21,backend!$AV$4:$AZ57,5,FALSE)*IF(D21="Shotgun",P21,1)+IF(OR(D21="Fusion Rifle",D21="Linear Fusion Rifle"),0.516,0)</f>
        <v>1.35</v>
      </c>
      <c r="AA21" s="189">
        <f t="shared" si="2"/>
        <v>2.87</v>
      </c>
      <c r="AB21" s="233">
        <f t="shared" si="3"/>
        <v>32.6373733</v>
      </c>
      <c r="AC21" s="234">
        <f t="shared" si="4"/>
        <v>34.14519748</v>
      </c>
      <c r="AD21" s="235">
        <f t="shared" si="5"/>
        <v>33.39128539</v>
      </c>
      <c r="AE21" s="236">
        <f t="shared" si="6"/>
        <v>5.333333333</v>
      </c>
      <c r="AF21" s="237">
        <f t="shared" si="7"/>
        <v>42.35</v>
      </c>
      <c r="AG21" s="184">
        <f t="shared" si="8"/>
        <v>134590</v>
      </c>
      <c r="AH21" s="195">
        <f t="shared" si="9"/>
        <v>25235.625</v>
      </c>
      <c r="AI21" s="256">
        <f t="shared" si="10"/>
        <v>726786</v>
      </c>
      <c r="AJ21" s="257">
        <f t="shared" si="11"/>
        <v>672950</v>
      </c>
      <c r="AK21" s="258">
        <f t="shared" si="12"/>
        <v>17161.41677</v>
      </c>
      <c r="AL21" s="259">
        <f t="shared" si="13"/>
        <v>17641.12199</v>
      </c>
      <c r="AM21" s="260">
        <f t="shared" si="14"/>
        <v>16406.74523</v>
      </c>
      <c r="AN21" s="201">
        <f t="shared" si="15"/>
        <v>2</v>
      </c>
      <c r="AO21" s="202">
        <f t="shared" si="16"/>
        <v>14.26</v>
      </c>
      <c r="AP21" s="202">
        <f t="shared" si="17"/>
        <v>0</v>
      </c>
      <c r="AQ21" s="201">
        <f t="shared" si="18"/>
        <v>2</v>
      </c>
      <c r="AR21" s="201">
        <f t="shared" si="19"/>
        <v>269180</v>
      </c>
      <c r="AS21" s="202">
        <f t="shared" si="20"/>
        <v>3.593333333</v>
      </c>
      <c r="AT21" s="201">
        <f t="shared" si="21"/>
        <v>3</v>
      </c>
      <c r="AU21" s="203">
        <f t="shared" si="22"/>
        <v>80754</v>
      </c>
      <c r="AV21" s="261">
        <f t="shared" si="23"/>
        <v>349934</v>
      </c>
    </row>
    <row r="22">
      <c r="A22" s="102"/>
      <c r="B22" s="205" t="s">
        <v>344</v>
      </c>
      <c r="C22" s="244" t="b">
        <v>0</v>
      </c>
      <c r="D22" s="207" t="s">
        <v>358</v>
      </c>
      <c r="E22" s="262" t="s">
        <v>362</v>
      </c>
      <c r="F22" s="209" t="s">
        <v>357</v>
      </c>
      <c r="G22" s="210" t="str">
        <f t="shared" ref="G22:G41" si="24">D22&amp;" - "&amp; F22</f>
        <v>Glaive - Rapid-Fire</v>
      </c>
      <c r="H22" s="255" t="s">
        <v>348</v>
      </c>
      <c r="I22" s="210" t="s">
        <v>349</v>
      </c>
      <c r="J22" s="210" t="s">
        <v>349</v>
      </c>
      <c r="K22" s="211">
        <f>VLOOKUP(E22,backend!$BP$5:$BQ57,2,FALSE)</f>
        <v>18469</v>
      </c>
      <c r="L22" s="212">
        <f>K22*M22*IF(B22="Special",VLOOKUP(I22,backend!$H$4:$M57,2,FALSE),VLOOKUP(I22,backend!$H$4:$M57,3,FALSE))*IF(B22="Special",VLOOKUP(J22,backend!$H$4:$M57,2,FALSE),VLOOKUP(J22,backend!$H$4:$M57,3,FALSE))*IF($B$8=TRUE,VLOOKUP(D22,BuffsDebuffs!$P$8:$X$27,MATCH(H22,BuffsDebuffs!$P$8:$X$8,0),FALSE),1)*IF($B$6=TRUE,backend!$BN$5,1)</f>
        <v>18469</v>
      </c>
      <c r="M22" s="213">
        <f>VLOOKUP(E22,backend!$BP$5:$BS57,4,FALSE)</f>
        <v>1</v>
      </c>
      <c r="N22" s="211">
        <v>5.0</v>
      </c>
      <c r="O22" s="211">
        <v>7.0</v>
      </c>
      <c r="P22" s="211">
        <f>MAX(IFNA(VLOOKUP(IF($B$10=TRUE,O22,N22),backend!$P$4:$Y57,MATCH(I22,backend!$P$3:$Y$3,0),FALSE),IF($B$10=TRUE,O22,N22)),IFNA(VLOOKUP(IF($B$10=TRUE,O22,N22),backend!$P$4:$Y57,MATCH(J22,backend!$P$3:$Y$3,0),FALSE),IF($B$10=TRUE,O22,N22)))</f>
        <v>5</v>
      </c>
      <c r="Q22" s="211">
        <v>80.0</v>
      </c>
      <c r="R22" s="211">
        <f>Q22/VLOOKUP(I22,backend!$H$4:$N57,7,FALSE)/VLOOKUP(J22,backend!$H$4:$N57,7,FALSE)</f>
        <v>80</v>
      </c>
      <c r="S22" s="211">
        <v>30.0</v>
      </c>
      <c r="T22" s="211">
        <v>36.0</v>
      </c>
      <c r="U22" s="211">
        <f>MAX(IFNA(VLOOKUP(IF($B$9=TRUE,T22,S22),backend!$AA$4:$AF57,MATCH(I22,backend!$AA$3:$AF$3,0),FALSE),IF($B$9=TRUE,T22,S22)),IFNA(VLOOKUP(IF($B$9=TRUE,T22,S22),backend!$AA$4:$AF57,MATCH(J22,backend!$AA$3:$AF$3,0),FALSE),IF($B$9=TRUE,T22,S22)))</f>
        <v>30</v>
      </c>
      <c r="V22" s="214">
        <f>VLOOKUP(E22,backend!$BB$4:$BH57,7,FALSE)</f>
        <v>66</v>
      </c>
      <c r="W22" s="211">
        <f>MIN(100,V22+VLOOKUP(I22,backend!$H$4:$N57,5,FALSE)+VLOOKUP(J22,backend!$H$4:$N57,5,FALSE)+IF($B$11=TRUE,100,0)+IF($B$12,10,0))</f>
        <v>66</v>
      </c>
      <c r="X22" s="215">
        <f>(VLOOKUP(D22,backend!$AV$4:$AZ57,2,FALSE)*W22^2+VLOOKUP(D22,backend!$AV$4:$AZ57,3,FALSE)*W22+VLOOKUP(D22,backend!$AV$4:$AZ57,4,FALSE))*VLOOKUP(I22,backend!$H$4:$N57,6,FALSE)*VLOOKUP(J22,backend!$H$4:$N57,6,FALSE)*IF($B$12=TRUE,0.85,1)*IF($B$11=TRUE,0.9,1)*IF(D22="Shotgun",P22,1)*IF(F22="Rapid-Fire",0.8,1)+IF(OR(D22="Fusion Rifle",D22="Linear Fusion Rifle"),0.516,0)</f>
        <v>1.876</v>
      </c>
      <c r="Y22" s="215">
        <v>1.35</v>
      </c>
      <c r="Z22" s="215">
        <f>VLOOKUP(D22,backend!$AV$4:$AZ57,5,FALSE)*IF(D22="Shotgun",P22,1)+IF(OR(D22="Fusion Rifle",D22="Linear Fusion Rifle"),0.516,0)</f>
        <v>1.35</v>
      </c>
      <c r="AA22" s="216">
        <f t="shared" si="2"/>
        <v>1.876</v>
      </c>
      <c r="AB22" s="217">
        <f t="shared" si="3"/>
        <v>26.87181726</v>
      </c>
      <c r="AC22" s="218">
        <f t="shared" si="4"/>
        <v>39.16829057</v>
      </c>
      <c r="AD22" s="219">
        <f t="shared" si="5"/>
        <v>33.02005391</v>
      </c>
      <c r="AE22" s="220">
        <f t="shared" si="6"/>
        <v>3</v>
      </c>
      <c r="AF22" s="221">
        <f t="shared" si="7"/>
        <v>27.38</v>
      </c>
      <c r="AG22" s="211">
        <f t="shared" si="8"/>
        <v>92345</v>
      </c>
      <c r="AH22" s="222">
        <f t="shared" si="9"/>
        <v>30781.66667</v>
      </c>
      <c r="AI22" s="275">
        <f t="shared" si="10"/>
        <v>554070</v>
      </c>
      <c r="AJ22" s="276">
        <f t="shared" si="11"/>
        <v>554070</v>
      </c>
      <c r="AK22" s="277">
        <f t="shared" si="12"/>
        <v>20236.30387</v>
      </c>
      <c r="AL22" s="278">
        <f t="shared" si="13"/>
        <v>20236.30387</v>
      </c>
      <c r="AM22" s="279">
        <f t="shared" si="14"/>
        <v>18938.67925</v>
      </c>
      <c r="AN22" s="201">
        <f t="shared" si="15"/>
        <v>4</v>
      </c>
      <c r="AO22" s="202">
        <f t="shared" si="16"/>
        <v>12.496</v>
      </c>
      <c r="AP22" s="202">
        <f t="shared" si="17"/>
        <v>0</v>
      </c>
      <c r="AQ22" s="201">
        <f t="shared" si="18"/>
        <v>4</v>
      </c>
      <c r="AR22" s="201">
        <f t="shared" si="19"/>
        <v>369380</v>
      </c>
      <c r="AS22" s="202">
        <f t="shared" si="20"/>
        <v>0.496</v>
      </c>
      <c r="AT22" s="201">
        <f t="shared" si="21"/>
        <v>1</v>
      </c>
      <c r="AU22" s="203">
        <f t="shared" si="22"/>
        <v>18469</v>
      </c>
      <c r="AV22" s="280">
        <f t="shared" si="23"/>
        <v>387849</v>
      </c>
    </row>
    <row r="23">
      <c r="A23" s="102"/>
      <c r="B23" s="205" t="s">
        <v>344</v>
      </c>
      <c r="C23" s="253" t="b">
        <v>0</v>
      </c>
      <c r="D23" s="230" t="s">
        <v>363</v>
      </c>
      <c r="E23" s="254" t="s">
        <v>364</v>
      </c>
      <c r="F23" s="232" t="s">
        <v>365</v>
      </c>
      <c r="G23" s="210" t="str">
        <f t="shared" si="24"/>
        <v>Grenade Launcher - Aera Denial</v>
      </c>
      <c r="H23" s="255" t="s">
        <v>348</v>
      </c>
      <c r="I23" s="210" t="s">
        <v>349</v>
      </c>
      <c r="J23" s="210" t="s">
        <v>349</v>
      </c>
      <c r="K23" s="184">
        <f>VLOOKUP(E23,backend!$BP$5:$BQ57,2,FALSE)</f>
        <v>51012</v>
      </c>
      <c r="L23" s="185">
        <f>K23*M23*IF(B23="Special",VLOOKUP(I23,backend!$H$4:$M57,2,FALSE),VLOOKUP(I23,backend!$H$4:$M57,3,FALSE))*IF(B23="Special",VLOOKUP(J23,backend!$H$4:$M57,2,FALSE),VLOOKUP(J23,backend!$H$4:$M57,3,FALSE))*IF($B$8=TRUE,VLOOKUP(D23,BuffsDebuffs!$P$8:$X$27,MATCH(H23,BuffsDebuffs!$P$8:$X$8,0),FALSE),1)*IF($B$6=TRUE,backend!$BN$5,1)</f>
        <v>51012</v>
      </c>
      <c r="M23" s="186">
        <f>VLOOKUP(E23,backend!$BP$5:$BS57,4,FALSE)</f>
        <v>1</v>
      </c>
      <c r="N23" s="184">
        <v>1.0</v>
      </c>
      <c r="O23" s="184">
        <v>1.0</v>
      </c>
      <c r="P23" s="184">
        <f>MAX(IFNA(VLOOKUP(IF($B$10=TRUE,O23,N23),backend!$P$4:$Y57,MATCH(I23,backend!$P$3:$Y$3,0),FALSE),IF($B$10=TRUE,O23,N23)),IFNA(VLOOKUP(IF($B$10=TRUE,O23,N23),backend!$P$4:$Y57,MATCH(J23,backend!$P$3:$Y$3,0),FALSE),IF($B$10=TRUE,O23,N23)))</f>
        <v>1</v>
      </c>
      <c r="Q23" s="184">
        <v>10.0</v>
      </c>
      <c r="R23" s="184">
        <f>Q23/VLOOKUP(I23,backend!$H$4:$N57,7,FALSE)/VLOOKUP(J23,backend!$H$4:$N57,7,FALSE)</f>
        <v>10</v>
      </c>
      <c r="S23" s="184">
        <v>24.0</v>
      </c>
      <c r="T23" s="184">
        <v>25.0</v>
      </c>
      <c r="U23" s="184">
        <f>MAX(IFNA(VLOOKUP(IF($B$9=TRUE,T23,S23),backend!$AA$4:$AF57,MATCH(I23,backend!$AA$3:$AF$3,0),FALSE),IF($B$9=TRUE,T23,S23)),IFNA(VLOOKUP(IF($B$9=TRUE,T23,S23),backend!$AA$4:$AF57,MATCH(J23,backend!$AA$3:$AF$3,0),FALSE),IF($B$9=TRUE,T23,S23)))</f>
        <v>24</v>
      </c>
      <c r="V23" s="187">
        <f>VLOOKUP(E23,backend!$BB$4:$BH57,7,FALSE)</f>
        <v>67.5</v>
      </c>
      <c r="W23" s="184">
        <f>MIN(100,V23+VLOOKUP(I23,backend!$H$4:$N57,5,FALSE)+VLOOKUP(J23,backend!$H$4:$N57,5,FALSE)+IF($B$11=TRUE,100,0)+IF($B$12,10,0))</f>
        <v>67.5</v>
      </c>
      <c r="X23" s="188">
        <f>(VLOOKUP(D23,backend!$AV$4:$AZ57,2,FALSE)*W23^2+VLOOKUP(D23,backend!$AV$4:$AZ57,3,FALSE)*W23+VLOOKUP(D23,backend!$AV$4:$AZ57,4,FALSE))*VLOOKUP(I23,backend!$H$4:$N57,6,FALSE)*VLOOKUP(J23,backend!$H$4:$N57,6,FALSE)*IF($B$12=TRUE,0.85,1)*IF($B$11=TRUE,0.9,1)*IF(D23="Shotgun",P23,1)*IF(F23="Rapid-Fire",0.8,1)+IF(OR(D23="Fusion Rifle",D23="Linear Fusion Rifle"),0.516,0)</f>
        <v>2.110093236</v>
      </c>
      <c r="Y23" s="188">
        <v>1.5</v>
      </c>
      <c r="Z23" s="188">
        <f>VLOOKUP(D23,backend!$AV$4:$AZ57,5,FALSE)*IF(D23="Shotgun",P23,1)+IF(OR(D23="Fusion Rifle",D23="Linear Fusion Rifle"),0.516,0)</f>
        <v>1.5</v>
      </c>
      <c r="AA23" s="189">
        <f t="shared" si="2"/>
        <v>2.110093236</v>
      </c>
      <c r="AB23" s="233">
        <f t="shared" si="3"/>
        <v>59.3766914</v>
      </c>
      <c r="AC23" s="234">
        <f t="shared" si="4"/>
        <v>48.82671845</v>
      </c>
      <c r="AD23" s="235">
        <f t="shared" si="5"/>
        <v>54.10170492</v>
      </c>
      <c r="AE23" s="236">
        <f t="shared" si="6"/>
        <v>0</v>
      </c>
      <c r="AF23" s="237">
        <f t="shared" si="7"/>
        <v>48.53214443</v>
      </c>
      <c r="AG23" s="184">
        <f t="shared" si="8"/>
        <v>51012</v>
      </c>
      <c r="AH23" s="195" t="str">
        <f t="shared" si="9"/>
        <v>-</v>
      </c>
      <c r="AI23" s="281">
        <f t="shared" si="10"/>
        <v>1224288</v>
      </c>
      <c r="AJ23" s="282">
        <f t="shared" si="11"/>
        <v>1224288</v>
      </c>
      <c r="AK23" s="283">
        <f t="shared" si="12"/>
        <v>25226.33225</v>
      </c>
      <c r="AL23" s="284">
        <f t="shared" si="13"/>
        <v>25226.33225</v>
      </c>
      <c r="AM23" s="285">
        <f t="shared" si="14"/>
        <v>24175.23507</v>
      </c>
      <c r="AN23" s="201">
        <f t="shared" si="15"/>
        <v>9</v>
      </c>
      <c r="AO23" s="202">
        <f t="shared" si="16"/>
        <v>1.009160876</v>
      </c>
      <c r="AP23" s="202">
        <f t="shared" si="17"/>
        <v>1.009160876</v>
      </c>
      <c r="AQ23" s="201">
        <f t="shared" si="18"/>
        <v>10</v>
      </c>
      <c r="AR23" s="201">
        <f t="shared" si="19"/>
        <v>510120</v>
      </c>
      <c r="AS23" s="202">
        <f t="shared" si="20"/>
        <v>0</v>
      </c>
      <c r="AT23" s="201">
        <f t="shared" si="21"/>
        <v>0</v>
      </c>
      <c r="AU23" s="203">
        <f t="shared" si="22"/>
        <v>0</v>
      </c>
      <c r="AV23" s="286">
        <f t="shared" si="23"/>
        <v>510120</v>
      </c>
    </row>
    <row r="24">
      <c r="A24" s="102"/>
      <c r="B24" s="205" t="s">
        <v>344</v>
      </c>
      <c r="C24" s="244" t="b">
        <v>0</v>
      </c>
      <c r="D24" s="207" t="s">
        <v>363</v>
      </c>
      <c r="E24" s="262" t="s">
        <v>366</v>
      </c>
      <c r="F24" s="209" t="s">
        <v>367</v>
      </c>
      <c r="G24" s="210" t="str">
        <f t="shared" si="24"/>
        <v>Grenade Launcher - Double-Fire</v>
      </c>
      <c r="H24" s="255" t="s">
        <v>348</v>
      </c>
      <c r="I24" s="210" t="s">
        <v>349</v>
      </c>
      <c r="J24" s="210" t="s">
        <v>349</v>
      </c>
      <c r="K24" s="211">
        <f>VLOOKUP(E24,backend!$BP$5:$BQ57,2,FALSE)</f>
        <v>38380</v>
      </c>
      <c r="L24" s="212">
        <f>K24*M24*IF(B24="Special",VLOOKUP(I24,backend!$H$4:$M57,2,FALSE),VLOOKUP(I24,backend!$H$4:$M57,3,FALSE))*IF(B24="Special",VLOOKUP(J24,backend!$H$4:$M57,2,FALSE),VLOOKUP(J24,backend!$H$4:$M57,3,FALSE))*IF($B$8=TRUE,VLOOKUP(D24,BuffsDebuffs!$P$8:$X$27,MATCH(H24,BuffsDebuffs!$P$8:$X$8,0),FALSE),1)*IF($B$6=TRUE,backend!$BN$5,1)</f>
        <v>38380</v>
      </c>
      <c r="M24" s="213">
        <f>VLOOKUP(E24,backend!$BP$5:$BS57,4,FALSE)</f>
        <v>1</v>
      </c>
      <c r="N24" s="211">
        <v>1.0</v>
      </c>
      <c r="O24" s="211">
        <v>1.0</v>
      </c>
      <c r="P24" s="211">
        <f>MAX(IFNA(VLOOKUP(IF($B$10=TRUE,O24,N24),backend!$P$4:$Y57,MATCH(I24,backend!$P$3:$Y$3,0),FALSE),IF($B$10=TRUE,O24,N24)),IFNA(VLOOKUP(IF($B$10=TRUE,O24,N24),backend!$P$4:$Y57,MATCH(J24,backend!$P$3:$Y$3,0),FALSE),IF($B$10=TRUE,O24,N24)))</f>
        <v>1</v>
      </c>
      <c r="Q24" s="211">
        <v>100.0</v>
      </c>
      <c r="R24" s="211">
        <f>Q24/VLOOKUP(I24,backend!$H$4:$N57,7,FALSE)/VLOOKUP(J24,backend!$H$4:$N57,7,FALSE)</f>
        <v>100</v>
      </c>
      <c r="S24" s="211">
        <v>22.0</v>
      </c>
      <c r="T24" s="211">
        <v>24.0</v>
      </c>
      <c r="U24" s="211">
        <f>MAX(IFNA(VLOOKUP(IF($B$9=TRUE,T24,S24),backend!$AA$4:$AF57,MATCH(I24,backend!$AA$3:$AF$3,0),FALSE),IF($B$9=TRUE,T24,S24)),IFNA(VLOOKUP(IF($B$9=TRUE,T24,S24),backend!$AA$4:$AF57,MATCH(J24,backend!$AA$3:$AF$3,0),FALSE),IF($B$9=TRUE,T24,S24)))</f>
        <v>22</v>
      </c>
      <c r="V24" s="214">
        <f>VLOOKUP(E24,backend!$BB$4:$BH57,7,FALSE)</f>
        <v>34.33333333</v>
      </c>
      <c r="W24" s="211">
        <f>MIN(100,V24+VLOOKUP(I24,backend!$H$4:$N57,5,FALSE)+VLOOKUP(J24,backend!$H$4:$N57,5,FALSE)+IF($B$11=TRUE,100,0)+IF($B$12,10,0))</f>
        <v>34.33333333</v>
      </c>
      <c r="X24" s="215">
        <f>(VLOOKUP(D24,backend!$AV$4:$AZ57,2,FALSE)*W24^2+VLOOKUP(D24,backend!$AV$4:$AZ57,3,FALSE)*W24+VLOOKUP(D24,backend!$AV$4:$AZ57,4,FALSE))*VLOOKUP(I24,backend!$H$4:$N57,6,FALSE)*VLOOKUP(J24,backend!$H$4:$N57,6,FALSE)*IF($B$12=TRUE,0.85,1)*IF($B$11=TRUE,0.9,1)*IF(D24="Shotgun",P24,1)*IF(F24="Rapid-Fire",0.8,1)+IF(OR(D24="Fusion Rifle",D24="Linear Fusion Rifle"),0.516,0)</f>
        <v>2.583329835</v>
      </c>
      <c r="Y24" s="215">
        <v>1.5</v>
      </c>
      <c r="Z24" s="215">
        <f>VLOOKUP(D24,backend!$AV$4:$AZ57,5,FALSE)*IF(D24="Shotgun",P24,1)+IF(OR(D24="Fusion Rifle",D24="Linear Fusion Rifle"),0.516,0)</f>
        <v>1.5</v>
      </c>
      <c r="AA24" s="216">
        <f t="shared" si="2"/>
        <v>2.583329835</v>
      </c>
      <c r="AB24" s="217">
        <f t="shared" si="3"/>
        <v>40.95057956</v>
      </c>
      <c r="AC24" s="218">
        <f t="shared" si="4"/>
        <v>30.1253376</v>
      </c>
      <c r="AD24" s="219">
        <f t="shared" si="5"/>
        <v>35.53795858</v>
      </c>
      <c r="AE24" s="220">
        <f t="shared" si="6"/>
        <v>0</v>
      </c>
      <c r="AF24" s="221">
        <f t="shared" si="7"/>
        <v>54.24992654</v>
      </c>
      <c r="AG24" s="211">
        <f t="shared" si="8"/>
        <v>38380</v>
      </c>
      <c r="AH24" s="222" t="str">
        <f t="shared" si="9"/>
        <v>-</v>
      </c>
      <c r="AI24" s="287">
        <f t="shared" si="10"/>
        <v>844360</v>
      </c>
      <c r="AJ24" s="288">
        <f t="shared" si="11"/>
        <v>844360</v>
      </c>
      <c r="AK24" s="289">
        <f t="shared" si="12"/>
        <v>15564.26071</v>
      </c>
      <c r="AL24" s="290">
        <f t="shared" si="13"/>
        <v>15564.26071</v>
      </c>
      <c r="AM24" s="291">
        <f t="shared" si="14"/>
        <v>14856.79431</v>
      </c>
      <c r="AN24" s="201">
        <f t="shared" si="15"/>
        <v>7</v>
      </c>
      <c r="AO24" s="202">
        <f t="shared" si="16"/>
        <v>1.916691152</v>
      </c>
      <c r="AP24" s="202">
        <f t="shared" si="17"/>
        <v>1.916691152</v>
      </c>
      <c r="AQ24" s="201">
        <f t="shared" si="18"/>
        <v>8</v>
      </c>
      <c r="AR24" s="201">
        <f t="shared" si="19"/>
        <v>307040</v>
      </c>
      <c r="AS24" s="202">
        <f t="shared" si="20"/>
        <v>0</v>
      </c>
      <c r="AT24" s="201">
        <f t="shared" si="21"/>
        <v>0</v>
      </c>
      <c r="AU24" s="203">
        <f t="shared" si="22"/>
        <v>0</v>
      </c>
      <c r="AV24" s="292">
        <f t="shared" si="23"/>
        <v>307040</v>
      </c>
    </row>
    <row r="25">
      <c r="A25" s="102"/>
      <c r="B25" s="205" t="s">
        <v>344</v>
      </c>
      <c r="C25" s="253" t="b">
        <v>0</v>
      </c>
      <c r="D25" s="230" t="s">
        <v>363</v>
      </c>
      <c r="E25" s="254" t="s">
        <v>368</v>
      </c>
      <c r="F25" s="232" t="s">
        <v>369</v>
      </c>
      <c r="G25" s="210" t="str">
        <f t="shared" si="24"/>
        <v>Grenade Launcher - Lightweight</v>
      </c>
      <c r="H25" s="255" t="s">
        <v>348</v>
      </c>
      <c r="I25" s="210" t="s">
        <v>349</v>
      </c>
      <c r="J25" s="210" t="s">
        <v>349</v>
      </c>
      <c r="K25" s="184">
        <f>VLOOKUP(E25,backend!$BP$5:$BQ57,2,FALSE)</f>
        <v>30838</v>
      </c>
      <c r="L25" s="185">
        <f>K25*M25*IF(B25="Special",VLOOKUP(I25,backend!$H$4:$M57,2,FALSE),VLOOKUP(I25,backend!$H$4:$M57,3,FALSE))*IF(B25="Special",VLOOKUP(J25,backend!$H$4:$M57,2,FALSE),VLOOKUP(J25,backend!$H$4:$M57,3,FALSE))*IF($B$8=TRUE,VLOOKUP(D25,BuffsDebuffs!$P$8:$X$27,MATCH(H25,BuffsDebuffs!$P$8:$X$8,0),FALSE),1)*IF($B$6=TRUE,backend!$BN$5,1)</f>
        <v>30838</v>
      </c>
      <c r="M25" s="186">
        <f>VLOOKUP(E25,backend!$BP$5:$BS57,4,FALSE)</f>
        <v>1</v>
      </c>
      <c r="N25" s="184">
        <v>1.0</v>
      </c>
      <c r="O25" s="184">
        <v>1.0</v>
      </c>
      <c r="P25" s="184">
        <f>MAX(IFNA(VLOOKUP(IF($B$10=TRUE,O25,N25),backend!$P$4:$Y57,MATCH(I25,backend!$P$3:$Y$3,0),FALSE),IF($B$10=TRUE,O25,N25)),IFNA(VLOOKUP(IF($B$10=TRUE,O25,N25),backend!$P$4:$Y57,MATCH(J25,backend!$P$3:$Y$3,0),FALSE),IF($B$10=TRUE,O25,N25)))</f>
        <v>1</v>
      </c>
      <c r="Q25" s="184">
        <v>90.0</v>
      </c>
      <c r="R25" s="184">
        <f>Q25/VLOOKUP(I25,backend!$H$4:$N57,7,FALSE)/VLOOKUP(J25,backend!$H$4:$N57,7,FALSE)</f>
        <v>90</v>
      </c>
      <c r="S25" s="184">
        <v>24.0</v>
      </c>
      <c r="T25" s="184">
        <v>25.0</v>
      </c>
      <c r="U25" s="184">
        <f>MAX(IFNA(VLOOKUP(IF($B$9=TRUE,T25,S25),backend!$AA$4:$AF57,MATCH(I25,backend!$AA$3:$AF$3,0),FALSE),IF($B$9=TRUE,T25,S25)),IFNA(VLOOKUP(IF($B$9=TRUE,T25,S25),backend!$AA$4:$AF57,MATCH(J25,backend!$AA$3:$AF$3,0),FALSE),IF($B$9=TRUE,T25,S25)))</f>
        <v>24</v>
      </c>
      <c r="V25" s="187">
        <f>VLOOKUP(E25,backend!$BB$4:$BH57,7,FALSE)</f>
        <v>66</v>
      </c>
      <c r="W25" s="184">
        <f>MIN(100,V25+VLOOKUP(I25,backend!$H$4:$N57,5,FALSE)+VLOOKUP(J25,backend!$H$4:$N57,5,FALSE)+IF($B$11=TRUE,100,0)+IF($B$12,10,0))</f>
        <v>66</v>
      </c>
      <c r="X25" s="188">
        <f>(VLOOKUP(D25,backend!$AV$4:$AZ57,2,FALSE)*W25^2+VLOOKUP(D25,backend!$AV$4:$AZ57,3,FALSE)*W25+VLOOKUP(D25,backend!$AV$4:$AZ57,4,FALSE))*VLOOKUP(I25,backend!$H$4:$N57,6,FALSE)*VLOOKUP(J25,backend!$H$4:$N57,6,FALSE)*IF($B$12=TRUE,0.85,1)*IF($B$11=TRUE,0.9,1)*IF(D25="Shotgun",P25,1)*IF(F25="Rapid-Fire",0.8,1)+IF(OR(D25="Fusion Rifle",D25="Linear Fusion Rifle"),0.516,0)</f>
        <v>2.128055951</v>
      </c>
      <c r="Y25" s="188">
        <v>1.5</v>
      </c>
      <c r="Z25" s="188">
        <f>VLOOKUP(D25,backend!$AV$4:$AZ57,5,FALSE)*IF(D25="Shotgun",P25,1)+IF(OR(D25="Fusion Rifle",D25="Linear Fusion Rifle"),0.516,0)</f>
        <v>1.5</v>
      </c>
      <c r="AA25" s="189">
        <f t="shared" si="2"/>
        <v>2.128055951</v>
      </c>
      <c r="AB25" s="233">
        <f t="shared" si="3"/>
        <v>35.89466026</v>
      </c>
      <c r="AC25" s="234">
        <f t="shared" si="4"/>
        <v>29.26779425</v>
      </c>
      <c r="AD25" s="235">
        <f t="shared" si="5"/>
        <v>32.58122726</v>
      </c>
      <c r="AE25" s="236">
        <f t="shared" si="6"/>
        <v>0</v>
      </c>
      <c r="AF25" s="237">
        <f t="shared" si="7"/>
        <v>48.94528687</v>
      </c>
      <c r="AG25" s="184">
        <f t="shared" si="8"/>
        <v>30838</v>
      </c>
      <c r="AH25" s="195" t="str">
        <f t="shared" si="9"/>
        <v>-</v>
      </c>
      <c r="AI25" s="256">
        <f t="shared" si="10"/>
        <v>740112</v>
      </c>
      <c r="AJ25" s="239">
        <f t="shared" si="11"/>
        <v>740112</v>
      </c>
      <c r="AK25" s="293">
        <f t="shared" si="12"/>
        <v>15121.21079</v>
      </c>
      <c r="AL25" s="294">
        <f t="shared" si="13"/>
        <v>15121.21079</v>
      </c>
      <c r="AM25" s="295">
        <f t="shared" si="14"/>
        <v>14491.16034</v>
      </c>
      <c r="AN25" s="201">
        <f t="shared" si="15"/>
        <v>9</v>
      </c>
      <c r="AO25" s="202">
        <f t="shared" si="16"/>
        <v>0.8474964404</v>
      </c>
      <c r="AP25" s="202">
        <f t="shared" si="17"/>
        <v>0.8474964404</v>
      </c>
      <c r="AQ25" s="201">
        <f t="shared" si="18"/>
        <v>10</v>
      </c>
      <c r="AR25" s="201">
        <f t="shared" si="19"/>
        <v>308380</v>
      </c>
      <c r="AS25" s="202">
        <f t="shared" si="20"/>
        <v>0</v>
      </c>
      <c r="AT25" s="201">
        <f t="shared" si="21"/>
        <v>0</v>
      </c>
      <c r="AU25" s="203">
        <f t="shared" si="22"/>
        <v>0</v>
      </c>
      <c r="AV25" s="292">
        <f t="shared" si="23"/>
        <v>308380</v>
      </c>
    </row>
    <row r="26">
      <c r="A26" s="102"/>
      <c r="B26" s="205" t="s">
        <v>344</v>
      </c>
      <c r="C26" s="244" t="b">
        <v>0</v>
      </c>
      <c r="D26" s="207" t="s">
        <v>363</v>
      </c>
      <c r="E26" s="262" t="s">
        <v>370</v>
      </c>
      <c r="F26" s="209" t="s">
        <v>371</v>
      </c>
      <c r="G26" s="210" t="str">
        <f t="shared" si="24"/>
        <v>Grenade Launcher - Micro-Missile</v>
      </c>
      <c r="H26" s="255" t="s">
        <v>348</v>
      </c>
      <c r="I26" s="210" t="s">
        <v>349</v>
      </c>
      <c r="J26" s="210" t="s">
        <v>349</v>
      </c>
      <c r="K26" s="211">
        <f>VLOOKUP(E26,backend!$BP$5:$BQ57,2,FALSE)</f>
        <v>39711</v>
      </c>
      <c r="L26" s="212">
        <f>K26*M26*IF(B26="Special",VLOOKUP(I26,backend!$H$4:$M57,2,FALSE),VLOOKUP(I26,backend!$H$4:$M57,3,FALSE))*IF(B26="Special",VLOOKUP(J26,backend!$H$4:$M57,2,FALSE),VLOOKUP(J26,backend!$H$4:$M57,3,FALSE))*IF($B$8=TRUE,VLOOKUP(D26,BuffsDebuffs!$P$8:$X$27,MATCH(H26,BuffsDebuffs!$P$8:$X$8,0),FALSE),1)*IF($B$6=TRUE,backend!$BN$5,1)</f>
        <v>39711</v>
      </c>
      <c r="M26" s="213">
        <f>VLOOKUP(E26,backend!$BP$5:$BS57,4,FALSE)</f>
        <v>1</v>
      </c>
      <c r="N26" s="211">
        <v>1.0</v>
      </c>
      <c r="O26" s="211">
        <v>1.0</v>
      </c>
      <c r="P26" s="211">
        <f>MAX(IFNA(VLOOKUP(IF($B$10=TRUE,O26,N26),backend!$P$4:$Y57,MATCH(I26,backend!$P$3:$Y$3,0),FALSE),IF($B$10=TRUE,O26,N26)),IFNA(VLOOKUP(IF($B$10=TRUE,O26,N26),backend!$P$4:$Y57,MATCH(J26,backend!$P$3:$Y$3,0),FALSE),IF($B$10=TRUE,O26,N26)))</f>
        <v>1</v>
      </c>
      <c r="Q26" s="211">
        <v>90.0</v>
      </c>
      <c r="R26" s="211">
        <f>Q26/VLOOKUP(I26,backend!$H$4:$N57,7,FALSE)/VLOOKUP(J26,backend!$H$4:$N57,7,FALSE)</f>
        <v>90</v>
      </c>
      <c r="S26" s="211">
        <v>24.0</v>
      </c>
      <c r="T26" s="211">
        <v>25.0</v>
      </c>
      <c r="U26" s="211">
        <f>MAX(IFNA(VLOOKUP(IF($B$9=TRUE,T26,S26),backend!$AA$4:$AF57,MATCH(I26,backend!$AA$3:$AF$3,0),FALSE),IF($B$9=TRUE,T26,S26)),IFNA(VLOOKUP(IF($B$9=TRUE,T26,S26),backend!$AA$4:$AF57,MATCH(J26,backend!$AA$3:$AF$3,0),FALSE),IF($B$9=TRUE,T26,S26)))</f>
        <v>24</v>
      </c>
      <c r="V26" s="214">
        <f>VLOOKUP(E26,backend!$BB$4:$BH57,7,FALSE)</f>
        <v>63</v>
      </c>
      <c r="W26" s="211">
        <f>MIN(100,V26+VLOOKUP(I26,backend!$H$4:$N57,5,FALSE)+VLOOKUP(J26,backend!$H$4:$N57,5,FALSE)+IF($B$11=TRUE,100,0)+IF($B$12,10,0))</f>
        <v>63</v>
      </c>
      <c r="X26" s="215">
        <f>(VLOOKUP(D26,backend!$AV$4:$AZ57,2,FALSE)*W26^2+VLOOKUP(D26,backend!$AV$4:$AZ57,3,FALSE)*W26+VLOOKUP(D26,backend!$AV$4:$AZ57,4,FALSE))*VLOOKUP(I26,backend!$H$4:$N57,6,FALSE)*VLOOKUP(J26,backend!$H$4:$N57,6,FALSE)*IF($B$12=TRUE,0.85,1)*IF($B$11=TRUE,0.9,1)*IF(D26="Shotgun",P26,1)*IF(F26="Rapid-Fire",0.8,1)+IF(OR(D26="Fusion Rifle",D26="Linear Fusion Rifle"),0.516,0)</f>
        <v>2.16495905</v>
      </c>
      <c r="Y26" s="215">
        <v>1.5</v>
      </c>
      <c r="Z26" s="215">
        <f>VLOOKUP(D26,backend!$AV$4:$AZ57,5,FALSE)*IF(D26="Shotgun",P26,1)+IF(OR(D26="Fusion Rifle",D26="Linear Fusion Rifle"),0.516,0)</f>
        <v>1.5</v>
      </c>
      <c r="AA26" s="216">
        <f t="shared" si="2"/>
        <v>2.16495905</v>
      </c>
      <c r="AB26" s="217">
        <f t="shared" si="3"/>
        <v>46.22261021</v>
      </c>
      <c r="AC26" s="218">
        <f t="shared" si="4"/>
        <v>37.04656697</v>
      </c>
      <c r="AD26" s="219">
        <f t="shared" si="5"/>
        <v>41.63458859</v>
      </c>
      <c r="AE26" s="220">
        <f t="shared" si="6"/>
        <v>0</v>
      </c>
      <c r="AF26" s="221">
        <f t="shared" si="7"/>
        <v>49.79405814</v>
      </c>
      <c r="AG26" s="211">
        <f t="shared" si="8"/>
        <v>39711</v>
      </c>
      <c r="AH26" s="222" t="str">
        <f t="shared" si="9"/>
        <v>-</v>
      </c>
      <c r="AI26" s="296">
        <f t="shared" si="10"/>
        <v>953064</v>
      </c>
      <c r="AJ26" s="297">
        <f t="shared" si="11"/>
        <v>953064</v>
      </c>
      <c r="AK26" s="298">
        <f t="shared" si="12"/>
        <v>19140.11502</v>
      </c>
      <c r="AL26" s="299">
        <f t="shared" si="13"/>
        <v>19140.11502</v>
      </c>
      <c r="AM26" s="300">
        <f t="shared" si="14"/>
        <v>18342.61022</v>
      </c>
      <c r="AN26" s="201">
        <f t="shared" si="15"/>
        <v>9</v>
      </c>
      <c r="AO26" s="202">
        <f t="shared" si="16"/>
        <v>0.5153685521</v>
      </c>
      <c r="AP26" s="202">
        <f t="shared" si="17"/>
        <v>0.5153685521</v>
      </c>
      <c r="AQ26" s="201">
        <f t="shared" si="18"/>
        <v>10</v>
      </c>
      <c r="AR26" s="201">
        <f t="shared" si="19"/>
        <v>397110</v>
      </c>
      <c r="AS26" s="202">
        <f t="shared" si="20"/>
        <v>0</v>
      </c>
      <c r="AT26" s="201">
        <f t="shared" si="21"/>
        <v>0</v>
      </c>
      <c r="AU26" s="203">
        <f t="shared" si="22"/>
        <v>0</v>
      </c>
      <c r="AV26" s="268">
        <f t="shared" si="23"/>
        <v>397110</v>
      </c>
    </row>
    <row r="27">
      <c r="A27" s="102"/>
      <c r="B27" s="205" t="s">
        <v>344</v>
      </c>
      <c r="C27" s="253" t="b">
        <v>0</v>
      </c>
      <c r="D27" s="230" t="s">
        <v>363</v>
      </c>
      <c r="E27" s="254" t="s">
        <v>372</v>
      </c>
      <c r="F27" s="232" t="s">
        <v>373</v>
      </c>
      <c r="G27" s="210" t="str">
        <f t="shared" si="24"/>
        <v>Grenade Launcher - Wave</v>
      </c>
      <c r="H27" s="255" t="s">
        <v>348</v>
      </c>
      <c r="I27" s="210" t="s">
        <v>349</v>
      </c>
      <c r="J27" s="210" t="s">
        <v>349</v>
      </c>
      <c r="K27" s="184">
        <f>VLOOKUP(E27,backend!$BP$5:$BQ57,2,FALSE)</f>
        <v>22413</v>
      </c>
      <c r="L27" s="185">
        <f>K27*M27*IF(B27="Special",VLOOKUP(I27,backend!$H$4:$M57,2,FALSE),VLOOKUP(I27,backend!$H$4:$M57,3,FALSE))*IF(B27="Special",VLOOKUP(J27,backend!$H$4:$M57,2,FALSE),VLOOKUP(J27,backend!$H$4:$M57,3,FALSE))*IF($B$8=TRUE,VLOOKUP(D27,BuffsDebuffs!$P$8:$X$27,MATCH(H27,BuffsDebuffs!$P$8:$X$8,0),FALSE),1)*IF($B$6=TRUE,backend!$BN$5,1)</f>
        <v>22413</v>
      </c>
      <c r="M27" s="186">
        <f>VLOOKUP(E27,backend!$BP$5:$BS57,4,FALSE)</f>
        <v>1</v>
      </c>
      <c r="N27" s="184">
        <v>1.0</v>
      </c>
      <c r="O27" s="184">
        <v>1.0</v>
      </c>
      <c r="P27" s="184">
        <f>MAX(IFNA(VLOOKUP(IF($B$10=TRUE,O27,N27),backend!$P$4:$Y57,MATCH(I27,backend!$P$3:$Y$3,0),FALSE),IF($B$10=TRUE,O27,N27)),IFNA(VLOOKUP(IF($B$10=TRUE,O27,N27),backend!$P$4:$Y57,MATCH(J27,backend!$P$3:$Y$3,0),FALSE),IF($B$10=TRUE,O27,N27)))</f>
        <v>1</v>
      </c>
      <c r="Q27" s="184">
        <v>90.0</v>
      </c>
      <c r="R27" s="184">
        <f>Q27/VLOOKUP(I27,backend!$H$4:$N57,7,FALSE)/VLOOKUP(J27,backend!$H$4:$N57,7,FALSE)</f>
        <v>90</v>
      </c>
      <c r="S27" s="184">
        <v>24.0</v>
      </c>
      <c r="T27" s="184">
        <v>25.0</v>
      </c>
      <c r="U27" s="184">
        <f>MAX(IFNA(VLOOKUP(IF($B$9=TRUE,T27,S27),backend!$AA$4:$AF57,MATCH(I27,backend!$AA$3:$AF$3,0),FALSE),IF($B$9=TRUE,T27,S27)),IFNA(VLOOKUP(IF($B$9=TRUE,T27,S27),backend!$AA$4:$AF57,MATCH(J27,backend!$AA$3:$AF$3,0),FALSE),IF($B$9=TRUE,T27,S27)))</f>
        <v>24</v>
      </c>
      <c r="V27" s="187">
        <f>VLOOKUP(E27,backend!$BB$4:$BH57,7,FALSE)</f>
        <v>68.4</v>
      </c>
      <c r="W27" s="184">
        <f>MIN(100,V27+VLOOKUP(I27,backend!$H$4:$N57,5,FALSE)+VLOOKUP(J27,backend!$H$4:$N57,5,FALSE)+IF($B$11=TRUE,100,0)+IF($B$12,10,0))</f>
        <v>68.4</v>
      </c>
      <c r="X27" s="188">
        <f>(VLOOKUP(D27,backend!$AV$4:$AZ57,2,FALSE)*W27^2+VLOOKUP(D27,backend!$AV$4:$AZ57,3,FALSE)*W27+VLOOKUP(D27,backend!$AV$4:$AZ57,4,FALSE))*VLOOKUP(I27,backend!$H$4:$N57,6,FALSE)*VLOOKUP(J27,backend!$H$4:$N57,6,FALSE)*IF($B$12=TRUE,0.85,1)*IF($B$11=TRUE,0.9,1)*IF(D27="Shotgun",P27,1)*IF(F27="Rapid-Fire",0.8,1)+IF(OR(D27="Fusion Rifle",D27="Linear Fusion Rifle"),0.516,0)</f>
        <v>2.099472034</v>
      </c>
      <c r="Y27" s="188">
        <v>1.5</v>
      </c>
      <c r="Z27" s="188">
        <f>VLOOKUP(D27,backend!$AV$4:$AZ57,5,FALSE)*IF(D27="Shotgun",P27,1)+IF(OR(D27="Fusion Rifle",D27="Linear Fusion Rifle"),0.516,0)</f>
        <v>1.5</v>
      </c>
      <c r="AA27" s="189">
        <f t="shared" si="2"/>
        <v>2.099472034</v>
      </c>
      <c r="AB27" s="233">
        <f t="shared" si="3"/>
        <v>26.0881711</v>
      </c>
      <c r="AC27" s="234">
        <f t="shared" si="4"/>
        <v>21.56138868</v>
      </c>
      <c r="AD27" s="235">
        <f t="shared" si="5"/>
        <v>23.82477989</v>
      </c>
      <c r="AE27" s="236">
        <f t="shared" si="6"/>
        <v>0</v>
      </c>
      <c r="AF27" s="237">
        <f t="shared" si="7"/>
        <v>48.28785678</v>
      </c>
      <c r="AG27" s="184">
        <f t="shared" si="8"/>
        <v>22413</v>
      </c>
      <c r="AH27" s="195" t="str">
        <f t="shared" si="9"/>
        <v>-</v>
      </c>
      <c r="AI27" s="301">
        <f t="shared" si="10"/>
        <v>537912</v>
      </c>
      <c r="AJ27" s="302">
        <f t="shared" si="11"/>
        <v>537912</v>
      </c>
      <c r="AK27" s="303">
        <f t="shared" si="12"/>
        <v>11139.69507</v>
      </c>
      <c r="AL27" s="304">
        <f t="shared" si="13"/>
        <v>11139.69507</v>
      </c>
      <c r="AM27" s="305">
        <f t="shared" si="14"/>
        <v>10675.54111</v>
      </c>
      <c r="AN27" s="201">
        <f t="shared" si="15"/>
        <v>9</v>
      </c>
      <c r="AO27" s="202">
        <f t="shared" si="16"/>
        <v>1.104751694</v>
      </c>
      <c r="AP27" s="202">
        <f t="shared" si="17"/>
        <v>1.104751694</v>
      </c>
      <c r="AQ27" s="201">
        <f t="shared" si="18"/>
        <v>10</v>
      </c>
      <c r="AR27" s="201">
        <f t="shared" si="19"/>
        <v>224130</v>
      </c>
      <c r="AS27" s="202">
        <f t="shared" si="20"/>
        <v>0</v>
      </c>
      <c r="AT27" s="201">
        <f t="shared" si="21"/>
        <v>0</v>
      </c>
      <c r="AU27" s="203">
        <f t="shared" si="22"/>
        <v>0</v>
      </c>
      <c r="AV27" s="306">
        <f t="shared" si="23"/>
        <v>224130</v>
      </c>
    </row>
    <row r="28">
      <c r="A28" s="102"/>
      <c r="B28" s="307" t="s">
        <v>374</v>
      </c>
      <c r="C28" s="244" t="b">
        <v>0</v>
      </c>
      <c r="D28" s="207" t="s">
        <v>375</v>
      </c>
      <c r="E28" s="262" t="s">
        <v>376</v>
      </c>
      <c r="F28" s="209" t="s">
        <v>347</v>
      </c>
      <c r="G28" s="210" t="str">
        <f t="shared" si="24"/>
        <v>Heavy Grenade Launcher - Adaptive</v>
      </c>
      <c r="H28" s="255" t="s">
        <v>348</v>
      </c>
      <c r="I28" s="210" t="s">
        <v>349</v>
      </c>
      <c r="J28" s="210" t="s">
        <v>349</v>
      </c>
      <c r="K28" s="211">
        <f>VLOOKUP(E28,backend!$BP$5:$BQ57,2,FALSE)</f>
        <v>42180</v>
      </c>
      <c r="L28" s="212">
        <f>K28*M28*IF(B28="Special",VLOOKUP(I28,backend!$H$4:$M57,2,FALSE),VLOOKUP(I28,backend!$H$4:$M57,3,FALSE))*IF(B28="Special",VLOOKUP(J28,backend!$H$4:$M57,2,FALSE),VLOOKUP(J28,backend!$H$4:$M57,3,FALSE))*IF($B$8=TRUE,VLOOKUP(D28,BuffsDebuffs!$P$8:$X$27,MATCH(H28,BuffsDebuffs!$P$8:$X$8,0),FALSE),1)*IF($B$6=TRUE,backend!$BN$5,1)</f>
        <v>42180</v>
      </c>
      <c r="M28" s="213">
        <f>VLOOKUP(E28,backend!$BP$5:$BS57,4,FALSE)</f>
        <v>1</v>
      </c>
      <c r="N28" s="211">
        <v>6.0</v>
      </c>
      <c r="O28" s="211">
        <v>8.0</v>
      </c>
      <c r="P28" s="211">
        <f>MAX(IFNA(VLOOKUP(IF($B$10=TRUE,O28,N28),backend!$P$4:$Y57,MATCH(I28,backend!$P$3:$Y$3,0),FALSE),IF($B$10=TRUE,O28,N28)),IFNA(VLOOKUP(IF($B$10=TRUE,O28,N28),backend!$P$4:$Y57,MATCH(J28,backend!$P$3:$Y$3,0),FALSE),IF($B$10=TRUE,O28,N28)))</f>
        <v>6</v>
      </c>
      <c r="Q28" s="211">
        <v>120.0</v>
      </c>
      <c r="R28" s="211">
        <f>Q28/VLOOKUP(I28,backend!$H$4:$N57,7,FALSE)/VLOOKUP(J28,backend!$H$4:$N57,7,FALSE)</f>
        <v>120</v>
      </c>
      <c r="S28" s="211">
        <v>26.0</v>
      </c>
      <c r="T28" s="211">
        <v>30.0</v>
      </c>
      <c r="U28" s="211">
        <f>MAX(IFNA(VLOOKUP(IF($B$9=TRUE,T28,S28),backend!$AA$4:$AF57,MATCH(I28,backend!$AA$3:$AF$3,0),FALSE),IF($B$9=TRUE,T28,S28)),IFNA(VLOOKUP(IF($B$9=TRUE,T28,S28),backend!$AA$4:$AF57,MATCH(J28,backend!$AA$3:$AF$3,0),FALSE),IF($B$9=TRUE,T28,S28)))</f>
        <v>26</v>
      </c>
      <c r="V28" s="214">
        <f>VLOOKUP(E28,backend!$BB$4:$BH57,7,FALSE)</f>
        <v>43</v>
      </c>
      <c r="W28" s="211">
        <f>MIN(100,V28+VLOOKUP(I28,backend!$H$4:$N57,5,FALSE)+VLOOKUP(J28,backend!$H$4:$N57,5,FALSE)+IF($B$11=TRUE,100,0)+IF($B$12,10,0))</f>
        <v>43</v>
      </c>
      <c r="X28" s="215">
        <f>(VLOOKUP(D28,backend!$AV$4:$AZ57,2,FALSE)*W28^2+VLOOKUP(D28,backend!$AV$4:$AZ57,3,FALSE)*W28+VLOOKUP(D28,backend!$AV$4:$AZ57,4,FALSE))*VLOOKUP(I28,backend!$H$4:$N57,6,FALSE)*VLOOKUP(J28,backend!$H$4:$N57,6,FALSE)*IF($B$12=TRUE,0.85,1)*IF($B$11=TRUE,0.9,1)*IF(D28="Shotgun",P28,1)*IF(F28="Rapid-Fire",0.8,1)+IF(OR(D28="Fusion Rifle",D28="Linear Fusion Rifle"),0.516,0)</f>
        <v>3.197972015</v>
      </c>
      <c r="Y28" s="215">
        <v>1.967</v>
      </c>
      <c r="Z28" s="215">
        <f>VLOOKUP(D28,backend!$AV$4:$AZ57,5,FALSE)*IF(D28="Shotgun",P28,1)+IF(OR(D28="Fusion Rifle",D28="Linear Fusion Rifle"),0.516,0)</f>
        <v>1.967</v>
      </c>
      <c r="AA28" s="216">
        <f t="shared" si="2"/>
        <v>3.197972015</v>
      </c>
      <c r="AB28" s="217">
        <f t="shared" si="3"/>
        <v>49.09646443</v>
      </c>
      <c r="AC28" s="218">
        <f t="shared" si="4"/>
        <v>100</v>
      </c>
      <c r="AD28" s="219">
        <f t="shared" si="5"/>
        <v>74.54823221</v>
      </c>
      <c r="AE28" s="220">
        <f t="shared" si="6"/>
        <v>2.5</v>
      </c>
      <c r="AF28" s="221">
        <f t="shared" si="7"/>
        <v>23.29188806</v>
      </c>
      <c r="AG28" s="211">
        <f t="shared" si="8"/>
        <v>253080</v>
      </c>
      <c r="AH28" s="222">
        <f t="shared" si="9"/>
        <v>101232</v>
      </c>
      <c r="AI28" s="308">
        <f t="shared" si="10"/>
        <v>1096680</v>
      </c>
      <c r="AJ28" s="309">
        <f t="shared" si="11"/>
        <v>1012320</v>
      </c>
      <c r="AK28" s="310">
        <f t="shared" si="12"/>
        <v>47084.20361</v>
      </c>
      <c r="AL28" s="311">
        <f t="shared" si="13"/>
        <v>51665.01672</v>
      </c>
      <c r="AM28" s="312">
        <f t="shared" si="14"/>
        <v>44415.80256</v>
      </c>
      <c r="AN28" s="201">
        <f t="shared" si="15"/>
        <v>3</v>
      </c>
      <c r="AO28" s="202">
        <f t="shared" si="16"/>
        <v>10.40608395</v>
      </c>
      <c r="AP28" s="202">
        <f t="shared" si="17"/>
        <v>0.4060839549</v>
      </c>
      <c r="AQ28" s="201">
        <f t="shared" si="18"/>
        <v>4</v>
      </c>
      <c r="AR28" s="201">
        <f t="shared" si="19"/>
        <v>1012320</v>
      </c>
      <c r="AS28" s="202">
        <f t="shared" si="20"/>
        <v>0</v>
      </c>
      <c r="AT28" s="201">
        <f t="shared" si="21"/>
        <v>0</v>
      </c>
      <c r="AU28" s="203">
        <f t="shared" si="22"/>
        <v>0</v>
      </c>
      <c r="AV28" s="313">
        <f t="shared" si="23"/>
        <v>1012320</v>
      </c>
    </row>
    <row r="29">
      <c r="A29" s="102"/>
      <c r="B29" s="307" t="s">
        <v>374</v>
      </c>
      <c r="C29" s="253" t="b">
        <v>0</v>
      </c>
      <c r="D29" s="230" t="s">
        <v>375</v>
      </c>
      <c r="E29" s="254" t="s">
        <v>377</v>
      </c>
      <c r="F29" s="232" t="s">
        <v>378</v>
      </c>
      <c r="G29" s="210" t="str">
        <f t="shared" si="24"/>
        <v>Heavy Grenade Launcher - Compressed Wave Frame</v>
      </c>
      <c r="H29" s="255" t="s">
        <v>348</v>
      </c>
      <c r="I29" s="210" t="s">
        <v>349</v>
      </c>
      <c r="J29" s="210" t="s">
        <v>349</v>
      </c>
      <c r="K29" s="184">
        <f>VLOOKUP(E29,backend!$BP$5:$BQ57,2,FALSE)</f>
        <v>41377</v>
      </c>
      <c r="L29" s="185">
        <f>K29*M29*IF(B29="Special",VLOOKUP(I29,backend!$H$4:$M57,2,FALSE),VLOOKUP(I29,backend!$H$4:$M57,3,FALSE))*IF(B29="Special",VLOOKUP(J29,backend!$H$4:$M57,2,FALSE),VLOOKUP(J29,backend!$H$4:$M57,3,FALSE))*IF($B$8=TRUE,VLOOKUP(D29,BuffsDebuffs!$P$8:$X$27,MATCH(H29,BuffsDebuffs!$P$8:$X$8,0),FALSE),1)*IF($B$6=TRUE,backend!$BN$5,1)</f>
        <v>41377</v>
      </c>
      <c r="M29" s="186">
        <f>VLOOKUP(E29,backend!$BP$5:$BS57,4,FALSE)</f>
        <v>1</v>
      </c>
      <c r="N29" s="184">
        <v>5.0</v>
      </c>
      <c r="O29" s="184">
        <v>7.0</v>
      </c>
      <c r="P29" s="184">
        <f>MAX(IFNA(VLOOKUP(IF($B$10=TRUE,O29,N29),backend!$P$4:$Y57,MATCH(I29,backend!$P$3:$Y$3,0),FALSE),IF($B$10=TRUE,O29,N29)),IFNA(VLOOKUP(IF($B$10=TRUE,O29,N29),backend!$P$4:$Y57,MATCH(J29,backend!$P$3:$Y$3,0),FALSE),IF($B$10=TRUE,O29,N29)))</f>
        <v>5</v>
      </c>
      <c r="Q29" s="184">
        <v>120.0</v>
      </c>
      <c r="R29" s="184">
        <f>Q29/VLOOKUP(I29,backend!$H$4:$N57,7,FALSE)/VLOOKUP(J29,backend!$H$4:$N57,7,FALSE)</f>
        <v>120</v>
      </c>
      <c r="S29" s="184">
        <v>25.0</v>
      </c>
      <c r="T29" s="184">
        <v>29.0</v>
      </c>
      <c r="U29" s="184">
        <f>MAX(IFNA(VLOOKUP(IF($B$9=TRUE,T29,S29),backend!$AA$4:$AF57,MATCH(I29,backend!$AA$3:$AF$3,0),FALSE),IF($B$9=TRUE,T29,S29)),IFNA(VLOOKUP(IF($B$9=TRUE,T29,S29),backend!$AA$4:$AF57,MATCH(J29,backend!$AA$3:$AF$3,0),FALSE),IF($B$9=TRUE,T29,S29)))</f>
        <v>25</v>
      </c>
      <c r="V29" s="187">
        <f>VLOOKUP(E29,backend!$BB$4:$BH57,7,FALSE)</f>
        <v>40.5</v>
      </c>
      <c r="W29" s="184">
        <f>MIN(100,V29+VLOOKUP(I29,backend!$H$4:$N57,5,FALSE)+VLOOKUP(J29,backend!$H$4:$N57,5,FALSE)+IF($B$11=TRUE,100,0)+IF($B$12,10,0))</f>
        <v>40.5</v>
      </c>
      <c r="X29" s="188">
        <f>(VLOOKUP(D29,backend!$AV$4:$AZ57,2,FALSE)*W29^2+VLOOKUP(D29,backend!$AV$4:$AZ57,3,FALSE)*W29+VLOOKUP(D29,backend!$AV$4:$AZ57,4,FALSE))*VLOOKUP(I29,backend!$H$4:$N57,6,FALSE)*VLOOKUP(J29,backend!$H$4:$N57,6,FALSE)*IF($B$12=TRUE,0.85,1)*IF($B$11=TRUE,0.9,1)*IF(D29="Shotgun",P29,1)*IF(F29="Rapid-Fire",0.8,1)+IF(OR(D29="Fusion Rifle",D29="Linear Fusion Rifle"),0.516,0)</f>
        <v>3.244443276</v>
      </c>
      <c r="Y29" s="188">
        <v>1.967</v>
      </c>
      <c r="Z29" s="188">
        <f>VLOOKUP(D29,backend!$AV$4:$AZ57,5,FALSE)*IF(D29="Shotgun",P29,1)+IF(OR(D29="Fusion Rifle",D29="Linear Fusion Rifle"),0.516,0)</f>
        <v>1.967</v>
      </c>
      <c r="AA29" s="189">
        <f t="shared" si="2"/>
        <v>3.244443276</v>
      </c>
      <c r="AB29" s="233">
        <f t="shared" si="3"/>
        <v>50.16853388</v>
      </c>
      <c r="AC29" s="234">
        <f t="shared" si="4"/>
        <v>87.13537351</v>
      </c>
      <c r="AD29" s="235">
        <f t="shared" si="5"/>
        <v>68.65195369</v>
      </c>
      <c r="AE29" s="236">
        <f t="shared" si="6"/>
        <v>2</v>
      </c>
      <c r="AF29" s="237">
        <f t="shared" si="7"/>
        <v>22.9777731</v>
      </c>
      <c r="AG29" s="184">
        <f t="shared" si="8"/>
        <v>206885</v>
      </c>
      <c r="AH29" s="195">
        <f t="shared" si="9"/>
        <v>103442.5</v>
      </c>
      <c r="AI29" s="314">
        <f t="shared" si="10"/>
        <v>1034425</v>
      </c>
      <c r="AJ29" s="315">
        <f t="shared" si="11"/>
        <v>1034425</v>
      </c>
      <c r="AK29" s="316">
        <f t="shared" si="12"/>
        <v>45018.50529</v>
      </c>
      <c r="AL29" s="317">
        <f t="shared" si="13"/>
        <v>45018.50529</v>
      </c>
      <c r="AM29" s="318">
        <f t="shared" si="14"/>
        <v>39448.4198</v>
      </c>
      <c r="AN29" s="201">
        <f t="shared" si="15"/>
        <v>3</v>
      </c>
      <c r="AO29" s="202">
        <f t="shared" si="16"/>
        <v>10.26667017</v>
      </c>
      <c r="AP29" s="202">
        <f t="shared" si="17"/>
        <v>2.266670172</v>
      </c>
      <c r="AQ29" s="201">
        <f t="shared" si="18"/>
        <v>4</v>
      </c>
      <c r="AR29" s="201">
        <f t="shared" si="19"/>
        <v>827540</v>
      </c>
      <c r="AS29" s="202">
        <f t="shared" si="20"/>
        <v>0</v>
      </c>
      <c r="AT29" s="201">
        <f t="shared" si="21"/>
        <v>0</v>
      </c>
      <c r="AU29" s="203">
        <f t="shared" si="22"/>
        <v>0</v>
      </c>
      <c r="AV29" s="319">
        <f t="shared" si="23"/>
        <v>827540</v>
      </c>
    </row>
    <row r="30">
      <c r="A30" s="102"/>
      <c r="B30" s="307" t="s">
        <v>374</v>
      </c>
      <c r="C30" s="244" t="b">
        <v>0</v>
      </c>
      <c r="D30" s="207" t="s">
        <v>375</v>
      </c>
      <c r="E30" s="262" t="s">
        <v>379</v>
      </c>
      <c r="F30" s="209" t="s">
        <v>357</v>
      </c>
      <c r="G30" s="210" t="str">
        <f t="shared" si="24"/>
        <v>Heavy Grenade Launcher - Rapid-Fire</v>
      </c>
      <c r="H30" s="255" t="s">
        <v>348</v>
      </c>
      <c r="I30" s="210" t="s">
        <v>349</v>
      </c>
      <c r="J30" s="210" t="s">
        <v>349</v>
      </c>
      <c r="K30" s="211">
        <f>VLOOKUP(E30,backend!$BP$5:$BQ57,2,FALSE)</f>
        <v>36366</v>
      </c>
      <c r="L30" s="212">
        <f>K30*M30*IF(B30="Special",VLOOKUP(I30,backend!$H$4:$M57,2,FALSE),VLOOKUP(I30,backend!$H$4:$M57,3,FALSE))*IF(B30="Special",VLOOKUP(J30,backend!$H$4:$M57,2,FALSE),VLOOKUP(J30,backend!$H$4:$M57,3,FALSE))*IF($B$8=TRUE,VLOOKUP(D30,BuffsDebuffs!$P$8:$X$27,MATCH(H30,BuffsDebuffs!$P$8:$X$8,0),FALSE),1)*IF($B$6=TRUE,backend!$BN$5,1)</f>
        <v>36366</v>
      </c>
      <c r="M30" s="213">
        <f>VLOOKUP(E30,backend!$BP$5:$BS57,4,FALSE)</f>
        <v>1</v>
      </c>
      <c r="N30" s="211">
        <v>5.0</v>
      </c>
      <c r="O30" s="211">
        <v>8.0</v>
      </c>
      <c r="P30" s="211">
        <f>MAX(IFNA(VLOOKUP(IF($B$10=TRUE,O30,N30),backend!$P$4:$Y57,MATCH(I30,backend!$P$3:$Y$3,0),FALSE),IF($B$10=TRUE,O30,N30)),IFNA(VLOOKUP(IF($B$10=TRUE,O30,N30),backend!$P$4:$Y57,MATCH(J30,backend!$P$3:$Y$3,0),FALSE),IF($B$10=TRUE,O30,N30)))</f>
        <v>5</v>
      </c>
      <c r="Q30" s="211">
        <v>150.0</v>
      </c>
      <c r="R30" s="211">
        <f>Q30/VLOOKUP(I30,backend!$H$4:$N57,7,FALSE)/VLOOKUP(J30,backend!$H$4:$N57,7,FALSE)</f>
        <v>150</v>
      </c>
      <c r="S30" s="211">
        <v>32.0</v>
      </c>
      <c r="T30" s="211">
        <v>37.0</v>
      </c>
      <c r="U30" s="211">
        <f>MAX(IFNA(VLOOKUP(IF($B$9=TRUE,T30,S30),backend!$AA$4:$AF57,MATCH(I30,backend!$AA$3:$AF$3,0),FALSE),IF($B$9=TRUE,T30,S30)),IFNA(VLOOKUP(IF($B$9=TRUE,T30,S30),backend!$AA$4:$AF57,MATCH(J30,backend!$AA$3:$AF$3,0),FALSE),IF($B$9=TRUE,T30,S30)))</f>
        <v>32</v>
      </c>
      <c r="V30" s="214">
        <f>VLOOKUP(E30,backend!$BB$4:$BH57,7,FALSE)</f>
        <v>24.8</v>
      </c>
      <c r="W30" s="211">
        <f>MIN(100,V30+VLOOKUP(I30,backend!$H$4:$N57,5,FALSE)+VLOOKUP(J30,backend!$H$4:$N57,5,FALSE)+IF($B$11=TRUE,100,0)+IF($B$12,10,0))</f>
        <v>24.8</v>
      </c>
      <c r="X30" s="215">
        <f>(VLOOKUP(D30,backend!$AV$4:$AZ57,2,FALSE)*W30^2+VLOOKUP(D30,backend!$AV$4:$AZ57,3,FALSE)*W30+VLOOKUP(D30,backend!$AV$4:$AZ57,4,FALSE))*VLOOKUP(I30,backend!$H$4:$N57,6,FALSE)*VLOOKUP(J30,backend!$H$4:$N57,6,FALSE)*IF($B$12=TRUE,0.85,1)*IF($B$11=TRUE,0.9,1)*IF(D30="Shotgun",P30,1)*IF(F30="Rapid-Fire",0.8,1)+IF(OR(D30="Fusion Rifle",D30="Linear Fusion Rifle"),0.516,0)</f>
        <v>2.846290259</v>
      </c>
      <c r="Y30" s="215">
        <v>1.967</v>
      </c>
      <c r="Z30" s="215">
        <f>VLOOKUP(D30,backend!$AV$4:$AZ57,5,FALSE)*IF(D30="Shotgun",P30,1)+IF(OR(D30="Fusion Rifle",D30="Linear Fusion Rifle"),0.516,0)</f>
        <v>1.967</v>
      </c>
      <c r="AA30" s="216">
        <f t="shared" si="2"/>
        <v>2.846290259</v>
      </c>
      <c r="AB30" s="217">
        <f t="shared" si="3"/>
        <v>52.91139241</v>
      </c>
      <c r="AC30" s="218">
        <f t="shared" si="4"/>
        <v>88.60734505</v>
      </c>
      <c r="AD30" s="219">
        <f t="shared" si="5"/>
        <v>70.75936873</v>
      </c>
      <c r="AE30" s="220">
        <f t="shared" si="6"/>
        <v>1.6</v>
      </c>
      <c r="AF30" s="221">
        <f t="shared" si="7"/>
        <v>27.07774155</v>
      </c>
      <c r="AG30" s="211">
        <f t="shared" si="8"/>
        <v>181830</v>
      </c>
      <c r="AH30" s="222">
        <f t="shared" si="9"/>
        <v>113643.75</v>
      </c>
      <c r="AI30" s="320">
        <f t="shared" si="10"/>
        <v>1163712</v>
      </c>
      <c r="AJ30" s="321">
        <f t="shared" si="11"/>
        <v>1090980</v>
      </c>
      <c r="AK30" s="322">
        <f t="shared" si="12"/>
        <v>42976.70091</v>
      </c>
      <c r="AL30" s="323">
        <f t="shared" si="13"/>
        <v>45778.99963</v>
      </c>
      <c r="AM30" s="324">
        <f t="shared" si="14"/>
        <v>40894.76607</v>
      </c>
      <c r="AN30" s="201">
        <f t="shared" si="15"/>
        <v>4</v>
      </c>
      <c r="AO30" s="202">
        <f t="shared" si="16"/>
        <v>8.614838964</v>
      </c>
      <c r="AP30" s="202">
        <f t="shared" si="17"/>
        <v>0.614838964</v>
      </c>
      <c r="AQ30" s="201">
        <f t="shared" si="18"/>
        <v>5</v>
      </c>
      <c r="AR30" s="201">
        <f t="shared" si="19"/>
        <v>909150</v>
      </c>
      <c r="AS30" s="202">
        <f t="shared" si="20"/>
        <v>0</v>
      </c>
      <c r="AT30" s="201">
        <f t="shared" si="21"/>
        <v>0</v>
      </c>
      <c r="AU30" s="203">
        <f t="shared" si="22"/>
        <v>0</v>
      </c>
      <c r="AV30" s="325">
        <f t="shared" si="23"/>
        <v>909150</v>
      </c>
    </row>
    <row r="31">
      <c r="A31" s="102"/>
      <c r="B31" s="326" t="s">
        <v>374</v>
      </c>
      <c r="C31" s="253" t="b">
        <v>0</v>
      </c>
      <c r="D31" s="230" t="s">
        <v>380</v>
      </c>
      <c r="E31" s="254" t="s">
        <v>381</v>
      </c>
      <c r="F31" s="232" t="s">
        <v>382</v>
      </c>
      <c r="G31" s="210" t="str">
        <f t="shared" si="24"/>
        <v>Linear Fusion Rifle - Adaptive Burst</v>
      </c>
      <c r="H31" s="255" t="s">
        <v>348</v>
      </c>
      <c r="I31" s="210" t="s">
        <v>349</v>
      </c>
      <c r="J31" s="210" t="s">
        <v>349</v>
      </c>
      <c r="K31" s="184">
        <f>VLOOKUP(E31,backend!$BP$5:$BQ57,2,FALSE)</f>
        <v>21033</v>
      </c>
      <c r="L31" s="185">
        <f>K31*M31*IF(B31="Special",VLOOKUP(I31,backend!$H$4:$M57,2,FALSE),VLOOKUP(I31,backend!$H$4:$M57,3,FALSE))*IF(B31="Special",VLOOKUP(J31,backend!$H$4:$M57,2,FALSE),VLOOKUP(J31,backend!$H$4:$M57,3,FALSE))*IF($B$8=TRUE,VLOOKUP(D31,BuffsDebuffs!$P$8:$X$27,MATCH(H31,BuffsDebuffs!$P$8:$X$8,0),FALSE),1)*IF($B$6=TRUE,backend!$BN$5,1)</f>
        <v>65803.5</v>
      </c>
      <c r="M31" s="186">
        <f>VLOOKUP(E31,backend!$BP$5:$BS57,4,FALSE)</f>
        <v>3.128583654</v>
      </c>
      <c r="N31" s="184">
        <v>5.0</v>
      </c>
      <c r="O31" s="184">
        <v>7.0</v>
      </c>
      <c r="P31" s="184">
        <f>MAX(IFNA(VLOOKUP(IF($B$10=TRUE,O31,N31),backend!$P$4:$Y57,MATCH(I31,backend!$P$3:$Y$3,0),FALSE),IF($B$10=TRUE,O31,N31)),IFNA(VLOOKUP(IF($B$10=TRUE,O31,N31),backend!$P$4:$Y57,MATCH(J31,backend!$P$3:$Y$3,0),FALSE),IF($B$10=TRUE,O31,N31)))</f>
        <v>5</v>
      </c>
      <c r="Q31" s="184">
        <v>41.0</v>
      </c>
      <c r="R31" s="184">
        <f>Q31/VLOOKUP(I31,backend!$H$4:$N57,7,FALSE)/VLOOKUP(J31,backend!$H$4:$N57,7,FALSE)</f>
        <v>41</v>
      </c>
      <c r="S31" s="184">
        <v>23.0</v>
      </c>
      <c r="T31" s="184">
        <v>26.0</v>
      </c>
      <c r="U31" s="184">
        <f>MAX(IFNA(VLOOKUP(IF($B$9=TRUE,T31,S31),backend!$AA$4:$AF57,MATCH(I31,backend!$AA$3:$AF$3,0),FALSE),IF($B$9=TRUE,T31,S31)),IFNA(VLOOKUP(IF($B$9=TRUE,T31,S31),backend!$AA$4:$AF57,MATCH(J31,backend!$AA$3:$AF$3,0),FALSE),IF($B$9=TRUE,T31,S31)))</f>
        <v>23</v>
      </c>
      <c r="V31" s="187">
        <f>VLOOKUP(E31,backend!$BB$4:$BH57,7,FALSE)</f>
        <v>24.8</v>
      </c>
      <c r="W31" s="184">
        <f>MIN(100,V31+VLOOKUP(I31,backend!$H$4:$N57,5,FALSE)+VLOOKUP(J31,backend!$H$4:$N57,5,FALSE)+IF($B$11=TRUE,100,0)+IF($B$12,10,0))</f>
        <v>24.8</v>
      </c>
      <c r="X31" s="188">
        <f>(VLOOKUP(D31,backend!$AV$4:$AZ57,2,FALSE)*W31^2+VLOOKUP(D31,backend!$AV$4:$AZ57,3,FALSE)*W31+VLOOKUP(D31,backend!$AV$4:$AZ57,4,FALSE))*VLOOKUP(I31,backend!$H$4:$N57,6,FALSE)*VLOOKUP(J31,backend!$H$4:$N57,6,FALSE)*IF($B$12=TRUE,0.85,1)*IF($B$11=TRUE,0.9,1)*IF(D31="Shotgun",P31,1)*IF(F31="Rapid-Fire",0.8,1)+IF(OR(D31="Fusion Rifle",D31="Linear Fusion Rifle"),0.516,0)</f>
        <v>2.92854508</v>
      </c>
      <c r="Y31" s="188">
        <v>1.65</v>
      </c>
      <c r="Z31" s="188">
        <f>VLOOKUP(D31,backend!$AV$4:$AZ57,5,FALSE)*IF(D31="Shotgun",P31,1)+IF(OR(D31="Fusion Rifle",D31="Linear Fusion Rifle"),0.516,0)</f>
        <v>1.649</v>
      </c>
      <c r="AA31" s="189">
        <f t="shared" si="2"/>
        <v>2.92854508</v>
      </c>
      <c r="AB31" s="233">
        <f t="shared" si="3"/>
        <v>63.8280227</v>
      </c>
      <c r="AC31" s="234">
        <f t="shared" si="4"/>
        <v>79.10845635</v>
      </c>
      <c r="AD31" s="235">
        <f t="shared" si="5"/>
        <v>71.46823952</v>
      </c>
      <c r="AE31" s="236">
        <f t="shared" si="6"/>
        <v>5.853658537</v>
      </c>
      <c r="AF31" s="237">
        <f t="shared" si="7"/>
        <v>38.05564374</v>
      </c>
      <c r="AG31" s="184">
        <f t="shared" si="8"/>
        <v>329017.5</v>
      </c>
      <c r="AH31" s="195">
        <f t="shared" si="9"/>
        <v>56207.15625</v>
      </c>
      <c r="AI31" s="327">
        <f t="shared" si="10"/>
        <v>1513480.5</v>
      </c>
      <c r="AJ31" s="328">
        <f t="shared" si="11"/>
        <v>1316070</v>
      </c>
      <c r="AK31" s="329">
        <f t="shared" si="12"/>
        <v>39770.19836</v>
      </c>
      <c r="AL31" s="330">
        <f t="shared" si="13"/>
        <v>40871.3972</v>
      </c>
      <c r="AM31" s="331">
        <f t="shared" si="14"/>
        <v>37464.11657</v>
      </c>
      <c r="AN31" s="201">
        <f t="shared" si="15"/>
        <v>2</v>
      </c>
      <c r="AO31" s="202">
        <f t="shared" si="16"/>
        <v>14.14290984</v>
      </c>
      <c r="AP31" s="202">
        <f t="shared" si="17"/>
        <v>0</v>
      </c>
      <c r="AQ31" s="201">
        <f t="shared" si="18"/>
        <v>2</v>
      </c>
      <c r="AR31" s="201">
        <f t="shared" si="19"/>
        <v>658035</v>
      </c>
      <c r="AS31" s="202">
        <f t="shared" si="20"/>
        <v>2.435592766</v>
      </c>
      <c r="AT31" s="201">
        <f t="shared" si="21"/>
        <v>2</v>
      </c>
      <c r="AU31" s="203">
        <f t="shared" si="22"/>
        <v>131607</v>
      </c>
      <c r="AV31" s="332">
        <f t="shared" si="23"/>
        <v>789642</v>
      </c>
    </row>
    <row r="32">
      <c r="A32" s="102"/>
      <c r="B32" s="326" t="s">
        <v>374</v>
      </c>
      <c r="C32" s="244" t="b">
        <v>0</v>
      </c>
      <c r="D32" s="207" t="s">
        <v>380</v>
      </c>
      <c r="E32" s="262" t="s">
        <v>383</v>
      </c>
      <c r="F32" s="209" t="s">
        <v>355</v>
      </c>
      <c r="G32" s="210" t="str">
        <f t="shared" si="24"/>
        <v>Linear Fusion Rifle - Precision</v>
      </c>
      <c r="H32" s="255" t="s">
        <v>348</v>
      </c>
      <c r="I32" s="210" t="s">
        <v>349</v>
      </c>
      <c r="J32" s="210" t="s">
        <v>349</v>
      </c>
      <c r="K32" s="211">
        <f>VLOOKUP(E32,backend!$BP$5:$BQ57,2,FALSE)</f>
        <v>14769</v>
      </c>
      <c r="L32" s="212">
        <f>K32*M32*IF(B32="Special",VLOOKUP(I32,backend!$H$4:$M57,2,FALSE),VLOOKUP(I32,backend!$H$4:$M57,3,FALSE))*IF(B32="Special",VLOOKUP(J32,backend!$H$4:$M57,2,FALSE),VLOOKUP(J32,backend!$H$4:$M57,3,FALSE))*IF($B$8=TRUE,VLOOKUP(D32,BuffsDebuffs!$P$8:$X$27,MATCH(H32,BuffsDebuffs!$P$8:$X$8,0),FALSE),1)*IF($B$6=TRUE,backend!$BN$5,1)</f>
        <v>46203</v>
      </c>
      <c r="M32" s="213">
        <f>VLOOKUP(E32,backend!$BP$5:$BS57,4,FALSE)</f>
        <v>3.128377006</v>
      </c>
      <c r="N32" s="211">
        <v>5.0</v>
      </c>
      <c r="O32" s="211">
        <v>7.0</v>
      </c>
      <c r="P32" s="211">
        <f>MAX(IFNA(VLOOKUP(IF($B$10=TRUE,O32,N32),backend!$P$4:$Y57,MATCH(I32,backend!$P$3:$Y$3,0),FALSE),IF($B$10=TRUE,O32,N32)),IFNA(VLOOKUP(IF($B$10=TRUE,O32,N32),backend!$P$4:$Y57,MATCH(J32,backend!$P$3:$Y$3,0),FALSE),IF($B$10=TRUE,O32,N32)))</f>
        <v>5</v>
      </c>
      <c r="Q32" s="211">
        <v>57.0</v>
      </c>
      <c r="R32" s="211">
        <f>Q32/VLOOKUP(I32,backend!$H$4:$N57,7,FALSE)/VLOOKUP(J32,backend!$H$4:$N57,7,FALSE)</f>
        <v>57</v>
      </c>
      <c r="S32" s="211">
        <v>23.0</v>
      </c>
      <c r="T32" s="211">
        <v>27.0</v>
      </c>
      <c r="U32" s="211">
        <f>MAX(IFNA(VLOOKUP(IF($B$9=TRUE,T32,S32),backend!$AA$4:$AF57,MATCH(I32,backend!$AA$3:$AF$3,0),FALSE),IF($B$9=TRUE,T32,S32)),IFNA(VLOOKUP(IF($B$9=TRUE,T32,S32),backend!$AA$4:$AF57,MATCH(J32,backend!$AA$3:$AF$3,0),FALSE),IF($B$9=TRUE,T32,S32)))</f>
        <v>23</v>
      </c>
      <c r="V32" s="214">
        <f>VLOOKUP(E32,backend!$BB$4:$BH57,7,FALSE)</f>
        <v>25</v>
      </c>
      <c r="W32" s="211">
        <f>MIN(100,V32+VLOOKUP(I32,backend!$H$4:$N57,5,FALSE)+VLOOKUP(J32,backend!$H$4:$N57,5,FALSE)+IF($B$11=TRUE,100,0)+IF($B$12,10,0))</f>
        <v>25</v>
      </c>
      <c r="X32" s="215">
        <f>(VLOOKUP(D32,backend!$AV$4:$AZ57,2,FALSE)*W32^2+VLOOKUP(D32,backend!$AV$4:$AZ57,3,FALSE)*W32+VLOOKUP(D32,backend!$AV$4:$AZ57,4,FALSE))*VLOOKUP(I32,backend!$H$4:$N57,6,FALSE)*VLOOKUP(J32,backend!$H$4:$N57,6,FALSE)*IF($B$12=TRUE,0.85,1)*IF($B$11=TRUE,0.9,1)*IF(D32="Shotgun",P32,1)*IF(F32="Rapid-Fire",0.8,1)+IF(OR(D32="Fusion Rifle",D32="Linear Fusion Rifle"),0.516,0)</f>
        <v>2.925133508</v>
      </c>
      <c r="Y32" s="215">
        <v>1.65</v>
      </c>
      <c r="Z32" s="215">
        <f>VLOOKUP(D32,backend!$AV$4:$AZ57,5,FALSE)*IF(D32="Shotgun",P32,1)+IF(OR(D32="Fusion Rifle",D32="Linear Fusion Rifle"),0.516,0)</f>
        <v>1.649</v>
      </c>
      <c r="AA32" s="216">
        <f t="shared" si="2"/>
        <v>2.925133508</v>
      </c>
      <c r="AB32" s="217">
        <f t="shared" si="3"/>
        <v>44.81594646</v>
      </c>
      <c r="AC32" s="218">
        <f t="shared" si="4"/>
        <v>69.81789552</v>
      </c>
      <c r="AD32" s="219">
        <f t="shared" si="5"/>
        <v>57.31692099</v>
      </c>
      <c r="AE32" s="220">
        <f t="shared" si="6"/>
        <v>4.210526316</v>
      </c>
      <c r="AF32" s="221">
        <f t="shared" si="7"/>
        <v>30.64790245</v>
      </c>
      <c r="AG32" s="211">
        <f t="shared" si="8"/>
        <v>231015</v>
      </c>
      <c r="AH32" s="222">
        <f t="shared" si="9"/>
        <v>54866.0625</v>
      </c>
      <c r="AI32" s="333">
        <f t="shared" si="10"/>
        <v>1062669</v>
      </c>
      <c r="AJ32" s="334">
        <f t="shared" si="11"/>
        <v>924060</v>
      </c>
      <c r="AK32" s="335">
        <f t="shared" si="12"/>
        <v>34673.46588</v>
      </c>
      <c r="AL32" s="336">
        <f t="shared" si="13"/>
        <v>36071.42739</v>
      </c>
      <c r="AM32" s="337">
        <f t="shared" si="14"/>
        <v>32374.72157</v>
      </c>
      <c r="AN32" s="201">
        <f t="shared" si="15"/>
        <v>2</v>
      </c>
      <c r="AO32" s="202">
        <f t="shared" si="16"/>
        <v>14.14973298</v>
      </c>
      <c r="AP32" s="202">
        <f t="shared" si="17"/>
        <v>1.518154036</v>
      </c>
      <c r="AQ32" s="201">
        <f t="shared" si="18"/>
        <v>3</v>
      </c>
      <c r="AR32" s="201">
        <f t="shared" si="19"/>
        <v>693045</v>
      </c>
      <c r="AS32" s="202">
        <f t="shared" si="20"/>
        <v>0</v>
      </c>
      <c r="AT32" s="201">
        <f t="shared" si="21"/>
        <v>0</v>
      </c>
      <c r="AU32" s="203">
        <f t="shared" si="22"/>
        <v>0</v>
      </c>
      <c r="AV32" s="338">
        <f t="shared" si="23"/>
        <v>693045</v>
      </c>
    </row>
    <row r="33">
      <c r="A33" s="102"/>
      <c r="B33" s="326" t="s">
        <v>374</v>
      </c>
      <c r="C33" s="253" t="b">
        <v>0</v>
      </c>
      <c r="D33" s="230" t="s">
        <v>384</v>
      </c>
      <c r="E33" s="339" t="s">
        <v>385</v>
      </c>
      <c r="F33" s="232" t="s">
        <v>347</v>
      </c>
      <c r="G33" s="210" t="str">
        <f t="shared" si="24"/>
        <v>Machine Gun - Adaptive</v>
      </c>
      <c r="H33" s="255" t="s">
        <v>348</v>
      </c>
      <c r="I33" s="210" t="s">
        <v>349</v>
      </c>
      <c r="J33" s="210" t="s">
        <v>349</v>
      </c>
      <c r="K33" s="184">
        <f>VLOOKUP(E33,backend!$BP$5:$BQ57,2,FALSE)</f>
        <v>3473</v>
      </c>
      <c r="L33" s="185">
        <f>K33*M33*IF(B33="Special",VLOOKUP(I33,backend!$H$4:$M57,2,FALSE),VLOOKUP(I33,backend!$H$4:$M57,3,FALSE))*IF(B33="Special",VLOOKUP(J33,backend!$H$4:$M57,2,FALSE),VLOOKUP(J33,backend!$H$4:$M57,3,FALSE))*IF($B$8=TRUE,VLOOKUP(D33,BuffsDebuffs!$P$8:$X$27,MATCH(H33,BuffsDebuffs!$P$8:$X$8,0),FALSE),1)*IF($B$6=TRUE,backend!$BN$5,1)</f>
        <v>4868.5</v>
      </c>
      <c r="M33" s="186">
        <f>VLOOKUP(E33,backend!$BP$5:$BS57,4,FALSE)</f>
        <v>1.401813994</v>
      </c>
      <c r="N33" s="184">
        <v>57.0</v>
      </c>
      <c r="O33" s="184">
        <v>75.0</v>
      </c>
      <c r="P33" s="184">
        <f>MAX(IFNA(VLOOKUP(IF($B$10=TRUE,O33,N33),backend!$P$4:$Y57,MATCH(I33,backend!$P$3:$Y$3,0),FALSE),IF($B$10=TRUE,O33,N33)),IFNA(VLOOKUP(IF($B$10=TRUE,O33,N33),backend!$P$4:$Y57,MATCH(J33,backend!$P$3:$Y$3,0),FALSE),IF($B$10=TRUE,O33,N33)))</f>
        <v>57</v>
      </c>
      <c r="Q33" s="184">
        <v>450.0</v>
      </c>
      <c r="R33" s="184">
        <f>Q33/VLOOKUP(I33,backend!$H$4:$N57,7,FALSE)/VLOOKUP(J33,backend!$H$4:$N57,7,FALSE)</f>
        <v>450</v>
      </c>
      <c r="S33" s="184">
        <v>388.0</v>
      </c>
      <c r="T33" s="184">
        <v>491.0</v>
      </c>
      <c r="U33" s="184">
        <f>MAX(IFNA(VLOOKUP(IF($B$9=TRUE,T33,S33),backend!$AA$4:$AF57,MATCH(I33,backend!$AA$3:$AF$3,0),FALSE),IF($B$9=TRUE,T33,S33)),IFNA(VLOOKUP(IF($B$9=TRUE,T33,S33),backend!$AA$4:$AF57,MATCH(J33,backend!$AA$3:$AF$3,0),FALSE),IF($B$9=TRUE,T33,S33)))</f>
        <v>388</v>
      </c>
      <c r="V33" s="187">
        <f>VLOOKUP(E33,backend!$BB$4:$BH57,7,FALSE)</f>
        <v>52.4</v>
      </c>
      <c r="W33" s="184">
        <f>MIN(100,V33+VLOOKUP(I33,backend!$H$4:$N57,5,FALSE)+VLOOKUP(J33,backend!$H$4:$N57,5,FALSE)+IF($B$11=TRUE,100,0)+IF($B$12,10,0))</f>
        <v>52.4</v>
      </c>
      <c r="X33" s="188">
        <f>(VLOOKUP(D33,backend!$AV$4:$AZ57,2,FALSE)*W33^2+VLOOKUP(D33,backend!$AV$4:$AZ57,3,FALSE)*W33+VLOOKUP(D33,backend!$AV$4:$AZ57,4,FALSE))*VLOOKUP(I33,backend!$H$4:$N57,6,FALSE)*VLOOKUP(J33,backend!$H$4:$N57,6,FALSE)*IF($B$12=TRUE,0.85,1)*IF($B$11=TRUE,0.9,1)*IF(D33="Shotgun",P33,1)*IF(F33="Rapid-Fire",0.8,1)+IF(OR(D33="Fusion Rifle",D33="Linear Fusion Rifle"),0.516,0)</f>
        <v>4.768086596</v>
      </c>
      <c r="Y33" s="188">
        <v>3.0</v>
      </c>
      <c r="Z33" s="188">
        <f>VLOOKUP(D33,backend!$AV$4:$AZ57,5,FALSE)*IF(D33="Shotgun",P33,1)+IF(OR(D33="Fusion Rifle",D33="Linear Fusion Rifle"),0.516,0)</f>
        <v>1.4</v>
      </c>
      <c r="AA33" s="189">
        <f t="shared" si="2"/>
        <v>4.768086596</v>
      </c>
      <c r="AB33" s="233">
        <f t="shared" si="3"/>
        <v>80.75207333</v>
      </c>
      <c r="AC33" s="234">
        <f t="shared" si="4"/>
        <v>46.95098326</v>
      </c>
      <c r="AD33" s="235">
        <f t="shared" si="5"/>
        <v>63.85152829</v>
      </c>
      <c r="AE33" s="236">
        <f t="shared" si="6"/>
        <v>7.466666667</v>
      </c>
      <c r="AF33" s="237">
        <f t="shared" si="7"/>
        <v>79.40851958</v>
      </c>
      <c r="AG33" s="184">
        <f t="shared" si="8"/>
        <v>277504.5</v>
      </c>
      <c r="AH33" s="195">
        <f t="shared" si="9"/>
        <v>37165.78125</v>
      </c>
      <c r="AI33" s="340">
        <f t="shared" si="10"/>
        <v>1888978</v>
      </c>
      <c r="AJ33" s="341">
        <f t="shared" si="11"/>
        <v>1665027</v>
      </c>
      <c r="AK33" s="342">
        <f t="shared" si="12"/>
        <v>23788.10246</v>
      </c>
      <c r="AL33" s="343">
        <f t="shared" si="13"/>
        <v>24257.23335</v>
      </c>
      <c r="AM33" s="344">
        <f t="shared" si="14"/>
        <v>22681.65888</v>
      </c>
      <c r="AN33" s="201">
        <f t="shared" si="15"/>
        <v>1</v>
      </c>
      <c r="AO33" s="202">
        <f t="shared" si="16"/>
        <v>15.2319134</v>
      </c>
      <c r="AP33" s="202">
        <f t="shared" si="17"/>
        <v>0.2985800705</v>
      </c>
      <c r="AQ33" s="201">
        <f t="shared" si="18"/>
        <v>2</v>
      </c>
      <c r="AR33" s="201">
        <f t="shared" si="19"/>
        <v>555009</v>
      </c>
      <c r="AS33" s="202">
        <f t="shared" si="20"/>
        <v>0</v>
      </c>
      <c r="AT33" s="201">
        <f t="shared" si="21"/>
        <v>0</v>
      </c>
      <c r="AU33" s="203">
        <f t="shared" si="22"/>
        <v>0</v>
      </c>
      <c r="AV33" s="345">
        <f t="shared" si="23"/>
        <v>555009</v>
      </c>
    </row>
    <row r="34">
      <c r="A34" s="102"/>
      <c r="B34" s="326" t="s">
        <v>374</v>
      </c>
      <c r="C34" s="244" t="b">
        <v>0</v>
      </c>
      <c r="D34" s="207" t="s">
        <v>384</v>
      </c>
      <c r="E34" s="346" t="s">
        <v>386</v>
      </c>
      <c r="F34" s="209" t="s">
        <v>351</v>
      </c>
      <c r="G34" s="210" t="str">
        <f t="shared" si="24"/>
        <v>Machine Gun - Aggressive</v>
      </c>
      <c r="H34" s="255" t="s">
        <v>348</v>
      </c>
      <c r="I34" s="210" t="s">
        <v>349</v>
      </c>
      <c r="J34" s="210" t="s">
        <v>349</v>
      </c>
      <c r="K34" s="211">
        <f>VLOOKUP(E34,backend!$BP$5:$BQ57,2,FALSE)</f>
        <v>3013</v>
      </c>
      <c r="L34" s="212">
        <f>K34*M34*IF(B34="Special",VLOOKUP(I34,backend!$H$4:$M57,2,FALSE),VLOOKUP(I34,backend!$H$4:$M57,3,FALSE))*IF(B34="Special",VLOOKUP(J34,backend!$H$4:$M57,2,FALSE),VLOOKUP(J34,backend!$H$4:$M57,3,FALSE))*IF($B$8=TRUE,VLOOKUP(D34,BuffsDebuffs!$P$8:$X$27,MATCH(H34,BuffsDebuffs!$P$8:$X$8,0),FALSE),1)*IF($B$6=TRUE,backend!$BN$5,1)</f>
        <v>3928.5</v>
      </c>
      <c r="M34" s="213">
        <f>VLOOKUP(E34,backend!$BP$5:$BS57,4,FALSE)</f>
        <v>1.303849983</v>
      </c>
      <c r="N34" s="211">
        <v>66.0</v>
      </c>
      <c r="O34" s="211">
        <v>91.0</v>
      </c>
      <c r="P34" s="211">
        <f>MAX(IFNA(VLOOKUP(IF($B$10=TRUE,O34,N34),backend!$P$4:$Y57,MATCH(I34,backend!$P$3:$Y$3,0),FALSE),IF($B$10=TRUE,O34,N34)),IFNA(VLOOKUP(IF($B$10=TRUE,O34,N34),backend!$P$4:$Y57,MATCH(J34,backend!$P$3:$Y$3,0),FALSE),IF($B$10=TRUE,O34,N34)))</f>
        <v>66</v>
      </c>
      <c r="Q34" s="211">
        <v>600.0</v>
      </c>
      <c r="R34" s="211">
        <f>Q34/VLOOKUP(I34,backend!$H$4:$N57,7,FALSE)/VLOOKUP(J34,backend!$H$4:$N57,7,FALSE)</f>
        <v>600</v>
      </c>
      <c r="S34" s="211">
        <v>449.0</v>
      </c>
      <c r="T34" s="211">
        <v>585.0</v>
      </c>
      <c r="U34" s="211">
        <f>MAX(IFNA(VLOOKUP(IF($B$9=TRUE,T34,S34),backend!$AA$4:$AF57,MATCH(I34,backend!$AA$3:$AF$3,0),FALSE),IF($B$9=TRUE,T34,S34)),IFNA(VLOOKUP(IF($B$9=TRUE,T34,S34),backend!$AA$4:$AF57,MATCH(J34,backend!$AA$3:$AF$3,0),FALSE),IF($B$9=TRUE,T34,S34)))</f>
        <v>449</v>
      </c>
      <c r="V34" s="214">
        <f>VLOOKUP(E34,backend!$BB$4:$BH57,7,FALSE)</f>
        <v>41</v>
      </c>
      <c r="W34" s="211">
        <f>MIN(100,V34+VLOOKUP(I34,backend!$H$4:$N57,5,FALSE)+VLOOKUP(J34,backend!$H$4:$N57,5,FALSE)+IF($B$11=TRUE,100,0)+IF($B$12,10,0))</f>
        <v>41</v>
      </c>
      <c r="X34" s="215">
        <f>(VLOOKUP(D34,backend!$AV$4:$AZ57,2,FALSE)*W34^2+VLOOKUP(D34,backend!$AV$4:$AZ57,3,FALSE)*W34+VLOOKUP(D34,backend!$AV$4:$AZ57,4,FALSE))*VLOOKUP(I34,backend!$H$4:$N57,6,FALSE)*VLOOKUP(J34,backend!$H$4:$N57,6,FALSE)*IF($B$12=TRUE,0.85,1)*IF($B$11=TRUE,0.9,1)*IF(D34="Shotgun",P34,1)*IF(F34="Rapid-Fire",0.8,1)+IF(OR(D34="Fusion Rifle",D34="Linear Fusion Rifle"),0.516,0)</f>
        <v>5.020322103</v>
      </c>
      <c r="Y34" s="215">
        <v>3.0</v>
      </c>
      <c r="Z34" s="215">
        <f>VLOOKUP(D34,backend!$AV$4:$AZ57,5,FALSE)*IF(D34="Shotgun",P34,1)+IF(OR(D34="Fusion Rifle",D34="Linear Fusion Rifle"),0.516,0)</f>
        <v>1.4</v>
      </c>
      <c r="AA34" s="216">
        <f t="shared" si="2"/>
        <v>5.020322103</v>
      </c>
      <c r="AB34" s="217">
        <f t="shared" si="3"/>
        <v>75.44914884</v>
      </c>
      <c r="AC34" s="218">
        <f t="shared" si="4"/>
        <v>46.97387936</v>
      </c>
      <c r="AD34" s="219">
        <f t="shared" si="5"/>
        <v>61.2115141</v>
      </c>
      <c r="AE34" s="220">
        <f t="shared" si="6"/>
        <v>6.5</v>
      </c>
      <c r="AF34" s="221">
        <f t="shared" si="7"/>
        <v>74.32193262</v>
      </c>
      <c r="AG34" s="211">
        <f t="shared" si="8"/>
        <v>259281</v>
      </c>
      <c r="AH34" s="222">
        <f t="shared" si="9"/>
        <v>39889.38462</v>
      </c>
      <c r="AI34" s="347">
        <f t="shared" si="10"/>
        <v>1763896.5</v>
      </c>
      <c r="AJ34" s="348">
        <f t="shared" si="11"/>
        <v>1555686</v>
      </c>
      <c r="AK34" s="342">
        <f t="shared" si="12"/>
        <v>23733.18935</v>
      </c>
      <c r="AL34" s="343">
        <f t="shared" si="13"/>
        <v>24269.06263</v>
      </c>
      <c r="AM34" s="349">
        <f t="shared" si="14"/>
        <v>22506.40196</v>
      </c>
      <c r="AN34" s="201">
        <f t="shared" si="15"/>
        <v>1</v>
      </c>
      <c r="AO34" s="202">
        <f t="shared" si="16"/>
        <v>14.9796779</v>
      </c>
      <c r="AP34" s="202">
        <f t="shared" si="17"/>
        <v>1.979677897</v>
      </c>
      <c r="AQ34" s="201">
        <f t="shared" si="18"/>
        <v>2</v>
      </c>
      <c r="AR34" s="201">
        <f t="shared" si="19"/>
        <v>518562</v>
      </c>
      <c r="AS34" s="202">
        <f t="shared" si="20"/>
        <v>0</v>
      </c>
      <c r="AT34" s="201">
        <f t="shared" si="21"/>
        <v>0</v>
      </c>
      <c r="AU34" s="203">
        <f t="shared" si="22"/>
        <v>0</v>
      </c>
      <c r="AV34" s="350">
        <f t="shared" si="23"/>
        <v>518562</v>
      </c>
    </row>
    <row r="35">
      <c r="A35" s="102"/>
      <c r="B35" s="326" t="s">
        <v>374</v>
      </c>
      <c r="C35" s="253" t="b">
        <v>0</v>
      </c>
      <c r="D35" s="230" t="s">
        <v>384</v>
      </c>
      <c r="E35" s="254" t="s">
        <v>387</v>
      </c>
      <c r="F35" s="232" t="s">
        <v>353</v>
      </c>
      <c r="G35" s="210" t="str">
        <f t="shared" si="24"/>
        <v>Machine Gun - High-Impact</v>
      </c>
      <c r="H35" s="255" t="s">
        <v>348</v>
      </c>
      <c r="I35" s="210" t="s">
        <v>349</v>
      </c>
      <c r="J35" s="210" t="s">
        <v>349</v>
      </c>
      <c r="K35" s="184">
        <f>VLOOKUP(E35,backend!$BP$5:$BQ57,2,FALSE)</f>
        <v>3975</v>
      </c>
      <c r="L35" s="185">
        <f>K35*M35*IF(B35="Special",VLOOKUP(I35,backend!$H$4:$M57,2,FALSE),VLOOKUP(I35,backend!$H$4:$M57,3,FALSE))*IF(B35="Special",VLOOKUP(J35,backend!$H$4:$M57,2,FALSE),VLOOKUP(J35,backend!$H$4:$M57,3,FALSE))*IF($B$8=TRUE,VLOOKUP(D35,BuffsDebuffs!$P$8:$X$27,MATCH(H35,BuffsDebuffs!$P$8:$X$8,0),FALSE),1)*IF($B$6=TRUE,backend!$BN$5,1)</f>
        <v>5727.5</v>
      </c>
      <c r="M35" s="186">
        <f>VLOOKUP(E35,backend!$BP$5:$BS57,4,FALSE)</f>
        <v>1.440880503</v>
      </c>
      <c r="N35" s="184">
        <v>45.0</v>
      </c>
      <c r="O35" s="184">
        <v>75.0</v>
      </c>
      <c r="P35" s="184">
        <f>MAX(IFNA(VLOOKUP(IF($B$10=TRUE,O35,N35),backend!$P$4:$Y57,MATCH(I35,backend!$P$3:$Y$3,0),FALSE),IF($B$10=TRUE,O35,N35)),IFNA(VLOOKUP(IF($B$10=TRUE,O35,N35),backend!$P$4:$Y57,MATCH(J35,backend!$P$3:$Y$3,0),FALSE),IF($B$10=TRUE,O35,N35)))</f>
        <v>45</v>
      </c>
      <c r="Q35" s="184">
        <v>360.0</v>
      </c>
      <c r="R35" s="184">
        <f>Q35/VLOOKUP(I35,backend!$H$4:$N57,7,FALSE)/VLOOKUP(J35,backend!$H$4:$N57,7,FALSE)</f>
        <v>360</v>
      </c>
      <c r="S35" s="184">
        <v>372.0</v>
      </c>
      <c r="T35" s="184">
        <v>486.0</v>
      </c>
      <c r="U35" s="184">
        <f>MAX(IFNA(VLOOKUP(IF($B$9=TRUE,T35,S35),backend!$AA$4:$AF57,MATCH(I35,backend!$AA$3:$AF$3,0),FALSE),IF($B$9=TRUE,T35,S35)),IFNA(VLOOKUP(IF($B$9=TRUE,T35,S35),backend!$AA$4:$AF57,MATCH(J35,backend!$AA$3:$AF$3,0),FALSE),IF($B$9=TRUE,T35,S35)))</f>
        <v>372</v>
      </c>
      <c r="V35" s="187">
        <f>VLOOKUP(E35,backend!$BB$4:$BH57,7,FALSE)</f>
        <v>33.2</v>
      </c>
      <c r="W35" s="184">
        <f>MIN(100,V35+VLOOKUP(I35,backend!$H$4:$N57,5,FALSE)+VLOOKUP(J35,backend!$H$4:$N57,5,FALSE)+IF($B$11=TRUE,100,0)+IF($B$12,10,0))</f>
        <v>33.2</v>
      </c>
      <c r="X35" s="188">
        <f>(VLOOKUP(D35,backend!$AV$4:$AZ57,2,FALSE)*W35^2+VLOOKUP(D35,backend!$AV$4:$AZ57,3,FALSE)*W35+VLOOKUP(D35,backend!$AV$4:$AZ57,4,FALSE))*VLOOKUP(I35,backend!$H$4:$N57,6,FALSE)*VLOOKUP(J35,backend!$H$4:$N57,6,FALSE)*IF($B$12=TRUE,0.85,1)*IF($B$11=TRUE,0.9,1)*IF(D35="Shotgun",P35,1)*IF(F35="Rapid-Fire",0.8,1)+IF(OR(D35="Fusion Rifle",D35="Linear Fusion Rifle"),0.516,0)</f>
        <v>5.206462829</v>
      </c>
      <c r="Y35" s="188">
        <v>3.0</v>
      </c>
      <c r="Z35" s="188">
        <f>VLOOKUP(D35,backend!$AV$4:$AZ57,5,FALSE)*IF(D35="Shotgun",P35,1)+IF(OR(D35="Fusion Rifle",D35="Linear Fusion Rifle"),0.516,0)</f>
        <v>1.4</v>
      </c>
      <c r="AA35" s="189">
        <f t="shared" si="2"/>
        <v>5.206462829</v>
      </c>
      <c r="AB35" s="233">
        <f t="shared" si="3"/>
        <v>100</v>
      </c>
      <c r="AC35" s="234">
        <f t="shared" si="4"/>
        <v>41.96006356</v>
      </c>
      <c r="AD35" s="235">
        <f t="shared" si="5"/>
        <v>70.98003178</v>
      </c>
      <c r="AE35" s="236">
        <f t="shared" si="6"/>
        <v>7.333333333</v>
      </c>
      <c r="AF35" s="237">
        <f t="shared" si="7"/>
        <v>102.1517026</v>
      </c>
      <c r="AG35" s="184">
        <f t="shared" si="8"/>
        <v>257737.5</v>
      </c>
      <c r="AH35" s="195">
        <f t="shared" si="9"/>
        <v>35146.02273</v>
      </c>
      <c r="AI35" s="351">
        <f t="shared" si="10"/>
        <v>2130630</v>
      </c>
      <c r="AJ35" s="352">
        <f t="shared" si="11"/>
        <v>2061900</v>
      </c>
      <c r="AK35" s="353">
        <f t="shared" si="12"/>
        <v>20857.50844</v>
      </c>
      <c r="AL35" s="354">
        <f t="shared" si="13"/>
        <v>21678.67385</v>
      </c>
      <c r="AM35" s="355">
        <f t="shared" si="14"/>
        <v>20553.56376</v>
      </c>
      <c r="AN35" s="201">
        <f t="shared" si="15"/>
        <v>1</v>
      </c>
      <c r="AO35" s="202">
        <f t="shared" si="16"/>
        <v>14.79353717</v>
      </c>
      <c r="AP35" s="202">
        <f t="shared" si="17"/>
        <v>0.1268705047</v>
      </c>
      <c r="AQ35" s="201">
        <f t="shared" si="18"/>
        <v>2</v>
      </c>
      <c r="AR35" s="201">
        <f t="shared" si="19"/>
        <v>515475</v>
      </c>
      <c r="AS35" s="202">
        <f t="shared" si="20"/>
        <v>0</v>
      </c>
      <c r="AT35" s="201">
        <f t="shared" si="21"/>
        <v>0</v>
      </c>
      <c r="AU35" s="203">
        <f t="shared" si="22"/>
        <v>0</v>
      </c>
      <c r="AV35" s="350">
        <f t="shared" si="23"/>
        <v>515475</v>
      </c>
    </row>
    <row r="36">
      <c r="A36" s="102"/>
      <c r="B36" s="326" t="s">
        <v>374</v>
      </c>
      <c r="C36" s="206" t="b">
        <v>0</v>
      </c>
      <c r="D36" s="207" t="s">
        <v>384</v>
      </c>
      <c r="E36" s="262" t="s">
        <v>388</v>
      </c>
      <c r="F36" s="209" t="s">
        <v>357</v>
      </c>
      <c r="G36" s="210" t="str">
        <f t="shared" si="24"/>
        <v>Machine Gun - Rapid-Fire</v>
      </c>
      <c r="H36" s="255" t="s">
        <v>348</v>
      </c>
      <c r="I36" s="210" t="s">
        <v>349</v>
      </c>
      <c r="J36" s="210" t="s">
        <v>349</v>
      </c>
      <c r="K36" s="211">
        <f>VLOOKUP(E36,backend!$BP$5:$BQ57,2,FALSE)</f>
        <v>2135</v>
      </c>
      <c r="L36" s="212">
        <f>K36*M36*IF(B36="Special",VLOOKUP(I36,backend!$H$4:$M57,2,FALSE),VLOOKUP(I36,backend!$H$4:$M57,3,FALSE))*IF(B36="Special",VLOOKUP(J36,backend!$H$4:$M57,2,FALSE),VLOOKUP(J36,backend!$H$4:$M57,3,FALSE))*IF($B$8=TRUE,VLOOKUP(D36,BuffsDebuffs!$P$8:$X$27,MATCH(H36,BuffsDebuffs!$P$8:$X$8,0),FALSE),1)*IF($B$6=TRUE,backend!$BN$5,1)</f>
        <v>2783</v>
      </c>
      <c r="M36" s="213">
        <f>VLOOKUP(E36,backend!$BP$5:$BS57,4,FALSE)</f>
        <v>1.303512881</v>
      </c>
      <c r="N36" s="211">
        <v>75.0</v>
      </c>
      <c r="O36" s="211">
        <v>115.0</v>
      </c>
      <c r="P36" s="211">
        <f>MAX(IFNA(VLOOKUP(IF($B$10=TRUE,O36,N36),backend!$P$4:$Y57,MATCH(I36,backend!$P$3:$Y$3,0),FALSE),IF($B$10=TRUE,O36,N36)),IFNA(VLOOKUP(IF($B$10=TRUE,O36,N36),backend!$P$4:$Y57,MATCH(J36,backend!$P$3:$Y$3,0),FALSE),IF($B$10=TRUE,O36,N36)))</f>
        <v>75</v>
      </c>
      <c r="Q36" s="211">
        <v>900.0</v>
      </c>
      <c r="R36" s="211">
        <f>Q36/VLOOKUP(I36,backend!$H$4:$N57,7,FALSE)/VLOOKUP(J36,backend!$H$4:$N57,7,FALSE)</f>
        <v>900</v>
      </c>
      <c r="S36" s="211">
        <v>542.0</v>
      </c>
      <c r="T36" s="211">
        <v>716.0</v>
      </c>
      <c r="U36" s="211">
        <f>MAX(IFNA(VLOOKUP(IF($B$9=TRUE,T36,S36),backend!$AA$4:$AF57,MATCH(I36,backend!$AA$3:$AF$3,0),FALSE),IF($B$9=TRUE,T36,S36)),IFNA(VLOOKUP(IF($B$9=TRUE,T36,S36),backend!$AA$4:$AF57,MATCH(J36,backend!$AA$3:$AF$3,0),FALSE),IF($B$9=TRUE,T36,S36)))</f>
        <v>542</v>
      </c>
      <c r="V36" s="214">
        <f>VLOOKUP(E36,backend!$BB$4:$BH57,7,FALSE)</f>
        <v>62.2</v>
      </c>
      <c r="W36" s="211">
        <f>MIN(100,V36+VLOOKUP(I36,backend!$H$4:$N57,5,FALSE)+VLOOKUP(J36,backend!$H$4:$N57,5,FALSE)+IF($B$11=TRUE,100,0)+IF($B$12,10,0))</f>
        <v>62.2</v>
      </c>
      <c r="X36" s="215">
        <f>(VLOOKUP(D36,backend!$AV$4:$AZ57,2,FALSE)*W36^2+VLOOKUP(D36,backend!$AV$4:$AZ57,3,FALSE)*W36+VLOOKUP(D36,backend!$AV$4:$AZ57,4,FALSE))*VLOOKUP(I36,backend!$H$4:$N57,6,FALSE)*VLOOKUP(J36,backend!$H$4:$N57,6,FALSE)*IF($B$12=TRUE,0.85,1)*IF($B$11=TRUE,0.9,1)*IF(D36="Shotgun",P36,1)*IF(F36="Rapid-Fire",0.8,1)+IF(OR(D36="Fusion Rifle",D36="Linear Fusion Rifle"),0.516,0)</f>
        <v>3.656049709</v>
      </c>
      <c r="Y36" s="215">
        <v>2.45</v>
      </c>
      <c r="Z36" s="215">
        <f>VLOOKUP(D36,backend!$AV$4:$AZ57,5,FALSE)*IF(D36="Shotgun",P36,1)+IF(OR(D36="Fusion Rifle",D36="Linear Fusion Rifle"),0.516,0)</f>
        <v>1.4</v>
      </c>
      <c r="AA36" s="216">
        <f t="shared" si="2"/>
        <v>3.656049709</v>
      </c>
      <c r="AB36" s="217">
        <f t="shared" si="3"/>
        <v>70.860614</v>
      </c>
      <c r="AC36" s="218">
        <f t="shared" si="4"/>
        <v>50.07961496</v>
      </c>
      <c r="AD36" s="219">
        <f t="shared" si="5"/>
        <v>60.47011448</v>
      </c>
      <c r="AE36" s="220">
        <f t="shared" si="6"/>
        <v>4.933333333</v>
      </c>
      <c r="AF36" s="221">
        <f t="shared" si="7"/>
        <v>61.19234796</v>
      </c>
      <c r="AG36" s="211">
        <f t="shared" si="8"/>
        <v>208725</v>
      </c>
      <c r="AH36" s="222">
        <f t="shared" si="9"/>
        <v>42309.12162</v>
      </c>
      <c r="AI36" s="356">
        <f t="shared" si="10"/>
        <v>1508386</v>
      </c>
      <c r="AJ36" s="357">
        <f t="shared" si="11"/>
        <v>1461075</v>
      </c>
      <c r="AK36" s="358">
        <f t="shared" si="12"/>
        <v>24649.91212</v>
      </c>
      <c r="AL36" s="359">
        <f t="shared" si="13"/>
        <v>25873.64144</v>
      </c>
      <c r="AM36" s="360">
        <f t="shared" si="14"/>
        <v>24300.34835</v>
      </c>
      <c r="AN36" s="201">
        <f t="shared" si="15"/>
        <v>2</v>
      </c>
      <c r="AO36" s="202">
        <f t="shared" si="16"/>
        <v>12.68790058</v>
      </c>
      <c r="AP36" s="202">
        <f t="shared" si="17"/>
        <v>0</v>
      </c>
      <c r="AQ36" s="201">
        <f t="shared" si="18"/>
        <v>2</v>
      </c>
      <c r="AR36" s="201">
        <f t="shared" si="19"/>
        <v>417450</v>
      </c>
      <c r="AS36" s="202">
        <f t="shared" si="20"/>
        <v>2.821233915</v>
      </c>
      <c r="AT36" s="201">
        <f t="shared" si="21"/>
        <v>43</v>
      </c>
      <c r="AU36" s="203">
        <f t="shared" si="22"/>
        <v>119669</v>
      </c>
      <c r="AV36" s="361">
        <f t="shared" si="23"/>
        <v>537119</v>
      </c>
    </row>
    <row r="37">
      <c r="A37" s="102"/>
      <c r="B37" s="326" t="s">
        <v>374</v>
      </c>
      <c r="C37" s="229" t="b">
        <v>0</v>
      </c>
      <c r="D37" s="230" t="s">
        <v>389</v>
      </c>
      <c r="E37" s="254" t="s">
        <v>390</v>
      </c>
      <c r="F37" s="232" t="s">
        <v>347</v>
      </c>
      <c r="G37" s="210" t="str">
        <f t="shared" si="24"/>
        <v>Rocket Launcher - Adaptive</v>
      </c>
      <c r="H37" s="255" t="s">
        <v>348</v>
      </c>
      <c r="I37" s="210" t="s">
        <v>349</v>
      </c>
      <c r="J37" s="210" t="s">
        <v>349</v>
      </c>
      <c r="K37" s="184">
        <f>VLOOKUP(E37,backend!$BP$5:$BQ57,2,FALSE)</f>
        <v>93692</v>
      </c>
      <c r="L37" s="185">
        <f>K37*M37*IF(B37="Special",VLOOKUP(I37,backend!$H$4:$M57,2,FALSE),VLOOKUP(I37,backend!$H$4:$M57,3,FALSE))*IF(B37="Special",VLOOKUP(J37,backend!$H$4:$M57,2,FALSE),VLOOKUP(J37,backend!$H$4:$M57,3,FALSE))*IF($B$8=TRUE,VLOOKUP(D37,BuffsDebuffs!$P$8:$X$27,MATCH(H37,BuffsDebuffs!$P$8:$X$8,0),FALSE),1)*IF($B$6=TRUE,backend!$BN$5,1)</f>
        <v>93692</v>
      </c>
      <c r="M37" s="186">
        <f>VLOOKUP(E37,backend!$BP$5:$BS57,4,FALSE)</f>
        <v>1</v>
      </c>
      <c r="N37" s="184">
        <v>1.0</v>
      </c>
      <c r="O37" s="184">
        <v>1.0</v>
      </c>
      <c r="P37" s="184">
        <f>MAX(IFNA(VLOOKUP(IF($B$10=TRUE,O37,N37),backend!$P$4:$Y57,MATCH(I37,backend!$P$3:$Y$3,0),FALSE),IF($B$10=TRUE,O37,N37)),IFNA(VLOOKUP(IF($B$10=TRUE,O37,N37),backend!$P$4:$Y57,MATCH(J37,backend!$P$3:$Y$3,0),FALSE),IF($B$10=TRUE,O37,N37)))</f>
        <v>1</v>
      </c>
      <c r="Q37" s="184">
        <v>50.5</v>
      </c>
      <c r="R37" s="184">
        <f>Q37/VLOOKUP(I37,backend!$H$4:$N57,7,FALSE)/VLOOKUP(J37,backend!$H$4:$N57,7,FALSE)</f>
        <v>50.5</v>
      </c>
      <c r="S37" s="184">
        <v>8.0</v>
      </c>
      <c r="T37" s="184">
        <v>10.0</v>
      </c>
      <c r="U37" s="184">
        <f>MAX(IFNA(VLOOKUP(IF($B$9=TRUE,T37,S37),backend!$AA$4:$AF57,MATCH(I37,backend!$AA$3:$AF$3,0),FALSE),IF($B$9=TRUE,T37,S37)),IFNA(VLOOKUP(IF($B$9=TRUE,T37,S37),backend!$AA$4:$AF57,MATCH(J37,backend!$AA$3:$AF$3,0),FALSE),IF($B$9=TRUE,T37,S37)))</f>
        <v>8</v>
      </c>
      <c r="V37" s="187">
        <f>VLOOKUP(E37,backend!$BB$4:$BH57,7,FALSE)</f>
        <v>42.8</v>
      </c>
      <c r="W37" s="184">
        <f>MIN(100,V37+VLOOKUP(I37,backend!$H$4:$N57,5,FALSE)+VLOOKUP(J37,backend!$H$4:$N57,5,FALSE)+IF($B$11=TRUE,100,0)+IF($B$12,10,0))</f>
        <v>42.8</v>
      </c>
      <c r="X37" s="188">
        <f>(VLOOKUP(D37,backend!$AV$4:$AZ57,2,FALSE)*W37^2+VLOOKUP(D37,backend!$AV$4:$AZ57,3,FALSE)*W37+VLOOKUP(D37,backend!$AV$4:$AZ57,4,FALSE))*VLOOKUP(I37,backend!$H$4:$N57,6,FALSE)*VLOOKUP(J37,backend!$H$4:$N57,6,FALSE)*IF($B$12=TRUE,0.85,1)*IF($B$11=TRUE,0.9,1)*IF(D37="Shotgun",P37,1)*IF(F37="Rapid-Fire",0.8,1)+IF(OR(D37="Fusion Rifle",D37="Linear Fusion Rifle"),0.516,0)</f>
        <v>3.203403068</v>
      </c>
      <c r="Y37" s="188">
        <v>2.067</v>
      </c>
      <c r="Z37" s="188">
        <f>VLOOKUP(D37,backend!$AV$4:$AZ57,5,FALSE)*IF(D37="Shotgun",P37,1)+IF(OR(D37="Fusion Rifle",D37="Linear Fusion Rifle"),0.516,0)</f>
        <v>2.1</v>
      </c>
      <c r="AA37" s="189">
        <f t="shared" si="2"/>
        <v>3.203403068</v>
      </c>
      <c r="AB37" s="233">
        <f t="shared" si="3"/>
        <v>36.35171444</v>
      </c>
      <c r="AC37" s="234">
        <f t="shared" si="4"/>
        <v>64.69732065</v>
      </c>
      <c r="AD37" s="235">
        <f t="shared" si="5"/>
        <v>50.52451754</v>
      </c>
      <c r="AE37" s="236">
        <f t="shared" si="6"/>
        <v>0</v>
      </c>
      <c r="AF37" s="237">
        <f t="shared" si="7"/>
        <v>22.42382148</v>
      </c>
      <c r="AG37" s="184">
        <f t="shared" si="8"/>
        <v>93692</v>
      </c>
      <c r="AH37" s="195" t="str">
        <f t="shared" si="9"/>
        <v>-</v>
      </c>
      <c r="AI37" s="362">
        <f t="shared" si="10"/>
        <v>749536</v>
      </c>
      <c r="AJ37" s="363">
        <f t="shared" si="11"/>
        <v>749536</v>
      </c>
      <c r="AK37" s="364">
        <f t="shared" si="12"/>
        <v>33425.88153</v>
      </c>
      <c r="AL37" s="365">
        <f t="shared" si="13"/>
        <v>33425.88153</v>
      </c>
      <c r="AM37" s="227">
        <f t="shared" si="14"/>
        <v>29247.64634</v>
      </c>
      <c r="AN37" s="201">
        <f t="shared" si="15"/>
        <v>6</v>
      </c>
      <c r="AO37" s="202">
        <f t="shared" si="16"/>
        <v>0.7795815926</v>
      </c>
      <c r="AP37" s="202">
        <f t="shared" si="17"/>
        <v>0.7795815926</v>
      </c>
      <c r="AQ37" s="201">
        <f t="shared" si="18"/>
        <v>7</v>
      </c>
      <c r="AR37" s="201">
        <f t="shared" si="19"/>
        <v>655844</v>
      </c>
      <c r="AS37" s="202">
        <f t="shared" si="20"/>
        <v>0</v>
      </c>
      <c r="AT37" s="201">
        <f t="shared" si="21"/>
        <v>0</v>
      </c>
      <c r="AU37" s="203">
        <f t="shared" si="22"/>
        <v>0</v>
      </c>
      <c r="AV37" s="366">
        <f t="shared" si="23"/>
        <v>655844</v>
      </c>
    </row>
    <row r="38">
      <c r="A38" s="102"/>
      <c r="B38" s="326" t="s">
        <v>374</v>
      </c>
      <c r="C38" s="206" t="b">
        <v>0</v>
      </c>
      <c r="D38" s="207" t="s">
        <v>389</v>
      </c>
      <c r="E38" s="262" t="s">
        <v>391</v>
      </c>
      <c r="F38" s="209" t="s">
        <v>351</v>
      </c>
      <c r="G38" s="210" t="str">
        <f t="shared" si="24"/>
        <v>Rocket Launcher - Aggressive</v>
      </c>
      <c r="H38" s="255" t="s">
        <v>348</v>
      </c>
      <c r="I38" s="210" t="s">
        <v>349</v>
      </c>
      <c r="J38" s="210" t="s">
        <v>349</v>
      </c>
      <c r="K38" s="211">
        <f>VLOOKUP(E38,backend!$BP$5:$BQ57,2,FALSE)</f>
        <v>93692</v>
      </c>
      <c r="L38" s="212">
        <f>K38*M38*IF(B38="Special",VLOOKUP(I38,backend!$H$4:$M57,2,FALSE),VLOOKUP(I38,backend!$H$4:$M57,3,FALSE))*IF(B38="Special",VLOOKUP(J38,backend!$H$4:$M57,2,FALSE),VLOOKUP(J38,backend!$H$4:$M57,3,FALSE))*IF($B$8=TRUE,VLOOKUP(D38,BuffsDebuffs!$P$8:$X$27,MATCH(H38,BuffsDebuffs!$P$8:$X$8,0),FALSE),1)*IF($B$6=TRUE,backend!$BN$5,1)</f>
        <v>93692</v>
      </c>
      <c r="M38" s="213">
        <f>VLOOKUP(E38,backend!$BP$5:$BS57,4,FALSE)</f>
        <v>1</v>
      </c>
      <c r="N38" s="211">
        <v>1.0</v>
      </c>
      <c r="O38" s="211">
        <v>1.0</v>
      </c>
      <c r="P38" s="211">
        <f>MAX(IFNA(VLOOKUP(IF($B$10=TRUE,O38,N38),backend!$P$4:$Y57,MATCH(I38,backend!$P$3:$Y$3,0),FALSE),IF($B$10=TRUE,O38,N38)),IFNA(VLOOKUP(IF($B$10=TRUE,O38,N38),backend!$P$4:$Y57,MATCH(J38,backend!$P$3:$Y$3,0),FALSE),IF($B$10=TRUE,O38,N38)))</f>
        <v>1</v>
      </c>
      <c r="Q38" s="211">
        <v>54.5</v>
      </c>
      <c r="R38" s="211">
        <f>Q38/VLOOKUP(I38,backend!$H$4:$N57,7,FALSE)/VLOOKUP(J38,backend!$H$4:$N57,7,FALSE)</f>
        <v>54.5</v>
      </c>
      <c r="S38" s="211">
        <v>8.0</v>
      </c>
      <c r="T38" s="211">
        <v>11.0</v>
      </c>
      <c r="U38" s="211">
        <f>MAX(IFNA(VLOOKUP(IF($B$9=TRUE,T38,S38),backend!$AA$4:$AF57,MATCH(I38,backend!$AA$3:$AF$3,0),FALSE),IF($B$9=TRUE,T38,S38)),IFNA(VLOOKUP(IF($B$9=TRUE,T38,S38),backend!$AA$4:$AF57,MATCH(J38,backend!$AA$3:$AF$3,0),FALSE),IF($B$9=TRUE,T38,S38)))</f>
        <v>8</v>
      </c>
      <c r="V38" s="214">
        <f>VLOOKUP(E38,backend!$BB$4:$BH57,7,FALSE)</f>
        <v>58.2</v>
      </c>
      <c r="W38" s="211">
        <f>MIN(100,V38+VLOOKUP(I38,backend!$H$4:$N57,5,FALSE)+VLOOKUP(J38,backend!$H$4:$N57,5,FALSE)+IF($B$11=TRUE,100,0)+IF($B$12,10,0))</f>
        <v>58.2</v>
      </c>
      <c r="X38" s="215">
        <f>(VLOOKUP(D38,backend!$AV$4:$AZ57,2,FALSE)*W38^2+VLOOKUP(D38,backend!$AV$4:$AZ57,3,FALSE)*W38+VLOOKUP(D38,backend!$AV$4:$AZ57,4,FALSE))*VLOOKUP(I38,backend!$H$4:$N57,6,FALSE)*VLOOKUP(J38,backend!$H$4:$N57,6,FALSE)*IF($B$12=TRUE,0.85,1)*IF($B$11=TRUE,0.9,1)*IF(D38="Shotgun",P38,1)*IF(F38="Rapid-Fire",0.8,1)+IF(OR(D38="Fusion Rifle",D38="Linear Fusion Rifle"),0.516,0)</f>
        <v>2.976914636</v>
      </c>
      <c r="Y38" s="215">
        <v>2.067</v>
      </c>
      <c r="Z38" s="215">
        <f>VLOOKUP(D38,backend!$AV$4:$AZ57,5,FALSE)*IF(D38="Shotgun",P38,1)+IF(OR(D38="Fusion Rifle",D38="Linear Fusion Rifle"),0.516,0)</f>
        <v>2.1</v>
      </c>
      <c r="AA38" s="216">
        <f t="shared" si="2"/>
        <v>2.976914636</v>
      </c>
      <c r="AB38" s="217">
        <f t="shared" si="3"/>
        <v>36.35171444</v>
      </c>
      <c r="AC38" s="218">
        <f t="shared" si="4"/>
        <v>69.61959638</v>
      </c>
      <c r="AD38" s="219">
        <f t="shared" si="5"/>
        <v>52.98565541</v>
      </c>
      <c r="AE38" s="220">
        <f t="shared" si="6"/>
        <v>0</v>
      </c>
      <c r="AF38" s="221">
        <f t="shared" si="7"/>
        <v>20.83840246</v>
      </c>
      <c r="AG38" s="211">
        <f t="shared" si="8"/>
        <v>93692</v>
      </c>
      <c r="AH38" s="222" t="str">
        <f t="shared" si="9"/>
        <v>-</v>
      </c>
      <c r="AI38" s="362">
        <f t="shared" si="10"/>
        <v>749536</v>
      </c>
      <c r="AJ38" s="363">
        <f t="shared" si="11"/>
        <v>749536</v>
      </c>
      <c r="AK38" s="367">
        <f t="shared" si="12"/>
        <v>35968.97611</v>
      </c>
      <c r="AL38" s="336">
        <f t="shared" si="13"/>
        <v>35968.97611</v>
      </c>
      <c r="AM38" s="368">
        <f t="shared" si="14"/>
        <v>31472.85409</v>
      </c>
      <c r="AN38" s="201">
        <f t="shared" si="15"/>
        <v>6</v>
      </c>
      <c r="AO38" s="202">
        <f t="shared" si="16"/>
        <v>2.138512181</v>
      </c>
      <c r="AP38" s="202">
        <f t="shared" si="17"/>
        <v>2.138512181</v>
      </c>
      <c r="AQ38" s="201">
        <f t="shared" si="18"/>
        <v>7</v>
      </c>
      <c r="AR38" s="201">
        <f t="shared" si="19"/>
        <v>655844</v>
      </c>
      <c r="AS38" s="202">
        <f t="shared" si="20"/>
        <v>0</v>
      </c>
      <c r="AT38" s="201">
        <f t="shared" si="21"/>
        <v>0</v>
      </c>
      <c r="AU38" s="203">
        <f t="shared" si="22"/>
        <v>0</v>
      </c>
      <c r="AV38" s="366">
        <f t="shared" si="23"/>
        <v>655844</v>
      </c>
    </row>
    <row r="39">
      <c r="A39" s="102"/>
      <c r="B39" s="326" t="s">
        <v>374</v>
      </c>
      <c r="C39" s="229" t="b">
        <v>0</v>
      </c>
      <c r="D39" s="230" t="s">
        <v>389</v>
      </c>
      <c r="E39" s="254" t="s">
        <v>392</v>
      </c>
      <c r="F39" s="232" t="s">
        <v>353</v>
      </c>
      <c r="G39" s="210" t="str">
        <f t="shared" si="24"/>
        <v>Rocket Launcher - High-Impact</v>
      </c>
      <c r="H39" s="255" t="s">
        <v>348</v>
      </c>
      <c r="I39" s="210" t="s">
        <v>349</v>
      </c>
      <c r="J39" s="210" t="s">
        <v>349</v>
      </c>
      <c r="K39" s="184">
        <f>VLOOKUP(E39,backend!$BP$5:$BQ57,2,FALSE)</f>
        <v>84334</v>
      </c>
      <c r="L39" s="185">
        <f>K39*M39*IF(B39="Special",VLOOKUP(I39,backend!$H$4:$M57,2,FALSE),VLOOKUP(I39,backend!$H$4:$M57,3,FALSE))*IF(B39="Special",VLOOKUP(J39,backend!$H$4:$M57,2,FALSE),VLOOKUP(J39,backend!$H$4:$M57,3,FALSE))*IF($B$8=TRUE,VLOOKUP(D39,BuffsDebuffs!$P$8:$X$27,MATCH(H39,BuffsDebuffs!$P$8:$X$8,0),FALSE),1)*IF($B$6=TRUE,backend!$BN$5,1)</f>
        <v>84334</v>
      </c>
      <c r="M39" s="186">
        <f>VLOOKUP(E39,backend!$BP$5:$BS57,4,FALSE)</f>
        <v>1</v>
      </c>
      <c r="N39" s="184">
        <v>1.0</v>
      </c>
      <c r="O39" s="184">
        <v>1.0</v>
      </c>
      <c r="P39" s="184">
        <f>MAX(IFNA(VLOOKUP(IF($B$10=TRUE,O39,N39),backend!$P$4:$Y57,MATCH(I39,backend!$P$3:$Y$3,0),FALSE),IF($B$10=TRUE,O39,N39)),IFNA(VLOOKUP(IF($B$10=TRUE,O39,N39),backend!$P$4:$Y57,MATCH(J39,backend!$P$3:$Y$3,0),FALSE),IF($B$10=TRUE,O39,N39)))</f>
        <v>1</v>
      </c>
      <c r="Q39" s="184">
        <v>46.5</v>
      </c>
      <c r="R39" s="184">
        <f>Q39/VLOOKUP(I39,backend!$H$4:$N57,7,FALSE)/VLOOKUP(J39,backend!$H$4:$N57,7,FALSE)</f>
        <v>46.5</v>
      </c>
      <c r="S39" s="184">
        <v>10.0</v>
      </c>
      <c r="T39" s="184">
        <v>12.0</v>
      </c>
      <c r="U39" s="184">
        <f>MAX(IFNA(VLOOKUP(IF($B$9=TRUE,T39,S39),backend!$AA$4:$AF57,MATCH(I39,backend!$AA$3:$AF$3,0),FALSE),IF($B$9=TRUE,T39,S39)),IFNA(VLOOKUP(IF($B$9=TRUE,T39,S39),backend!$AA$4:$AF57,MATCH(J39,backend!$AA$3:$AF$3,0),FALSE),IF($B$9=TRUE,T39,S39)))</f>
        <v>10</v>
      </c>
      <c r="V39" s="187">
        <f>VLOOKUP(E39,backend!$BB$4:$BH57,7,FALSE)</f>
        <v>34.8</v>
      </c>
      <c r="W39" s="184">
        <f>MIN(100,V39+VLOOKUP(I39,backend!$H$4:$N57,5,FALSE)+VLOOKUP(J39,backend!$H$4:$N57,5,FALSE)+IF($B$11=TRUE,100,0)+IF($B$12,10,0))</f>
        <v>34.8</v>
      </c>
      <c r="X39" s="188">
        <f>(VLOOKUP(D39,backend!$AV$4:$AZ57,2,FALSE)*W39^2+VLOOKUP(D39,backend!$AV$4:$AZ57,3,FALSE)*W39+VLOOKUP(D39,backend!$AV$4:$AZ57,4,FALSE))*VLOOKUP(I39,backend!$H$4:$N57,6,FALSE)*VLOOKUP(J39,backend!$H$4:$N57,6,FALSE)*IF($B$12=TRUE,0.85,1)*IF($B$11=TRUE,0.9,1)*IF(D39="Shotgun",P39,1)*IF(F39="Rapid-Fire",0.8,1)+IF(OR(D39="Fusion Rifle",D39="Linear Fusion Rifle"),0.516,0)</f>
        <v>3.340520521</v>
      </c>
      <c r="Y39" s="188">
        <v>2.067</v>
      </c>
      <c r="Z39" s="188">
        <f>VLOOKUP(D39,backend!$AV$4:$AZ57,5,FALSE)*IF(D39="Shotgun",P39,1)+IF(OR(D39="Fusion Rifle",D39="Linear Fusion Rifle"),0.516,0)</f>
        <v>2.1</v>
      </c>
      <c r="AA39" s="189">
        <f t="shared" si="2"/>
        <v>3.340520521</v>
      </c>
      <c r="AB39" s="233">
        <f t="shared" si="3"/>
        <v>40.90111063</v>
      </c>
      <c r="AC39" s="234">
        <f t="shared" si="4"/>
        <v>54.29370413</v>
      </c>
      <c r="AD39" s="235">
        <f t="shared" si="5"/>
        <v>47.59740738</v>
      </c>
      <c r="AE39" s="236">
        <f t="shared" si="6"/>
        <v>0</v>
      </c>
      <c r="AF39" s="237">
        <f t="shared" si="7"/>
        <v>30.06468469</v>
      </c>
      <c r="AG39" s="184">
        <f t="shared" si="8"/>
        <v>84334</v>
      </c>
      <c r="AH39" s="195" t="str">
        <f t="shared" si="9"/>
        <v>-</v>
      </c>
      <c r="AI39" s="287">
        <f t="shared" si="10"/>
        <v>843340</v>
      </c>
      <c r="AJ39" s="288">
        <f t="shared" si="11"/>
        <v>843340</v>
      </c>
      <c r="AK39" s="369">
        <f t="shared" si="12"/>
        <v>28050.85132</v>
      </c>
      <c r="AL39" s="370">
        <f t="shared" si="13"/>
        <v>28050.85132</v>
      </c>
      <c r="AM39" s="371">
        <f t="shared" si="14"/>
        <v>25245.76618</v>
      </c>
      <c r="AN39" s="201">
        <f t="shared" si="15"/>
        <v>5</v>
      </c>
      <c r="AO39" s="202">
        <f t="shared" si="16"/>
        <v>3.297397397</v>
      </c>
      <c r="AP39" s="202">
        <f t="shared" si="17"/>
        <v>3.297397397</v>
      </c>
      <c r="AQ39" s="201">
        <f t="shared" si="18"/>
        <v>6</v>
      </c>
      <c r="AR39" s="201">
        <f t="shared" si="19"/>
        <v>506004</v>
      </c>
      <c r="AS39" s="202">
        <f t="shared" si="20"/>
        <v>0</v>
      </c>
      <c r="AT39" s="201">
        <f t="shared" si="21"/>
        <v>0</v>
      </c>
      <c r="AU39" s="203">
        <f t="shared" si="22"/>
        <v>0</v>
      </c>
      <c r="AV39" s="372">
        <f t="shared" si="23"/>
        <v>506004</v>
      </c>
    </row>
    <row r="40">
      <c r="A40" s="102"/>
      <c r="B40" s="326" t="s">
        <v>374</v>
      </c>
      <c r="C40" s="206" t="b">
        <v>0</v>
      </c>
      <c r="D40" s="207" t="s">
        <v>389</v>
      </c>
      <c r="E40" s="262" t="s">
        <v>393</v>
      </c>
      <c r="F40" s="209" t="s">
        <v>355</v>
      </c>
      <c r="G40" s="210" t="str">
        <f t="shared" si="24"/>
        <v>Rocket Launcher - Precision</v>
      </c>
      <c r="H40" s="255" t="s">
        <v>348</v>
      </c>
      <c r="I40" s="210" t="s">
        <v>349</v>
      </c>
      <c r="J40" s="210" t="s">
        <v>349</v>
      </c>
      <c r="K40" s="211">
        <f>VLOOKUP(E40,backend!$BP$5:$BQ57,2,FALSE)</f>
        <v>80915</v>
      </c>
      <c r="L40" s="212">
        <f>K40*M40*IF(B40="Special",VLOOKUP(I40,backend!$H$4:$M57,2,FALSE),VLOOKUP(I40,backend!$H$4:$M57,3,FALSE))*IF(B40="Special",VLOOKUP(J40,backend!$H$4:$M57,2,FALSE),VLOOKUP(J40,backend!$H$4:$M57,3,FALSE))*IF($B$8=TRUE,VLOOKUP(D40,BuffsDebuffs!$P$8:$X$27,MATCH(H40,BuffsDebuffs!$P$8:$X$8,0),FALSE),1)*IF($B$6=TRUE,backend!$BN$5,1)</f>
        <v>80915</v>
      </c>
      <c r="M40" s="213">
        <f>VLOOKUP(E40,backend!$BP$5:$BS57,4,FALSE)</f>
        <v>1</v>
      </c>
      <c r="N40" s="211">
        <v>1.0</v>
      </c>
      <c r="O40" s="211">
        <v>1.0</v>
      </c>
      <c r="P40" s="211">
        <f>MAX(IFNA(VLOOKUP(IF($B$10=TRUE,O40,N40),backend!$P$4:$Y57,MATCH(I40,backend!$P$3:$Y$3,0),FALSE),IF($B$10=TRUE,O40,N40)),IFNA(VLOOKUP(IF($B$10=TRUE,O40,N40),backend!$P$4:$Y57,MATCH(J40,backend!$P$3:$Y$3,0),FALSE),IF($B$10=TRUE,O40,N40)))</f>
        <v>1</v>
      </c>
      <c r="Q40" s="211">
        <v>42.5</v>
      </c>
      <c r="R40" s="211">
        <f>Q40/VLOOKUP(I40,backend!$H$4:$N57,7,FALSE)/VLOOKUP(J40,backend!$H$4:$N57,7,FALSE)</f>
        <v>42.5</v>
      </c>
      <c r="S40" s="211">
        <v>10.0</v>
      </c>
      <c r="T40" s="211">
        <v>13.0</v>
      </c>
      <c r="U40" s="211">
        <f>MAX(IFNA(VLOOKUP(IF($B$9=TRUE,T40,S40),backend!$AA$4:$AF57,MATCH(I40,backend!$AA$3:$AF$3,0),FALSE),IF($B$9=TRUE,T40,S40)),IFNA(VLOOKUP(IF($B$9=TRUE,T40,S40),backend!$AA$4:$AF57,MATCH(J40,backend!$AA$3:$AF$3,0),FALSE),IF($B$9=TRUE,T40,S40)))</f>
        <v>10</v>
      </c>
      <c r="V40" s="214">
        <f>VLOOKUP(E40,backend!$BB$4:$BH57,7,FALSE)</f>
        <v>24.8</v>
      </c>
      <c r="W40" s="211">
        <f>MIN(100,V40+VLOOKUP(I40,backend!$H$4:$N57,5,FALSE)+VLOOKUP(J40,backend!$H$4:$N57,5,FALSE)+IF($B$11=TRUE,100,0)+IF($B$12,10,0))</f>
        <v>24.8</v>
      </c>
      <c r="X40" s="215">
        <f>(VLOOKUP(D40,backend!$AV$4:$AZ57,2,FALSE)*W40^2+VLOOKUP(D40,backend!$AV$4:$AZ57,3,FALSE)*W40+VLOOKUP(D40,backend!$AV$4:$AZ57,4,FALSE))*VLOOKUP(I40,backend!$H$4:$N57,6,FALSE)*VLOOKUP(J40,backend!$H$4:$N57,6,FALSE)*IF($B$12=TRUE,0.85,1)*IF($B$11=TRUE,0.9,1)*IF(D40="Shotgun",P40,1)*IF(F40="Rapid-Fire",0.8,1)+IF(OR(D40="Fusion Rifle",D40="Linear Fusion Rifle"),0.516,0)</f>
        <v>3.530629957</v>
      </c>
      <c r="Y40" s="215">
        <v>2.067</v>
      </c>
      <c r="Z40" s="215">
        <f>VLOOKUP(D40,backend!$AV$4:$AZ57,5,FALSE)*IF(D40="Shotgun",P40,1)+IF(OR(D40="Fusion Rifle",D40="Linear Fusion Rifle"),0.516,0)</f>
        <v>2.1</v>
      </c>
      <c r="AA40" s="216">
        <f t="shared" si="2"/>
        <v>3.530629957</v>
      </c>
      <c r="AB40" s="217">
        <f t="shared" si="3"/>
        <v>39.24293128</v>
      </c>
      <c r="AC40" s="218">
        <f t="shared" si="4"/>
        <v>49.28760928</v>
      </c>
      <c r="AD40" s="219">
        <f t="shared" si="5"/>
        <v>44.26527028</v>
      </c>
      <c r="AE40" s="220">
        <f t="shared" si="6"/>
        <v>0</v>
      </c>
      <c r="AF40" s="221">
        <f t="shared" si="7"/>
        <v>31.77566961</v>
      </c>
      <c r="AG40" s="211">
        <f t="shared" si="8"/>
        <v>80915</v>
      </c>
      <c r="AH40" s="222" t="str">
        <f t="shared" si="9"/>
        <v>-</v>
      </c>
      <c r="AI40" s="247">
        <f t="shared" si="10"/>
        <v>809150</v>
      </c>
      <c r="AJ40" s="373">
        <f t="shared" si="11"/>
        <v>809150</v>
      </c>
      <c r="AK40" s="374">
        <f t="shared" si="12"/>
        <v>25464.45157</v>
      </c>
      <c r="AL40" s="375">
        <f t="shared" si="13"/>
        <v>25464.45157</v>
      </c>
      <c r="AM40" s="376">
        <f t="shared" si="14"/>
        <v>22918.00642</v>
      </c>
      <c r="AN40" s="201">
        <f t="shared" si="15"/>
        <v>5</v>
      </c>
      <c r="AO40" s="202">
        <f t="shared" si="16"/>
        <v>2.346850217</v>
      </c>
      <c r="AP40" s="202">
        <f t="shared" si="17"/>
        <v>2.346850217</v>
      </c>
      <c r="AQ40" s="201">
        <f t="shared" si="18"/>
        <v>6</v>
      </c>
      <c r="AR40" s="201">
        <f t="shared" si="19"/>
        <v>485490</v>
      </c>
      <c r="AS40" s="202">
        <f t="shared" si="20"/>
        <v>0</v>
      </c>
      <c r="AT40" s="201">
        <f t="shared" si="21"/>
        <v>0</v>
      </c>
      <c r="AU40" s="203">
        <f t="shared" si="22"/>
        <v>0</v>
      </c>
      <c r="AV40" s="377">
        <f t="shared" si="23"/>
        <v>485490</v>
      </c>
    </row>
    <row r="41">
      <c r="A41" s="102"/>
      <c r="B41" s="378" t="s">
        <v>344</v>
      </c>
      <c r="C41" s="229" t="b">
        <v>0</v>
      </c>
      <c r="D41" s="230" t="s">
        <v>394</v>
      </c>
      <c r="E41" s="254" t="s">
        <v>395</v>
      </c>
      <c r="F41" s="232" t="s">
        <v>351</v>
      </c>
      <c r="G41" s="210" t="str">
        <f t="shared" si="24"/>
        <v>Shotgun - Aggressive</v>
      </c>
      <c r="H41" s="255" t="s">
        <v>348</v>
      </c>
      <c r="I41" s="210" t="s">
        <v>349</v>
      </c>
      <c r="J41" s="210" t="s">
        <v>349</v>
      </c>
      <c r="K41" s="184">
        <f>VLOOKUP(E41,backend!$BP$5:$BQ57,2,FALSE)</f>
        <v>38220</v>
      </c>
      <c r="L41" s="185">
        <f>K41*M41*IF(B41="Special",VLOOKUP(I41,backend!$H$4:$M57,2,FALSE),VLOOKUP(I41,backend!$H$4:$M57,3,FALSE))*IF(B41="Special",VLOOKUP(J41,backend!$H$4:$M57,2,FALSE),VLOOKUP(J41,backend!$H$4:$M57,3,FALSE))*IF($B$8=TRUE,VLOOKUP(D41,BuffsDebuffs!$P$8:$X$27,MATCH(H41,BuffsDebuffs!$P$8:$X$8,0),FALSE),1)*IF($B$6=TRUE,backend!$BN$5,1)</f>
        <v>42042</v>
      </c>
      <c r="M41" s="186">
        <f>VLOOKUP(E41,backend!$BP$5:$BS57,4,FALSE)</f>
        <v>1.1</v>
      </c>
      <c r="N41" s="184">
        <v>4.0</v>
      </c>
      <c r="O41" s="184">
        <v>8.0</v>
      </c>
      <c r="P41" s="184">
        <f>MAX(IFNA(VLOOKUP(IF($B$10=TRUE,O41,N41),backend!$P$4:$Y57,MATCH(I41,backend!$P$3:$Y$3,0),FALSE),IF($B$10=TRUE,O41,N41)),IFNA(VLOOKUP(IF($B$10=TRUE,O41,N41),backend!$P$4:$Y57,MATCH(J41,backend!$P$3:$Y$3,0),FALSE),IF($B$10=TRUE,O41,N41)))</f>
        <v>4</v>
      </c>
      <c r="Q41" s="184">
        <v>55.0</v>
      </c>
      <c r="R41" s="184">
        <f>Q41/VLOOKUP(I41,backend!$H$4:$N57,7,FALSE)/VLOOKUP(J41,backend!$H$4:$N57,7,FALSE)</f>
        <v>55</v>
      </c>
      <c r="S41" s="184">
        <v>20.0</v>
      </c>
      <c r="T41" s="184">
        <v>25.0</v>
      </c>
      <c r="U41" s="184">
        <f>MAX(IFNA(VLOOKUP(IF($B$9=TRUE,T41,S41),backend!$AA$4:$AF57,MATCH(I41,backend!$AA$3:$AF$3,0),FALSE),IF($B$9=TRUE,T41,S41)),IFNA(VLOOKUP(IF($B$9=TRUE,T41,S41),backend!$AA$4:$AF57,MATCH(J41,backend!$AA$3:$AF$3,0),FALSE),IF($B$9=TRUE,T41,S41)))</f>
        <v>20</v>
      </c>
      <c r="V41" s="187">
        <f>VLOOKUP(E41,backend!$BB$4:$BH57,7,FALSE)</f>
        <v>31.8</v>
      </c>
      <c r="W41" s="184">
        <f>MIN(100,V41+VLOOKUP(I41,backend!$H$4:$N57,5,FALSE)+VLOOKUP(J41,backend!$H$4:$N57,5,FALSE)+IF($B$11=TRUE,100,0)+IF($B$12,10,0))</f>
        <v>31.8</v>
      </c>
      <c r="X41" s="188">
        <f>(VLOOKUP(D41,backend!$AV$4:$AZ57,2,FALSE)*W41^2+VLOOKUP(D41,backend!$AV$4:$AZ57,3,FALSE)*W41+VLOOKUP(D41,backend!$AV$4:$AZ57,4,FALSE))*VLOOKUP(I41,backend!$H$4:$N57,6,FALSE)*VLOOKUP(J41,backend!$H$4:$N57,6,FALSE)*IF($B$12=TRUE,0.85,1)*IF($B$11=TRUE,0.9,1)*IF(D41="Shotgun",P41,1)*IF(F41="Rapid-Fire",0.8,1)+IF(OR(D41="Fusion Rifle",D41="Linear Fusion Rifle"),0.516,0)</f>
        <v>3.458813197</v>
      </c>
      <c r="Y41" s="188">
        <v>2.117</v>
      </c>
      <c r="Z41" s="188">
        <f>VLOOKUP(D41,backend!$AV$4:$AZ57,5,FALSE)*IF(D41="Shotgun",P41,1)+IF(OR(D41="Fusion Rifle",D41="Linear Fusion Rifle"),0.516,0)</f>
        <v>0.668</v>
      </c>
      <c r="AA41" s="189">
        <f t="shared" si="2"/>
        <v>3.458813197</v>
      </c>
      <c r="AB41" s="233">
        <f t="shared" si="3"/>
        <v>40.77986323</v>
      </c>
      <c r="AC41" s="234">
        <f t="shared" si="4"/>
        <v>53.89218864</v>
      </c>
      <c r="AD41" s="235">
        <f t="shared" si="5"/>
        <v>47.33602594</v>
      </c>
      <c r="AE41" s="236">
        <f t="shared" si="6"/>
        <v>3.272727273</v>
      </c>
      <c r="AF41" s="237">
        <f t="shared" si="7"/>
        <v>30.19888915</v>
      </c>
      <c r="AG41" s="184">
        <f t="shared" si="8"/>
        <v>168168</v>
      </c>
      <c r="AH41" s="195">
        <f t="shared" si="9"/>
        <v>51384.66667</v>
      </c>
      <c r="AI41" s="379">
        <f t="shared" si="10"/>
        <v>840840</v>
      </c>
      <c r="AJ41" s="380">
        <f t="shared" si="11"/>
        <v>840840</v>
      </c>
      <c r="AK41" s="381">
        <f t="shared" si="12"/>
        <v>27843.40827</v>
      </c>
      <c r="AL41" s="382">
        <f t="shared" si="13"/>
        <v>27843.40827</v>
      </c>
      <c r="AM41" s="383">
        <f t="shared" si="14"/>
        <v>24982.09745</v>
      </c>
      <c r="AN41" s="201">
        <f t="shared" si="15"/>
        <v>2</v>
      </c>
      <c r="AO41" s="202">
        <f t="shared" si="16"/>
        <v>13.08237361</v>
      </c>
      <c r="AP41" s="202">
        <f t="shared" si="17"/>
        <v>3.264191788</v>
      </c>
      <c r="AQ41" s="201">
        <f t="shared" si="18"/>
        <v>3</v>
      </c>
      <c r="AR41" s="201">
        <f t="shared" si="19"/>
        <v>504504</v>
      </c>
      <c r="AS41" s="202">
        <f t="shared" si="20"/>
        <v>0</v>
      </c>
      <c r="AT41" s="201">
        <f t="shared" si="21"/>
        <v>0</v>
      </c>
      <c r="AU41" s="203">
        <f t="shared" si="22"/>
        <v>0</v>
      </c>
      <c r="AV41" s="372">
        <f t="shared" si="23"/>
        <v>504504</v>
      </c>
    </row>
    <row r="42">
      <c r="A42" s="102"/>
      <c r="B42" s="378" t="s">
        <v>344</v>
      </c>
      <c r="C42" s="244" t="b">
        <v>0</v>
      </c>
      <c r="D42" s="384" t="s">
        <v>394</v>
      </c>
      <c r="E42" s="385" t="s">
        <v>396</v>
      </c>
      <c r="F42" s="386" t="s">
        <v>397</v>
      </c>
      <c r="G42" s="272" t="s">
        <v>398</v>
      </c>
      <c r="H42" s="273" t="s">
        <v>348</v>
      </c>
      <c r="I42" s="272" t="s">
        <v>349</v>
      </c>
      <c r="J42" s="272" t="s">
        <v>349</v>
      </c>
      <c r="K42" s="211">
        <f>VLOOKUP(E42,backend!$BP$5:$BQ57,2,FALSE)</f>
        <v>22784</v>
      </c>
      <c r="L42" s="212">
        <f>K42*M42*IF(B42="Special",VLOOKUP(I42,backend!$H$4:$M57,2,FALSE),VLOOKUP(I42,backend!$H$4:$M57,3,FALSE))*IF(B42="Special",VLOOKUP(J42,backend!$H$4:$M57,2,FALSE),VLOOKUP(J42,backend!$H$4:$M57,3,FALSE))*IF($B$8=TRUE,VLOOKUP(D42,BuffsDebuffs!$P$8:$X$27,MATCH(H42,BuffsDebuffs!$P$8:$X$8,0),FALSE),1)*IF($B$6=TRUE,backend!$BN$5,1)</f>
        <v>39982</v>
      </c>
      <c r="M42" s="213">
        <f>VLOOKUP(E42,backend!$BP$5:$BS57,4,FALSE)</f>
        <v>1.754827949</v>
      </c>
      <c r="N42" s="387">
        <v>6.0</v>
      </c>
      <c r="O42" s="387">
        <v>8.0</v>
      </c>
      <c r="P42" s="211">
        <f>MAX(IFNA(VLOOKUP(IF($B$10=TRUE,O42,N42),backend!$P$4:$Y57,MATCH(I42,backend!$P$3:$Y$3,0),FALSE),IF($B$10=TRUE,O42,N42)),IFNA(VLOOKUP(IF($B$10=TRUE,O42,N42),backend!$P$4:$Y57,MATCH(J42,backend!$P$3:$Y$3,0),FALSE),IF($B$10=TRUE,O42,N42)))</f>
        <v>6</v>
      </c>
      <c r="Q42" s="387">
        <v>62.0</v>
      </c>
      <c r="R42" s="211">
        <f>Q42/VLOOKUP(I42,backend!$H$4:$N57,7,FALSE)/VLOOKUP(J42,backend!$H$4:$N57,7,FALSE)</f>
        <v>62</v>
      </c>
      <c r="S42" s="387">
        <v>12.0</v>
      </c>
      <c r="T42" s="387">
        <v>16.0</v>
      </c>
      <c r="U42" s="211">
        <f>MAX(IFNA(VLOOKUP(IF($B$9=TRUE,T42,S42),backend!$AA$4:$AF57,MATCH(I42,backend!$AA$3:$AF$3,0),FALSE),IF($B$9=TRUE,T42,S42)),IFNA(VLOOKUP(IF($B$9=TRUE,T42,S42),backend!$AA$4:$AF57,MATCH(J42,backend!$AA$3:$AF$3,0),FALSE),IF($B$9=TRUE,T42,S42)))</f>
        <v>12</v>
      </c>
      <c r="V42" s="214">
        <f>VLOOKUP(E42,backend!$BB$4:$BH57,7,FALSE)</f>
        <v>69</v>
      </c>
      <c r="W42" s="211">
        <f>MIN(100,V42+VLOOKUP(I42,backend!$H$4:$N57,5,FALSE)+VLOOKUP(J42,backend!$H$4:$N57,5,FALSE)+IF($B$11=TRUE,100,0)+IF($B$12,10,0))</f>
        <v>69</v>
      </c>
      <c r="X42" s="215">
        <f>(VLOOKUP(D42,backend!$AV$4:$AZ57,2,FALSE)*W42^2+VLOOKUP(D42,backend!$AV$4:$AZ57,3,FALSE)*W42+VLOOKUP(D42,backend!$AV$4:$AZ57,4,FALSE))*VLOOKUP(I42,backend!$H$4:$N57,6,FALSE)*VLOOKUP(J42,backend!$H$4:$N57,6,FALSE)*IF($B$12=TRUE,0.85,1)*IF($B$11=TRUE,0.9,1)*IF(D42="Shotgun",P42,1)*IF(F42="Rapid-Fire",0.8,1)+IF(OR(D42="Fusion Rifle",D42="Linear Fusion Rifle"),0.516,0)</f>
        <v>3.465954349</v>
      </c>
      <c r="Y42" s="215">
        <v>2.799</v>
      </c>
      <c r="Z42" s="215">
        <f>VLOOKUP(D42,backend!$AV$4:$AZ57,5,FALSE)*IF(D42="Shotgun",P42,1)+IF(OR(D42="Fusion Rifle",D42="Linear Fusion Rifle"),0.516,0)</f>
        <v>1.002</v>
      </c>
      <c r="AA42" s="216">
        <f t="shared" si="2"/>
        <v>3.465954349</v>
      </c>
      <c r="AB42" s="217">
        <f t="shared" si="3"/>
        <v>23.26902372</v>
      </c>
      <c r="AC42" s="218">
        <f t="shared" si="4"/>
        <v>70.6549072</v>
      </c>
      <c r="AD42" s="219">
        <f t="shared" si="5"/>
        <v>46.96196546</v>
      </c>
      <c r="AE42" s="220">
        <f t="shared" si="6"/>
        <v>4.838709677</v>
      </c>
      <c r="AF42" s="221">
        <f t="shared" si="7"/>
        <v>13.1433737</v>
      </c>
      <c r="AG42" s="211">
        <f t="shared" si="8"/>
        <v>239892</v>
      </c>
      <c r="AH42" s="222">
        <f t="shared" si="9"/>
        <v>49577.68</v>
      </c>
      <c r="AI42" s="379">
        <f t="shared" si="10"/>
        <v>479784</v>
      </c>
      <c r="AJ42" s="380">
        <f t="shared" si="11"/>
        <v>479784</v>
      </c>
      <c r="AK42" s="381">
        <f t="shared" si="12"/>
        <v>36503.86962</v>
      </c>
      <c r="AL42" s="382">
        <f t="shared" si="13"/>
        <v>36503.86962</v>
      </c>
      <c r="AM42" s="383">
        <f t="shared" si="14"/>
        <v>28886.41843</v>
      </c>
      <c r="AN42" s="201">
        <f t="shared" si="15"/>
        <v>2</v>
      </c>
      <c r="AO42" s="202">
        <f t="shared" si="16"/>
        <v>13.0680913</v>
      </c>
      <c r="AP42" s="202">
        <f t="shared" si="17"/>
        <v>0</v>
      </c>
      <c r="AQ42" s="201">
        <f t="shared" si="18"/>
        <v>2</v>
      </c>
      <c r="AR42" s="201">
        <f t="shared" si="19"/>
        <v>479784</v>
      </c>
      <c r="AS42" s="202">
        <f t="shared" si="20"/>
        <v>3.390671947</v>
      </c>
      <c r="AT42" s="201">
        <f t="shared" si="21"/>
        <v>4</v>
      </c>
      <c r="AU42" s="203">
        <f t="shared" si="22"/>
        <v>159928</v>
      </c>
      <c r="AV42" s="372">
        <f t="shared" si="23"/>
        <v>479784</v>
      </c>
    </row>
    <row r="43">
      <c r="A43" s="102"/>
      <c r="B43" s="378" t="s">
        <v>344</v>
      </c>
      <c r="C43" s="253" t="b">
        <v>0</v>
      </c>
      <c r="D43" s="230" t="s">
        <v>394</v>
      </c>
      <c r="E43" s="254" t="s">
        <v>399</v>
      </c>
      <c r="F43" s="232" t="s">
        <v>369</v>
      </c>
      <c r="G43" s="210" t="str">
        <f t="shared" ref="G43:G51" si="25">D43&amp;" - "&amp; F43</f>
        <v>Shotgun - Lightweight</v>
      </c>
      <c r="H43" s="255" t="s">
        <v>348</v>
      </c>
      <c r="I43" s="210" t="s">
        <v>349</v>
      </c>
      <c r="J43" s="210" t="s">
        <v>349</v>
      </c>
      <c r="K43" s="184">
        <f>VLOOKUP(E43,backend!$BP$5:$BQ57,2,FALSE)</f>
        <v>31476</v>
      </c>
      <c r="L43" s="185">
        <f>K43*M43*IF(B43="Special",VLOOKUP(I43,backend!$H$4:$M57,2,FALSE),VLOOKUP(I43,backend!$H$4:$M57,3,FALSE))*IF(B43="Special",VLOOKUP(J43,backend!$H$4:$M57,2,FALSE),VLOOKUP(J43,backend!$H$4:$M57,3,FALSE))*IF($B$8=TRUE,VLOOKUP(D43,BuffsDebuffs!$P$8:$X$27,MATCH(H43,BuffsDebuffs!$P$8:$X$8,0),FALSE),1)*IF($B$6=TRUE,backend!$BN$5,1)</f>
        <v>34623.5</v>
      </c>
      <c r="M43" s="186">
        <f>VLOOKUP(E43,backend!$BP$5:$BS57,4,FALSE)</f>
        <v>1.099996823</v>
      </c>
      <c r="N43" s="184">
        <v>6.0</v>
      </c>
      <c r="O43" s="184">
        <v>8.0</v>
      </c>
      <c r="P43" s="184">
        <f>MAX(IFNA(VLOOKUP(IF($B$10=TRUE,O43,N43),backend!$P$4:$Y57,MATCH(I43,backend!$P$3:$Y$3,0),FALSE),IF($B$10=TRUE,O43,N43)),IFNA(VLOOKUP(IF($B$10=TRUE,O43,N43),backend!$P$4:$Y57,MATCH(J43,backend!$P$3:$Y$3,0),FALSE),IF($B$10=TRUE,O43,N43)))</f>
        <v>6</v>
      </c>
      <c r="Q43" s="184">
        <v>80.0</v>
      </c>
      <c r="R43" s="184">
        <f>Q43/VLOOKUP(I43,backend!$H$4:$N57,7,FALSE)/VLOOKUP(J43,backend!$H$4:$N57,7,FALSE)</f>
        <v>80</v>
      </c>
      <c r="S43" s="184">
        <v>17.0</v>
      </c>
      <c r="T43" s="184">
        <v>21.0</v>
      </c>
      <c r="U43" s="184">
        <f>MAX(IFNA(VLOOKUP(IF($B$9=TRUE,T43,S43),backend!$AA$4:$AF57,MATCH(I43,backend!$AA$3:$AF$3,0),FALSE),IF($B$9=TRUE,T43,S43)),IFNA(VLOOKUP(IF($B$9=TRUE,T43,S43),backend!$AA$4:$AF57,MATCH(J43,backend!$AA$3:$AF$3,0),FALSE),IF($B$9=TRUE,T43,S43)))</f>
        <v>17</v>
      </c>
      <c r="V43" s="187">
        <f>VLOOKUP(E43,backend!$BB$4:$BH57,7,FALSE)</f>
        <v>57.4</v>
      </c>
      <c r="W43" s="184">
        <f>MIN(100,V43+VLOOKUP(I43,backend!$H$4:$N57,5,FALSE)+VLOOKUP(J43,backend!$H$4:$N57,5,FALSE)+IF($B$11=TRUE,100,0)+IF($B$12,10,0))</f>
        <v>57.4</v>
      </c>
      <c r="X43" s="188">
        <f>(VLOOKUP(D43,backend!$AV$4:$AZ57,2,FALSE)*W43^2+VLOOKUP(D43,backend!$AV$4:$AZ57,3,FALSE)*W43+VLOOKUP(D43,backend!$AV$4:$AZ57,4,FALSE))*VLOOKUP(I43,backend!$H$4:$N57,6,FALSE)*VLOOKUP(J43,backend!$H$4:$N57,6,FALSE)*IF($B$12=TRUE,0.85,1)*IF($B$11=TRUE,0.9,1)*IF(D43="Shotgun",P43,1)*IF(F43="Rapid-Fire",0.8,1)+IF(OR(D43="Fusion Rifle",D43="Linear Fusion Rifle"),0.516,0)</f>
        <v>3.888889907</v>
      </c>
      <c r="Y43" s="188">
        <v>2.799</v>
      </c>
      <c r="Z43" s="188">
        <f>VLOOKUP(D43,backend!$AV$4:$AZ57,5,FALSE)*IF(D43="Shotgun",P43,1)+IF(OR(D43="Fusion Rifle",D43="Linear Fusion Rifle"),0.516,0)</f>
        <v>1.002</v>
      </c>
      <c r="AA43" s="189">
        <f t="shared" si="2"/>
        <v>3.888889907</v>
      </c>
      <c r="AB43" s="233">
        <f t="shared" si="3"/>
        <v>20.15044377</v>
      </c>
      <c r="AC43" s="234">
        <f t="shared" si="4"/>
        <v>70.61130606</v>
      </c>
      <c r="AD43" s="235">
        <f t="shared" si="5"/>
        <v>45.38087491</v>
      </c>
      <c r="AE43" s="236">
        <f t="shared" si="6"/>
        <v>3.75</v>
      </c>
      <c r="AF43" s="388">
        <f t="shared" si="7"/>
        <v>18.27777981</v>
      </c>
      <c r="AG43" s="184">
        <f t="shared" si="8"/>
        <v>207741</v>
      </c>
      <c r="AH43" s="195">
        <f t="shared" si="9"/>
        <v>55397.6</v>
      </c>
      <c r="AI43" s="389">
        <f t="shared" si="10"/>
        <v>588599.5</v>
      </c>
      <c r="AJ43" s="390">
        <f t="shared" si="11"/>
        <v>415482</v>
      </c>
      <c r="AK43" s="391">
        <f t="shared" si="12"/>
        <v>32203.00857</v>
      </c>
      <c r="AL43" s="392">
        <f t="shared" si="13"/>
        <v>36481.34308</v>
      </c>
      <c r="AM43" s="393">
        <f t="shared" si="14"/>
        <v>27195.18183</v>
      </c>
      <c r="AN43" s="201">
        <f t="shared" si="15"/>
        <v>2</v>
      </c>
      <c r="AO43" s="202">
        <f t="shared" si="16"/>
        <v>12.22222019</v>
      </c>
      <c r="AP43" s="202">
        <f t="shared" si="17"/>
        <v>0.9722201851</v>
      </c>
      <c r="AQ43" s="201">
        <f t="shared" si="18"/>
        <v>3</v>
      </c>
      <c r="AR43" s="201">
        <f t="shared" si="19"/>
        <v>623223</v>
      </c>
      <c r="AS43" s="202">
        <f t="shared" si="20"/>
        <v>0</v>
      </c>
      <c r="AT43" s="201">
        <f t="shared" si="21"/>
        <v>0</v>
      </c>
      <c r="AU43" s="203">
        <f t="shared" si="22"/>
        <v>0</v>
      </c>
      <c r="AV43" s="394">
        <f t="shared" si="23"/>
        <v>588599.5</v>
      </c>
    </row>
    <row r="44">
      <c r="A44" s="102"/>
      <c r="B44" s="378" t="s">
        <v>344</v>
      </c>
      <c r="C44" s="244" t="b">
        <v>0</v>
      </c>
      <c r="D44" s="207" t="s">
        <v>394</v>
      </c>
      <c r="E44" s="262" t="s">
        <v>400</v>
      </c>
      <c r="F44" s="209" t="s">
        <v>401</v>
      </c>
      <c r="G44" s="210" t="str">
        <f t="shared" si="25"/>
        <v>Shotgun - Pinpoint Slug</v>
      </c>
      <c r="H44" s="255" t="s">
        <v>348</v>
      </c>
      <c r="I44" s="210" t="s">
        <v>349</v>
      </c>
      <c r="J44" s="210" t="s">
        <v>349</v>
      </c>
      <c r="K44" s="211">
        <f>VLOOKUP(E44,backend!$BP$5:$BQ57,2,FALSE)</f>
        <v>20714</v>
      </c>
      <c r="L44" s="212">
        <f>K44*M44*IF(B44="Special",VLOOKUP(I44,backend!$H$4:$M57,2,FALSE),VLOOKUP(I44,backend!$H$4:$M57,3,FALSE))*IF(B44="Special",VLOOKUP(J44,backend!$H$4:$M57,2,FALSE),VLOOKUP(J44,backend!$H$4:$M57,3,FALSE))*IF($B$8=TRUE,VLOOKUP(D44,BuffsDebuffs!$P$8:$X$27,MATCH(H44,BuffsDebuffs!$P$8:$X$8,0),FALSE),1)*IF($B$6=TRUE,backend!$BN$5,1)</f>
        <v>36350.5</v>
      </c>
      <c r="M44" s="213">
        <f>VLOOKUP(E44,backend!$BP$5:$BS57,4,FALSE)</f>
        <v>1.754875929</v>
      </c>
      <c r="N44" s="211">
        <v>6.0</v>
      </c>
      <c r="O44" s="211">
        <v>8.0</v>
      </c>
      <c r="P44" s="211">
        <f>MAX(IFNA(VLOOKUP(IF($B$10=TRUE,O44,N44),backend!$P$4:$Y57,MATCH(I44,backend!$P$3:$Y$3,0),FALSE),IF($B$10=TRUE,O44,N44)),IFNA(VLOOKUP(IF($B$10=TRUE,O44,N44),backend!$P$4:$Y57,MATCH(J44,backend!$P$3:$Y$3,0),FALSE),IF($B$10=TRUE,O44,N44)))</f>
        <v>6</v>
      </c>
      <c r="Q44" s="211">
        <v>65.0</v>
      </c>
      <c r="R44" s="211">
        <f>Q44/VLOOKUP(I44,backend!$H$4:$N57,7,FALSE)/VLOOKUP(J44,backend!$H$4:$N57,7,FALSE)</f>
        <v>65</v>
      </c>
      <c r="S44" s="211">
        <v>19.0</v>
      </c>
      <c r="T44" s="211">
        <v>24.0</v>
      </c>
      <c r="U44" s="211">
        <f>MAX(IFNA(VLOOKUP(IF($B$9=TRUE,T44,S44),backend!$AA$4:$AF57,MATCH(I44,backend!$AA$3:$AF$3,0),FALSE),IF($B$9=TRUE,T44,S44)),IFNA(VLOOKUP(IF($B$9=TRUE,T44,S44),backend!$AA$4:$AF57,MATCH(J44,backend!$AA$3:$AF$3,0),FALSE),IF($B$9=TRUE,T44,S44)))</f>
        <v>19</v>
      </c>
      <c r="V44" s="214">
        <f>VLOOKUP(E44,backend!$BB$4:$BH57,7,FALSE)</f>
        <v>46.8</v>
      </c>
      <c r="W44" s="211">
        <f>MIN(100,V44+VLOOKUP(I44,backend!$H$4:$N57,5,FALSE)+VLOOKUP(J44,backend!$H$4:$N57,5,FALSE)+IF($B$11=TRUE,100,0)+IF($B$12,10,0))</f>
        <v>46.8</v>
      </c>
      <c r="X44" s="215">
        <f>(VLOOKUP(D44,backend!$AV$4:$AZ57,2,FALSE)*W44^2+VLOOKUP(D44,backend!$AV$4:$AZ57,3,FALSE)*W44+VLOOKUP(D44,backend!$AV$4:$AZ57,4,FALSE))*VLOOKUP(I44,backend!$H$4:$N57,6,FALSE)*VLOOKUP(J44,backend!$H$4:$N57,6,FALSE)*IF($B$12=TRUE,0.85,1)*IF($B$11=TRUE,0.9,1)*IF(D44="Shotgun",P44,1)*IF(F44="Rapid-Fire",0.8,1)+IF(OR(D44="Fusion Rifle",D44="Linear Fusion Rifle"),0.516,0)</f>
        <v>4.365793615</v>
      </c>
      <c r="Y44" s="215">
        <v>2.799</v>
      </c>
      <c r="Z44" s="215">
        <f>VLOOKUP(D44,backend!$AV$4:$AZ57,5,FALSE)*IF(D44="Shotgun",P44,1)+IF(OR(D44="Fusion Rifle",D44="Linear Fusion Rifle"),0.516,0)</f>
        <v>1.002</v>
      </c>
      <c r="AA44" s="216">
        <f t="shared" si="2"/>
        <v>4.365793615</v>
      </c>
      <c r="AB44" s="217">
        <f t="shared" si="3"/>
        <v>31.73330423</v>
      </c>
      <c r="AC44" s="218">
        <f t="shared" si="4"/>
        <v>56.09263368</v>
      </c>
      <c r="AD44" s="219">
        <f t="shared" si="5"/>
        <v>43.91296896</v>
      </c>
      <c r="AE44" s="220">
        <f t="shared" si="6"/>
        <v>4.615384615</v>
      </c>
      <c r="AF44" s="221">
        <f t="shared" si="7"/>
        <v>26.94353469</v>
      </c>
      <c r="AG44" s="211">
        <f t="shared" si="8"/>
        <v>218103</v>
      </c>
      <c r="AH44" s="222">
        <f t="shared" si="9"/>
        <v>47255.65</v>
      </c>
      <c r="AI44" s="395">
        <f t="shared" si="10"/>
        <v>690659.5</v>
      </c>
      <c r="AJ44" s="396">
        <f t="shared" si="11"/>
        <v>654309</v>
      </c>
      <c r="AK44" s="374">
        <f t="shared" si="12"/>
        <v>25633.58921</v>
      </c>
      <c r="AL44" s="397">
        <f t="shared" si="13"/>
        <v>28980.26857</v>
      </c>
      <c r="AM44" s="360">
        <f t="shared" si="14"/>
        <v>24284.45293</v>
      </c>
      <c r="AN44" s="201">
        <f t="shared" si="15"/>
        <v>2</v>
      </c>
      <c r="AO44" s="202">
        <f t="shared" si="16"/>
        <v>11.26841277</v>
      </c>
      <c r="AP44" s="202">
        <f t="shared" si="17"/>
        <v>0</v>
      </c>
      <c r="AQ44" s="201">
        <f t="shared" si="18"/>
        <v>2</v>
      </c>
      <c r="AR44" s="201">
        <f t="shared" si="19"/>
        <v>436206</v>
      </c>
      <c r="AS44" s="202">
        <f t="shared" si="20"/>
        <v>2.03764354</v>
      </c>
      <c r="AT44" s="201">
        <f t="shared" si="21"/>
        <v>3</v>
      </c>
      <c r="AU44" s="203">
        <f t="shared" si="22"/>
        <v>109051.5</v>
      </c>
      <c r="AV44" s="398">
        <f t="shared" si="23"/>
        <v>545257.5</v>
      </c>
    </row>
    <row r="45">
      <c r="A45" s="102"/>
      <c r="B45" s="378" t="s">
        <v>344</v>
      </c>
      <c r="C45" s="229" t="b">
        <v>0</v>
      </c>
      <c r="D45" s="230" t="s">
        <v>394</v>
      </c>
      <c r="E45" s="254" t="s">
        <v>402</v>
      </c>
      <c r="F45" s="232" t="s">
        <v>355</v>
      </c>
      <c r="G45" s="210" t="str">
        <f t="shared" si="25"/>
        <v>Shotgun - Precision</v>
      </c>
      <c r="H45" s="255" t="s">
        <v>348</v>
      </c>
      <c r="I45" s="210" t="s">
        <v>349</v>
      </c>
      <c r="J45" s="210" t="s">
        <v>349</v>
      </c>
      <c r="K45" s="184">
        <f>VLOOKUP(E45,backend!$BP$5:$BQ57,2,FALSE)</f>
        <v>32916</v>
      </c>
      <c r="L45" s="185">
        <f>K45*M45*IF(B45="Special",VLOOKUP(I45,backend!$H$4:$M57,2,FALSE),VLOOKUP(I45,backend!$H$4:$M57,3,FALSE))*IF(B45="Special",VLOOKUP(J45,backend!$H$4:$M57,2,FALSE),VLOOKUP(J45,backend!$H$4:$M57,3,FALSE))*IF($B$8=TRUE,VLOOKUP(D45,BuffsDebuffs!$P$8:$X$27,MATCH(H45,BuffsDebuffs!$P$8:$X$8,0),FALSE),1)*IF($B$6=TRUE,backend!$BN$5,1)</f>
        <v>36207.5</v>
      </c>
      <c r="M45" s="186">
        <f>VLOOKUP(E45,backend!$BP$5:$BS57,4,FALSE)</f>
        <v>1.099996962</v>
      </c>
      <c r="N45" s="184">
        <v>5.0</v>
      </c>
      <c r="O45" s="184">
        <v>8.0</v>
      </c>
      <c r="P45" s="184">
        <f>MAX(IFNA(VLOOKUP(IF($B$10=TRUE,O45,N45),backend!$P$4:$Y57,MATCH(I45,backend!$P$3:$Y$3,0),FALSE),IF($B$10=TRUE,O45,N45)),IFNA(VLOOKUP(IF($B$10=TRUE,O45,N45),backend!$P$4:$Y57,MATCH(J45,backend!$P$3:$Y$3,0),FALSE),IF($B$10=TRUE,O45,N45)))</f>
        <v>5</v>
      </c>
      <c r="Q45" s="184">
        <v>65.0</v>
      </c>
      <c r="R45" s="184">
        <f>Q45/VLOOKUP(I45,backend!$H$4:$N57,7,FALSE)/VLOOKUP(J45,backend!$H$4:$N57,7,FALSE)</f>
        <v>65</v>
      </c>
      <c r="S45" s="184">
        <v>20.0</v>
      </c>
      <c r="T45" s="184">
        <v>26.0</v>
      </c>
      <c r="U45" s="184">
        <f>MAX(IFNA(VLOOKUP(IF($B$9=TRUE,T45,S45),backend!$AA$4:$AF57,MATCH(I45,backend!$AA$3:$AF$3,0),FALSE),IF($B$9=TRUE,T45,S45)),IFNA(VLOOKUP(IF($B$9=TRUE,T45,S45),backend!$AA$4:$AF57,MATCH(J45,backend!$AA$3:$AF$3,0),FALSE),IF($B$9=TRUE,T45,S45)))</f>
        <v>20</v>
      </c>
      <c r="V45" s="187">
        <f>VLOOKUP(E45,backend!$BB$4:$BH57,7,FALSE)</f>
        <v>46.8</v>
      </c>
      <c r="W45" s="184">
        <f>MIN(100,V45+VLOOKUP(I45,backend!$H$4:$N57,5,FALSE)+VLOOKUP(J45,backend!$H$4:$N57,5,FALSE)+IF($B$11=TRUE,100,0)+IF($B$12,10,0))</f>
        <v>46.8</v>
      </c>
      <c r="X45" s="188">
        <f>(VLOOKUP(D45,backend!$AV$4:$AZ57,2,FALSE)*W45^2+VLOOKUP(D45,backend!$AV$4:$AZ57,3,FALSE)*W45+VLOOKUP(D45,backend!$AV$4:$AZ57,4,FALSE))*VLOOKUP(I45,backend!$H$4:$N57,6,FALSE)*VLOOKUP(J45,backend!$H$4:$N57,6,FALSE)*IF($B$12=TRUE,0.85,1)*IF($B$11=TRUE,0.9,1)*IF(D45="Shotgun",P45,1)*IF(F45="Rapid-Fire",0.8,1)+IF(OR(D45="Fusion Rifle",D45="Linear Fusion Rifle"),0.516,0)</f>
        <v>3.638161345</v>
      </c>
      <c r="Y45" s="188">
        <v>2.799</v>
      </c>
      <c r="Z45" s="188">
        <f>VLOOKUP(D45,backend!$AV$4:$AZ57,5,FALSE)*IF(D45="Shotgun",P45,1)+IF(OR(D45="Fusion Rifle",D45="Linear Fusion Rifle"),0.516,0)</f>
        <v>0.835</v>
      </c>
      <c r="AA45" s="189">
        <f t="shared" si="2"/>
        <v>3.638161345</v>
      </c>
      <c r="AB45" s="233">
        <f t="shared" si="3"/>
        <v>35.12051991</v>
      </c>
      <c r="AC45" s="234">
        <f t="shared" si="4"/>
        <v>54.57253423</v>
      </c>
      <c r="AD45" s="235">
        <f t="shared" si="5"/>
        <v>44.84652707</v>
      </c>
      <c r="AE45" s="236">
        <f t="shared" si="6"/>
        <v>3.692307692</v>
      </c>
      <c r="AF45" s="237">
        <f t="shared" si="7"/>
        <v>25.68371481</v>
      </c>
      <c r="AG45" s="184">
        <f t="shared" si="8"/>
        <v>181037.5</v>
      </c>
      <c r="AH45" s="195">
        <f t="shared" si="9"/>
        <v>49030.98958</v>
      </c>
      <c r="AI45" s="399">
        <f t="shared" si="10"/>
        <v>724150</v>
      </c>
      <c r="AJ45" s="248">
        <f t="shared" si="11"/>
        <v>724150</v>
      </c>
      <c r="AK45" s="400">
        <f t="shared" si="12"/>
        <v>28194.90893</v>
      </c>
      <c r="AL45" s="401">
        <f t="shared" si="13"/>
        <v>28194.90893</v>
      </c>
      <c r="AM45" s="402">
        <f t="shared" si="14"/>
        <v>24696.57795</v>
      </c>
      <c r="AN45" s="201">
        <f t="shared" si="15"/>
        <v>2</v>
      </c>
      <c r="AO45" s="202">
        <f t="shared" si="16"/>
        <v>12.72367731</v>
      </c>
      <c r="AP45" s="202">
        <f t="shared" si="17"/>
        <v>1.646754232</v>
      </c>
      <c r="AQ45" s="201">
        <f t="shared" si="18"/>
        <v>3</v>
      </c>
      <c r="AR45" s="201">
        <f t="shared" si="19"/>
        <v>543112.5</v>
      </c>
      <c r="AS45" s="202">
        <f t="shared" si="20"/>
        <v>0</v>
      </c>
      <c r="AT45" s="201">
        <f t="shared" si="21"/>
        <v>0</v>
      </c>
      <c r="AU45" s="203">
        <f t="shared" si="22"/>
        <v>0</v>
      </c>
      <c r="AV45" s="403">
        <f t="shared" si="23"/>
        <v>543112.5</v>
      </c>
    </row>
    <row r="46">
      <c r="A46" s="102"/>
      <c r="B46" s="378" t="s">
        <v>344</v>
      </c>
      <c r="C46" s="244" t="b">
        <v>0</v>
      </c>
      <c r="D46" s="207" t="s">
        <v>394</v>
      </c>
      <c r="E46" s="262" t="s">
        <v>403</v>
      </c>
      <c r="F46" s="209" t="s">
        <v>357</v>
      </c>
      <c r="G46" s="210" t="str">
        <f t="shared" si="25"/>
        <v>Shotgun - Rapid-Fire</v>
      </c>
      <c r="H46" s="255" t="s">
        <v>348</v>
      </c>
      <c r="I46" s="210" t="s">
        <v>349</v>
      </c>
      <c r="J46" s="210" t="s">
        <v>349</v>
      </c>
      <c r="K46" s="211">
        <f>VLOOKUP(E46,backend!$BP$5:$BQ57,2,FALSE)</f>
        <v>25380</v>
      </c>
      <c r="L46" s="212">
        <f>K46*M46*IF(B46="Special",VLOOKUP(I46,backend!$H$4:$M57,2,FALSE),VLOOKUP(I46,backend!$H$4:$M57,3,FALSE))*IF(B46="Special",VLOOKUP(J46,backend!$H$4:$M57,2,FALSE),VLOOKUP(J46,backend!$H$4:$M57,3,FALSE))*IF($B$8=TRUE,VLOOKUP(D46,BuffsDebuffs!$P$8:$X$27,MATCH(H46,BuffsDebuffs!$P$8:$X$8,0),FALSE),1)*IF($B$6=TRUE,backend!$BN$5,1)</f>
        <v>27918</v>
      </c>
      <c r="M46" s="213">
        <f>VLOOKUP(E46,backend!$BP$5:$BS57,4,FALSE)</f>
        <v>1.1</v>
      </c>
      <c r="N46" s="211">
        <v>7.0</v>
      </c>
      <c r="O46" s="211">
        <v>8.0</v>
      </c>
      <c r="P46" s="211">
        <f>MAX(IFNA(VLOOKUP(IF($B$10=TRUE,O46,N46),backend!$P$4:$Y57,MATCH(I46,backend!$P$3:$Y$3,0),FALSE),IF($B$10=TRUE,O46,N46)),IFNA(VLOOKUP(IF($B$10=TRUE,O46,N46),backend!$P$4:$Y57,MATCH(J46,backend!$P$3:$Y$3,0),FALSE),IF($B$10=TRUE,O46,N46)))</f>
        <v>7</v>
      </c>
      <c r="Q46" s="211">
        <v>140.0</v>
      </c>
      <c r="R46" s="211">
        <f>Q46/VLOOKUP(I46,backend!$H$4:$N57,7,FALSE)/VLOOKUP(J46,backend!$H$4:$N57,7,FALSE)</f>
        <v>140</v>
      </c>
      <c r="S46" s="211">
        <v>28.0</v>
      </c>
      <c r="T46" s="211">
        <v>31.0</v>
      </c>
      <c r="U46" s="211">
        <f>MAX(IFNA(VLOOKUP(IF($B$9=TRUE,T46,S46),backend!$AA$4:$AF57,MATCH(I46,backend!$AA$3:$AF$3,0),FALSE),IF($B$9=TRUE,T46,S46)),IFNA(VLOOKUP(IF($B$9=TRUE,T46,S46),backend!$AA$4:$AF57,MATCH(J46,backend!$AA$3:$AF$3,0),FALSE),IF($B$9=TRUE,T46,S46)))</f>
        <v>28</v>
      </c>
      <c r="V46" s="214">
        <f>VLOOKUP(E46,backend!$BB$4:$BH57,7,FALSE)</f>
        <v>62.6</v>
      </c>
      <c r="W46" s="211">
        <f>MIN(100,V46+VLOOKUP(I46,backend!$H$4:$N57,5,FALSE)+VLOOKUP(J46,backend!$H$4:$N57,5,FALSE)+IF($B$11=TRUE,100,0)+IF($B$12,10,0))</f>
        <v>62.6</v>
      </c>
      <c r="X46" s="215">
        <f>(VLOOKUP(D46,backend!$AV$4:$AZ57,2,FALSE)*W46^2+VLOOKUP(D46,backend!$AV$4:$AZ57,3,FALSE)*W46+VLOOKUP(D46,backend!$AV$4:$AZ57,4,FALSE))*VLOOKUP(I46,backend!$H$4:$N57,6,FALSE)*VLOOKUP(J46,backend!$H$4:$N57,6,FALSE)*IF($B$12=TRUE,0.85,1)*IF($B$11=TRUE,0.9,1)*IF(D46="Shotgun",P46,1)*IF(F46="Rapid-Fire",0.8,1)+IF(OR(D46="Fusion Rifle",D46="Linear Fusion Rifle"),0.516,0)</f>
        <v>3.44074207</v>
      </c>
      <c r="Y46" s="215">
        <v>2.799</v>
      </c>
      <c r="Z46" s="215">
        <f>VLOOKUP(D46,backend!$AV$4:$AZ57,5,FALSE)*IF(D46="Shotgun",P46,1)+IF(OR(D46="Fusion Rifle",D46="Linear Fusion Rifle"),0.516,0)</f>
        <v>1.169</v>
      </c>
      <c r="AA46" s="216">
        <f t="shared" si="2"/>
        <v>3.44074207</v>
      </c>
      <c r="AB46" s="217">
        <f t="shared" si="3"/>
        <v>37.9118289</v>
      </c>
      <c r="AC46" s="218">
        <f t="shared" si="4"/>
        <v>73.41945703</v>
      </c>
      <c r="AD46" s="219">
        <f t="shared" si="5"/>
        <v>55.66564296</v>
      </c>
      <c r="AE46" s="220">
        <f t="shared" si="6"/>
        <v>2.571428571</v>
      </c>
      <c r="AF46" s="221">
        <f t="shared" si="7"/>
        <v>20.60794049</v>
      </c>
      <c r="AG46" s="211">
        <f t="shared" si="8"/>
        <v>195426</v>
      </c>
      <c r="AH46" s="222">
        <f t="shared" si="9"/>
        <v>75999</v>
      </c>
      <c r="AI46" s="404">
        <f t="shared" si="10"/>
        <v>781704</v>
      </c>
      <c r="AJ46" s="405">
        <f t="shared" si="11"/>
        <v>781704</v>
      </c>
      <c r="AK46" s="406">
        <f t="shared" si="12"/>
        <v>37932.17475</v>
      </c>
      <c r="AL46" s="407">
        <f t="shared" si="13"/>
        <v>37932.17475</v>
      </c>
      <c r="AM46" s="408">
        <f t="shared" si="14"/>
        <v>32505.06542</v>
      </c>
      <c r="AN46" s="201">
        <f t="shared" si="15"/>
        <v>3</v>
      </c>
      <c r="AO46" s="202">
        <f t="shared" si="16"/>
        <v>9.677773791</v>
      </c>
      <c r="AP46" s="202">
        <f t="shared" si="17"/>
        <v>0</v>
      </c>
      <c r="AQ46" s="201">
        <f t="shared" si="18"/>
        <v>3</v>
      </c>
      <c r="AR46" s="201">
        <f t="shared" si="19"/>
        <v>586278</v>
      </c>
      <c r="AS46" s="202">
        <f t="shared" si="20"/>
        <v>1.963488077</v>
      </c>
      <c r="AT46" s="201">
        <f t="shared" si="21"/>
        <v>5</v>
      </c>
      <c r="AU46" s="203">
        <f t="shared" si="22"/>
        <v>139590</v>
      </c>
      <c r="AV46" s="409">
        <f t="shared" si="23"/>
        <v>725868</v>
      </c>
    </row>
    <row r="47">
      <c r="A47" s="102"/>
      <c r="B47" s="410" t="s">
        <v>344</v>
      </c>
      <c r="C47" s="411" t="b">
        <v>0</v>
      </c>
      <c r="D47" s="230" t="s">
        <v>404</v>
      </c>
      <c r="E47" s="254" t="s">
        <v>405</v>
      </c>
      <c r="F47" s="232" t="s">
        <v>406</v>
      </c>
      <c r="G47" s="210" t="str">
        <f t="shared" si="25"/>
        <v>Sidearm - Rocket-Assisted</v>
      </c>
      <c r="H47" s="255" t="s">
        <v>348</v>
      </c>
      <c r="I47" s="210" t="s">
        <v>349</v>
      </c>
      <c r="J47" s="210" t="s">
        <v>349</v>
      </c>
      <c r="K47" s="184">
        <f>VLOOKUP(E47,backend!$BP$5:$BQ57,2,FALSE)</f>
        <v>16130</v>
      </c>
      <c r="L47" s="185">
        <f>K47*M47*IF(B47="Special",VLOOKUP(I47,backend!$H$4:$M57,2,FALSE),VLOOKUP(I47,backend!$H$4:$M57,3,FALSE))*IF(B47="Special",VLOOKUP(J47,backend!$H$4:$M57,2,FALSE),VLOOKUP(J47,backend!$H$4:$M57,3,FALSE))*IF($B$8=TRUE,VLOOKUP(D47,BuffsDebuffs!$P$8:$X$27,MATCH(H47,BuffsDebuffs!$P$8:$X$8,0),FALSE),1)*IF($B$6=TRUE,backend!$BN$5,1)</f>
        <v>16720.358</v>
      </c>
      <c r="M47" s="186">
        <f>VLOOKUP(E47,backend!$BP$5:$BS57,4,FALSE)</f>
        <v>1.0366</v>
      </c>
      <c r="N47" s="184">
        <v>10.0</v>
      </c>
      <c r="O47" s="184">
        <v>16.0</v>
      </c>
      <c r="P47" s="184">
        <f>MAX(IFNA(VLOOKUP(IF($B$10=TRUE,O47,N47),backend!$P$4:$Y57,MATCH(I47,backend!$P$3:$Y$3,0),FALSE),IF($B$10=TRUE,O47,N47)),IFNA(VLOOKUP(IF($B$10=TRUE,O47,N47),backend!$P$4:$Y57,MATCH(J47,backend!$P$3:$Y$3,0),FALSE),IF($B$10=TRUE,O47,N47)))</f>
        <v>10</v>
      </c>
      <c r="Q47" s="184">
        <v>100.0</v>
      </c>
      <c r="R47" s="184">
        <f>Q47/VLOOKUP(I47,backend!$H$4:$N57,7,FALSE)/VLOOKUP(J47,backend!$H$4:$N57,7,FALSE)</f>
        <v>100</v>
      </c>
      <c r="S47" s="184">
        <v>39.0</v>
      </c>
      <c r="T47" s="184">
        <v>47.0</v>
      </c>
      <c r="U47" s="184">
        <f>MAX(IFNA(VLOOKUP(IF($B$9=TRUE,T47,S47),backend!$AA$4:$AF57,MATCH(I47,backend!$AA$3:$AF$3,0),FALSE),IF($B$9=TRUE,T47,S47)),IFNA(VLOOKUP(IF($B$9=TRUE,T47,S47),backend!$AA$4:$AF57,MATCH(J47,backend!$AA$3:$AF$3,0),FALSE),IF($B$9=TRUE,T47,S47)))</f>
        <v>39</v>
      </c>
      <c r="V47" s="187">
        <f>VLOOKUP(E47,backend!$BB$4:$BH57,7,FALSE)</f>
        <v>32</v>
      </c>
      <c r="W47" s="184">
        <f>MIN(100,V47+VLOOKUP(I47,backend!$H$4:$N57,5,FALSE)+VLOOKUP(J47,backend!$H$4:$N57,5,FALSE)+IF($B$11=TRUE,100,0)+IF($B$12,10,0))</f>
        <v>32</v>
      </c>
      <c r="X47" s="188">
        <f>(VLOOKUP(D47,backend!$AV$4:$AZ57,2,FALSE)*W47^2+VLOOKUP(D47,backend!$AV$4:$AZ57,3,FALSE)*W47+VLOOKUP(D47,backend!$AV$4:$AZ57,4,FALSE))*VLOOKUP(I47,backend!$H$4:$N57,6,FALSE)*VLOOKUP(J47,backend!$H$4:$N57,6,FALSE)*IF($B$12=TRUE,0.85,1)*IF($B$11=TRUE,0.9,1)*IF(D47="Shotgun",P47,1)*IF(F47="Rapid-Fire",0.8,1)+IF(OR(D47="Fusion Rifle",D47="Linear Fusion Rifle"),0.516,0)</f>
        <v>1.772505896</v>
      </c>
      <c r="Y47" s="412"/>
      <c r="Z47" s="188">
        <f>VLOOKUP(D47,backend!$AV$4:$AZ57,5,FALSE)*IF(D47="Shotgun",P47,1)+IF(OR(D47="Fusion Rifle",D47="Linear Fusion Rifle"),0.516,0)</f>
        <v>0.733</v>
      </c>
      <c r="AA47" s="189">
        <f t="shared" si="2"/>
        <v>1.772505896</v>
      </c>
      <c r="AB47" s="233">
        <f t="shared" si="3"/>
        <v>24.32759785</v>
      </c>
      <c r="AC47" s="234">
        <f t="shared" si="4"/>
        <v>49.17143185</v>
      </c>
      <c r="AD47" s="235">
        <f t="shared" si="5"/>
        <v>36.74951485</v>
      </c>
      <c r="AE47" s="236">
        <f t="shared" si="6"/>
        <v>5.4</v>
      </c>
      <c r="AF47" s="237">
        <f t="shared" si="7"/>
        <v>26.31751769</v>
      </c>
      <c r="AG47" s="184">
        <f t="shared" si="8"/>
        <v>167203.58</v>
      </c>
      <c r="AH47" s="195">
        <f t="shared" si="9"/>
        <v>30963.62593</v>
      </c>
      <c r="AI47" s="413">
        <f t="shared" si="10"/>
        <v>652093.962</v>
      </c>
      <c r="AJ47" s="414">
        <f t="shared" si="11"/>
        <v>501610.74</v>
      </c>
      <c r="AK47" s="358">
        <f t="shared" si="12"/>
        <v>24777.94333</v>
      </c>
      <c r="AL47" s="375">
        <f t="shared" si="13"/>
        <v>25404.42848</v>
      </c>
      <c r="AM47" s="415">
        <f t="shared" si="14"/>
        <v>23311.73824</v>
      </c>
      <c r="AN47" s="201">
        <f t="shared" si="15"/>
        <v>2</v>
      </c>
      <c r="AO47" s="202">
        <f t="shared" si="16"/>
        <v>16.45498821</v>
      </c>
      <c r="AP47" s="202">
        <f t="shared" si="17"/>
        <v>0.2549882072</v>
      </c>
      <c r="AQ47" s="201">
        <f t="shared" si="18"/>
        <v>3</v>
      </c>
      <c r="AR47" s="201">
        <f t="shared" si="19"/>
        <v>501610.74</v>
      </c>
      <c r="AS47" s="202">
        <f t="shared" si="20"/>
        <v>0</v>
      </c>
      <c r="AT47" s="201">
        <f t="shared" si="21"/>
        <v>0</v>
      </c>
      <c r="AU47" s="203">
        <f t="shared" si="22"/>
        <v>0</v>
      </c>
      <c r="AV47" s="416">
        <f t="shared" si="23"/>
        <v>501610.74</v>
      </c>
    </row>
    <row r="48">
      <c r="A48" s="102"/>
      <c r="B48" s="378" t="s">
        <v>344</v>
      </c>
      <c r="C48" s="417" t="b">
        <v>0</v>
      </c>
      <c r="D48" s="207" t="s">
        <v>407</v>
      </c>
      <c r="E48" s="262" t="s">
        <v>408</v>
      </c>
      <c r="F48" s="209" t="s">
        <v>347</v>
      </c>
      <c r="G48" s="210" t="str">
        <f t="shared" si="25"/>
        <v>Sniper Rifle - Adaptive</v>
      </c>
      <c r="H48" s="255" t="s">
        <v>348</v>
      </c>
      <c r="I48" s="210" t="s">
        <v>349</v>
      </c>
      <c r="J48" s="210" t="s">
        <v>349</v>
      </c>
      <c r="K48" s="211">
        <f>VLOOKUP(E48,backend!$BP$5:$BQ57,2,FALSE)</f>
        <v>8887</v>
      </c>
      <c r="L48" s="212">
        <f>K48*M48*IF(B48="Special",VLOOKUP(I48,backend!$H$4:$M57,2,FALSE),VLOOKUP(I48,backend!$H$4:$M57,3,FALSE))*IF(B48="Special",VLOOKUP(J48,backend!$H$4:$M57,2,FALSE),VLOOKUP(J48,backend!$H$4:$M57,3,FALSE))*IF($B$8=TRUE,VLOOKUP(D48,BuffsDebuffs!$P$8:$X$27,MATCH(H48,BuffsDebuffs!$P$8:$X$8,0),FALSE),1)*IF($B$6=TRUE,backend!$BN$5,1)</f>
        <v>28837.5</v>
      </c>
      <c r="M48" s="213">
        <f>VLOOKUP(E48,backend!$BP$5:$BS57,4,FALSE)</f>
        <v>3.244908293</v>
      </c>
      <c r="N48" s="211">
        <v>4.0</v>
      </c>
      <c r="O48" s="211">
        <v>7.0</v>
      </c>
      <c r="P48" s="211">
        <f>MAX(IFNA(VLOOKUP(IF($B$10=TRUE,O48,N48),backend!$P$4:$Y57,MATCH(I48,backend!$P$3:$Y$3,0),FALSE),IF($B$10=TRUE,O48,N48)),IFNA(VLOOKUP(IF($B$10=TRUE,O48,N48),backend!$P$4:$Y57,MATCH(J48,backend!$P$3:$Y$3,0),FALSE),IF($B$10=TRUE,O48,N48)))</f>
        <v>4</v>
      </c>
      <c r="Q48" s="211">
        <v>90.0</v>
      </c>
      <c r="R48" s="211">
        <f>Q48/VLOOKUP(I48,backend!$H$4:$N57,7,FALSE)/VLOOKUP(J48,backend!$H$4:$N57,7,FALSE)</f>
        <v>90</v>
      </c>
      <c r="S48" s="211">
        <v>21.0</v>
      </c>
      <c r="T48" s="211">
        <v>26.0</v>
      </c>
      <c r="U48" s="211">
        <f>MAX(IFNA(VLOOKUP(IF($B$9=TRUE,T48,S48),backend!$AA$4:$AF57,MATCH(I48,backend!$AA$3:$AF$3,0),FALSE),IF($B$9=TRUE,T48,S48)),IFNA(VLOOKUP(IF($B$9=TRUE,T48,S48),backend!$AA$4:$AF57,MATCH(J48,backend!$AA$3:$AF$3,0),FALSE),IF($B$9=TRUE,T48,S48)))</f>
        <v>21</v>
      </c>
      <c r="V48" s="214">
        <f>VLOOKUP(E48,backend!$BB$4:$BH57,7,FALSE)</f>
        <v>40.6</v>
      </c>
      <c r="W48" s="211">
        <f>MIN(100,V48+VLOOKUP(I48,backend!$H$4:$N57,5,FALSE)+VLOOKUP(J48,backend!$H$4:$N57,5,FALSE)+IF($B$11=TRUE,100,0)+IF($B$12,10,0))</f>
        <v>40.6</v>
      </c>
      <c r="X48" s="215">
        <f>(VLOOKUP(D48,backend!$AV$4:$AZ57,2,FALSE)*W48^2+VLOOKUP(D48,backend!$AV$4:$AZ57,3,FALSE)*W48+VLOOKUP(D48,backend!$AV$4:$AZ57,4,FALSE))*VLOOKUP(I48,backend!$H$4:$N57,6,FALSE)*VLOOKUP(J48,backend!$H$4:$N57,6,FALSE)*IF($B$12=TRUE,0.85,1)*IF($B$11=TRUE,0.9,1)*IF(D48="Shotgun",P48,1)*IF(F48="Rapid-Fire",0.8,1)+IF(OR(D48="Fusion Rifle",D48="Linear Fusion Rifle"),0.516,0)</f>
        <v>3.009521032</v>
      </c>
      <c r="Y48" s="215">
        <v>1.733</v>
      </c>
      <c r="Z48" s="215">
        <f>VLOOKUP(D48,backend!$AV$4:$AZ57,5,FALSE)*IF(D48="Shotgun",P48,1)+IF(OR(D48="Fusion Rifle",D48="Linear Fusion Rifle"),0.516,0)</f>
        <v>1.733</v>
      </c>
      <c r="AA48" s="216">
        <f t="shared" si="2"/>
        <v>3.009521032</v>
      </c>
      <c r="AB48" s="217">
        <f t="shared" si="3"/>
        <v>27.97177361</v>
      </c>
      <c r="AC48" s="218">
        <f t="shared" si="4"/>
        <v>50.65440196</v>
      </c>
      <c r="AD48" s="219">
        <f t="shared" si="5"/>
        <v>39.31308778</v>
      </c>
      <c r="AE48" s="220">
        <f t="shared" si="6"/>
        <v>2</v>
      </c>
      <c r="AF48" s="221">
        <f t="shared" si="7"/>
        <v>25.04760516</v>
      </c>
      <c r="AG48" s="211">
        <f t="shared" si="8"/>
        <v>115350</v>
      </c>
      <c r="AH48" s="222">
        <f t="shared" si="9"/>
        <v>57675</v>
      </c>
      <c r="AI48" s="418">
        <f t="shared" si="10"/>
        <v>605587.5</v>
      </c>
      <c r="AJ48" s="419">
        <f t="shared" si="11"/>
        <v>576750</v>
      </c>
      <c r="AK48" s="420">
        <f t="shared" si="12"/>
        <v>24177.46112</v>
      </c>
      <c r="AL48" s="421">
        <f t="shared" si="13"/>
        <v>26170.60524</v>
      </c>
      <c r="AM48" s="422">
        <f t="shared" si="14"/>
        <v>23026.15345</v>
      </c>
      <c r="AN48" s="201">
        <f t="shared" si="15"/>
        <v>3</v>
      </c>
      <c r="AO48" s="202">
        <f t="shared" si="16"/>
        <v>10.9714369</v>
      </c>
      <c r="AP48" s="202">
        <f t="shared" si="17"/>
        <v>2.971436903</v>
      </c>
      <c r="AQ48" s="201">
        <f t="shared" si="18"/>
        <v>4</v>
      </c>
      <c r="AR48" s="201">
        <f t="shared" si="19"/>
        <v>461400</v>
      </c>
      <c r="AS48" s="202">
        <f t="shared" si="20"/>
        <v>0</v>
      </c>
      <c r="AT48" s="201">
        <f t="shared" si="21"/>
        <v>0</v>
      </c>
      <c r="AU48" s="203">
        <f t="shared" si="22"/>
        <v>0</v>
      </c>
      <c r="AV48" s="423">
        <f t="shared" si="23"/>
        <v>461400</v>
      </c>
    </row>
    <row r="49">
      <c r="A49" s="102"/>
      <c r="B49" s="205" t="s">
        <v>344</v>
      </c>
      <c r="C49" s="178" t="b">
        <v>0</v>
      </c>
      <c r="D49" s="230" t="s">
        <v>407</v>
      </c>
      <c r="E49" s="231" t="s">
        <v>409</v>
      </c>
      <c r="F49" s="232" t="s">
        <v>351</v>
      </c>
      <c r="G49" s="210" t="str">
        <f t="shared" si="25"/>
        <v>Sniper Rifle - Aggressive</v>
      </c>
      <c r="H49" s="255" t="s">
        <v>348</v>
      </c>
      <c r="I49" s="210" t="s">
        <v>349</v>
      </c>
      <c r="J49" s="210" t="s">
        <v>349</v>
      </c>
      <c r="K49" s="184">
        <f>VLOOKUP(E49,backend!$BP$5:$BQ57,2,FALSE)</f>
        <v>10082</v>
      </c>
      <c r="L49" s="185">
        <f>K49*M49*IF(B49="Special",VLOOKUP(I49,backend!$H$4:$M57,2,FALSE),VLOOKUP(I49,backend!$H$4:$M57,3,FALSE))*IF(B49="Special",VLOOKUP(J49,backend!$H$4:$M57,2,FALSE),VLOOKUP(J49,backend!$H$4:$M57,3,FALSE))*IF($B$8=TRUE,VLOOKUP(D49,BuffsDebuffs!$P$8:$X$27,MATCH(H49,BuffsDebuffs!$P$8:$X$8,0),FALSE),1)*IF($B$6=TRUE,backend!$BN$5,1)</f>
        <v>35286.5</v>
      </c>
      <c r="M49" s="186">
        <f>VLOOKUP(E49,backend!$BP$5:$BS57,4,FALSE)</f>
        <v>3.499950407</v>
      </c>
      <c r="N49" s="184">
        <v>3.0</v>
      </c>
      <c r="O49" s="184">
        <v>5.0</v>
      </c>
      <c r="P49" s="184">
        <f>MAX(IFNA(VLOOKUP(IF($B$10=TRUE,O49,N49),backend!$P$4:$Y57,MATCH(I49,backend!$P$3:$Y$3,0),FALSE),IF($B$10=TRUE,O49,N49)),IFNA(VLOOKUP(IF($B$10=TRUE,O49,N49),backend!$P$4:$Y57,MATCH(J49,backend!$P$3:$Y$3,0),FALSE),IF($B$10=TRUE,O49,N49)))</f>
        <v>3</v>
      </c>
      <c r="Q49" s="184">
        <v>72.0</v>
      </c>
      <c r="R49" s="184">
        <f>Q49/VLOOKUP(I49,backend!$H$4:$N57,7,FALSE)/VLOOKUP(J49,backend!$H$4:$N57,7,FALSE)</f>
        <v>72</v>
      </c>
      <c r="S49" s="184">
        <v>21.0</v>
      </c>
      <c r="T49" s="184">
        <v>26.0</v>
      </c>
      <c r="U49" s="184">
        <f>MAX(IFNA(VLOOKUP(IF($B$9=TRUE,T49,S49),backend!$AA$4:$AF57,MATCH(I49,backend!$AA$3:$AF$3,0),FALSE),IF($B$9=TRUE,T49,S49)),IFNA(VLOOKUP(IF($B$9=TRUE,T49,S49),backend!$AA$4:$AF57,MATCH(J49,backend!$AA$3:$AF$3,0),FALSE),IF($B$9=TRUE,T49,S49)))</f>
        <v>21</v>
      </c>
      <c r="V49" s="187">
        <f>VLOOKUP(E49,backend!$BB$4:$BH57,7,FALSE)</f>
        <v>30.6</v>
      </c>
      <c r="W49" s="184">
        <f>MIN(100,V49+VLOOKUP(I49,backend!$H$4:$N57,5,FALSE)+VLOOKUP(J49,backend!$H$4:$N57,5,FALSE)+IF($B$11=TRUE,100,0)+IF($B$12,10,0))</f>
        <v>30.6</v>
      </c>
      <c r="X49" s="188">
        <f>(VLOOKUP(D49,backend!$AV$4:$AZ57,2,FALSE)*W49^2+VLOOKUP(D49,backend!$AV$4:$AZ57,3,FALSE)*W49+VLOOKUP(D49,backend!$AV$4:$AZ57,4,FALSE))*VLOOKUP(I49,backend!$H$4:$N57,6,FALSE)*VLOOKUP(J49,backend!$H$4:$N57,6,FALSE)*IF($B$12=TRUE,0.85,1)*IF($B$11=TRUE,0.9,1)*IF(D49="Shotgun",P49,1)*IF(F49="Rapid-Fire",0.8,1)+IF(OR(D49="Fusion Rifle",D49="Linear Fusion Rifle"),0.516,0)</f>
        <v>3.193038775</v>
      </c>
      <c r="Y49" s="188">
        <v>1.733</v>
      </c>
      <c r="Z49" s="188">
        <f>VLOOKUP(D49,backend!$AV$4:$AZ57,5,FALSE)*IF(D49="Shotgun",P49,1)+IF(OR(D49="Fusion Rifle",D49="Linear Fusion Rifle"),0.516,0)</f>
        <v>1.733</v>
      </c>
      <c r="AA49" s="189">
        <f t="shared" si="2"/>
        <v>3.193038775</v>
      </c>
      <c r="AB49" s="233">
        <f t="shared" si="3"/>
        <v>35.93852757</v>
      </c>
      <c r="AC49" s="234">
        <f t="shared" si="4"/>
        <v>46.52963411</v>
      </c>
      <c r="AD49" s="235">
        <f t="shared" si="5"/>
        <v>41.23408084</v>
      </c>
      <c r="AE49" s="236">
        <f t="shared" si="6"/>
        <v>1.666666667</v>
      </c>
      <c r="AF49" s="237">
        <f t="shared" si="7"/>
        <v>30.82489932</v>
      </c>
      <c r="AG49" s="184">
        <f t="shared" si="8"/>
        <v>105859.5</v>
      </c>
      <c r="AH49" s="195">
        <f t="shared" si="9"/>
        <v>63515.7</v>
      </c>
      <c r="AI49" s="256">
        <f t="shared" si="10"/>
        <v>741016.5</v>
      </c>
      <c r="AJ49" s="239">
        <f t="shared" si="11"/>
        <v>741016.5</v>
      </c>
      <c r="AK49" s="420">
        <f t="shared" si="12"/>
        <v>24039.54324</v>
      </c>
      <c r="AL49" s="424">
        <f t="shared" si="13"/>
        <v>24039.54324</v>
      </c>
      <c r="AM49" s="425">
        <f t="shared" si="14"/>
        <v>21783.11037</v>
      </c>
      <c r="AN49" s="201">
        <f t="shared" si="15"/>
        <v>4</v>
      </c>
      <c r="AO49" s="202">
        <f t="shared" si="16"/>
        <v>7.227844901</v>
      </c>
      <c r="AP49" s="202">
        <f t="shared" si="17"/>
        <v>0</v>
      </c>
      <c r="AQ49" s="201">
        <f t="shared" si="18"/>
        <v>4</v>
      </c>
      <c r="AR49" s="201">
        <f t="shared" si="19"/>
        <v>423438</v>
      </c>
      <c r="AS49" s="202">
        <f t="shared" si="20"/>
        <v>0.5611782344</v>
      </c>
      <c r="AT49" s="201">
        <f t="shared" si="21"/>
        <v>1</v>
      </c>
      <c r="AU49" s="203">
        <f t="shared" si="22"/>
        <v>35286.5</v>
      </c>
      <c r="AV49" s="426">
        <f t="shared" si="23"/>
        <v>458724.5</v>
      </c>
    </row>
    <row r="50">
      <c r="A50" s="102"/>
      <c r="B50" s="378" t="s">
        <v>344</v>
      </c>
      <c r="C50" s="417" t="b">
        <v>0</v>
      </c>
      <c r="D50" s="207" t="s">
        <v>407</v>
      </c>
      <c r="E50" s="262" t="s">
        <v>410</v>
      </c>
      <c r="F50" s="209" t="s">
        <v>357</v>
      </c>
      <c r="G50" s="210" t="str">
        <f t="shared" si="25"/>
        <v>Sniper Rifle - Rapid-Fire</v>
      </c>
      <c r="H50" s="255" t="s">
        <v>348</v>
      </c>
      <c r="I50" s="210" t="s">
        <v>349</v>
      </c>
      <c r="J50" s="210" t="s">
        <v>349</v>
      </c>
      <c r="K50" s="211">
        <f>VLOOKUP(E50,backend!$BP$5:$BQ57,2,FALSE)</f>
        <v>6348</v>
      </c>
      <c r="L50" s="212">
        <f>K50*M50*IF(B50="Special",VLOOKUP(I50,backend!$H$4:$M57,2,FALSE),VLOOKUP(I50,backend!$H$4:$M57,3,FALSE))*IF(B50="Special",VLOOKUP(J50,backend!$H$4:$M57,2,FALSE),VLOOKUP(J50,backend!$H$4:$M57,3,FALSE))*IF($B$8=TRUE,VLOOKUP(D50,BuffsDebuffs!$P$8:$X$27,MATCH(H50,BuffsDebuffs!$P$8:$X$8,0),FALSE),1)*IF($B$6=TRUE,backend!$BN$5,1)</f>
        <v>21843.5</v>
      </c>
      <c r="M50" s="213">
        <f>VLOOKUP(E50,backend!$BP$5:$BS57,4,FALSE)</f>
        <v>3.441005041</v>
      </c>
      <c r="N50" s="211">
        <v>6.0</v>
      </c>
      <c r="O50" s="211">
        <v>7.0</v>
      </c>
      <c r="P50" s="211">
        <f>MAX(IFNA(VLOOKUP(IF($B$10=TRUE,O50,N50),backend!$P$4:$Y57,MATCH(I50,backend!$P$3:$Y$3,0),FALSE),IF($B$10=TRUE,O50,N50)),IFNA(VLOOKUP(IF($B$10=TRUE,O50,N50),backend!$P$4:$Y57,MATCH(J50,backend!$P$3:$Y$3,0),FALSE),IF($B$10=TRUE,O50,N50)))</f>
        <v>6</v>
      </c>
      <c r="Q50" s="211">
        <v>140.0</v>
      </c>
      <c r="R50" s="211">
        <f>Q50/VLOOKUP(I50,backend!$H$4:$N57,7,FALSE)/VLOOKUP(J50,backend!$H$4:$N57,7,FALSE)</f>
        <v>140</v>
      </c>
      <c r="S50" s="211">
        <v>28.0</v>
      </c>
      <c r="T50" s="211">
        <v>34.0</v>
      </c>
      <c r="U50" s="211">
        <f>MAX(IFNA(VLOOKUP(IF($B$9=TRUE,T50,S50),backend!$AA$4:$AF57,MATCH(I50,backend!$AA$3:$AF$3,0),FALSE),IF($B$9=TRUE,T50,S50)),IFNA(VLOOKUP(IF($B$9=TRUE,T50,S50),backend!$AA$4:$AF57,MATCH(J50,backend!$AA$3:$AF$3,0),FALSE),IF($B$9=TRUE,T50,S50)))</f>
        <v>28</v>
      </c>
      <c r="V50" s="214">
        <f>VLOOKUP(E50,backend!$BB$4:$BH57,7,FALSE)</f>
        <v>56.6</v>
      </c>
      <c r="W50" s="211">
        <f>MIN(100,V50+VLOOKUP(I50,backend!$H$4:$N57,5,FALSE)+VLOOKUP(J50,backend!$H$4:$N57,5,FALSE)+IF($B$11=TRUE,100,0)+IF($B$12,10,0))</f>
        <v>56.6</v>
      </c>
      <c r="X50" s="215">
        <f>(VLOOKUP(D50,backend!$AV$4:$AZ57,2,FALSE)*W50^2+VLOOKUP(D50,backend!$AV$4:$AZ57,3,FALSE)*W50+VLOOKUP(D50,backend!$AV$4:$AZ57,4,FALSE))*VLOOKUP(I50,backend!$H$4:$N57,6,FALSE)*VLOOKUP(J50,backend!$H$4:$N57,6,FALSE)*IF($B$12=TRUE,0.85,1)*IF($B$11=TRUE,0.9,1)*IF(D50="Shotgun",P50,1)*IF(F50="Rapid-Fire",0.8,1)+IF(OR(D50="Fusion Rifle",D50="Linear Fusion Rifle"),0.516,0)</f>
        <v>2.195161409</v>
      </c>
      <c r="Y50" s="215">
        <v>1.733</v>
      </c>
      <c r="Z50" s="215">
        <f>VLOOKUP(D50,backend!$AV$4:$AZ57,5,FALSE)*IF(D50="Shotgun",P50,1)+IF(OR(D50="Fusion Rifle",D50="Linear Fusion Rifle"),0.516,0)</f>
        <v>1.733</v>
      </c>
      <c r="AA50" s="216">
        <f t="shared" si="2"/>
        <v>2.195161409</v>
      </c>
      <c r="AB50" s="217">
        <f t="shared" si="3"/>
        <v>25.42528736</v>
      </c>
      <c r="AC50" s="218">
        <f t="shared" si="4"/>
        <v>66.94623264</v>
      </c>
      <c r="AD50" s="219">
        <f t="shared" si="5"/>
        <v>46.18576</v>
      </c>
      <c r="AE50" s="220">
        <f t="shared" si="6"/>
        <v>2.142857143</v>
      </c>
      <c r="AF50" s="427">
        <f t="shared" si="7"/>
        <v>18.63778849</v>
      </c>
      <c r="AG50" s="211">
        <f t="shared" si="8"/>
        <v>131061</v>
      </c>
      <c r="AH50" s="222">
        <f t="shared" si="9"/>
        <v>61161.8</v>
      </c>
      <c r="AI50" s="418">
        <f t="shared" si="10"/>
        <v>611618</v>
      </c>
      <c r="AJ50" s="428">
        <f t="shared" si="11"/>
        <v>524244</v>
      </c>
      <c r="AK50" s="429">
        <f t="shared" si="12"/>
        <v>32816.01786</v>
      </c>
      <c r="AL50" s="430">
        <f t="shared" si="13"/>
        <v>34587.78229</v>
      </c>
      <c r="AM50" s="431">
        <f t="shared" si="14"/>
        <v>30212.18061</v>
      </c>
      <c r="AN50" s="201">
        <f t="shared" si="15"/>
        <v>4</v>
      </c>
      <c r="AO50" s="202">
        <f t="shared" si="16"/>
        <v>11.21935436</v>
      </c>
      <c r="AP50" s="202">
        <f t="shared" si="17"/>
        <v>0.5050686496</v>
      </c>
      <c r="AQ50" s="201">
        <f t="shared" si="18"/>
        <v>5</v>
      </c>
      <c r="AR50" s="201">
        <f t="shared" si="19"/>
        <v>655305</v>
      </c>
      <c r="AS50" s="202">
        <f t="shared" si="20"/>
        <v>0</v>
      </c>
      <c r="AT50" s="201">
        <f t="shared" si="21"/>
        <v>0</v>
      </c>
      <c r="AU50" s="203">
        <f t="shared" si="22"/>
        <v>0</v>
      </c>
      <c r="AV50" s="432">
        <f t="shared" si="23"/>
        <v>611618</v>
      </c>
    </row>
    <row r="51">
      <c r="A51" s="102"/>
      <c r="B51" s="326" t="s">
        <v>374</v>
      </c>
      <c r="C51" s="178" t="b">
        <v>0</v>
      </c>
      <c r="D51" s="230" t="s">
        <v>411</v>
      </c>
      <c r="E51" s="254" t="s">
        <v>412</v>
      </c>
      <c r="F51" s="232" t="s">
        <v>347</v>
      </c>
      <c r="G51" s="210" t="str">
        <f t="shared" si="25"/>
        <v>Sword - Adaptive</v>
      </c>
      <c r="H51" s="255" t="s">
        <v>348</v>
      </c>
      <c r="I51" s="210" t="s">
        <v>349</v>
      </c>
      <c r="J51" s="210" t="s">
        <v>349</v>
      </c>
      <c r="K51" s="184">
        <f>VLOOKUP(E51,backend!$BP$5:$BQ57,2,FALSE)</f>
        <v>20399</v>
      </c>
      <c r="L51" s="185">
        <f>K51*M51*IF(B51="Special",VLOOKUP(I51,backend!$H$4:$M57,2,FALSE),VLOOKUP(I51,backend!$H$4:$M57,3,FALSE))*IF(B51="Special",VLOOKUP(J51,backend!$H$4:$M57,2,FALSE),VLOOKUP(J51,backend!$H$4:$M57,3,FALSE))*IF($B$8=TRUE,VLOOKUP(D51,BuffsDebuffs!$P$8:$X$27,MATCH(H51,BuffsDebuffs!$P$8:$X$8,0),FALSE),1)*IF($B$6=TRUE,backend!$BN$5,1)</f>
        <v>20399</v>
      </c>
      <c r="M51" s="186">
        <f>VLOOKUP(E51,backend!$BP$5:$BS57,4,FALSE)</f>
        <v>1</v>
      </c>
      <c r="N51" s="184">
        <f t="shared" ref="N51:N56" si="26">U51</f>
        <v>67</v>
      </c>
      <c r="O51" s="184">
        <f t="shared" ref="O51:O56" si="27">N51</f>
        <v>67</v>
      </c>
      <c r="P51" s="184">
        <f>MAX(IFNA(VLOOKUP(IF($B$10=TRUE,O51,N51),backend!$P$4:$Y57,MATCH(I51,backend!$P$3:$Y$3,0),FALSE),IF($B$10=TRUE,O51,N51)),IFNA(VLOOKUP(IF($B$10=TRUE,O51,N51),backend!$P$4:$Y57,MATCH(J51,backend!$P$3:$Y$3,0),FALSE),IF($B$10=TRUE,O51,N51)))</f>
        <v>67</v>
      </c>
      <c r="Q51" s="184">
        <v>124.0</v>
      </c>
      <c r="R51" s="184">
        <f>Q51/VLOOKUP(I51,backend!$H$4:$N57,7,FALSE)/VLOOKUP(J51,backend!$H$4:$N57,7,FALSE)</f>
        <v>124</v>
      </c>
      <c r="S51" s="184">
        <v>67.0</v>
      </c>
      <c r="T51" s="184">
        <v>74.0</v>
      </c>
      <c r="U51" s="184">
        <f>MAX(IFNA(VLOOKUP(IF($B$9=TRUE,T51,S51),backend!$AA$4:$AF57,MATCH(I51,backend!$AA$3:$AF$3,0),FALSE),IF($B$9=TRUE,T51,S51)),IFNA(VLOOKUP(IF($B$9=TRUE,T51,S51),backend!$AA$4:$AF57,MATCH(J51,backend!$AA$3:$AF$3,0),FALSE),IF($B$9=TRUE,T51,S51)))</f>
        <v>67</v>
      </c>
      <c r="V51" s="187">
        <f>VLOOKUP(E51,backend!$BB$4:$BH57,7,FALSE)</f>
        <v>0</v>
      </c>
      <c r="W51" s="184">
        <f>MIN(100,V51+VLOOKUP(I51,backend!$H$4:$N57,5,FALSE)+VLOOKUP(J51,backend!$H$4:$N57,5,FALSE)+IF($B$11=TRUE,100,0)+IF($B$12,10,0))</f>
        <v>0</v>
      </c>
      <c r="X51" s="188">
        <f>(VLOOKUP(D51,backend!$AV$4:$AZ57,2,FALSE)*W51^2+VLOOKUP(D51,backend!$AV$4:$AZ57,3,FALSE)*W51+VLOOKUP(D51,backend!$AV$4:$AZ57,4,FALSE))*VLOOKUP(I51,backend!$H$4:$N57,6,FALSE)*VLOOKUP(J51,backend!$H$4:$N57,6,FALSE)*IF($B$12=TRUE,0.85,1)*IF($B$11=TRUE,0.9,1)*IF(D51="Shotgun",P51,1)*IF(F51="Rapid-Fire",0.8,1)+IF(OR(D51="Fusion Rifle",D51="Linear Fusion Rifle"),0.516,0)</f>
        <v>0</v>
      </c>
      <c r="Y51" s="188">
        <v>0.0</v>
      </c>
      <c r="Z51" s="188">
        <f>VLOOKUP(D51,backend!$AV$4:$AZ57,5,FALSE)*IF(D51="Shotgun",P51,1)+IF(OR(D51="Fusion Rifle",D51="Linear Fusion Rifle"),0.516,0)</f>
        <v>0</v>
      </c>
      <c r="AA51" s="189">
        <f t="shared" si="2"/>
        <v>0</v>
      </c>
      <c r="AB51" s="233">
        <f t="shared" si="3"/>
        <v>66.28512537</v>
      </c>
      <c r="AC51" s="234">
        <f t="shared" si="4"/>
        <v>82.83494833</v>
      </c>
      <c r="AD51" s="235">
        <f t="shared" si="5"/>
        <v>74.56003685</v>
      </c>
      <c r="AE51" s="236">
        <f t="shared" si="6"/>
        <v>31.93548387</v>
      </c>
      <c r="AF51" s="237">
        <f t="shared" si="7"/>
        <v>31.93548387</v>
      </c>
      <c r="AG51" s="184">
        <f t="shared" si="8"/>
        <v>1366733</v>
      </c>
      <c r="AH51" s="195">
        <f t="shared" si="9"/>
        <v>42796.6899</v>
      </c>
      <c r="AI51" s="433">
        <f t="shared" si="10"/>
        <v>1366733</v>
      </c>
      <c r="AJ51" s="434">
        <f t="shared" si="11"/>
        <v>1366733</v>
      </c>
      <c r="AK51" s="435">
        <f t="shared" si="12"/>
        <v>42796.6899</v>
      </c>
      <c r="AL51" s="436">
        <f t="shared" si="13"/>
        <v>42796.6899</v>
      </c>
      <c r="AM51" s="437">
        <f t="shared" si="14"/>
        <v>42796.6899</v>
      </c>
      <c r="AN51" s="201">
        <f t="shared" si="15"/>
        <v>0</v>
      </c>
      <c r="AO51" s="202">
        <f t="shared" si="16"/>
        <v>20</v>
      </c>
      <c r="AP51" s="202">
        <f t="shared" si="17"/>
        <v>0</v>
      </c>
      <c r="AQ51" s="201">
        <f t="shared" si="18"/>
        <v>0</v>
      </c>
      <c r="AR51" s="201">
        <f t="shared" si="19"/>
        <v>0</v>
      </c>
      <c r="AS51" s="202">
        <f t="shared" si="20"/>
        <v>20</v>
      </c>
      <c r="AT51" s="201">
        <f t="shared" si="21"/>
        <v>42</v>
      </c>
      <c r="AU51" s="203">
        <f t="shared" si="22"/>
        <v>856758</v>
      </c>
      <c r="AV51" s="438">
        <f t="shared" si="23"/>
        <v>856758</v>
      </c>
    </row>
    <row r="52">
      <c r="A52" s="102"/>
      <c r="B52" s="326" t="s">
        <v>374</v>
      </c>
      <c r="C52" s="417" t="b">
        <v>0</v>
      </c>
      <c r="D52" s="207" t="s">
        <v>411</v>
      </c>
      <c r="E52" s="385" t="s">
        <v>413</v>
      </c>
      <c r="F52" s="386" t="s">
        <v>351</v>
      </c>
      <c r="G52" s="272" t="s">
        <v>414</v>
      </c>
      <c r="H52" s="273" t="s">
        <v>348</v>
      </c>
      <c r="I52" s="272" t="s">
        <v>349</v>
      </c>
      <c r="J52" s="272" t="s">
        <v>349</v>
      </c>
      <c r="K52" s="211">
        <f>VLOOKUP(E52,backend!$BP$5:$BQ57,2,FALSE)</f>
        <v>28390</v>
      </c>
      <c r="L52" s="212">
        <f>K52*M52*IF(B52="Special",VLOOKUP(I52,backend!$H$4:$M57,2,FALSE),VLOOKUP(I52,backend!$H$4:$M57,3,FALSE))*IF(B52="Special",VLOOKUP(J52,backend!$H$4:$M57,2,FALSE),VLOOKUP(J52,backend!$H$4:$M57,3,FALSE))*IF($B$8=TRUE,VLOOKUP(D52,BuffsDebuffs!$P$8:$X$27,MATCH(H52,BuffsDebuffs!$P$8:$X$8,0),FALSE),1)*IF($B$6=TRUE,backend!$BN$5,1)</f>
        <v>28390</v>
      </c>
      <c r="M52" s="213">
        <f>VLOOKUP(E52,backend!$BP$5:$BS57,4,FALSE)</f>
        <v>1</v>
      </c>
      <c r="N52" s="211">
        <f t="shared" si="26"/>
        <v>56</v>
      </c>
      <c r="O52" s="211">
        <f t="shared" si="27"/>
        <v>56</v>
      </c>
      <c r="P52" s="211">
        <f>MAX(IFNA(VLOOKUP(IF($B$10=TRUE,O52,N52),backend!$P$4:$Y57,MATCH(I52,backend!$P$3:$Y$3,0),FALSE),IF($B$10=TRUE,O52,N52)),IFNA(VLOOKUP(IF($B$10=TRUE,O52,N52),backend!$P$4:$Y57,MATCH(J52,backend!$P$3:$Y$3,0),FALSE),IF($B$10=TRUE,O52,N52)))</f>
        <v>56</v>
      </c>
      <c r="Q52" s="387">
        <v>90.0</v>
      </c>
      <c r="R52" s="211">
        <f>Q52/VLOOKUP(I52,backend!$H$4:$N57,7,FALSE)/VLOOKUP(J52,backend!$H$4:$N57,7,FALSE)</f>
        <v>90</v>
      </c>
      <c r="S52" s="387">
        <v>56.0</v>
      </c>
      <c r="T52" s="387">
        <v>63.0</v>
      </c>
      <c r="U52" s="211">
        <f>MAX(IFNA(VLOOKUP(IF($B$9=TRUE,T52,S52),backend!$AA$4:$AF57,MATCH(I52,backend!$AA$3:$AF$3,0),FALSE),IF($B$9=TRUE,T52,S52)),IFNA(VLOOKUP(IF($B$9=TRUE,T52,S52),backend!$AA$4:$AF57,MATCH(J52,backend!$AA$3:$AF$3,0),FALSE),IF($B$9=TRUE,T52,S52)))</f>
        <v>56</v>
      </c>
      <c r="V52" s="214">
        <f>VLOOKUP(E52,backend!$BB$4:$BH57,7,FALSE)</f>
        <v>0</v>
      </c>
      <c r="W52" s="211">
        <f>MIN(100,V52+VLOOKUP(I52,backend!$H$4:$N57,5,FALSE)+VLOOKUP(J52,backend!$H$4:$N57,5,FALSE)+IF($B$11=TRUE,100,0)+IF($B$12,10,0))</f>
        <v>0</v>
      </c>
      <c r="X52" s="215">
        <f>(VLOOKUP(D52,backend!$AV$4:$AZ57,2,FALSE)*W52^2+VLOOKUP(D52,backend!$AV$4:$AZ57,3,FALSE)*W52+VLOOKUP(D52,backend!$AV$4:$AZ57,4,FALSE))*VLOOKUP(I52,backend!$H$4:$N57,6,FALSE)*VLOOKUP(J52,backend!$H$4:$N57,6,FALSE)*IF($B$12=TRUE,0.85,1)*IF($B$11=TRUE,0.9,1)*IF(D52="Shotgun",P52,1)*IF(F52="Rapid-Fire",0.8,1)+IF(OR(D52="Fusion Rifle",D52="Linear Fusion Rifle"),0.516,0)</f>
        <v>0</v>
      </c>
      <c r="Y52" s="215">
        <v>0.0</v>
      </c>
      <c r="Z52" s="215">
        <f>VLOOKUP(D52,backend!$AV$4:$AZ57,5,FALSE)*IF(D52="Shotgun",P52,1)+IF(OR(D52="Fusion Rifle",D52="Linear Fusion Rifle"),0.516,0)</f>
        <v>0</v>
      </c>
      <c r="AA52" s="216">
        <f t="shared" si="2"/>
        <v>0</v>
      </c>
      <c r="AB52" s="217">
        <f t="shared" si="3"/>
        <v>77.10558223</v>
      </c>
      <c r="AC52" s="218">
        <f t="shared" si="4"/>
        <v>83.92385309</v>
      </c>
      <c r="AD52" s="219">
        <f t="shared" si="5"/>
        <v>80.51471766</v>
      </c>
      <c r="AE52" s="220">
        <f t="shared" si="6"/>
        <v>36.66666667</v>
      </c>
      <c r="AF52" s="221">
        <f t="shared" si="7"/>
        <v>36.66666667</v>
      </c>
      <c r="AG52" s="211">
        <f t="shared" si="8"/>
        <v>1589840</v>
      </c>
      <c r="AH52" s="222">
        <f t="shared" si="9"/>
        <v>43359.27273</v>
      </c>
      <c r="AI52" s="433">
        <f t="shared" si="10"/>
        <v>1589840</v>
      </c>
      <c r="AJ52" s="434">
        <f t="shared" si="11"/>
        <v>1589840</v>
      </c>
      <c r="AK52" s="435">
        <f t="shared" si="12"/>
        <v>43359.27273</v>
      </c>
      <c r="AL52" s="436">
        <f t="shared" si="13"/>
        <v>43359.27273</v>
      </c>
      <c r="AM52" s="437">
        <f t="shared" si="14"/>
        <v>43359.27273</v>
      </c>
      <c r="AN52" s="201">
        <f t="shared" si="15"/>
        <v>0</v>
      </c>
      <c r="AO52" s="202">
        <f t="shared" si="16"/>
        <v>20</v>
      </c>
      <c r="AP52" s="202">
        <f t="shared" si="17"/>
        <v>0</v>
      </c>
      <c r="AQ52" s="201">
        <f t="shared" si="18"/>
        <v>0</v>
      </c>
      <c r="AR52" s="201">
        <f t="shared" si="19"/>
        <v>0</v>
      </c>
      <c r="AS52" s="202">
        <f t="shared" si="20"/>
        <v>20</v>
      </c>
      <c r="AT52" s="201">
        <f t="shared" si="21"/>
        <v>31</v>
      </c>
      <c r="AU52" s="203">
        <f t="shared" si="22"/>
        <v>880090</v>
      </c>
      <c r="AV52" s="438">
        <f t="shared" si="23"/>
        <v>880090</v>
      </c>
    </row>
    <row r="53">
      <c r="A53" s="102"/>
      <c r="B53" s="326" t="s">
        <v>374</v>
      </c>
      <c r="C53" s="229" t="b">
        <v>0</v>
      </c>
      <c r="D53" s="230" t="s">
        <v>411</v>
      </c>
      <c r="E53" s="254" t="s">
        <v>415</v>
      </c>
      <c r="F53" s="232" t="s">
        <v>416</v>
      </c>
      <c r="G53" s="210" t="str">
        <f t="shared" ref="G53:G57" si="28">D53&amp;" - "&amp; F53</f>
        <v>Sword - Caster</v>
      </c>
      <c r="H53" s="255" t="s">
        <v>348</v>
      </c>
      <c r="I53" s="210" t="s">
        <v>349</v>
      </c>
      <c r="J53" s="210" t="s">
        <v>349</v>
      </c>
      <c r="K53" s="184">
        <f>VLOOKUP(E53,backend!$BP$5:$BQ57,2,FALSE)</f>
        <v>20399</v>
      </c>
      <c r="L53" s="185">
        <f>K53*M53*IF(B53="Special",VLOOKUP(I53,backend!$H$4:$M57,2,FALSE),VLOOKUP(I53,backend!$H$4:$M57,3,FALSE))*IF(B53="Special",VLOOKUP(J53,backend!$H$4:$M57,2,FALSE),VLOOKUP(J53,backend!$H$4:$M57,3,FALSE))*IF($B$8=TRUE,VLOOKUP(D53,BuffsDebuffs!$P$8:$X$27,MATCH(H53,BuffsDebuffs!$P$8:$X$8,0),FALSE),1)*IF($B$6=TRUE,backend!$BN$5,1)</f>
        <v>20399</v>
      </c>
      <c r="M53" s="186">
        <f>VLOOKUP(E53,backend!$BP$5:$BS57,4,FALSE)</f>
        <v>1</v>
      </c>
      <c r="N53" s="184">
        <f t="shared" si="26"/>
        <v>65</v>
      </c>
      <c r="O53" s="184">
        <f t="shared" si="27"/>
        <v>65</v>
      </c>
      <c r="P53" s="184">
        <f>MAX(IFNA(VLOOKUP(IF($B$10=TRUE,O53,N53),backend!$P$4:$Y57,MATCH(I53,backend!$P$3:$Y$3,0),FALSE),IF($B$10=TRUE,O53,N53)),IFNA(VLOOKUP(IF($B$10=TRUE,O53,N53),backend!$P$4:$Y57,MATCH(J53,backend!$P$3:$Y$3,0),FALSE),IF($B$10=TRUE,O53,N53)))</f>
        <v>65</v>
      </c>
      <c r="Q53" s="184">
        <v>124.0</v>
      </c>
      <c r="R53" s="184">
        <f>Q53/VLOOKUP(I53,backend!$H$4:$N57,7,FALSE)/VLOOKUP(J53,backend!$H$4:$N57,7,FALSE)</f>
        <v>124</v>
      </c>
      <c r="S53" s="184">
        <v>65.0</v>
      </c>
      <c r="T53" s="184">
        <v>72.0</v>
      </c>
      <c r="U53" s="184">
        <f>MAX(IFNA(VLOOKUP(IF($B$9=TRUE,T53,S53),backend!$AA$4:$AF57,MATCH(I53,backend!$AA$3:$AF$3,0),FALSE),IF($B$9=TRUE,T53,S53)),IFNA(VLOOKUP(IF($B$9=TRUE,T53,S53),backend!$AA$4:$AF57,MATCH(J53,backend!$AA$3:$AF$3,0),FALSE),IF($B$9=TRUE,T53,S53)))</f>
        <v>65</v>
      </c>
      <c r="V53" s="187">
        <f>VLOOKUP(E53,backend!$BB$4:$BH57,7,FALSE)</f>
        <v>0</v>
      </c>
      <c r="W53" s="184">
        <f>MIN(100,V53+VLOOKUP(I53,backend!$H$4:$N57,5,FALSE)+VLOOKUP(J53,backend!$H$4:$N57,5,FALSE)+IF($B$11=TRUE,100,0)+IF($B$12,10,0))</f>
        <v>0</v>
      </c>
      <c r="X53" s="188">
        <f>(VLOOKUP(D53,backend!$AV$4:$AZ57,2,FALSE)*W53^2+VLOOKUP(D53,backend!$AV$4:$AZ57,3,FALSE)*W53+VLOOKUP(D53,backend!$AV$4:$AZ57,4,FALSE))*VLOOKUP(I53,backend!$H$4:$N57,6,FALSE)*VLOOKUP(J53,backend!$H$4:$N57,6,FALSE)*IF($B$12=TRUE,0.85,1)*IF($B$11=TRUE,0.9,1)*IF(D53="Shotgun",P53,1)*IF(F53="Rapid-Fire",0.8,1)+IF(OR(D53="Fusion Rifle",D53="Linear Fusion Rifle"),0.516,0)</f>
        <v>0</v>
      </c>
      <c r="Y53" s="188">
        <v>0.0</v>
      </c>
      <c r="Z53" s="188">
        <f>VLOOKUP(D53,backend!$AV$4:$AZ57,5,FALSE)*IF(D53="Shotgun",P53,1)+IF(OR(D53="Fusion Rifle",D53="Linear Fusion Rifle"),0.516,0)</f>
        <v>0</v>
      </c>
      <c r="AA53" s="189">
        <f t="shared" si="2"/>
        <v>0</v>
      </c>
      <c r="AB53" s="233">
        <f t="shared" si="3"/>
        <v>64.30646491</v>
      </c>
      <c r="AC53" s="234">
        <f t="shared" si="4"/>
        <v>82.87358403</v>
      </c>
      <c r="AD53" s="235">
        <f t="shared" si="5"/>
        <v>73.59002447</v>
      </c>
      <c r="AE53" s="236">
        <f t="shared" si="6"/>
        <v>30.96774194</v>
      </c>
      <c r="AF53" s="237">
        <f t="shared" si="7"/>
        <v>30.96774194</v>
      </c>
      <c r="AG53" s="184">
        <f t="shared" si="8"/>
        <v>1325935</v>
      </c>
      <c r="AH53" s="195">
        <f t="shared" si="9"/>
        <v>42816.65104</v>
      </c>
      <c r="AI53" s="439">
        <f t="shared" si="10"/>
        <v>1325935</v>
      </c>
      <c r="AJ53" s="440">
        <f t="shared" si="11"/>
        <v>1325935</v>
      </c>
      <c r="AK53" s="435">
        <f t="shared" si="12"/>
        <v>42816.65104</v>
      </c>
      <c r="AL53" s="436">
        <f t="shared" si="13"/>
        <v>42816.65104</v>
      </c>
      <c r="AM53" s="437">
        <f t="shared" si="14"/>
        <v>42816.65104</v>
      </c>
      <c r="AN53" s="201">
        <f t="shared" si="15"/>
        <v>0</v>
      </c>
      <c r="AO53" s="202">
        <f t="shared" si="16"/>
        <v>20</v>
      </c>
      <c r="AP53" s="202">
        <f t="shared" si="17"/>
        <v>0</v>
      </c>
      <c r="AQ53" s="201">
        <f t="shared" si="18"/>
        <v>0</v>
      </c>
      <c r="AR53" s="201">
        <f t="shared" si="19"/>
        <v>0</v>
      </c>
      <c r="AS53" s="202">
        <f t="shared" si="20"/>
        <v>20</v>
      </c>
      <c r="AT53" s="201">
        <f t="shared" si="21"/>
        <v>42</v>
      </c>
      <c r="AU53" s="203">
        <f t="shared" si="22"/>
        <v>856758</v>
      </c>
      <c r="AV53" s="438">
        <f t="shared" si="23"/>
        <v>856758</v>
      </c>
    </row>
    <row r="54">
      <c r="A54" s="102"/>
      <c r="B54" s="326" t="s">
        <v>374</v>
      </c>
      <c r="C54" s="441" t="b">
        <v>0</v>
      </c>
      <c r="D54" s="442" t="s">
        <v>411</v>
      </c>
      <c r="E54" s="443" t="s">
        <v>417</v>
      </c>
      <c r="F54" s="209" t="s">
        <v>369</v>
      </c>
      <c r="G54" s="210" t="str">
        <f t="shared" si="28"/>
        <v>Sword - Lightweight</v>
      </c>
      <c r="H54" s="255" t="s">
        <v>348</v>
      </c>
      <c r="I54" s="210" t="s">
        <v>349</v>
      </c>
      <c r="J54" s="210" t="s">
        <v>349</v>
      </c>
      <c r="K54" s="211">
        <f>VLOOKUP(E54,backend!$BP$5:$BQ57,2,FALSE)</f>
        <v>20399</v>
      </c>
      <c r="L54" s="212">
        <f>K54*M54*IF(B54="Special",VLOOKUP(I54,backend!$H$4:$M57,2,FALSE),VLOOKUP(I54,backend!$H$4:$M57,3,FALSE))*IF(B54="Special",VLOOKUP(J54,backend!$H$4:$M57,2,FALSE),VLOOKUP(J54,backend!$H$4:$M57,3,FALSE))*IF($B$8=TRUE,VLOOKUP(D54,BuffsDebuffs!$P$8:$X$27,MATCH(H54,BuffsDebuffs!$P$8:$X$8,0),FALSE),1)*IF($B$6=TRUE,backend!$BN$5,1)</f>
        <v>20399</v>
      </c>
      <c r="M54" s="213">
        <f>VLOOKUP(E54,backend!$BP$5:$BS57,4,FALSE)</f>
        <v>1</v>
      </c>
      <c r="N54" s="211">
        <f t="shared" si="26"/>
        <v>84</v>
      </c>
      <c r="O54" s="211">
        <f t="shared" si="27"/>
        <v>84</v>
      </c>
      <c r="P54" s="211">
        <f>MAX(IFNA(VLOOKUP(IF($B$10=TRUE,O54,N54),backend!$P$4:$Y57,MATCH(I54,backend!$P$3:$Y$3,0),FALSE),IF($B$10=TRUE,O54,N54)),IFNA(VLOOKUP(IF($B$10=TRUE,O54,N54),backend!$P$4:$Y57,MATCH(J54,backend!$P$3:$Y$3,0),FALSE),IF($B$10=TRUE,O54,N54)))</f>
        <v>84</v>
      </c>
      <c r="Q54" s="211">
        <v>136.0</v>
      </c>
      <c r="R54" s="211">
        <f>Q54/VLOOKUP(I54,backend!$H$4:$N57,7,FALSE)/VLOOKUP(J54,backend!$H$4:$N57,7,FALSE)</f>
        <v>136</v>
      </c>
      <c r="S54" s="211">
        <v>84.0</v>
      </c>
      <c r="T54" s="211">
        <v>90.0</v>
      </c>
      <c r="U54" s="211">
        <f>MAX(IFNA(VLOOKUP(IF($B$9=TRUE,T54,S54),backend!$AA$4:$AF57,MATCH(I54,backend!$AA$3:$AF$3,0),FALSE),IF($B$9=TRUE,T54,S54)),IFNA(VLOOKUP(IF($B$9=TRUE,T54,S54),backend!$AA$4:$AF57,MATCH(J54,backend!$AA$3:$AF$3,0),FALSE),IF($B$9=TRUE,T54,S54)))</f>
        <v>84</v>
      </c>
      <c r="V54" s="214">
        <f>VLOOKUP(E54,backend!$BB$4:$BH57,7,FALSE)</f>
        <v>0</v>
      </c>
      <c r="W54" s="211">
        <f>MIN(100,V54+VLOOKUP(I54,backend!$H$4:$N57,5,FALSE)+VLOOKUP(J54,backend!$H$4:$N57,5,FALSE)+IF($B$11=TRUE,100,0)+IF($B$12,10,0))</f>
        <v>0</v>
      </c>
      <c r="X54" s="215">
        <f>(VLOOKUP(D54,backend!$AV$4:$AZ57,2,FALSE)*W54^2+VLOOKUP(D54,backend!$AV$4:$AZ57,3,FALSE)*W54+VLOOKUP(D54,backend!$AV$4:$AZ57,4,FALSE))*VLOOKUP(I54,backend!$H$4:$N57,6,FALSE)*VLOOKUP(J54,backend!$H$4:$N57,6,FALSE)*IF($B$12=TRUE,0.85,1)*IF($B$11=TRUE,0.9,1)*IF(D54="Shotgun",P54,1)*IF(F54="Rapid-Fire",0.8,1)+IF(OR(D54="Fusion Rifle",D54="Linear Fusion Rifle"),0.516,0)</f>
        <v>0</v>
      </c>
      <c r="Y54" s="215">
        <v>0.0</v>
      </c>
      <c r="Z54" s="215">
        <f>VLOOKUP(D54,backend!$AV$4:$AZ57,5,FALSE)*IF(D54="Shotgun",P54,1)+IF(OR(D54="Fusion Rifle",D54="Linear Fusion Rifle"),0.516,0)</f>
        <v>0</v>
      </c>
      <c r="AA54" s="216">
        <f t="shared" si="2"/>
        <v>0</v>
      </c>
      <c r="AB54" s="217">
        <f t="shared" si="3"/>
        <v>83.10373927</v>
      </c>
      <c r="AC54" s="218">
        <f t="shared" si="4"/>
        <v>90.57350105</v>
      </c>
      <c r="AD54" s="219">
        <f t="shared" si="5"/>
        <v>86.83862016</v>
      </c>
      <c r="AE54" s="220">
        <f t="shared" si="6"/>
        <v>36.61764706</v>
      </c>
      <c r="AF54" s="221">
        <f t="shared" si="7"/>
        <v>36.61764706</v>
      </c>
      <c r="AG54" s="211">
        <f t="shared" si="8"/>
        <v>1713516</v>
      </c>
      <c r="AH54" s="222">
        <f t="shared" si="9"/>
        <v>46794.81446</v>
      </c>
      <c r="AI54" s="444">
        <f t="shared" si="10"/>
        <v>1713516</v>
      </c>
      <c r="AJ54" s="445">
        <f t="shared" si="11"/>
        <v>1713516</v>
      </c>
      <c r="AK54" s="446">
        <f t="shared" si="12"/>
        <v>46794.81446</v>
      </c>
      <c r="AL54" s="447">
        <f t="shared" si="13"/>
        <v>46794.81446</v>
      </c>
      <c r="AM54" s="448">
        <f t="shared" si="14"/>
        <v>46794.81446</v>
      </c>
      <c r="AN54" s="201">
        <f t="shared" si="15"/>
        <v>0</v>
      </c>
      <c r="AO54" s="202">
        <f t="shared" si="16"/>
        <v>20</v>
      </c>
      <c r="AP54" s="202">
        <f t="shared" si="17"/>
        <v>0</v>
      </c>
      <c r="AQ54" s="201">
        <f t="shared" si="18"/>
        <v>0</v>
      </c>
      <c r="AR54" s="201">
        <f t="shared" si="19"/>
        <v>0</v>
      </c>
      <c r="AS54" s="202">
        <f t="shared" si="20"/>
        <v>20</v>
      </c>
      <c r="AT54" s="201">
        <f t="shared" si="21"/>
        <v>46</v>
      </c>
      <c r="AU54" s="203">
        <f t="shared" si="22"/>
        <v>938354</v>
      </c>
      <c r="AV54" s="449">
        <f t="shared" si="23"/>
        <v>938354</v>
      </c>
    </row>
    <row r="55">
      <c r="A55" s="450"/>
      <c r="B55" s="326" t="s">
        <v>374</v>
      </c>
      <c r="C55" s="451" t="b">
        <v>0</v>
      </c>
      <c r="D55" s="452" t="s">
        <v>411</v>
      </c>
      <c r="E55" s="453" t="s">
        <v>418</v>
      </c>
      <c r="F55" s="232" t="s">
        <v>419</v>
      </c>
      <c r="G55" s="210" t="str">
        <f t="shared" si="28"/>
        <v>Sword - Vortex</v>
      </c>
      <c r="H55" s="255" t="s">
        <v>348</v>
      </c>
      <c r="I55" s="210" t="s">
        <v>349</v>
      </c>
      <c r="J55" s="210" t="s">
        <v>349</v>
      </c>
      <c r="K55" s="184">
        <f>VLOOKUP(E55,backend!$BP$5:$BQ57,2,FALSE)</f>
        <v>20399</v>
      </c>
      <c r="L55" s="185">
        <f>K55*M55*IF(B55="Special",VLOOKUP(I55,backend!$H$4:$M57,2,FALSE),VLOOKUP(I55,backend!$H$4:$M57,3,FALSE))*IF(B55="Special",VLOOKUP(J55,backend!$H$4:$M57,2,FALSE),VLOOKUP(J55,backend!$H$4:$M57,3,FALSE))*IF($B$8=TRUE,VLOOKUP(D55,BuffsDebuffs!$P$8:$X$27,MATCH(H55,BuffsDebuffs!$P$8:$X$8,0),FALSE),1)*IF($B$6=TRUE,backend!$BN$5,1)</f>
        <v>20399</v>
      </c>
      <c r="M55" s="186">
        <f>VLOOKUP(E55,backend!$BP$5:$BS57,4,FALSE)</f>
        <v>1</v>
      </c>
      <c r="N55" s="184">
        <f t="shared" si="26"/>
        <v>66</v>
      </c>
      <c r="O55" s="184">
        <f t="shared" si="27"/>
        <v>66</v>
      </c>
      <c r="P55" s="184">
        <f>MAX(IFNA(VLOOKUP(IF($B$10=TRUE,O55,N55),backend!$P$4:$Y57,MATCH(I55,backend!$P$3:$Y$3,0),FALSE),IF($B$10=TRUE,O55,N55)),IFNA(VLOOKUP(IF($B$10=TRUE,O55,N55),backend!$P$4:$Y57,MATCH(J55,backend!$P$3:$Y$3,0),FALSE),IF($B$10=TRUE,O55,N55)))</f>
        <v>66</v>
      </c>
      <c r="Q55" s="184">
        <v>124.0</v>
      </c>
      <c r="R55" s="184">
        <f>Q55/VLOOKUP(I55,backend!$H$4:$N57,7,FALSE)/VLOOKUP(J55,backend!$H$4:$N57,7,FALSE)</f>
        <v>124</v>
      </c>
      <c r="S55" s="184">
        <v>66.0</v>
      </c>
      <c r="T55" s="184">
        <v>73.0</v>
      </c>
      <c r="U55" s="184">
        <f>MAX(IFNA(VLOOKUP(IF($B$9=TRUE,T55,S55),backend!$AA$4:$AF57,MATCH(I55,backend!$AA$3:$AF$3,0),FALSE),IF($B$9=TRUE,T55,S55)),IFNA(VLOOKUP(IF($B$9=TRUE,T55,S55),backend!$AA$4:$AF57,MATCH(J55,backend!$AA$3:$AF$3,0),FALSE),IF($B$9=TRUE,T55,S55)))</f>
        <v>66</v>
      </c>
      <c r="V55" s="187">
        <f>VLOOKUP(E55,backend!$BB$4:$BH57,7,FALSE)</f>
        <v>0</v>
      </c>
      <c r="W55" s="184">
        <f>MIN(100,V55+VLOOKUP(I55,backend!$H$4:$N57,5,FALSE)+VLOOKUP(J55,backend!$H$4:$N57,5,FALSE)+IF($B$11=TRUE,100,0)+IF($B$12,10,0))</f>
        <v>0</v>
      </c>
      <c r="X55" s="188">
        <f>(VLOOKUP(D55,backend!$AV$4:$AZ57,2,FALSE)*W55^2+VLOOKUP(D55,backend!$AV$4:$AZ57,3,FALSE)*W55+VLOOKUP(D55,backend!$AV$4:$AZ57,4,FALSE))*VLOOKUP(I55,backend!$H$4:$N57,6,FALSE)*VLOOKUP(J55,backend!$H$4:$N57,6,FALSE)*IF($B$12=TRUE,0.85,1)*IF($B$11=TRUE,0.9,1)*IF(D55="Shotgun",P55,1)*IF(F55="Rapid-Fire",0.8,1)+IF(OR(D55="Fusion Rifle",D55="Linear Fusion Rifle"),0.516,0)</f>
        <v>0</v>
      </c>
      <c r="Y55" s="188">
        <v>0.0</v>
      </c>
      <c r="Z55" s="188">
        <f>VLOOKUP(D55,backend!$AV$4:$AZ57,5,FALSE)*IF(D55="Shotgun",P55,1)+IF(OR(D55="Fusion Rifle",D55="Linear Fusion Rifle"),0.516,0)</f>
        <v>0</v>
      </c>
      <c r="AA55" s="189">
        <f t="shared" si="2"/>
        <v>0</v>
      </c>
      <c r="AB55" s="233">
        <f t="shared" si="3"/>
        <v>65.29579514</v>
      </c>
      <c r="AC55" s="234">
        <f t="shared" si="4"/>
        <v>82.85396898</v>
      </c>
      <c r="AD55" s="235">
        <f t="shared" si="5"/>
        <v>74.07488206</v>
      </c>
      <c r="AE55" s="236">
        <f t="shared" si="6"/>
        <v>31.4516129</v>
      </c>
      <c r="AF55" s="237">
        <f t="shared" si="7"/>
        <v>31.4516129</v>
      </c>
      <c r="AG55" s="184">
        <f t="shared" si="8"/>
        <v>1346334</v>
      </c>
      <c r="AH55" s="195">
        <f t="shared" si="9"/>
        <v>42806.51692</v>
      </c>
      <c r="AI55" s="454">
        <f t="shared" si="10"/>
        <v>1346334</v>
      </c>
      <c r="AJ55" s="455">
        <f t="shared" si="11"/>
        <v>1346334</v>
      </c>
      <c r="AK55" s="435">
        <f t="shared" si="12"/>
        <v>42806.51692</v>
      </c>
      <c r="AL55" s="436">
        <f t="shared" si="13"/>
        <v>42806.51692</v>
      </c>
      <c r="AM55" s="437">
        <f t="shared" si="14"/>
        <v>42806.51692</v>
      </c>
      <c r="AN55" s="201">
        <f t="shared" si="15"/>
        <v>0</v>
      </c>
      <c r="AO55" s="202">
        <f t="shared" si="16"/>
        <v>20</v>
      </c>
      <c r="AP55" s="202">
        <f t="shared" si="17"/>
        <v>0</v>
      </c>
      <c r="AQ55" s="201">
        <f t="shared" si="18"/>
        <v>0</v>
      </c>
      <c r="AR55" s="201">
        <f t="shared" si="19"/>
        <v>0</v>
      </c>
      <c r="AS55" s="202">
        <f t="shared" si="20"/>
        <v>20</v>
      </c>
      <c r="AT55" s="201">
        <f t="shared" si="21"/>
        <v>42</v>
      </c>
      <c r="AU55" s="203">
        <f t="shared" si="22"/>
        <v>856758</v>
      </c>
      <c r="AV55" s="438">
        <f t="shared" si="23"/>
        <v>856758</v>
      </c>
    </row>
    <row r="56">
      <c r="A56" s="450"/>
      <c r="B56" s="326" t="s">
        <v>374</v>
      </c>
      <c r="C56" s="441" t="b">
        <v>0</v>
      </c>
      <c r="D56" s="442" t="s">
        <v>411</v>
      </c>
      <c r="E56" s="443" t="s">
        <v>420</v>
      </c>
      <c r="F56" s="209" t="s">
        <v>373</v>
      </c>
      <c r="G56" s="210" t="str">
        <f t="shared" si="28"/>
        <v>Sword - Wave</v>
      </c>
      <c r="H56" s="456" t="s">
        <v>348</v>
      </c>
      <c r="I56" s="210" t="s">
        <v>349</v>
      </c>
      <c r="J56" s="210" t="s">
        <v>349</v>
      </c>
      <c r="K56" s="211">
        <f>VLOOKUP(E56,backend!$BP$5:$BQ57,2,FALSE)</f>
        <v>20399</v>
      </c>
      <c r="L56" s="212">
        <f>K56*M56*IF(B56="Special",VLOOKUP(I56,backend!$H$4:$M57,2,FALSE),VLOOKUP(I56,backend!$H$4:$M57,3,FALSE))*IF(B56="Special",VLOOKUP(J56,backend!$H$4:$M57,2,FALSE),VLOOKUP(J56,backend!$H$4:$M57,3,FALSE))*IF($B$8=TRUE,VLOOKUP(D56,BuffsDebuffs!$P$8:$X$27,MATCH(H56,BuffsDebuffs!$P$8:$X$8,0),FALSE),1)*IF($B$6=TRUE,backend!$BN$5,1)</f>
        <v>20399</v>
      </c>
      <c r="M56" s="213">
        <f>VLOOKUP(E56,backend!$BP$5:$BS57,4,FALSE)</f>
        <v>1</v>
      </c>
      <c r="N56" s="211">
        <f t="shared" si="26"/>
        <v>67</v>
      </c>
      <c r="O56" s="211">
        <f t="shared" si="27"/>
        <v>67</v>
      </c>
      <c r="P56" s="211">
        <f>MAX(IFNA(VLOOKUP(IF($B$10=TRUE,O56,N56),backend!$P$4:$Y57,MATCH(I56,backend!$P$3:$Y$3,0),FALSE),IF($B$10=TRUE,O56,N56)),IFNA(VLOOKUP(IF($B$10=TRUE,O56,N56),backend!$P$4:$Y57,MATCH(J56,backend!$P$3:$Y$3,0),FALSE),IF($B$10=TRUE,O56,N56)))</f>
        <v>67</v>
      </c>
      <c r="Q56" s="211">
        <v>124.0</v>
      </c>
      <c r="R56" s="211">
        <f>Q56/VLOOKUP(I56,backend!$H$4:$N57,7,FALSE)/VLOOKUP(J56,backend!$H$4:$N57,7,FALSE)</f>
        <v>124</v>
      </c>
      <c r="S56" s="211">
        <v>67.0</v>
      </c>
      <c r="T56" s="211">
        <v>74.0</v>
      </c>
      <c r="U56" s="211">
        <f>MAX(IFNA(VLOOKUP(IF($B$9=TRUE,T56,S56),backend!$AA$4:$AF57,MATCH(I56,backend!$AA$3:$AF$3,0),FALSE),IF($B$9=TRUE,T56,S56)),IFNA(VLOOKUP(IF($B$9=TRUE,T56,S56),backend!$AA$4:$AF57,MATCH(J56,backend!$AA$3:$AF$3,0),FALSE),IF($B$9=TRUE,T56,S56)))</f>
        <v>67</v>
      </c>
      <c r="V56" s="214">
        <f>VLOOKUP(E56,backend!$BB$4:$BH57,7,FALSE)</f>
        <v>0</v>
      </c>
      <c r="W56" s="211">
        <f>MIN(100,V56+VLOOKUP(I56,backend!$H$4:$N57,5,FALSE)+VLOOKUP(J56,backend!$H$4:$N57,5,FALSE)+IF($B$11=TRUE,100,0)+IF($B$12,10,0))</f>
        <v>0</v>
      </c>
      <c r="X56" s="215">
        <f>(VLOOKUP(D56,backend!$AV$4:$AZ57,2,FALSE)*W56^2+VLOOKUP(D56,backend!$AV$4:$AZ57,3,FALSE)*W56+VLOOKUP(D56,backend!$AV$4:$AZ57,4,FALSE))*VLOOKUP(I56,backend!$H$4:$N57,6,FALSE)*VLOOKUP(J56,backend!$H$4:$N57,6,FALSE)*IF($B$12=TRUE,0.85,1)*IF($B$11=TRUE,0.9,1)*IF(D56="Shotgun",P56,1)*IF(F56="Rapid-Fire",0.8,1)+IF(OR(D56="Fusion Rifle",D56="Linear Fusion Rifle"),0.516,0)</f>
        <v>0</v>
      </c>
      <c r="Y56" s="215">
        <v>0.0</v>
      </c>
      <c r="Z56" s="215">
        <f>VLOOKUP(D56,backend!$AV$4:$AZ57,5,FALSE)*IF(D56="Shotgun",P56,1)+IF(OR(D56="Fusion Rifle",D56="Linear Fusion Rifle"),0.516,0)</f>
        <v>0</v>
      </c>
      <c r="AA56" s="216">
        <f t="shared" si="2"/>
        <v>0</v>
      </c>
      <c r="AB56" s="217">
        <f t="shared" si="3"/>
        <v>66.28512537</v>
      </c>
      <c r="AC56" s="218">
        <f t="shared" si="4"/>
        <v>82.83494833</v>
      </c>
      <c r="AD56" s="219">
        <f t="shared" si="5"/>
        <v>74.56003685</v>
      </c>
      <c r="AE56" s="220">
        <f t="shared" si="6"/>
        <v>31.93548387</v>
      </c>
      <c r="AF56" s="221">
        <f t="shared" si="7"/>
        <v>31.93548387</v>
      </c>
      <c r="AG56" s="211">
        <f t="shared" si="8"/>
        <v>1366733</v>
      </c>
      <c r="AH56" s="222">
        <f t="shared" si="9"/>
        <v>42796.6899</v>
      </c>
      <c r="AI56" s="433">
        <f t="shared" si="10"/>
        <v>1366733</v>
      </c>
      <c r="AJ56" s="434">
        <f t="shared" si="11"/>
        <v>1366733</v>
      </c>
      <c r="AK56" s="435">
        <f t="shared" si="12"/>
        <v>42796.6899</v>
      </c>
      <c r="AL56" s="436">
        <f t="shared" si="13"/>
        <v>42796.6899</v>
      </c>
      <c r="AM56" s="437">
        <f t="shared" si="14"/>
        <v>42796.6899</v>
      </c>
      <c r="AN56" s="201">
        <f t="shared" si="15"/>
        <v>0</v>
      </c>
      <c r="AO56" s="202">
        <f t="shared" si="16"/>
        <v>20</v>
      </c>
      <c r="AP56" s="202">
        <f t="shared" si="17"/>
        <v>0</v>
      </c>
      <c r="AQ56" s="201">
        <f t="shared" si="18"/>
        <v>0</v>
      </c>
      <c r="AR56" s="201">
        <f t="shared" si="19"/>
        <v>0</v>
      </c>
      <c r="AS56" s="202">
        <f t="shared" si="20"/>
        <v>20</v>
      </c>
      <c r="AT56" s="201">
        <f t="shared" si="21"/>
        <v>42</v>
      </c>
      <c r="AU56" s="203">
        <f t="shared" si="22"/>
        <v>856758</v>
      </c>
      <c r="AV56" s="438">
        <f t="shared" si="23"/>
        <v>856758</v>
      </c>
    </row>
    <row r="57">
      <c r="A57" s="457"/>
      <c r="B57" s="378" t="s">
        <v>344</v>
      </c>
      <c r="C57" s="229" t="b">
        <v>0</v>
      </c>
      <c r="D57" s="230" t="s">
        <v>421</v>
      </c>
      <c r="E57" s="453" t="s">
        <v>422</v>
      </c>
      <c r="F57" s="232" t="s">
        <v>347</v>
      </c>
      <c r="G57" s="210" t="str">
        <f t="shared" si="28"/>
        <v>Trace Rifle - Adaptive</v>
      </c>
      <c r="H57" s="456" t="s">
        <v>348</v>
      </c>
      <c r="I57" s="210" t="s">
        <v>349</v>
      </c>
      <c r="J57" s="210" t="s">
        <v>349</v>
      </c>
      <c r="K57" s="184">
        <f>VLOOKUP(E57,backend!$BP$5:$BQ57,2,FALSE)</f>
        <v>1035</v>
      </c>
      <c r="L57" s="185">
        <f>K57*M57*IF(B57="Special",VLOOKUP(I57,backend!$H$4:$M57,2,FALSE),VLOOKUP(I57,backend!$H$4:$M57,3,FALSE))*IF(B57="Special",VLOOKUP(J57,backend!$H$4:$M57,2,FALSE),VLOOKUP(J57,backend!$H$4:$M57,3,FALSE))*IF($B$8=TRUE,VLOOKUP(D57,BuffsDebuffs!$P$8:$X$27,MATCH(H57,BuffsDebuffs!$P$8:$X$8,0),FALSE),1)*IF($B$6=TRUE,backend!$BN$5,1)</f>
        <v>1390.5</v>
      </c>
      <c r="M57" s="186">
        <f>VLOOKUP(E57,backend!$BP$5:$BS57,4,FALSE)</f>
        <v>1.343478261</v>
      </c>
      <c r="N57" s="184">
        <v>97.0</v>
      </c>
      <c r="O57" s="184">
        <v>104.0</v>
      </c>
      <c r="P57" s="184">
        <f>MAX(IFNA(VLOOKUP(IF($B$10=TRUE,O57,N57),backend!$P$4:$Y57,MATCH(I57,backend!$P$3:$Y$3,0),FALSE),IF($B$10=TRUE,O57,N57)),IFNA(VLOOKUP(IF($B$10=TRUE,O57,N57),backend!$P$4:$Y57,MATCH(J57,backend!$P$3:$Y$3,0),FALSE),IF($B$10=TRUE,O57,N57)))</f>
        <v>97</v>
      </c>
      <c r="Q57" s="184">
        <v>900.0</v>
      </c>
      <c r="R57" s="184">
        <f>Q57/VLOOKUP(I57,backend!$H$4:$N57,7,FALSE)/VLOOKUP(J57,backend!$H$4:$N57,7,FALSE)</f>
        <v>900</v>
      </c>
      <c r="S57" s="184">
        <v>509.0</v>
      </c>
      <c r="T57" s="184">
        <v>626.0</v>
      </c>
      <c r="U57" s="184">
        <f>MAX(IFNA(VLOOKUP(IF($B$9=TRUE,T57,S57),backend!$AA$4:$AF57,MATCH(I57,backend!$AA$3:$AF$3,0),FALSE),IF($B$9=TRUE,T57,S57)),IFNA(VLOOKUP(IF($B$9=TRUE,T57,S57),backend!$AA$4:$AF57,MATCH(J57,backend!$AA$3:$AF$3,0),FALSE),IF($B$9=TRUE,T57,S57)))</f>
        <v>509</v>
      </c>
      <c r="V57" s="187">
        <f>VLOOKUP(E57,backend!$BB$4:$BH57,7,FALSE)</f>
        <v>47.6</v>
      </c>
      <c r="W57" s="184">
        <f>MIN(100,V57+VLOOKUP(I57,backend!$H$4:$N57,5,FALSE)+VLOOKUP(J57,backend!$H$4:$N57,5,FALSE)+IF($B$11=TRUE,100,0)+IF($B$12,10,0))</f>
        <v>47.6</v>
      </c>
      <c r="X57" s="188">
        <f>(VLOOKUP(D57,backend!$AV$4:$AZ57,2,FALSE)*W57^2+VLOOKUP(D57,backend!$AV$4:$AZ57,3,FALSE)*W57+VLOOKUP(D57,backend!$AV$4:$AZ57,4,FALSE))*VLOOKUP(I57,backend!$H$4:$N57,6,FALSE)*VLOOKUP(J57,backend!$H$4:$N57,6,FALSE)*IF($B$12=TRUE,0.85,1)*IF($B$11=TRUE,0.9,1)*IF(D57="Shotgun",P57,1)*IF(F57="Rapid-Fire",0.8,1)+IF(OR(D57="Fusion Rifle",D57="Linear Fusion Rifle"),0.516,0)</f>
        <v>2.025488</v>
      </c>
      <c r="Y57" s="188">
        <v>1.234</v>
      </c>
      <c r="Z57" s="188">
        <f>VLOOKUP(D57,backend!$AV$4:$AZ57,5,FALSE)*IF(D57="Shotgun",P57,1)+IF(OR(D57="Fusion Rifle",D57="Linear Fusion Rifle"),0.516,0)</f>
        <v>0.867</v>
      </c>
      <c r="AA57" s="189">
        <f t="shared" si="2"/>
        <v>2.025488</v>
      </c>
      <c r="AB57" s="233">
        <f t="shared" si="3"/>
        <v>32.70733304</v>
      </c>
      <c r="AC57" s="234">
        <f t="shared" si="4"/>
        <v>32.54997391</v>
      </c>
      <c r="AD57" s="235">
        <f t="shared" si="5"/>
        <v>32.62865347</v>
      </c>
      <c r="AE57" s="236">
        <f t="shared" si="6"/>
        <v>6.4</v>
      </c>
      <c r="AF57" s="237">
        <f t="shared" si="7"/>
        <v>43.66077333</v>
      </c>
      <c r="AG57" s="184">
        <f t="shared" si="8"/>
        <v>134878.5</v>
      </c>
      <c r="AH57" s="195">
        <f t="shared" si="9"/>
        <v>21074.76563</v>
      </c>
      <c r="AI57" s="458">
        <f t="shared" si="10"/>
        <v>707764.5</v>
      </c>
      <c r="AJ57" s="459">
        <f t="shared" si="11"/>
        <v>674392.5</v>
      </c>
      <c r="AK57" s="460">
        <f t="shared" si="12"/>
        <v>16210.53513</v>
      </c>
      <c r="AL57" s="461">
        <f t="shared" si="13"/>
        <v>16816.94946</v>
      </c>
      <c r="AM57" s="462">
        <f t="shared" si="14"/>
        <v>16008.39026</v>
      </c>
      <c r="AN57" s="201">
        <f t="shared" si="15"/>
        <v>2</v>
      </c>
      <c r="AO57" s="202">
        <f t="shared" si="16"/>
        <v>15.949024</v>
      </c>
      <c r="AP57" s="202">
        <f t="shared" si="17"/>
        <v>0</v>
      </c>
      <c r="AQ57" s="201">
        <f t="shared" si="18"/>
        <v>2</v>
      </c>
      <c r="AR57" s="201">
        <f t="shared" si="19"/>
        <v>269757</v>
      </c>
      <c r="AS57" s="202">
        <f t="shared" si="20"/>
        <v>3.149024</v>
      </c>
      <c r="AT57" s="201">
        <f t="shared" si="21"/>
        <v>48</v>
      </c>
      <c r="AU57" s="203">
        <f t="shared" si="22"/>
        <v>66744</v>
      </c>
      <c r="AV57" s="463">
        <f t="shared" si="23"/>
        <v>336501</v>
      </c>
    </row>
  </sheetData>
  <autoFilter ref="$B$14:$AV$57">
    <sortState ref="B14:AV57">
      <sortCondition ref="D14:D57"/>
      <sortCondition ref="F14:F57"/>
    </sortState>
  </autoFilter>
  <mergeCells count="19">
    <mergeCell ref="AB5:AD12"/>
    <mergeCell ref="AE5:AF12"/>
    <mergeCell ref="AG5:AM12"/>
    <mergeCell ref="AN5:AU12"/>
    <mergeCell ref="B3:D3"/>
    <mergeCell ref="C6:D6"/>
    <mergeCell ref="B7:D7"/>
    <mergeCell ref="C8:D8"/>
    <mergeCell ref="C9:D9"/>
    <mergeCell ref="C10:D10"/>
    <mergeCell ref="C11:D11"/>
    <mergeCell ref="C12:D12"/>
    <mergeCell ref="B2:D2"/>
    <mergeCell ref="F2:J4"/>
    <mergeCell ref="K2:AV4"/>
    <mergeCell ref="F5:F12"/>
    <mergeCell ref="H5:J12"/>
    <mergeCell ref="K5:AA12"/>
    <mergeCell ref="AV5:AV12"/>
  </mergeCells>
  <conditionalFormatting sqref="AB15:AD57">
    <cfRule type="colorScale" priority="1">
      <colorScale>
        <cfvo type="min"/>
        <cfvo type="max"/>
        <color rgb="FFFFFFFF"/>
        <color rgb="FFFBBC04"/>
      </colorScale>
    </cfRule>
  </conditionalFormatting>
  <conditionalFormatting sqref="AG15:AG57">
    <cfRule type="colorScale" priority="2">
      <colorScale>
        <cfvo type="min"/>
        <cfvo type="max"/>
        <color rgb="FFFFFFFF"/>
        <color rgb="FF4285F4"/>
      </colorScale>
    </cfRule>
  </conditionalFormatting>
  <conditionalFormatting sqref="AH15:AH57">
    <cfRule type="colorScale" priority="3">
      <colorScale>
        <cfvo type="min"/>
        <cfvo type="max"/>
        <color rgb="FFFFFFFF"/>
        <color rgb="FF4285F4"/>
      </colorScale>
    </cfRule>
  </conditionalFormatting>
  <conditionalFormatting sqref="AI15:AI57">
    <cfRule type="colorScale" priority="4">
      <colorScale>
        <cfvo type="min"/>
        <cfvo type="max"/>
        <color rgb="FFF3F3F3"/>
        <color rgb="FF4285F4"/>
      </colorScale>
    </cfRule>
  </conditionalFormatting>
  <conditionalFormatting sqref="AK15:AM57">
    <cfRule type="colorScale" priority="5">
      <colorScale>
        <cfvo type="min"/>
        <cfvo type="max"/>
        <color rgb="FFF3F3F3"/>
        <color rgb="FF4285F4"/>
      </colorScale>
    </cfRule>
  </conditionalFormatting>
  <dataValidations>
    <dataValidation type="list" allowBlank="1" showErrorMessage="1" sqref="B3">
      <formula1>backend!$E$4:$E57</formula1>
    </dataValidation>
    <dataValidation type="list" allowBlank="1" showErrorMessage="1" sqref="I15:J57">
      <formula1>backend!$H$4:$H57</formula1>
    </dataValidation>
    <dataValidation type="list" allowBlank="1" showErrorMessage="1" sqref="H15:H57">
      <formula1>backend!$A$3:$A57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464"/>
      <c r="CB1" s="102"/>
      <c r="CC1" s="102"/>
    </row>
    <row r="2">
      <c r="A2" s="465" t="s">
        <v>423</v>
      </c>
      <c r="B2" s="102"/>
      <c r="C2" s="465" t="s">
        <v>424</v>
      </c>
      <c r="D2" s="102"/>
      <c r="E2" s="465" t="s">
        <v>425</v>
      </c>
      <c r="G2" s="102"/>
      <c r="H2" s="465" t="s">
        <v>426</v>
      </c>
      <c r="O2" s="102"/>
      <c r="P2" s="465" t="s">
        <v>427</v>
      </c>
      <c r="Z2" s="102"/>
      <c r="AA2" s="465" t="s">
        <v>428</v>
      </c>
      <c r="AG2" s="102"/>
      <c r="AH2" s="465" t="s">
        <v>429</v>
      </c>
      <c r="AU2" s="102"/>
      <c r="AV2" s="465" t="s">
        <v>430</v>
      </c>
      <c r="BA2" s="102"/>
      <c r="BB2" s="465" t="s">
        <v>431</v>
      </c>
      <c r="BI2" s="102"/>
      <c r="BJ2" s="465" t="s">
        <v>432</v>
      </c>
      <c r="BL2" s="102"/>
      <c r="BM2" s="466" t="s">
        <v>433</v>
      </c>
      <c r="BO2" s="102"/>
      <c r="BP2" s="466" t="s">
        <v>434</v>
      </c>
      <c r="CC2" s="102"/>
    </row>
    <row r="3">
      <c r="A3" s="467" t="s">
        <v>348</v>
      </c>
      <c r="B3" s="102"/>
      <c r="C3" s="467">
        <v>0.0</v>
      </c>
      <c r="D3" s="102"/>
      <c r="E3" s="468" t="s">
        <v>435</v>
      </c>
      <c r="F3" s="468" t="s">
        <v>436</v>
      </c>
      <c r="G3" s="102"/>
      <c r="H3" s="468" t="s">
        <v>437</v>
      </c>
      <c r="I3" s="468" t="s">
        <v>438</v>
      </c>
      <c r="J3" s="468" t="s">
        <v>439</v>
      </c>
      <c r="K3" s="468" t="s">
        <v>440</v>
      </c>
      <c r="L3" s="468" t="s">
        <v>441</v>
      </c>
      <c r="M3" s="468" t="s">
        <v>442</v>
      </c>
      <c r="N3" s="468" t="s">
        <v>443</v>
      </c>
      <c r="O3" s="102"/>
      <c r="P3" s="468" t="s">
        <v>349</v>
      </c>
      <c r="Q3" s="468" t="s">
        <v>444</v>
      </c>
      <c r="R3" s="468" t="s">
        <v>445</v>
      </c>
      <c r="S3" s="468" t="s">
        <v>446</v>
      </c>
      <c r="T3" s="469" t="s">
        <v>447</v>
      </c>
      <c r="U3" s="468" t="s">
        <v>448</v>
      </c>
      <c r="V3" s="469" t="s">
        <v>449</v>
      </c>
      <c r="W3" s="469" t="s">
        <v>450</v>
      </c>
      <c r="X3" s="468" t="s">
        <v>451</v>
      </c>
      <c r="Y3" s="468" t="s">
        <v>452</v>
      </c>
      <c r="Z3" s="102"/>
      <c r="AA3" s="470" t="s">
        <v>453</v>
      </c>
      <c r="AB3" s="470" t="s">
        <v>449</v>
      </c>
      <c r="AC3" s="469" t="s">
        <v>444</v>
      </c>
      <c r="AD3" s="469" t="s">
        <v>445</v>
      </c>
      <c r="AE3" s="470" t="s">
        <v>454</v>
      </c>
      <c r="AF3" s="470" t="s">
        <v>452</v>
      </c>
      <c r="AG3" s="102"/>
      <c r="AH3" s="471" t="s">
        <v>455</v>
      </c>
      <c r="AI3" s="470" t="s">
        <v>345</v>
      </c>
      <c r="AJ3" s="470" t="s">
        <v>358</v>
      </c>
      <c r="AK3" s="470" t="s">
        <v>363</v>
      </c>
      <c r="AL3" s="470" t="s">
        <v>375</v>
      </c>
      <c r="AM3" s="470" t="s">
        <v>380</v>
      </c>
      <c r="AN3" s="470" t="s">
        <v>384</v>
      </c>
      <c r="AO3" s="470" t="s">
        <v>389</v>
      </c>
      <c r="AP3" s="470" t="s">
        <v>394</v>
      </c>
      <c r="AQ3" s="470" t="s">
        <v>404</v>
      </c>
      <c r="AR3" s="470" t="s">
        <v>407</v>
      </c>
      <c r="AS3" s="470" t="s">
        <v>411</v>
      </c>
      <c r="AT3" s="470" t="s">
        <v>421</v>
      </c>
      <c r="AU3" s="102"/>
      <c r="AV3" s="470" t="s">
        <v>304</v>
      </c>
      <c r="AW3" s="470" t="s">
        <v>456</v>
      </c>
      <c r="AX3" s="470" t="s">
        <v>457</v>
      </c>
      <c r="AY3" s="470" t="s">
        <v>458</v>
      </c>
      <c r="AZ3" s="470" t="s">
        <v>459</v>
      </c>
      <c r="BA3" s="102"/>
      <c r="BB3" s="470" t="s">
        <v>460</v>
      </c>
      <c r="BC3" s="472">
        <v>1.0</v>
      </c>
      <c r="BD3" s="472">
        <v>2.0</v>
      </c>
      <c r="BE3" s="472">
        <v>3.0</v>
      </c>
      <c r="BF3" s="472">
        <v>4.0</v>
      </c>
      <c r="BG3" s="472">
        <v>5.0</v>
      </c>
      <c r="BH3" s="470" t="s">
        <v>461</v>
      </c>
      <c r="BI3" s="102"/>
      <c r="BJ3" s="473" t="s">
        <v>462</v>
      </c>
      <c r="BK3" s="474">
        <v>0.0</v>
      </c>
      <c r="BL3" s="102"/>
      <c r="BM3" s="473" t="s">
        <v>463</v>
      </c>
      <c r="BN3" s="474">
        <v>45.9741</v>
      </c>
      <c r="BO3" s="102"/>
      <c r="BP3" s="470" t="s">
        <v>464</v>
      </c>
      <c r="BQ3" s="470" t="s">
        <v>465</v>
      </c>
      <c r="BT3" s="470" t="s">
        <v>466</v>
      </c>
      <c r="CA3" s="475" t="s">
        <v>467</v>
      </c>
      <c r="CC3" s="102"/>
    </row>
    <row r="4">
      <c r="A4" s="467" t="s">
        <v>468</v>
      </c>
      <c r="B4" s="102"/>
      <c r="C4" s="467">
        <v>1.0</v>
      </c>
      <c r="D4" s="102"/>
      <c r="E4" s="473" t="s">
        <v>469</v>
      </c>
      <c r="F4" s="474">
        <v>30.0</v>
      </c>
      <c r="G4" s="102"/>
      <c r="H4" s="473" t="s">
        <v>349</v>
      </c>
      <c r="I4" s="474">
        <v>1.0</v>
      </c>
      <c r="J4" s="474">
        <v>1.0</v>
      </c>
      <c r="K4" s="474">
        <v>1.0</v>
      </c>
      <c r="L4" s="474">
        <v>0.0</v>
      </c>
      <c r="M4" s="474">
        <v>1.0</v>
      </c>
      <c r="N4" s="474">
        <v>1.0</v>
      </c>
      <c r="O4" s="102"/>
      <c r="P4" s="474">
        <v>1.0</v>
      </c>
      <c r="Q4" s="474">
        <f t="shared" ref="Q4:Q103" si="1">ROUND(1.5*P4-1,0)</f>
        <v>1</v>
      </c>
      <c r="R4" s="474">
        <f t="shared" ref="R4:R103" si="2">MAX(1,4*FLOOR(P4/2,1)-2+MOD(P4,2))</f>
        <v>1</v>
      </c>
      <c r="S4" s="474">
        <f t="shared" ref="S4:S103" si="3">IF(P4=1,1,P4+ROUNDUP((P4/2),0)+ROUNDUP((P4/4),0))</f>
        <v>1</v>
      </c>
      <c r="T4" s="474">
        <f t="shared" ref="T4:T103" si="4">P4*2</f>
        <v>2</v>
      </c>
      <c r="U4" s="474">
        <f t="shared" ref="U4:U103" si="5">ROUNDUP(P4*1.3,0)</f>
        <v>2</v>
      </c>
      <c r="V4" s="474">
        <f t="shared" ref="V4:V103" si="6">P4+1</f>
        <v>2</v>
      </c>
      <c r="W4" s="474">
        <f t="shared" ref="W4:W103" si="7">P4*2</f>
        <v>2</v>
      </c>
      <c r="X4" s="474">
        <f t="shared" ref="X4:X103" si="8">P4*3</f>
        <v>3</v>
      </c>
      <c r="Y4" s="474">
        <f t="shared" ref="Y4:Y103" si="9">Q4</f>
        <v>1</v>
      </c>
      <c r="Z4" s="102"/>
      <c r="AA4" s="474">
        <v>1.0</v>
      </c>
      <c r="AB4" s="474">
        <f t="shared" ref="AB4:AB1002" si="10">AA4+5</f>
        <v>6</v>
      </c>
      <c r="AC4" s="476">
        <f t="shared" ref="AC4:AC1002" si="11">ROUNDDOWN(AA4*1.34,0)</f>
        <v>1</v>
      </c>
      <c r="AD4" s="474">
        <f t="shared" ref="AD4:AD1002" si="12">IF(AA4&lt;4,AA4,ROUNDDOWN(AA4*1.67,0))</f>
        <v>1</v>
      </c>
      <c r="AE4" s="474">
        <f t="shared" ref="AE4:AE1002" si="13">ROUNDUP(AA4*1.1,0)</f>
        <v>2</v>
      </c>
      <c r="AF4" s="474">
        <f t="shared" ref="AF4:AF1002" si="14">AC4</f>
        <v>1</v>
      </c>
      <c r="AG4" s="102"/>
      <c r="AH4" s="473" t="s">
        <v>470</v>
      </c>
      <c r="AI4" s="473" t="s">
        <v>470</v>
      </c>
      <c r="AJ4" s="473" t="s">
        <v>470</v>
      </c>
      <c r="AK4" s="473" t="s">
        <v>470</v>
      </c>
      <c r="AL4" s="473" t="s">
        <v>470</v>
      </c>
      <c r="AM4" s="473" t="s">
        <v>470</v>
      </c>
      <c r="AN4" s="473" t="s">
        <v>470</v>
      </c>
      <c r="AO4" s="473" t="s">
        <v>470</v>
      </c>
      <c r="AP4" s="473" t="s">
        <v>470</v>
      </c>
      <c r="AQ4" s="473" t="s">
        <v>470</v>
      </c>
      <c r="AR4" s="473" t="s">
        <v>470</v>
      </c>
      <c r="AS4" s="473" t="s">
        <v>470</v>
      </c>
      <c r="AT4" s="473" t="s">
        <v>470</v>
      </c>
      <c r="AU4" s="102"/>
      <c r="AV4" s="473" t="s">
        <v>345</v>
      </c>
      <c r="AW4" s="477">
        <v>6.15281E-5</v>
      </c>
      <c r="AX4" s="477">
        <v>-0.0198054</v>
      </c>
      <c r="AY4" s="477">
        <v>2.8285704</v>
      </c>
      <c r="AZ4" s="477">
        <v>1.067</v>
      </c>
      <c r="BA4" s="102"/>
      <c r="BB4" s="473" t="s">
        <v>346</v>
      </c>
      <c r="BC4" s="474">
        <v>31.0</v>
      </c>
      <c r="BD4" s="474">
        <v>40.0</v>
      </c>
      <c r="BE4" s="474">
        <v>34.0</v>
      </c>
      <c r="BF4" s="474">
        <v>32.0</v>
      </c>
      <c r="BG4" s="474">
        <v>31.0</v>
      </c>
      <c r="BH4" s="478">
        <f t="shared" ref="BH4:BH46" si="15">AVERAGE(BC4:BG4)</f>
        <v>33.6</v>
      </c>
      <c r="BI4" s="102"/>
      <c r="BJ4" s="473" t="s">
        <v>471</v>
      </c>
      <c r="BK4" s="474">
        <v>0.1</v>
      </c>
      <c r="BL4" s="102"/>
      <c r="BM4" s="473" t="s">
        <v>472</v>
      </c>
      <c r="BN4" s="474">
        <v>26.1775</v>
      </c>
      <c r="BO4" s="102"/>
      <c r="BQ4" s="470" t="s">
        <v>473</v>
      </c>
      <c r="BR4" s="470" t="s">
        <v>474</v>
      </c>
      <c r="BS4" s="475" t="s">
        <v>475</v>
      </c>
      <c r="BT4" s="470" t="s">
        <v>476</v>
      </c>
      <c r="BU4" s="470" t="s">
        <v>477</v>
      </c>
      <c r="BV4" s="470" t="s">
        <v>478</v>
      </c>
      <c r="BW4" s="470" t="s">
        <v>479</v>
      </c>
      <c r="BX4" s="470" t="s">
        <v>480</v>
      </c>
      <c r="BY4" s="470" t="s">
        <v>481</v>
      </c>
      <c r="BZ4" s="470" t="s">
        <v>482</v>
      </c>
      <c r="CA4" s="475" t="s">
        <v>483</v>
      </c>
      <c r="CB4" s="470" t="s">
        <v>484</v>
      </c>
      <c r="CC4" s="102"/>
    </row>
    <row r="5">
      <c r="A5" s="467" t="s">
        <v>485</v>
      </c>
      <c r="B5" s="102"/>
      <c r="C5" s="467">
        <v>2.0</v>
      </c>
      <c r="D5" s="102"/>
      <c r="E5" s="473" t="s">
        <v>486</v>
      </c>
      <c r="F5" s="474">
        <v>45.0</v>
      </c>
      <c r="G5" s="102"/>
      <c r="H5" s="473" t="s">
        <v>470</v>
      </c>
      <c r="I5" s="474">
        <v>1.3</v>
      </c>
      <c r="J5" s="474">
        <v>1.3</v>
      </c>
      <c r="K5" s="474">
        <v>1.3</v>
      </c>
      <c r="L5" s="474">
        <v>0.0</v>
      </c>
      <c r="M5" s="474">
        <v>1.0</v>
      </c>
      <c r="N5" s="474">
        <v>1.2</v>
      </c>
      <c r="O5" s="102"/>
      <c r="P5" s="474">
        <v>2.0</v>
      </c>
      <c r="Q5" s="474">
        <f t="shared" si="1"/>
        <v>2</v>
      </c>
      <c r="R5" s="474">
        <f t="shared" si="2"/>
        <v>2</v>
      </c>
      <c r="S5" s="474">
        <f t="shared" si="3"/>
        <v>4</v>
      </c>
      <c r="T5" s="474">
        <f t="shared" si="4"/>
        <v>4</v>
      </c>
      <c r="U5" s="474">
        <f t="shared" si="5"/>
        <v>3</v>
      </c>
      <c r="V5" s="474">
        <f t="shared" si="6"/>
        <v>3</v>
      </c>
      <c r="W5" s="474">
        <f t="shared" si="7"/>
        <v>4</v>
      </c>
      <c r="X5" s="474">
        <f t="shared" si="8"/>
        <v>6</v>
      </c>
      <c r="Y5" s="474">
        <f t="shared" si="9"/>
        <v>2</v>
      </c>
      <c r="Z5" s="102"/>
      <c r="AA5" s="474">
        <v>2.0</v>
      </c>
      <c r="AB5" s="474">
        <f t="shared" si="10"/>
        <v>7</v>
      </c>
      <c r="AC5" s="476">
        <f t="shared" si="11"/>
        <v>2</v>
      </c>
      <c r="AD5" s="474">
        <f t="shared" si="12"/>
        <v>2</v>
      </c>
      <c r="AE5" s="474">
        <f t="shared" si="13"/>
        <v>3</v>
      </c>
      <c r="AF5" s="474">
        <f t="shared" si="14"/>
        <v>2</v>
      </c>
      <c r="AG5" s="102"/>
      <c r="AH5" s="473" t="s">
        <v>487</v>
      </c>
      <c r="AI5" s="473" t="s">
        <v>487</v>
      </c>
      <c r="AJ5" s="473" t="s">
        <v>487</v>
      </c>
      <c r="AK5" s="473" t="s">
        <v>487</v>
      </c>
      <c r="AL5" s="473" t="s">
        <v>487</v>
      </c>
      <c r="AM5" s="473" t="s">
        <v>487</v>
      </c>
      <c r="AN5" s="473" t="s">
        <v>487</v>
      </c>
      <c r="AO5" s="473" t="s">
        <v>487</v>
      </c>
      <c r="AP5" s="473" t="s">
        <v>487</v>
      </c>
      <c r="AQ5" s="473" t="s">
        <v>487</v>
      </c>
      <c r="AR5" s="473" t="s">
        <v>487</v>
      </c>
      <c r="AS5" s="473" t="s">
        <v>487</v>
      </c>
      <c r="AT5" s="473" t="s">
        <v>487</v>
      </c>
      <c r="AU5" s="102"/>
      <c r="AV5" s="473" t="s">
        <v>358</v>
      </c>
      <c r="AW5" s="477">
        <v>0.0</v>
      </c>
      <c r="AX5" s="477">
        <v>-0.0175</v>
      </c>
      <c r="AY5" s="477">
        <v>3.5</v>
      </c>
      <c r="AZ5" s="477">
        <v>1.35</v>
      </c>
      <c r="BA5" s="102"/>
      <c r="BB5" s="473" t="s">
        <v>350</v>
      </c>
      <c r="BC5" s="474">
        <v>34.0</v>
      </c>
      <c r="BD5" s="102"/>
      <c r="BE5" s="102"/>
      <c r="BF5" s="102"/>
      <c r="BG5" s="102"/>
      <c r="BH5" s="478">
        <f t="shared" si="15"/>
        <v>34</v>
      </c>
      <c r="BI5" s="102"/>
      <c r="BJ5" s="473" t="s">
        <v>488</v>
      </c>
      <c r="BK5" s="474">
        <v>0.17</v>
      </c>
      <c r="BL5" s="102"/>
      <c r="BM5" s="473" t="s">
        <v>489</v>
      </c>
      <c r="BN5" s="474">
        <f>BN4/BN3</f>
        <v>0.569396682</v>
      </c>
      <c r="BO5" s="102"/>
      <c r="BP5" s="473" t="s">
        <v>346</v>
      </c>
      <c r="BQ5" s="474">
        <f>7*5582</f>
        <v>39074</v>
      </c>
      <c r="BR5" s="474" t="s">
        <v>349</v>
      </c>
      <c r="BS5" s="479">
        <v>1.0</v>
      </c>
      <c r="BT5" s="474">
        <f>7*2425</f>
        <v>16975</v>
      </c>
      <c r="BU5" s="474">
        <v>2005.0</v>
      </c>
      <c r="BV5" s="479">
        <f t="shared" ref="BV5:BV47" si="16">BT5/(1+((1/30)*BU5)/1.3333333333333)</f>
        <v>332.0293399</v>
      </c>
      <c r="BW5" s="479">
        <v>1.0</v>
      </c>
      <c r="BX5" s="474">
        <v>2.55</v>
      </c>
      <c r="BY5" s="474">
        <v>45.9741</v>
      </c>
      <c r="BZ5" s="478">
        <f t="shared" ref="BZ5:BZ47" si="17">BV5*BX5*BY5</f>
        <v>38925.11269</v>
      </c>
      <c r="CA5" s="479">
        <f t="shared" ref="CA5:CA12" si="18">BZ5/BQ5</f>
        <v>0.9961896066</v>
      </c>
      <c r="CB5" s="479">
        <f t="shared" ref="CB5:CB47" si="19">BW5/BS5</f>
        <v>1</v>
      </c>
      <c r="CC5" s="102"/>
    </row>
    <row r="6">
      <c r="A6" s="467" t="s">
        <v>490</v>
      </c>
      <c r="B6" s="102"/>
      <c r="C6" s="467">
        <v>3.0</v>
      </c>
      <c r="D6" s="102"/>
      <c r="E6" s="473" t="s">
        <v>491</v>
      </c>
      <c r="F6" s="474">
        <v>3.0</v>
      </c>
      <c r="G6" s="102"/>
      <c r="H6" s="473" t="s">
        <v>487</v>
      </c>
      <c r="I6" s="474">
        <v>1.33</v>
      </c>
      <c r="J6" s="474">
        <v>1.33</v>
      </c>
      <c r="K6" s="474">
        <v>1.33</v>
      </c>
      <c r="L6" s="474">
        <v>0.0</v>
      </c>
      <c r="M6" s="474">
        <v>1.0</v>
      </c>
      <c r="N6" s="474">
        <v>1.0</v>
      </c>
      <c r="O6" s="102"/>
      <c r="P6" s="474">
        <v>3.0</v>
      </c>
      <c r="Q6" s="474">
        <f t="shared" si="1"/>
        <v>4</v>
      </c>
      <c r="R6" s="474">
        <f t="shared" si="2"/>
        <v>3</v>
      </c>
      <c r="S6" s="474">
        <f t="shared" si="3"/>
        <v>6</v>
      </c>
      <c r="T6" s="474">
        <f t="shared" si="4"/>
        <v>6</v>
      </c>
      <c r="U6" s="474">
        <f t="shared" si="5"/>
        <v>4</v>
      </c>
      <c r="V6" s="474">
        <f t="shared" si="6"/>
        <v>4</v>
      </c>
      <c r="W6" s="474">
        <f t="shared" si="7"/>
        <v>6</v>
      </c>
      <c r="X6" s="474">
        <f t="shared" si="8"/>
        <v>9</v>
      </c>
      <c r="Y6" s="474">
        <f t="shared" si="9"/>
        <v>4</v>
      </c>
      <c r="Z6" s="102"/>
      <c r="AA6" s="474">
        <v>3.0</v>
      </c>
      <c r="AB6" s="474">
        <f t="shared" si="10"/>
        <v>8</v>
      </c>
      <c r="AC6" s="476">
        <f t="shared" si="11"/>
        <v>4</v>
      </c>
      <c r="AD6" s="474">
        <f t="shared" si="12"/>
        <v>3</v>
      </c>
      <c r="AE6" s="474">
        <f t="shared" si="13"/>
        <v>4</v>
      </c>
      <c r="AF6" s="474">
        <f t="shared" si="14"/>
        <v>4</v>
      </c>
      <c r="AG6" s="102"/>
      <c r="AH6" s="473" t="s">
        <v>492</v>
      </c>
      <c r="AI6" s="473" t="s">
        <v>492</v>
      </c>
      <c r="AJ6" s="473" t="s">
        <v>492</v>
      </c>
      <c r="AK6" s="473" t="s">
        <v>492</v>
      </c>
      <c r="AL6" s="473" t="s">
        <v>492</v>
      </c>
      <c r="AM6" s="473" t="s">
        <v>492</v>
      </c>
      <c r="AN6" s="473" t="s">
        <v>492</v>
      </c>
      <c r="AO6" s="473" t="s">
        <v>492</v>
      </c>
      <c r="AP6" s="473" t="s">
        <v>492</v>
      </c>
      <c r="AQ6" s="473" t="s">
        <v>492</v>
      </c>
      <c r="AR6" s="473" t="s">
        <v>492</v>
      </c>
      <c r="AS6" s="473" t="s">
        <v>492</v>
      </c>
      <c r="AT6" s="473" t="s">
        <v>492</v>
      </c>
      <c r="AU6" s="102"/>
      <c r="AV6" s="473" t="s">
        <v>363</v>
      </c>
      <c r="AW6" s="477">
        <v>7.24199E-5</v>
      </c>
      <c r="AX6" s="477">
        <v>-0.0216432</v>
      </c>
      <c r="AY6" s="477">
        <v>3.24104606666667</v>
      </c>
      <c r="AZ6" s="477">
        <v>1.5</v>
      </c>
      <c r="BA6" s="102"/>
      <c r="BB6" s="473" t="s">
        <v>352</v>
      </c>
      <c r="BC6" s="474">
        <v>16.0</v>
      </c>
      <c r="BD6" s="474">
        <v>22.0</v>
      </c>
      <c r="BE6" s="474">
        <v>19.0</v>
      </c>
      <c r="BF6" s="474">
        <v>20.0</v>
      </c>
      <c r="BG6" s="474">
        <v>18.0</v>
      </c>
      <c r="BH6" s="478">
        <f t="shared" si="15"/>
        <v>19</v>
      </c>
      <c r="BI6" s="102"/>
      <c r="BJ6" s="473" t="s">
        <v>493</v>
      </c>
      <c r="BK6" s="474">
        <v>0.22</v>
      </c>
      <c r="BL6" s="102"/>
      <c r="BM6" s="102"/>
      <c r="BN6" s="102"/>
      <c r="BO6" s="102"/>
      <c r="BP6" s="473" t="s">
        <v>350</v>
      </c>
      <c r="BQ6" s="474">
        <f>7*6452</f>
        <v>45164</v>
      </c>
      <c r="BR6" s="474" t="s">
        <v>349</v>
      </c>
      <c r="BS6" s="479">
        <v>1.0</v>
      </c>
      <c r="BT6" s="474">
        <f>7*2804</f>
        <v>19628</v>
      </c>
      <c r="BU6" s="474">
        <v>2006.0</v>
      </c>
      <c r="BV6" s="479">
        <f t="shared" si="16"/>
        <v>383.7341153</v>
      </c>
      <c r="BW6" s="479">
        <v>1.0</v>
      </c>
      <c r="BX6" s="474">
        <v>2.55</v>
      </c>
      <c r="BY6" s="474">
        <v>45.9741</v>
      </c>
      <c r="BZ6" s="478">
        <f t="shared" si="17"/>
        <v>44986.66801</v>
      </c>
      <c r="CA6" s="479">
        <f t="shared" si="18"/>
        <v>0.9960735987</v>
      </c>
      <c r="CB6" s="479">
        <f t="shared" si="19"/>
        <v>1</v>
      </c>
      <c r="CC6" s="102"/>
    </row>
    <row r="7">
      <c r="A7" s="467" t="s">
        <v>494</v>
      </c>
      <c r="B7" s="102"/>
      <c r="C7" s="467">
        <v>4.0</v>
      </c>
      <c r="D7" s="102"/>
      <c r="E7" s="473" t="s">
        <v>495</v>
      </c>
      <c r="F7" s="474">
        <v>15.0</v>
      </c>
      <c r="G7" s="102"/>
      <c r="H7" s="473" t="s">
        <v>492</v>
      </c>
      <c r="I7" s="474">
        <v>1.3</v>
      </c>
      <c r="J7" s="474">
        <v>1.3</v>
      </c>
      <c r="K7" s="474">
        <v>1.3</v>
      </c>
      <c r="L7" s="474">
        <v>0.0</v>
      </c>
      <c r="M7" s="474">
        <v>1.0</v>
      </c>
      <c r="N7" s="474">
        <v>1.0</v>
      </c>
      <c r="O7" s="102"/>
      <c r="P7" s="474">
        <v>4.0</v>
      </c>
      <c r="Q7" s="474">
        <f t="shared" si="1"/>
        <v>5</v>
      </c>
      <c r="R7" s="474">
        <f t="shared" si="2"/>
        <v>6</v>
      </c>
      <c r="S7" s="474">
        <f t="shared" si="3"/>
        <v>7</v>
      </c>
      <c r="T7" s="474">
        <f t="shared" si="4"/>
        <v>8</v>
      </c>
      <c r="U7" s="474">
        <f t="shared" si="5"/>
        <v>6</v>
      </c>
      <c r="V7" s="474">
        <f t="shared" si="6"/>
        <v>5</v>
      </c>
      <c r="W7" s="474">
        <f t="shared" si="7"/>
        <v>8</v>
      </c>
      <c r="X7" s="474">
        <f t="shared" si="8"/>
        <v>12</v>
      </c>
      <c r="Y7" s="474">
        <f t="shared" si="9"/>
        <v>5</v>
      </c>
      <c r="Z7" s="102"/>
      <c r="AA7" s="474">
        <v>4.0</v>
      </c>
      <c r="AB7" s="474">
        <f t="shared" si="10"/>
        <v>9</v>
      </c>
      <c r="AC7" s="476">
        <f t="shared" si="11"/>
        <v>5</v>
      </c>
      <c r="AD7" s="474">
        <f t="shared" si="12"/>
        <v>6</v>
      </c>
      <c r="AE7" s="474">
        <f t="shared" si="13"/>
        <v>5</v>
      </c>
      <c r="AF7" s="474">
        <f t="shared" si="14"/>
        <v>5</v>
      </c>
      <c r="AG7" s="102"/>
      <c r="AH7" s="473" t="s">
        <v>449</v>
      </c>
      <c r="AI7" s="102"/>
      <c r="AJ7" s="102"/>
      <c r="AK7" s="102"/>
      <c r="AL7" s="102"/>
      <c r="AM7" s="102"/>
      <c r="AN7" s="102"/>
      <c r="AO7" s="473" t="s">
        <v>449</v>
      </c>
      <c r="AP7" s="102"/>
      <c r="AQ7" s="102"/>
      <c r="AR7" s="102"/>
      <c r="AS7" s="102"/>
      <c r="AT7" s="102"/>
      <c r="AU7" s="102"/>
      <c r="AV7" s="473" t="s">
        <v>375</v>
      </c>
      <c r="AW7" s="477">
        <v>7.55233E-5</v>
      </c>
      <c r="AX7" s="477">
        <v>-0.0248947</v>
      </c>
      <c r="AY7" s="477">
        <v>4.12880153333333</v>
      </c>
      <c r="AZ7" s="477">
        <v>1.967</v>
      </c>
      <c r="BA7" s="102"/>
      <c r="BB7" s="473" t="s">
        <v>354</v>
      </c>
      <c r="BC7" s="474">
        <v>31.0</v>
      </c>
      <c r="BD7" s="474">
        <v>30.0</v>
      </c>
      <c r="BE7" s="474">
        <v>26.0</v>
      </c>
      <c r="BF7" s="474">
        <v>34.0</v>
      </c>
      <c r="BG7" s="474">
        <v>33.0</v>
      </c>
      <c r="BH7" s="478">
        <f t="shared" si="15"/>
        <v>30.8</v>
      </c>
      <c r="BI7" s="102"/>
      <c r="BJ7" s="473" t="s">
        <v>496</v>
      </c>
      <c r="BK7" s="474">
        <v>0.25</v>
      </c>
      <c r="BL7" s="102"/>
      <c r="BM7" s="102"/>
      <c r="BN7" s="102"/>
      <c r="BO7" s="102"/>
      <c r="BP7" s="473" t="s">
        <v>352</v>
      </c>
      <c r="BQ7" s="474">
        <f>5*9915</f>
        <v>49575</v>
      </c>
      <c r="BR7" s="474" t="s">
        <v>349</v>
      </c>
      <c r="BS7" s="479">
        <v>1.0</v>
      </c>
      <c r="BT7" s="474">
        <f>5*4281</f>
        <v>21405</v>
      </c>
      <c r="BU7" s="474">
        <v>1993.0</v>
      </c>
      <c r="BV7" s="479">
        <f t="shared" si="16"/>
        <v>421.1510084</v>
      </c>
      <c r="BW7" s="479">
        <v>1.0</v>
      </c>
      <c r="BX7" s="474">
        <v>2.55</v>
      </c>
      <c r="BY7" s="474">
        <v>45.9741</v>
      </c>
      <c r="BZ7" s="478">
        <f t="shared" si="17"/>
        <v>49373.19836</v>
      </c>
      <c r="CA7" s="479">
        <f t="shared" si="18"/>
        <v>0.9959293669</v>
      </c>
      <c r="CB7" s="479">
        <f t="shared" si="19"/>
        <v>1</v>
      </c>
      <c r="CC7" s="102"/>
    </row>
    <row r="8">
      <c r="A8" s="467" t="s">
        <v>497</v>
      </c>
      <c r="B8" s="102"/>
      <c r="C8" s="467">
        <v>5.0</v>
      </c>
      <c r="D8" s="102"/>
      <c r="E8" s="473" t="s">
        <v>498</v>
      </c>
      <c r="F8" s="474">
        <v>10.0</v>
      </c>
      <c r="G8" s="102"/>
      <c r="H8" s="473" t="s">
        <v>449</v>
      </c>
      <c r="I8" s="474">
        <v>0.75</v>
      </c>
      <c r="J8" s="474">
        <v>0.75</v>
      </c>
      <c r="K8" s="474">
        <v>0.75</v>
      </c>
      <c r="L8" s="474">
        <v>-20.0</v>
      </c>
      <c r="M8" s="474">
        <v>1.0</v>
      </c>
      <c r="N8" s="474">
        <v>0.75</v>
      </c>
      <c r="O8" s="102"/>
      <c r="P8" s="474">
        <v>5.0</v>
      </c>
      <c r="Q8" s="474">
        <f t="shared" si="1"/>
        <v>7</v>
      </c>
      <c r="R8" s="474">
        <f t="shared" si="2"/>
        <v>7</v>
      </c>
      <c r="S8" s="474">
        <f t="shared" si="3"/>
        <v>10</v>
      </c>
      <c r="T8" s="474">
        <f t="shared" si="4"/>
        <v>10</v>
      </c>
      <c r="U8" s="474">
        <f t="shared" si="5"/>
        <v>7</v>
      </c>
      <c r="V8" s="474">
        <f t="shared" si="6"/>
        <v>6</v>
      </c>
      <c r="W8" s="474">
        <f t="shared" si="7"/>
        <v>10</v>
      </c>
      <c r="X8" s="474">
        <f t="shared" si="8"/>
        <v>15</v>
      </c>
      <c r="Y8" s="474">
        <f t="shared" si="9"/>
        <v>7</v>
      </c>
      <c r="Z8" s="102"/>
      <c r="AA8" s="474">
        <v>5.0</v>
      </c>
      <c r="AB8" s="474">
        <f t="shared" si="10"/>
        <v>10</v>
      </c>
      <c r="AC8" s="476">
        <f t="shared" si="11"/>
        <v>6</v>
      </c>
      <c r="AD8" s="474">
        <f t="shared" si="12"/>
        <v>8</v>
      </c>
      <c r="AE8" s="474">
        <f t="shared" si="13"/>
        <v>6</v>
      </c>
      <c r="AF8" s="474">
        <f t="shared" si="14"/>
        <v>6</v>
      </c>
      <c r="AG8" s="102"/>
      <c r="AH8" s="473" t="s">
        <v>499</v>
      </c>
      <c r="AI8" s="473" t="s">
        <v>499</v>
      </c>
      <c r="AJ8" s="473" t="s">
        <v>499</v>
      </c>
      <c r="AK8" s="473" t="s">
        <v>499</v>
      </c>
      <c r="AL8" s="473" t="s">
        <v>499</v>
      </c>
      <c r="AM8" s="473" t="s">
        <v>499</v>
      </c>
      <c r="AN8" s="473" t="s">
        <v>499</v>
      </c>
      <c r="AO8" s="473" t="s">
        <v>499</v>
      </c>
      <c r="AP8" s="473" t="s">
        <v>499</v>
      </c>
      <c r="AQ8" s="473" t="s">
        <v>499</v>
      </c>
      <c r="AR8" s="473" t="s">
        <v>499</v>
      </c>
      <c r="AS8" s="473" t="s">
        <v>499</v>
      </c>
      <c r="AT8" s="473" t="s">
        <v>499</v>
      </c>
      <c r="AU8" s="102"/>
      <c r="AV8" s="473" t="s">
        <v>380</v>
      </c>
      <c r="AW8" s="477">
        <v>5.88462E-5</v>
      </c>
      <c r="AX8" s="477">
        <v>-0.0199884</v>
      </c>
      <c r="AY8" s="477">
        <v>2.87206463333</v>
      </c>
      <c r="AZ8" s="477">
        <v>1.133</v>
      </c>
      <c r="BA8" s="102"/>
      <c r="BB8" s="473" t="s">
        <v>356</v>
      </c>
      <c r="BC8" s="474">
        <v>48.0</v>
      </c>
      <c r="BD8" s="474">
        <v>46.0</v>
      </c>
      <c r="BE8" s="474">
        <v>44.0</v>
      </c>
      <c r="BF8" s="474">
        <v>45.0</v>
      </c>
      <c r="BG8" s="474">
        <v>46.0</v>
      </c>
      <c r="BH8" s="478">
        <f t="shared" si="15"/>
        <v>45.8</v>
      </c>
      <c r="BI8" s="102"/>
      <c r="BJ8" s="102"/>
      <c r="BK8" s="102"/>
      <c r="BL8" s="102"/>
      <c r="BM8" s="102"/>
      <c r="BN8" s="102"/>
      <c r="BO8" s="102"/>
      <c r="BP8" s="473" t="s">
        <v>354</v>
      </c>
      <c r="BQ8" s="474">
        <f>7*5789</f>
        <v>40523</v>
      </c>
      <c r="BR8" s="474" t="s">
        <v>349</v>
      </c>
      <c r="BS8" s="479">
        <v>1.0</v>
      </c>
      <c r="BT8" s="474">
        <f>7*2499</f>
        <v>17493</v>
      </c>
      <c r="BU8" s="474">
        <v>1993.0</v>
      </c>
      <c r="BV8" s="479">
        <f t="shared" si="16"/>
        <v>344.1810133</v>
      </c>
      <c r="BW8" s="479">
        <v>1.0</v>
      </c>
      <c r="BX8" s="474">
        <v>2.55</v>
      </c>
      <c r="BY8" s="474">
        <v>45.9741</v>
      </c>
      <c r="BZ8" s="478">
        <f t="shared" si="17"/>
        <v>40349.70142</v>
      </c>
      <c r="CA8" s="479">
        <f t="shared" si="18"/>
        <v>0.9957234514</v>
      </c>
      <c r="CB8" s="479">
        <f t="shared" si="19"/>
        <v>1</v>
      </c>
      <c r="CC8" s="102"/>
    </row>
    <row r="9">
      <c r="A9" s="467" t="s">
        <v>500</v>
      </c>
      <c r="B9" s="102"/>
      <c r="C9" s="467">
        <v>6.0</v>
      </c>
      <c r="D9" s="102"/>
      <c r="E9" s="473" t="s">
        <v>501</v>
      </c>
      <c r="F9" s="474">
        <v>30.0</v>
      </c>
      <c r="G9" s="102"/>
      <c r="H9" s="473" t="s">
        <v>499</v>
      </c>
      <c r="I9" s="474">
        <v>1.0</v>
      </c>
      <c r="J9" s="474">
        <v>1.0</v>
      </c>
      <c r="K9" s="474">
        <v>1.0</v>
      </c>
      <c r="L9" s="474">
        <v>0.0</v>
      </c>
      <c r="M9" s="474">
        <v>1.0</v>
      </c>
      <c r="N9" s="474">
        <v>0.7</v>
      </c>
      <c r="O9" s="102"/>
      <c r="P9" s="474">
        <v>6.0</v>
      </c>
      <c r="Q9" s="474">
        <f t="shared" si="1"/>
        <v>8</v>
      </c>
      <c r="R9" s="474">
        <f t="shared" si="2"/>
        <v>10</v>
      </c>
      <c r="S9" s="474">
        <f t="shared" si="3"/>
        <v>11</v>
      </c>
      <c r="T9" s="474">
        <f t="shared" si="4"/>
        <v>12</v>
      </c>
      <c r="U9" s="474">
        <f t="shared" si="5"/>
        <v>8</v>
      </c>
      <c r="V9" s="474">
        <f t="shared" si="6"/>
        <v>7</v>
      </c>
      <c r="W9" s="474">
        <f t="shared" si="7"/>
        <v>12</v>
      </c>
      <c r="X9" s="474">
        <f t="shared" si="8"/>
        <v>18</v>
      </c>
      <c r="Y9" s="474">
        <f t="shared" si="9"/>
        <v>8</v>
      </c>
      <c r="Z9" s="102"/>
      <c r="AA9" s="474">
        <v>6.0</v>
      </c>
      <c r="AB9" s="474">
        <f t="shared" si="10"/>
        <v>11</v>
      </c>
      <c r="AC9" s="476">
        <f t="shared" si="11"/>
        <v>8</v>
      </c>
      <c r="AD9" s="474">
        <f t="shared" si="12"/>
        <v>10</v>
      </c>
      <c r="AE9" s="474">
        <f t="shared" si="13"/>
        <v>7</v>
      </c>
      <c r="AF9" s="474">
        <f t="shared" si="14"/>
        <v>8</v>
      </c>
      <c r="AG9" s="102"/>
      <c r="AH9" s="473" t="s">
        <v>502</v>
      </c>
      <c r="AI9" s="473" t="s">
        <v>502</v>
      </c>
      <c r="AJ9" s="473" t="s">
        <v>502</v>
      </c>
      <c r="AK9" s="473" t="s">
        <v>502</v>
      </c>
      <c r="AL9" s="473" t="s">
        <v>502</v>
      </c>
      <c r="AM9" s="473" t="s">
        <v>502</v>
      </c>
      <c r="AN9" s="473" t="s">
        <v>502</v>
      </c>
      <c r="AO9" s="473" t="s">
        <v>502</v>
      </c>
      <c r="AP9" s="473" t="s">
        <v>502</v>
      </c>
      <c r="AQ9" s="473" t="s">
        <v>502</v>
      </c>
      <c r="AR9" s="473" t="s">
        <v>502</v>
      </c>
      <c r="AS9" s="473" t="s">
        <v>502</v>
      </c>
      <c r="AT9" s="473" t="s">
        <v>502</v>
      </c>
      <c r="AU9" s="102"/>
      <c r="AV9" s="473" t="s">
        <v>384</v>
      </c>
      <c r="AW9" s="477">
        <v>9.05351E-5</v>
      </c>
      <c r="AX9" s="477">
        <v>-0.0305819</v>
      </c>
      <c r="AY9" s="477">
        <v>6.1219905</v>
      </c>
      <c r="AZ9" s="477">
        <v>1.4</v>
      </c>
      <c r="BA9" s="102"/>
      <c r="BB9" s="473" t="s">
        <v>359</v>
      </c>
      <c r="BC9" s="474">
        <v>55.0</v>
      </c>
      <c r="BD9" s="474">
        <v>54.0</v>
      </c>
      <c r="BE9" s="474">
        <v>25.0</v>
      </c>
      <c r="BF9" s="474">
        <v>50.0</v>
      </c>
      <c r="BG9" s="474">
        <v>40.0</v>
      </c>
      <c r="BH9" s="478">
        <f t="shared" si="15"/>
        <v>44.8</v>
      </c>
      <c r="BI9" s="102"/>
      <c r="BJ9" s="102"/>
      <c r="BK9" s="102"/>
      <c r="BL9" s="102"/>
      <c r="BM9" s="102"/>
      <c r="BN9" s="102"/>
      <c r="BO9" s="102"/>
      <c r="BP9" s="473" t="s">
        <v>356</v>
      </c>
      <c r="BQ9" s="474">
        <f>9*4100</f>
        <v>36900</v>
      </c>
      <c r="BR9" s="474" t="s">
        <v>349</v>
      </c>
      <c r="BS9" s="479">
        <v>1.0</v>
      </c>
      <c r="BT9" s="474">
        <f>9*1771</f>
        <v>15939</v>
      </c>
      <c r="BU9" s="474">
        <v>1993.0</v>
      </c>
      <c r="BV9" s="479">
        <f t="shared" si="16"/>
        <v>313.6055091</v>
      </c>
      <c r="BW9" s="479">
        <v>1.0</v>
      </c>
      <c r="BX9" s="474">
        <v>2.55</v>
      </c>
      <c r="BY9" s="474">
        <v>45.9741</v>
      </c>
      <c r="BZ9" s="478">
        <f t="shared" si="17"/>
        <v>36765.21414</v>
      </c>
      <c r="CA9" s="479">
        <f t="shared" si="18"/>
        <v>0.9963472667</v>
      </c>
      <c r="CB9" s="479">
        <f t="shared" si="19"/>
        <v>1</v>
      </c>
      <c r="CC9" s="102"/>
    </row>
    <row r="10">
      <c r="A10" s="102"/>
      <c r="B10" s="102"/>
      <c r="C10" s="467">
        <v>7.0</v>
      </c>
      <c r="D10" s="102"/>
      <c r="E10" s="473" t="s">
        <v>503</v>
      </c>
      <c r="F10" s="474">
        <v>30.0</v>
      </c>
      <c r="G10" s="102"/>
      <c r="H10" s="473" t="s">
        <v>502</v>
      </c>
      <c r="I10" s="474">
        <v>1.35</v>
      </c>
      <c r="J10" s="474">
        <v>1.35</v>
      </c>
      <c r="K10" s="474">
        <v>1.35</v>
      </c>
      <c r="L10" s="474">
        <v>0.0</v>
      </c>
      <c r="M10" s="474">
        <v>1.0</v>
      </c>
      <c r="N10" s="474">
        <v>1.0</v>
      </c>
      <c r="O10" s="102"/>
      <c r="P10" s="474">
        <v>7.0</v>
      </c>
      <c r="Q10" s="474">
        <f t="shared" si="1"/>
        <v>10</v>
      </c>
      <c r="R10" s="474">
        <f t="shared" si="2"/>
        <v>11</v>
      </c>
      <c r="S10" s="474">
        <f t="shared" si="3"/>
        <v>13</v>
      </c>
      <c r="T10" s="474">
        <f t="shared" si="4"/>
        <v>14</v>
      </c>
      <c r="U10" s="474">
        <f t="shared" si="5"/>
        <v>10</v>
      </c>
      <c r="V10" s="474">
        <f t="shared" si="6"/>
        <v>8</v>
      </c>
      <c r="W10" s="474">
        <f t="shared" si="7"/>
        <v>14</v>
      </c>
      <c r="X10" s="474">
        <f t="shared" si="8"/>
        <v>21</v>
      </c>
      <c r="Y10" s="474">
        <f t="shared" si="9"/>
        <v>10</v>
      </c>
      <c r="Z10" s="102"/>
      <c r="AA10" s="474">
        <v>7.0</v>
      </c>
      <c r="AB10" s="474">
        <f t="shared" si="10"/>
        <v>12</v>
      </c>
      <c r="AC10" s="476">
        <f t="shared" si="11"/>
        <v>9</v>
      </c>
      <c r="AD10" s="474">
        <f t="shared" si="12"/>
        <v>11</v>
      </c>
      <c r="AE10" s="474">
        <f t="shared" si="13"/>
        <v>8</v>
      </c>
      <c r="AF10" s="474">
        <f t="shared" si="14"/>
        <v>9</v>
      </c>
      <c r="AG10" s="102"/>
      <c r="AH10" s="473" t="s">
        <v>448</v>
      </c>
      <c r="AI10" s="473" t="s">
        <v>448</v>
      </c>
      <c r="AJ10" s="473" t="s">
        <v>448</v>
      </c>
      <c r="AK10" s="473" t="s">
        <v>448</v>
      </c>
      <c r="AL10" s="473" t="s">
        <v>448</v>
      </c>
      <c r="AM10" s="473" t="s">
        <v>448</v>
      </c>
      <c r="AN10" s="473" t="s">
        <v>448</v>
      </c>
      <c r="AO10" s="473" t="s">
        <v>448</v>
      </c>
      <c r="AP10" s="473" t="s">
        <v>448</v>
      </c>
      <c r="AQ10" s="473" t="s">
        <v>448</v>
      </c>
      <c r="AR10" s="473" t="s">
        <v>448</v>
      </c>
      <c r="AS10" s="473" t="s">
        <v>448</v>
      </c>
      <c r="AT10" s="473" t="s">
        <v>448</v>
      </c>
      <c r="AU10" s="102"/>
      <c r="AV10" s="473" t="s">
        <v>389</v>
      </c>
      <c r="AW10" s="477">
        <v>1.03959E-4</v>
      </c>
      <c r="AX10" s="477">
        <v>-0.0252069</v>
      </c>
      <c r="AY10" s="477">
        <v>4.09182213333333</v>
      </c>
      <c r="AZ10" s="477">
        <v>2.1</v>
      </c>
      <c r="BA10" s="102"/>
      <c r="BB10" s="473" t="s">
        <v>360</v>
      </c>
      <c r="BC10" s="474">
        <v>43.0</v>
      </c>
      <c r="BD10" s="474">
        <v>35.0</v>
      </c>
      <c r="BE10" s="474">
        <v>30.0</v>
      </c>
      <c r="BF10" s="102"/>
      <c r="BG10" s="102"/>
      <c r="BH10" s="478">
        <f t="shared" si="15"/>
        <v>36</v>
      </c>
      <c r="BI10" s="102"/>
      <c r="BJ10" s="102"/>
      <c r="BK10" s="102"/>
      <c r="BL10" s="102"/>
      <c r="BM10" s="102"/>
      <c r="BN10" s="102"/>
      <c r="BO10" s="102"/>
      <c r="BP10" s="473" t="s">
        <v>359</v>
      </c>
      <c r="BQ10" s="474">
        <v>23455.0</v>
      </c>
      <c r="BR10" s="474" t="s">
        <v>349</v>
      </c>
      <c r="BS10" s="479">
        <v>1.0</v>
      </c>
      <c r="BT10" s="474">
        <v>8601.0</v>
      </c>
      <c r="BU10" s="474">
        <v>1993.0</v>
      </c>
      <c r="BV10" s="479">
        <f t="shared" si="16"/>
        <v>169.2277423</v>
      </c>
      <c r="BW10" s="479">
        <v>1.0</v>
      </c>
      <c r="BX10" s="474">
        <v>3.0</v>
      </c>
      <c r="BY10" s="474">
        <v>45.9741</v>
      </c>
      <c r="BZ10" s="478">
        <f t="shared" si="17"/>
        <v>23340.27944</v>
      </c>
      <c r="CA10" s="479">
        <f t="shared" si="18"/>
        <v>0.9951089079</v>
      </c>
      <c r="CB10" s="479">
        <f t="shared" si="19"/>
        <v>1</v>
      </c>
      <c r="CC10" s="102"/>
    </row>
    <row r="11">
      <c r="A11" s="102"/>
      <c r="B11" s="102"/>
      <c r="C11" s="467">
        <v>8.0</v>
      </c>
      <c r="D11" s="102"/>
      <c r="E11" s="473" t="s">
        <v>504</v>
      </c>
      <c r="F11" s="474">
        <v>30.0</v>
      </c>
      <c r="G11" s="102"/>
      <c r="H11" s="473" t="s">
        <v>448</v>
      </c>
      <c r="I11" s="474">
        <v>1.0</v>
      </c>
      <c r="J11" s="474">
        <v>1.0</v>
      </c>
      <c r="K11" s="474">
        <v>1.0</v>
      </c>
      <c r="L11" s="474">
        <v>0.0</v>
      </c>
      <c r="M11" s="474">
        <v>1.0</v>
      </c>
      <c r="N11" s="474">
        <v>1.0</v>
      </c>
      <c r="O11" s="102"/>
      <c r="P11" s="474">
        <v>8.0</v>
      </c>
      <c r="Q11" s="474">
        <f t="shared" si="1"/>
        <v>11</v>
      </c>
      <c r="R11" s="474">
        <f t="shared" si="2"/>
        <v>14</v>
      </c>
      <c r="S11" s="474">
        <f t="shared" si="3"/>
        <v>14</v>
      </c>
      <c r="T11" s="474">
        <f t="shared" si="4"/>
        <v>16</v>
      </c>
      <c r="U11" s="474">
        <f t="shared" si="5"/>
        <v>11</v>
      </c>
      <c r="V11" s="474">
        <f t="shared" si="6"/>
        <v>9</v>
      </c>
      <c r="W11" s="474">
        <f t="shared" si="7"/>
        <v>16</v>
      </c>
      <c r="X11" s="474">
        <f t="shared" si="8"/>
        <v>24</v>
      </c>
      <c r="Y11" s="474">
        <f t="shared" si="9"/>
        <v>11</v>
      </c>
      <c r="Z11" s="102"/>
      <c r="AA11" s="474">
        <v>8.0</v>
      </c>
      <c r="AB11" s="474">
        <f t="shared" si="10"/>
        <v>13</v>
      </c>
      <c r="AC11" s="476">
        <f t="shared" si="11"/>
        <v>10</v>
      </c>
      <c r="AD11" s="474">
        <f t="shared" si="12"/>
        <v>13</v>
      </c>
      <c r="AE11" s="474">
        <f t="shared" si="13"/>
        <v>9</v>
      </c>
      <c r="AF11" s="474">
        <f t="shared" si="14"/>
        <v>10</v>
      </c>
      <c r="AG11" s="102"/>
      <c r="AH11" s="473" t="s">
        <v>505</v>
      </c>
      <c r="AI11" s="473" t="s">
        <v>505</v>
      </c>
      <c r="AJ11" s="102"/>
      <c r="AK11" s="102"/>
      <c r="AL11" s="102"/>
      <c r="AM11" s="102"/>
      <c r="AN11" s="102"/>
      <c r="AO11" s="102"/>
      <c r="AP11" s="102"/>
      <c r="AQ11" s="102"/>
      <c r="AR11" s="102"/>
      <c r="AS11" s="102"/>
      <c r="AT11" s="102"/>
      <c r="AU11" s="102"/>
      <c r="AV11" s="473" t="s">
        <v>394</v>
      </c>
      <c r="AW11" s="477">
        <v>6.40462E-5</v>
      </c>
      <c r="AX11" s="477">
        <v>-0.0141721</v>
      </c>
      <c r="AY11" s="477">
        <v>1.25061</v>
      </c>
      <c r="AZ11" s="477">
        <v>0.167</v>
      </c>
      <c r="BA11" s="102"/>
      <c r="BB11" s="473" t="s">
        <v>362</v>
      </c>
      <c r="BC11" s="474">
        <v>69.0</v>
      </c>
      <c r="BD11" s="474">
        <v>63.0</v>
      </c>
      <c r="BE11" s="102"/>
      <c r="BF11" s="102"/>
      <c r="BG11" s="102"/>
      <c r="BH11" s="478">
        <f t="shared" si="15"/>
        <v>66</v>
      </c>
      <c r="BI11" s="102"/>
      <c r="BJ11" s="102"/>
      <c r="BK11" s="102"/>
      <c r="BL11" s="102"/>
      <c r="BM11" s="102"/>
      <c r="BN11" s="102"/>
      <c r="BO11" s="102"/>
      <c r="BP11" s="473" t="s">
        <v>360</v>
      </c>
      <c r="BQ11" s="474">
        <v>26918.0</v>
      </c>
      <c r="BR11" s="474" t="s">
        <v>349</v>
      </c>
      <c r="BS11" s="479">
        <v>1.0</v>
      </c>
      <c r="BT11" s="474">
        <v>9969.0</v>
      </c>
      <c r="BU11" s="474">
        <v>2013.0</v>
      </c>
      <c r="BV11" s="479">
        <f t="shared" si="16"/>
        <v>194.23283</v>
      </c>
      <c r="BW11" s="479">
        <v>1.0</v>
      </c>
      <c r="BX11" s="474">
        <v>3.0</v>
      </c>
      <c r="BY11" s="474">
        <v>45.9741</v>
      </c>
      <c r="BZ11" s="478">
        <f t="shared" si="17"/>
        <v>26789.03865</v>
      </c>
      <c r="CA11" s="479">
        <f t="shared" si="18"/>
        <v>0.9952091036</v>
      </c>
      <c r="CB11" s="479">
        <f t="shared" si="19"/>
        <v>1</v>
      </c>
      <c r="CC11" s="102"/>
    </row>
    <row r="12">
      <c r="A12" s="102"/>
      <c r="B12" s="102"/>
      <c r="C12" s="467">
        <v>9.0</v>
      </c>
      <c r="D12" s="102"/>
      <c r="E12" s="473" t="s">
        <v>506</v>
      </c>
      <c r="F12" s="474">
        <v>20.0</v>
      </c>
      <c r="G12" s="102"/>
      <c r="H12" s="473" t="s">
        <v>505</v>
      </c>
      <c r="I12" s="474">
        <v>1.2</v>
      </c>
      <c r="J12" s="474">
        <v>1.2</v>
      </c>
      <c r="K12" s="474">
        <v>1.2</v>
      </c>
      <c r="L12" s="474">
        <v>0.0</v>
      </c>
      <c r="M12" s="474">
        <v>1.0</v>
      </c>
      <c r="N12" s="474">
        <v>0.9</v>
      </c>
      <c r="O12" s="102"/>
      <c r="P12" s="474">
        <v>9.0</v>
      </c>
      <c r="Q12" s="474">
        <f t="shared" si="1"/>
        <v>13</v>
      </c>
      <c r="R12" s="474">
        <f t="shared" si="2"/>
        <v>15</v>
      </c>
      <c r="S12" s="474">
        <f t="shared" si="3"/>
        <v>17</v>
      </c>
      <c r="T12" s="474">
        <f t="shared" si="4"/>
        <v>18</v>
      </c>
      <c r="U12" s="474">
        <f t="shared" si="5"/>
        <v>12</v>
      </c>
      <c r="V12" s="474">
        <f t="shared" si="6"/>
        <v>10</v>
      </c>
      <c r="W12" s="474">
        <f t="shared" si="7"/>
        <v>18</v>
      </c>
      <c r="X12" s="474">
        <f t="shared" si="8"/>
        <v>27</v>
      </c>
      <c r="Y12" s="474">
        <f t="shared" si="9"/>
        <v>13</v>
      </c>
      <c r="Z12" s="102"/>
      <c r="AA12" s="474">
        <v>9.0</v>
      </c>
      <c r="AB12" s="474">
        <f t="shared" si="10"/>
        <v>14</v>
      </c>
      <c r="AC12" s="476">
        <f t="shared" si="11"/>
        <v>12</v>
      </c>
      <c r="AD12" s="474">
        <f t="shared" si="12"/>
        <v>15</v>
      </c>
      <c r="AE12" s="474">
        <f t="shared" si="13"/>
        <v>10</v>
      </c>
      <c r="AF12" s="474">
        <f t="shared" si="14"/>
        <v>12</v>
      </c>
      <c r="AG12" s="102"/>
      <c r="AH12" s="473" t="s">
        <v>507</v>
      </c>
      <c r="AI12" s="473" t="s">
        <v>507</v>
      </c>
      <c r="AJ12" s="473" t="s">
        <v>507</v>
      </c>
      <c r="AK12" s="473" t="s">
        <v>507</v>
      </c>
      <c r="AL12" s="473" t="s">
        <v>507</v>
      </c>
      <c r="AM12" s="473" t="s">
        <v>507</v>
      </c>
      <c r="AN12" s="473" t="s">
        <v>507</v>
      </c>
      <c r="AO12" s="473" t="s">
        <v>507</v>
      </c>
      <c r="AP12" s="473" t="s">
        <v>507</v>
      </c>
      <c r="AQ12" s="473" t="s">
        <v>507</v>
      </c>
      <c r="AR12" s="473" t="s">
        <v>507</v>
      </c>
      <c r="AS12" s="473" t="s">
        <v>507</v>
      </c>
      <c r="AT12" s="473" t="s">
        <v>507</v>
      </c>
      <c r="AU12" s="102"/>
      <c r="AV12" s="473" t="s">
        <v>404</v>
      </c>
      <c r="AW12" s="480">
        <v>2.38311E-5</v>
      </c>
      <c r="AX12" s="480">
        <v>-0.0124553</v>
      </c>
      <c r="AY12" s="480">
        <v>2.14667245</v>
      </c>
      <c r="AZ12" s="480">
        <v>0.733</v>
      </c>
      <c r="BA12" s="102"/>
      <c r="BB12" s="473" t="s">
        <v>364</v>
      </c>
      <c r="BC12" s="474">
        <v>70.0</v>
      </c>
      <c r="BD12" s="474">
        <v>65.0</v>
      </c>
      <c r="BE12" s="102"/>
      <c r="BF12" s="102"/>
      <c r="BG12" s="102"/>
      <c r="BH12" s="478">
        <f t="shared" si="15"/>
        <v>67.5</v>
      </c>
      <c r="BI12" s="102"/>
      <c r="BJ12" s="102"/>
      <c r="BK12" s="102"/>
      <c r="BL12" s="102"/>
      <c r="BM12" s="102"/>
      <c r="BN12" s="102"/>
      <c r="BO12" s="102"/>
      <c r="BP12" s="473" t="s">
        <v>362</v>
      </c>
      <c r="BQ12" s="474">
        <v>18469.0</v>
      </c>
      <c r="BR12" s="474" t="s">
        <v>349</v>
      </c>
      <c r="BS12" s="479">
        <v>1.0</v>
      </c>
      <c r="BT12" s="474">
        <v>6816.0</v>
      </c>
      <c r="BU12" s="474">
        <v>2006.0</v>
      </c>
      <c r="BV12" s="479">
        <f t="shared" si="16"/>
        <v>133.255132</v>
      </c>
      <c r="BW12" s="479">
        <v>1.0</v>
      </c>
      <c r="BX12" s="474">
        <v>3.0</v>
      </c>
      <c r="BY12" s="474">
        <v>45.9741</v>
      </c>
      <c r="BZ12" s="478">
        <f t="shared" si="17"/>
        <v>18378.85429</v>
      </c>
      <c r="CA12" s="479">
        <f t="shared" si="18"/>
        <v>0.9951190799</v>
      </c>
      <c r="CB12" s="479">
        <f t="shared" si="19"/>
        <v>1</v>
      </c>
      <c r="CC12" s="102"/>
    </row>
    <row r="13">
      <c r="A13" s="102"/>
      <c r="B13" s="102"/>
      <c r="C13" s="467">
        <v>10.0</v>
      </c>
      <c r="D13" s="102"/>
      <c r="E13" s="473" t="s">
        <v>508</v>
      </c>
      <c r="F13" s="474">
        <v>17.5</v>
      </c>
      <c r="G13" s="102"/>
      <c r="H13" s="473" t="s">
        <v>507</v>
      </c>
      <c r="I13" s="474">
        <v>1.3</v>
      </c>
      <c r="J13" s="474">
        <v>1.3</v>
      </c>
      <c r="K13" s="474">
        <v>1.3</v>
      </c>
      <c r="L13" s="474">
        <v>0.0</v>
      </c>
      <c r="M13" s="474">
        <v>1.0</v>
      </c>
      <c r="N13" s="474">
        <v>1.0</v>
      </c>
      <c r="O13" s="102"/>
      <c r="P13" s="474">
        <v>10.0</v>
      </c>
      <c r="Q13" s="474">
        <f t="shared" si="1"/>
        <v>14</v>
      </c>
      <c r="R13" s="474">
        <f t="shared" si="2"/>
        <v>18</v>
      </c>
      <c r="S13" s="474">
        <f t="shared" si="3"/>
        <v>18</v>
      </c>
      <c r="T13" s="474">
        <f t="shared" si="4"/>
        <v>20</v>
      </c>
      <c r="U13" s="474">
        <f t="shared" si="5"/>
        <v>13</v>
      </c>
      <c r="V13" s="474">
        <f t="shared" si="6"/>
        <v>11</v>
      </c>
      <c r="W13" s="474">
        <f t="shared" si="7"/>
        <v>20</v>
      </c>
      <c r="X13" s="474">
        <f t="shared" si="8"/>
        <v>30</v>
      </c>
      <c r="Y13" s="474">
        <f t="shared" si="9"/>
        <v>14</v>
      </c>
      <c r="Z13" s="102"/>
      <c r="AA13" s="474">
        <v>10.0</v>
      </c>
      <c r="AB13" s="474">
        <f t="shared" si="10"/>
        <v>15</v>
      </c>
      <c r="AC13" s="476">
        <f t="shared" si="11"/>
        <v>13</v>
      </c>
      <c r="AD13" s="474">
        <f t="shared" si="12"/>
        <v>16</v>
      </c>
      <c r="AE13" s="474">
        <f t="shared" si="13"/>
        <v>11</v>
      </c>
      <c r="AF13" s="474">
        <f t="shared" si="14"/>
        <v>13</v>
      </c>
      <c r="AG13" s="102"/>
      <c r="AH13" s="473" t="s">
        <v>509</v>
      </c>
      <c r="AI13" s="102"/>
      <c r="AJ13" s="102"/>
      <c r="AK13" s="102"/>
      <c r="AL13" s="102"/>
      <c r="AM13" s="102"/>
      <c r="AN13" s="102"/>
      <c r="AO13" s="102"/>
      <c r="AP13" s="473" t="s">
        <v>509</v>
      </c>
      <c r="AQ13" s="102"/>
      <c r="AR13" s="102"/>
      <c r="AS13" s="102"/>
      <c r="AT13" s="102"/>
      <c r="AU13" s="102"/>
      <c r="AV13" s="473" t="s">
        <v>407</v>
      </c>
      <c r="AW13" s="477">
        <v>6.74498E-5</v>
      </c>
      <c r="AX13" s="477">
        <v>-0.0231542</v>
      </c>
      <c r="AY13" s="477">
        <v>3.8384</v>
      </c>
      <c r="AZ13" s="477">
        <v>1.733</v>
      </c>
      <c r="BA13" s="102"/>
      <c r="BB13" s="473" t="s">
        <v>366</v>
      </c>
      <c r="BC13" s="474">
        <v>32.0</v>
      </c>
      <c r="BD13" s="474">
        <v>39.0</v>
      </c>
      <c r="BE13" s="474">
        <v>32.0</v>
      </c>
      <c r="BF13" s="102"/>
      <c r="BG13" s="102"/>
      <c r="BH13" s="478">
        <f t="shared" si="15"/>
        <v>34.33333333</v>
      </c>
      <c r="BI13" s="102"/>
      <c r="BJ13" s="102"/>
      <c r="BK13" s="102"/>
      <c r="BL13" s="102"/>
      <c r="BM13" s="102"/>
      <c r="BN13" s="102"/>
      <c r="BO13" s="102"/>
      <c r="BP13" s="473" t="s">
        <v>364</v>
      </c>
      <c r="BQ13" s="481">
        <f>3*897+21*2301</f>
        <v>51012</v>
      </c>
      <c r="BR13" s="474" t="s">
        <v>349</v>
      </c>
      <c r="BS13" s="479">
        <v>1.0</v>
      </c>
      <c r="BT13" s="102"/>
      <c r="BU13" s="102"/>
      <c r="BV13" s="479">
        <f t="shared" si="16"/>
        <v>0</v>
      </c>
      <c r="BW13" s="479">
        <v>1.0</v>
      </c>
      <c r="BX13" s="474">
        <v>2.5</v>
      </c>
      <c r="BY13" s="474">
        <v>45.9741</v>
      </c>
      <c r="BZ13" s="478">
        <f t="shared" si="17"/>
        <v>0</v>
      </c>
      <c r="CA13" s="482">
        <v>1.0</v>
      </c>
      <c r="CB13" s="479">
        <f t="shared" si="19"/>
        <v>1</v>
      </c>
      <c r="CC13" s="102"/>
    </row>
    <row r="14">
      <c r="A14" s="102"/>
      <c r="B14" s="102"/>
      <c r="C14" s="467">
        <v>11.0</v>
      </c>
      <c r="D14" s="102"/>
      <c r="E14" s="473" t="s">
        <v>510</v>
      </c>
      <c r="F14" s="474">
        <v>40.0</v>
      </c>
      <c r="G14" s="102"/>
      <c r="H14" s="473" t="s">
        <v>509</v>
      </c>
      <c r="I14" s="474">
        <v>1.0</v>
      </c>
      <c r="J14" s="474">
        <v>1.0</v>
      </c>
      <c r="K14" s="474">
        <v>1.0</v>
      </c>
      <c r="L14" s="474">
        <v>0.0</v>
      </c>
      <c r="M14" s="474">
        <v>0.5</v>
      </c>
      <c r="N14" s="474">
        <v>1.0</v>
      </c>
      <c r="O14" s="102"/>
      <c r="P14" s="474">
        <v>11.0</v>
      </c>
      <c r="Q14" s="474">
        <f t="shared" si="1"/>
        <v>16</v>
      </c>
      <c r="R14" s="474">
        <f t="shared" si="2"/>
        <v>19</v>
      </c>
      <c r="S14" s="474">
        <f t="shared" si="3"/>
        <v>20</v>
      </c>
      <c r="T14" s="474">
        <f t="shared" si="4"/>
        <v>22</v>
      </c>
      <c r="U14" s="474">
        <f t="shared" si="5"/>
        <v>15</v>
      </c>
      <c r="V14" s="474">
        <f t="shared" si="6"/>
        <v>12</v>
      </c>
      <c r="W14" s="474">
        <f t="shared" si="7"/>
        <v>22</v>
      </c>
      <c r="X14" s="474">
        <f t="shared" si="8"/>
        <v>33</v>
      </c>
      <c r="Y14" s="474">
        <f t="shared" si="9"/>
        <v>16</v>
      </c>
      <c r="Z14" s="102"/>
      <c r="AA14" s="474">
        <v>11.0</v>
      </c>
      <c r="AB14" s="474">
        <f t="shared" si="10"/>
        <v>16</v>
      </c>
      <c r="AC14" s="476">
        <f t="shared" si="11"/>
        <v>14</v>
      </c>
      <c r="AD14" s="474">
        <f t="shared" si="12"/>
        <v>18</v>
      </c>
      <c r="AE14" s="474">
        <f t="shared" si="13"/>
        <v>13</v>
      </c>
      <c r="AF14" s="474">
        <f t="shared" si="14"/>
        <v>14</v>
      </c>
      <c r="AG14" s="102"/>
      <c r="AH14" s="473" t="s">
        <v>511</v>
      </c>
      <c r="AI14" s="473" t="s">
        <v>511</v>
      </c>
      <c r="AJ14" s="473" t="s">
        <v>511</v>
      </c>
      <c r="AK14" s="473" t="s">
        <v>511</v>
      </c>
      <c r="AL14" s="473" t="s">
        <v>511</v>
      </c>
      <c r="AM14" s="473" t="s">
        <v>511</v>
      </c>
      <c r="AN14" s="473" t="s">
        <v>511</v>
      </c>
      <c r="AO14" s="473" t="s">
        <v>511</v>
      </c>
      <c r="AP14" s="473" t="s">
        <v>511</v>
      </c>
      <c r="AQ14" s="473" t="s">
        <v>511</v>
      </c>
      <c r="AR14" s="473" t="s">
        <v>511</v>
      </c>
      <c r="AS14" s="473" t="s">
        <v>511</v>
      </c>
      <c r="AT14" s="473" t="s">
        <v>511</v>
      </c>
      <c r="AU14" s="102"/>
      <c r="AV14" s="473" t="s">
        <v>411</v>
      </c>
      <c r="AW14" s="477">
        <v>0.0</v>
      </c>
      <c r="AX14" s="477">
        <v>0.0</v>
      </c>
      <c r="AY14" s="477">
        <v>0.0</v>
      </c>
      <c r="AZ14" s="477">
        <v>0.0</v>
      </c>
      <c r="BA14" s="102"/>
      <c r="BB14" s="473" t="s">
        <v>368</v>
      </c>
      <c r="BC14" s="474">
        <v>64.0</v>
      </c>
      <c r="BD14" s="474">
        <v>71.0</v>
      </c>
      <c r="BE14" s="474">
        <v>62.0</v>
      </c>
      <c r="BF14" s="474">
        <v>63.0</v>
      </c>
      <c r="BG14" s="474">
        <v>70.0</v>
      </c>
      <c r="BH14" s="478">
        <f t="shared" si="15"/>
        <v>66</v>
      </c>
      <c r="BI14" s="102"/>
      <c r="BJ14" s="102"/>
      <c r="BK14" s="102"/>
      <c r="BL14" s="102"/>
      <c r="BM14" s="102"/>
      <c r="BN14" s="102"/>
      <c r="BO14" s="102"/>
      <c r="BP14" s="473" t="s">
        <v>366</v>
      </c>
      <c r="BQ14" s="474">
        <f>2*8316+2*10874</f>
        <v>38380</v>
      </c>
      <c r="BR14" s="474" t="s">
        <v>349</v>
      </c>
      <c r="BS14" s="479">
        <v>1.0</v>
      </c>
      <c r="BT14" s="474">
        <f>2*8444</f>
        <v>16888</v>
      </c>
      <c r="BU14" s="474">
        <v>1993.0</v>
      </c>
      <c r="BV14" s="479">
        <f t="shared" si="16"/>
        <v>332.2774225</v>
      </c>
      <c r="BW14" s="479">
        <v>1.0</v>
      </c>
      <c r="BX14" s="474">
        <v>2.5</v>
      </c>
      <c r="BY14" s="474">
        <v>45.9741</v>
      </c>
      <c r="BZ14" s="478">
        <f t="shared" si="17"/>
        <v>38190.38863</v>
      </c>
      <c r="CA14" s="479">
        <f t="shared" ref="CA14:CA16" si="20">BZ14/BQ14</f>
        <v>0.9950596307</v>
      </c>
      <c r="CB14" s="479">
        <f t="shared" si="19"/>
        <v>1</v>
      </c>
      <c r="CC14" s="102"/>
    </row>
    <row r="15">
      <c r="A15" s="102"/>
      <c r="B15" s="102"/>
      <c r="C15" s="467">
        <v>12.0</v>
      </c>
      <c r="D15" s="102"/>
      <c r="E15" s="473" t="s">
        <v>512</v>
      </c>
      <c r="F15" s="474">
        <v>45.0</v>
      </c>
      <c r="G15" s="102"/>
      <c r="H15" s="473" t="s">
        <v>511</v>
      </c>
      <c r="I15" s="474">
        <v>1.0</v>
      </c>
      <c r="J15" s="474">
        <v>1.0</v>
      </c>
      <c r="K15" s="474">
        <v>1.0</v>
      </c>
      <c r="L15" s="474">
        <v>50.0</v>
      </c>
      <c r="M15" s="474">
        <v>1.0</v>
      </c>
      <c r="N15" s="474">
        <v>1.0</v>
      </c>
      <c r="O15" s="102"/>
      <c r="P15" s="474">
        <v>12.0</v>
      </c>
      <c r="Q15" s="474">
        <f t="shared" si="1"/>
        <v>17</v>
      </c>
      <c r="R15" s="474">
        <f t="shared" si="2"/>
        <v>22</v>
      </c>
      <c r="S15" s="474">
        <f t="shared" si="3"/>
        <v>21</v>
      </c>
      <c r="T15" s="474">
        <f t="shared" si="4"/>
        <v>24</v>
      </c>
      <c r="U15" s="474">
        <f t="shared" si="5"/>
        <v>16</v>
      </c>
      <c r="V15" s="474">
        <f t="shared" si="6"/>
        <v>13</v>
      </c>
      <c r="W15" s="474">
        <f t="shared" si="7"/>
        <v>24</v>
      </c>
      <c r="X15" s="474">
        <f t="shared" si="8"/>
        <v>36</v>
      </c>
      <c r="Y15" s="474">
        <f t="shared" si="9"/>
        <v>17</v>
      </c>
      <c r="Z15" s="102"/>
      <c r="AA15" s="474">
        <v>12.0</v>
      </c>
      <c r="AB15" s="474">
        <f t="shared" si="10"/>
        <v>17</v>
      </c>
      <c r="AC15" s="476">
        <f t="shared" si="11"/>
        <v>16</v>
      </c>
      <c r="AD15" s="474">
        <f t="shared" si="12"/>
        <v>20</v>
      </c>
      <c r="AE15" s="474">
        <f t="shared" si="13"/>
        <v>14</v>
      </c>
      <c r="AF15" s="474">
        <f t="shared" si="14"/>
        <v>16</v>
      </c>
      <c r="AG15" s="102"/>
      <c r="AH15" s="473" t="s">
        <v>513</v>
      </c>
      <c r="AI15" s="473" t="s">
        <v>513</v>
      </c>
      <c r="AJ15" s="473" t="s">
        <v>513</v>
      </c>
      <c r="AK15" s="473" t="s">
        <v>513</v>
      </c>
      <c r="AL15" s="473" t="s">
        <v>513</v>
      </c>
      <c r="AM15" s="473" t="s">
        <v>513</v>
      </c>
      <c r="AN15" s="473" t="s">
        <v>513</v>
      </c>
      <c r="AO15" s="473" t="s">
        <v>513</v>
      </c>
      <c r="AP15" s="473" t="s">
        <v>513</v>
      </c>
      <c r="AQ15" s="473" t="s">
        <v>513</v>
      </c>
      <c r="AR15" s="473" t="s">
        <v>513</v>
      </c>
      <c r="AS15" s="473" t="s">
        <v>513</v>
      </c>
      <c r="AT15" s="473" t="s">
        <v>513</v>
      </c>
      <c r="AU15" s="102"/>
      <c r="AV15" s="473" t="s">
        <v>421</v>
      </c>
      <c r="AW15" s="477">
        <v>5.0E-5</v>
      </c>
      <c r="AX15" s="477">
        <v>-0.0155</v>
      </c>
      <c r="AY15" s="477">
        <v>2.65</v>
      </c>
      <c r="AZ15" s="477">
        <v>0.867</v>
      </c>
      <c r="BA15" s="102"/>
      <c r="BB15" s="473" t="s">
        <v>370</v>
      </c>
      <c r="BC15" s="474">
        <v>63.0</v>
      </c>
      <c r="BD15" s="102"/>
      <c r="BE15" s="102"/>
      <c r="BF15" s="102"/>
      <c r="BG15" s="102"/>
      <c r="BH15" s="478">
        <f t="shared" si="15"/>
        <v>63</v>
      </c>
      <c r="BI15" s="102"/>
      <c r="BJ15" s="102"/>
      <c r="BK15" s="102"/>
      <c r="BL15" s="102"/>
      <c r="BM15" s="102"/>
      <c r="BN15" s="102"/>
      <c r="BO15" s="102"/>
      <c r="BP15" s="473" t="s">
        <v>368</v>
      </c>
      <c r="BQ15" s="474">
        <f>9617+21221</f>
        <v>30838</v>
      </c>
      <c r="BR15" s="474" t="s">
        <v>349</v>
      </c>
      <c r="BS15" s="479">
        <v>1.0</v>
      </c>
      <c r="BT15" s="478">
        <v>13490.222106686078</v>
      </c>
      <c r="BU15" s="474">
        <v>1981.0</v>
      </c>
      <c r="BV15" s="479">
        <f t="shared" si="16"/>
        <v>267.0009323</v>
      </c>
      <c r="BW15" s="479">
        <v>1.0</v>
      </c>
      <c r="BX15" s="474">
        <v>2.5</v>
      </c>
      <c r="BY15" s="474">
        <v>45.9741</v>
      </c>
      <c r="BZ15" s="478">
        <f t="shared" si="17"/>
        <v>30687.81891</v>
      </c>
      <c r="CA15" s="479">
        <f t="shared" si="20"/>
        <v>0.995129999</v>
      </c>
      <c r="CB15" s="479">
        <f t="shared" si="19"/>
        <v>1</v>
      </c>
      <c r="CC15" s="102"/>
    </row>
    <row r="16">
      <c r="A16" s="102"/>
      <c r="B16" s="102"/>
      <c r="C16" s="467">
        <v>13.0</v>
      </c>
      <c r="D16" s="102"/>
      <c r="E16" s="473" t="s">
        <v>514</v>
      </c>
      <c r="F16" s="474">
        <v>30.0</v>
      </c>
      <c r="G16" s="102"/>
      <c r="H16" s="473" t="s">
        <v>513</v>
      </c>
      <c r="I16" s="474">
        <v>1.0</v>
      </c>
      <c r="J16" s="474">
        <v>1.0</v>
      </c>
      <c r="K16" s="474">
        <v>1.0</v>
      </c>
      <c r="L16" s="474">
        <v>0.0</v>
      </c>
      <c r="M16" s="474">
        <v>0.0</v>
      </c>
      <c r="N16" s="474">
        <v>1.0</v>
      </c>
      <c r="O16" s="102"/>
      <c r="P16" s="474">
        <v>13.0</v>
      </c>
      <c r="Q16" s="474">
        <f t="shared" si="1"/>
        <v>19</v>
      </c>
      <c r="R16" s="474">
        <f t="shared" si="2"/>
        <v>23</v>
      </c>
      <c r="S16" s="474">
        <f t="shared" si="3"/>
        <v>24</v>
      </c>
      <c r="T16" s="474">
        <f t="shared" si="4"/>
        <v>26</v>
      </c>
      <c r="U16" s="474">
        <f t="shared" si="5"/>
        <v>17</v>
      </c>
      <c r="V16" s="474">
        <f t="shared" si="6"/>
        <v>14</v>
      </c>
      <c r="W16" s="474">
        <f t="shared" si="7"/>
        <v>26</v>
      </c>
      <c r="X16" s="474">
        <f t="shared" si="8"/>
        <v>39</v>
      </c>
      <c r="Y16" s="474">
        <f t="shared" si="9"/>
        <v>19</v>
      </c>
      <c r="Z16" s="102"/>
      <c r="AA16" s="474">
        <v>13.0</v>
      </c>
      <c r="AB16" s="474">
        <f t="shared" si="10"/>
        <v>18</v>
      </c>
      <c r="AC16" s="476">
        <f t="shared" si="11"/>
        <v>17</v>
      </c>
      <c r="AD16" s="474">
        <f t="shared" si="12"/>
        <v>21</v>
      </c>
      <c r="AE16" s="474">
        <f t="shared" si="13"/>
        <v>15</v>
      </c>
      <c r="AF16" s="474">
        <f t="shared" si="14"/>
        <v>17</v>
      </c>
      <c r="AG16" s="102"/>
      <c r="AH16" s="473" t="s">
        <v>451</v>
      </c>
      <c r="AI16" s="473" t="s">
        <v>451</v>
      </c>
      <c r="AJ16" s="473" t="s">
        <v>451</v>
      </c>
      <c r="AK16" s="473" t="s">
        <v>451</v>
      </c>
      <c r="AL16" s="473" t="s">
        <v>451</v>
      </c>
      <c r="AM16" s="473" t="s">
        <v>451</v>
      </c>
      <c r="AN16" s="473" t="s">
        <v>451</v>
      </c>
      <c r="AO16" s="473" t="s">
        <v>451</v>
      </c>
      <c r="AP16" s="473" t="s">
        <v>451</v>
      </c>
      <c r="AQ16" s="473" t="s">
        <v>451</v>
      </c>
      <c r="AR16" s="473" t="s">
        <v>451</v>
      </c>
      <c r="AS16" s="473" t="s">
        <v>451</v>
      </c>
      <c r="AT16" s="473" t="s">
        <v>451</v>
      </c>
      <c r="AU16" s="102"/>
      <c r="AV16" s="102"/>
      <c r="AW16" s="102"/>
      <c r="AX16" s="102"/>
      <c r="AY16" s="102"/>
      <c r="AZ16" s="102"/>
      <c r="BA16" s="102"/>
      <c r="BB16" s="473" t="s">
        <v>372</v>
      </c>
      <c r="BC16" s="474">
        <v>63.0</v>
      </c>
      <c r="BD16" s="474">
        <v>69.0</v>
      </c>
      <c r="BE16" s="474">
        <v>71.0</v>
      </c>
      <c r="BF16" s="474">
        <v>68.0</v>
      </c>
      <c r="BG16" s="474">
        <v>71.0</v>
      </c>
      <c r="BH16" s="478">
        <f t="shared" si="15"/>
        <v>68.4</v>
      </c>
      <c r="BI16" s="102"/>
      <c r="BJ16" s="102"/>
      <c r="BK16" s="102"/>
      <c r="BL16" s="102"/>
      <c r="BM16" s="102"/>
      <c r="BN16" s="102"/>
      <c r="BO16" s="102"/>
      <c r="BP16" s="473" t="s">
        <v>370</v>
      </c>
      <c r="BQ16" s="474">
        <f>26773+12938</f>
        <v>39711</v>
      </c>
      <c r="BR16" s="474" t="s">
        <v>349</v>
      </c>
      <c r="BS16" s="479">
        <v>1.0</v>
      </c>
      <c r="BT16" s="478">
        <v>17551.274156799762</v>
      </c>
      <c r="BU16" s="474">
        <v>2002.0</v>
      </c>
      <c r="BV16" s="479">
        <f t="shared" si="16"/>
        <v>343.8055662</v>
      </c>
      <c r="BW16" s="479">
        <v>1.0</v>
      </c>
      <c r="BX16" s="474">
        <v>2.5</v>
      </c>
      <c r="BY16" s="474">
        <v>45.9741</v>
      </c>
      <c r="BZ16" s="478">
        <f t="shared" si="17"/>
        <v>39515.37871</v>
      </c>
      <c r="CA16" s="479">
        <f t="shared" si="20"/>
        <v>0.9950738765</v>
      </c>
      <c r="CB16" s="479">
        <f t="shared" si="19"/>
        <v>1</v>
      </c>
      <c r="CC16" s="102"/>
    </row>
    <row r="17">
      <c r="A17" s="102"/>
      <c r="B17" s="102"/>
      <c r="C17" s="467">
        <v>14.0</v>
      </c>
      <c r="D17" s="102"/>
      <c r="E17" s="473" t="s">
        <v>515</v>
      </c>
      <c r="F17" s="474">
        <v>10.0</v>
      </c>
      <c r="G17" s="102"/>
      <c r="H17" s="473" t="s">
        <v>451</v>
      </c>
      <c r="I17" s="474">
        <v>1.0</v>
      </c>
      <c r="J17" s="474">
        <v>1.0</v>
      </c>
      <c r="K17" s="474">
        <v>1.0</v>
      </c>
      <c r="L17" s="474">
        <v>0.0</v>
      </c>
      <c r="M17" s="474">
        <v>1.0</v>
      </c>
      <c r="N17" s="474">
        <v>1.0</v>
      </c>
      <c r="O17" s="102"/>
      <c r="P17" s="474">
        <v>14.0</v>
      </c>
      <c r="Q17" s="474">
        <f t="shared" si="1"/>
        <v>20</v>
      </c>
      <c r="R17" s="474">
        <f t="shared" si="2"/>
        <v>26</v>
      </c>
      <c r="S17" s="474">
        <f t="shared" si="3"/>
        <v>25</v>
      </c>
      <c r="T17" s="474">
        <f t="shared" si="4"/>
        <v>28</v>
      </c>
      <c r="U17" s="474">
        <f t="shared" si="5"/>
        <v>19</v>
      </c>
      <c r="V17" s="474">
        <f t="shared" si="6"/>
        <v>15</v>
      </c>
      <c r="W17" s="474">
        <f t="shared" si="7"/>
        <v>28</v>
      </c>
      <c r="X17" s="474">
        <f t="shared" si="8"/>
        <v>42</v>
      </c>
      <c r="Y17" s="474">
        <f t="shared" si="9"/>
        <v>20</v>
      </c>
      <c r="Z17" s="102"/>
      <c r="AA17" s="474">
        <v>14.0</v>
      </c>
      <c r="AB17" s="474">
        <f t="shared" si="10"/>
        <v>19</v>
      </c>
      <c r="AC17" s="476">
        <f t="shared" si="11"/>
        <v>18</v>
      </c>
      <c r="AD17" s="474">
        <f t="shared" si="12"/>
        <v>23</v>
      </c>
      <c r="AE17" s="474">
        <f t="shared" si="13"/>
        <v>16</v>
      </c>
      <c r="AF17" s="474">
        <f t="shared" si="14"/>
        <v>18</v>
      </c>
      <c r="AG17" s="102"/>
      <c r="AH17" s="473" t="s">
        <v>516</v>
      </c>
      <c r="AI17" s="102"/>
      <c r="AJ17" s="102"/>
      <c r="AK17" s="102"/>
      <c r="AL17" s="102"/>
      <c r="AM17" s="102"/>
      <c r="AN17" s="102"/>
      <c r="AO17" s="473" t="s">
        <v>516</v>
      </c>
      <c r="AP17" s="102"/>
      <c r="AQ17" s="102"/>
      <c r="AR17" s="102"/>
      <c r="AS17" s="102"/>
      <c r="AT17" s="102"/>
      <c r="AU17" s="102"/>
      <c r="AV17" s="102"/>
      <c r="AW17" s="102"/>
      <c r="AX17" s="102"/>
      <c r="AY17" s="102"/>
      <c r="AZ17" s="102"/>
      <c r="BA17" s="102"/>
      <c r="BB17" s="473" t="s">
        <v>376</v>
      </c>
      <c r="BC17" s="474">
        <v>41.0</v>
      </c>
      <c r="BD17" s="474">
        <v>42.0</v>
      </c>
      <c r="BE17" s="474">
        <v>39.0</v>
      </c>
      <c r="BF17" s="474">
        <v>47.0</v>
      </c>
      <c r="BG17" s="474">
        <v>46.0</v>
      </c>
      <c r="BH17" s="478">
        <f t="shared" si="15"/>
        <v>43</v>
      </c>
      <c r="BI17" s="102"/>
      <c r="BJ17" s="102"/>
      <c r="BK17" s="102"/>
      <c r="BL17" s="102"/>
      <c r="BM17" s="102"/>
      <c r="BN17" s="102"/>
      <c r="BO17" s="102"/>
      <c r="BP17" s="473" t="s">
        <v>372</v>
      </c>
      <c r="BQ17" s="474">
        <v>22413.0</v>
      </c>
      <c r="BR17" s="474" t="s">
        <v>349</v>
      </c>
      <c r="BS17" s="479">
        <v>1.0</v>
      </c>
      <c r="BT17" s="102"/>
      <c r="BU17" s="102"/>
      <c r="BV17" s="479">
        <f t="shared" si="16"/>
        <v>0</v>
      </c>
      <c r="BW17" s="479">
        <v>1.0</v>
      </c>
      <c r="BX17" s="474">
        <v>2.5</v>
      </c>
      <c r="BY17" s="474">
        <v>45.9741</v>
      </c>
      <c r="BZ17" s="478">
        <f t="shared" si="17"/>
        <v>0</v>
      </c>
      <c r="CA17" s="482">
        <v>1.0</v>
      </c>
      <c r="CB17" s="479">
        <f t="shared" si="19"/>
        <v>1</v>
      </c>
      <c r="CC17" s="102"/>
    </row>
    <row r="18">
      <c r="A18" s="102"/>
      <c r="B18" s="102"/>
      <c r="C18" s="467">
        <v>15.0</v>
      </c>
      <c r="D18" s="102"/>
      <c r="E18" s="473" t="s">
        <v>517</v>
      </c>
      <c r="F18" s="474">
        <v>20.0</v>
      </c>
      <c r="G18" s="102"/>
      <c r="H18" s="473" t="s">
        <v>518</v>
      </c>
      <c r="I18" s="474">
        <v>1.25</v>
      </c>
      <c r="J18" s="474">
        <v>1.25</v>
      </c>
      <c r="K18" s="474">
        <v>1.25</v>
      </c>
      <c r="L18" s="474">
        <v>0.0</v>
      </c>
      <c r="M18" s="474">
        <v>1.0</v>
      </c>
      <c r="N18" s="474">
        <v>1.0</v>
      </c>
      <c r="O18" s="102"/>
      <c r="P18" s="474">
        <v>15.0</v>
      </c>
      <c r="Q18" s="474">
        <f t="shared" si="1"/>
        <v>22</v>
      </c>
      <c r="R18" s="474">
        <f t="shared" si="2"/>
        <v>27</v>
      </c>
      <c r="S18" s="474">
        <f t="shared" si="3"/>
        <v>27</v>
      </c>
      <c r="T18" s="474">
        <f t="shared" si="4"/>
        <v>30</v>
      </c>
      <c r="U18" s="474">
        <f t="shared" si="5"/>
        <v>20</v>
      </c>
      <c r="V18" s="474">
        <f t="shared" si="6"/>
        <v>16</v>
      </c>
      <c r="W18" s="474">
        <f t="shared" si="7"/>
        <v>30</v>
      </c>
      <c r="X18" s="474">
        <f t="shared" si="8"/>
        <v>45</v>
      </c>
      <c r="Y18" s="474">
        <f t="shared" si="9"/>
        <v>22</v>
      </c>
      <c r="Z18" s="102"/>
      <c r="AA18" s="474">
        <v>15.0</v>
      </c>
      <c r="AB18" s="474">
        <f t="shared" si="10"/>
        <v>20</v>
      </c>
      <c r="AC18" s="476">
        <f t="shared" si="11"/>
        <v>20</v>
      </c>
      <c r="AD18" s="474">
        <f t="shared" si="12"/>
        <v>25</v>
      </c>
      <c r="AE18" s="474">
        <f t="shared" si="13"/>
        <v>17</v>
      </c>
      <c r="AF18" s="474">
        <f t="shared" si="14"/>
        <v>20</v>
      </c>
      <c r="AG18" s="102"/>
      <c r="AH18" s="473" t="s">
        <v>454</v>
      </c>
      <c r="AI18" s="473" t="s">
        <v>454</v>
      </c>
      <c r="AJ18" s="473" t="s">
        <v>454</v>
      </c>
      <c r="AK18" s="473" t="s">
        <v>454</v>
      </c>
      <c r="AL18" s="473" t="s">
        <v>454</v>
      </c>
      <c r="AM18" s="473" t="s">
        <v>454</v>
      </c>
      <c r="AN18" s="473" t="s">
        <v>454</v>
      </c>
      <c r="AO18" s="473" t="s">
        <v>454</v>
      </c>
      <c r="AP18" s="473" t="s">
        <v>454</v>
      </c>
      <c r="AQ18" s="473" t="s">
        <v>454</v>
      </c>
      <c r="AR18" s="473" t="s">
        <v>454</v>
      </c>
      <c r="AS18" s="473" t="s">
        <v>454</v>
      </c>
      <c r="AT18" s="473" t="s">
        <v>454</v>
      </c>
      <c r="AU18" s="102"/>
      <c r="AV18" s="102"/>
      <c r="AW18" s="102"/>
      <c r="AX18" s="102"/>
      <c r="AY18" s="102"/>
      <c r="AZ18" s="102"/>
      <c r="BA18" s="102"/>
      <c r="BB18" s="473" t="s">
        <v>377</v>
      </c>
      <c r="BC18" s="474">
        <v>42.0</v>
      </c>
      <c r="BD18" s="474">
        <v>39.0</v>
      </c>
      <c r="BE18" s="102"/>
      <c r="BF18" s="102"/>
      <c r="BG18" s="102"/>
      <c r="BH18" s="478">
        <f t="shared" si="15"/>
        <v>40.5</v>
      </c>
      <c r="BI18" s="102"/>
      <c r="BJ18" s="102"/>
      <c r="BK18" s="102"/>
      <c r="BL18" s="102"/>
      <c r="BM18" s="102"/>
      <c r="BN18" s="102"/>
      <c r="BO18" s="102"/>
      <c r="BP18" s="473" t="s">
        <v>376</v>
      </c>
      <c r="BQ18" s="474">
        <f>30482+11698</f>
        <v>42180</v>
      </c>
      <c r="BR18" s="474" t="s">
        <v>349</v>
      </c>
      <c r="BS18" s="479">
        <v>1.0</v>
      </c>
      <c r="BT18" s="478">
        <v>13723.463839972645</v>
      </c>
      <c r="BU18" s="474">
        <v>1989.0</v>
      </c>
      <c r="BV18" s="479">
        <f t="shared" si="16"/>
        <v>270.5463547</v>
      </c>
      <c r="BW18" s="479">
        <v>1.0</v>
      </c>
      <c r="BX18" s="481">
        <v>3.0</v>
      </c>
      <c r="BY18" s="474">
        <v>45.9741</v>
      </c>
      <c r="BZ18" s="478">
        <f t="shared" si="17"/>
        <v>37314.37549</v>
      </c>
      <c r="CA18" s="483">
        <f>BZ18/BQ18</f>
        <v>0.884646171</v>
      </c>
      <c r="CB18" s="479">
        <f t="shared" si="19"/>
        <v>1</v>
      </c>
      <c r="CC18" s="102"/>
    </row>
    <row r="19">
      <c r="A19" s="102"/>
      <c r="B19" s="102"/>
      <c r="C19" s="467">
        <v>16.0</v>
      </c>
      <c r="D19" s="102"/>
      <c r="E19" s="473" t="s">
        <v>519</v>
      </c>
      <c r="F19" s="474">
        <v>30.0</v>
      </c>
      <c r="G19" s="102"/>
      <c r="H19" s="473" t="s">
        <v>454</v>
      </c>
      <c r="I19" s="474">
        <v>1.0</v>
      </c>
      <c r="J19" s="474">
        <v>1.0</v>
      </c>
      <c r="K19" s="474">
        <v>1.0</v>
      </c>
      <c r="L19" s="474">
        <v>45.0</v>
      </c>
      <c r="M19" s="474">
        <v>0.8</v>
      </c>
      <c r="N19" s="474">
        <v>1.0</v>
      </c>
      <c r="O19" s="102"/>
      <c r="P19" s="474">
        <v>16.0</v>
      </c>
      <c r="Q19" s="474">
        <f t="shared" si="1"/>
        <v>23</v>
      </c>
      <c r="R19" s="474">
        <f t="shared" si="2"/>
        <v>30</v>
      </c>
      <c r="S19" s="474">
        <f t="shared" si="3"/>
        <v>28</v>
      </c>
      <c r="T19" s="474">
        <f t="shared" si="4"/>
        <v>32</v>
      </c>
      <c r="U19" s="474">
        <f t="shared" si="5"/>
        <v>21</v>
      </c>
      <c r="V19" s="474">
        <f t="shared" si="6"/>
        <v>17</v>
      </c>
      <c r="W19" s="474">
        <f t="shared" si="7"/>
        <v>32</v>
      </c>
      <c r="X19" s="474">
        <f t="shared" si="8"/>
        <v>48</v>
      </c>
      <c r="Y19" s="474">
        <f t="shared" si="9"/>
        <v>23</v>
      </c>
      <c r="Z19" s="102"/>
      <c r="AA19" s="474">
        <v>16.0</v>
      </c>
      <c r="AB19" s="474">
        <f t="shared" si="10"/>
        <v>21</v>
      </c>
      <c r="AC19" s="476">
        <f t="shared" si="11"/>
        <v>21</v>
      </c>
      <c r="AD19" s="474">
        <f t="shared" si="12"/>
        <v>26</v>
      </c>
      <c r="AE19" s="474">
        <f t="shared" si="13"/>
        <v>18</v>
      </c>
      <c r="AF19" s="474">
        <f t="shared" si="14"/>
        <v>21</v>
      </c>
      <c r="AG19" s="102"/>
      <c r="AH19" s="473" t="s">
        <v>520</v>
      </c>
      <c r="AI19" s="102"/>
      <c r="AJ19" s="102"/>
      <c r="AK19" s="102"/>
      <c r="AL19" s="102"/>
      <c r="AM19" s="473" t="s">
        <v>520</v>
      </c>
      <c r="AN19" s="473" t="s">
        <v>520</v>
      </c>
      <c r="AO19" s="102"/>
      <c r="AP19" s="102"/>
      <c r="AQ19" s="102"/>
      <c r="AR19" s="473" t="s">
        <v>520</v>
      </c>
      <c r="AS19" s="102"/>
      <c r="AT19" s="473" t="s">
        <v>520</v>
      </c>
      <c r="AU19" s="102"/>
      <c r="AV19" s="102"/>
      <c r="AW19" s="102"/>
      <c r="AX19" s="102"/>
      <c r="AY19" s="102"/>
      <c r="AZ19" s="102"/>
      <c r="BA19" s="102"/>
      <c r="BB19" s="473" t="s">
        <v>379</v>
      </c>
      <c r="BC19" s="474">
        <v>29.0</v>
      </c>
      <c r="BD19" s="474">
        <v>21.0</v>
      </c>
      <c r="BE19" s="474">
        <v>28.0</v>
      </c>
      <c r="BF19" s="474">
        <v>22.0</v>
      </c>
      <c r="BG19" s="474">
        <v>24.0</v>
      </c>
      <c r="BH19" s="478">
        <f t="shared" si="15"/>
        <v>24.8</v>
      </c>
      <c r="BI19" s="102"/>
      <c r="BJ19" s="102"/>
      <c r="BK19" s="102"/>
      <c r="BL19" s="102"/>
      <c r="BM19" s="102"/>
      <c r="BN19" s="102"/>
      <c r="BO19" s="102"/>
      <c r="BP19" s="473" t="s">
        <v>377</v>
      </c>
      <c r="BQ19" s="474">
        <v>41377.0</v>
      </c>
      <c r="BR19" s="474" t="s">
        <v>349</v>
      </c>
      <c r="BS19" s="479">
        <v>1.0</v>
      </c>
      <c r="BT19" s="102"/>
      <c r="BU19" s="102"/>
      <c r="BV19" s="479">
        <f t="shared" si="16"/>
        <v>0</v>
      </c>
      <c r="BW19" s="479">
        <v>1.0</v>
      </c>
      <c r="BX19" s="474">
        <v>3.0</v>
      </c>
      <c r="BY19" s="474">
        <v>45.9741</v>
      </c>
      <c r="BZ19" s="478">
        <f t="shared" si="17"/>
        <v>0</v>
      </c>
      <c r="CA19" s="482">
        <v>1.0</v>
      </c>
      <c r="CB19" s="479">
        <f t="shared" si="19"/>
        <v>1</v>
      </c>
      <c r="CC19" s="102"/>
    </row>
    <row r="20">
      <c r="A20" s="102"/>
      <c r="B20" s="102"/>
      <c r="C20" s="467">
        <v>17.0</v>
      </c>
      <c r="D20" s="102"/>
      <c r="E20" s="473" t="s">
        <v>521</v>
      </c>
      <c r="F20" s="474">
        <v>15.0</v>
      </c>
      <c r="G20" s="102"/>
      <c r="H20" s="473" t="s">
        <v>520</v>
      </c>
      <c r="I20" s="474">
        <v>1.2</v>
      </c>
      <c r="J20" s="474">
        <v>1.2</v>
      </c>
      <c r="K20" s="474">
        <v>1.2</v>
      </c>
      <c r="L20" s="474">
        <v>0.0</v>
      </c>
      <c r="M20" s="474">
        <v>1.0</v>
      </c>
      <c r="N20" s="474">
        <v>1.0</v>
      </c>
      <c r="O20" s="102"/>
      <c r="P20" s="474">
        <v>17.0</v>
      </c>
      <c r="Q20" s="474">
        <f t="shared" si="1"/>
        <v>25</v>
      </c>
      <c r="R20" s="474">
        <f t="shared" si="2"/>
        <v>31</v>
      </c>
      <c r="S20" s="474">
        <f t="shared" si="3"/>
        <v>31</v>
      </c>
      <c r="T20" s="474">
        <f t="shared" si="4"/>
        <v>34</v>
      </c>
      <c r="U20" s="474">
        <f t="shared" si="5"/>
        <v>23</v>
      </c>
      <c r="V20" s="474">
        <f t="shared" si="6"/>
        <v>18</v>
      </c>
      <c r="W20" s="474">
        <f t="shared" si="7"/>
        <v>34</v>
      </c>
      <c r="X20" s="474">
        <f t="shared" si="8"/>
        <v>51</v>
      </c>
      <c r="Y20" s="474">
        <f t="shared" si="9"/>
        <v>25</v>
      </c>
      <c r="Z20" s="102"/>
      <c r="AA20" s="474">
        <v>17.0</v>
      </c>
      <c r="AB20" s="474">
        <f t="shared" si="10"/>
        <v>22</v>
      </c>
      <c r="AC20" s="476">
        <f t="shared" si="11"/>
        <v>22</v>
      </c>
      <c r="AD20" s="474">
        <f t="shared" si="12"/>
        <v>28</v>
      </c>
      <c r="AE20" s="474">
        <f t="shared" si="13"/>
        <v>19</v>
      </c>
      <c r="AF20" s="474">
        <f t="shared" si="14"/>
        <v>22</v>
      </c>
      <c r="AG20" s="102"/>
      <c r="AH20" s="473" t="s">
        <v>522</v>
      </c>
      <c r="AI20" s="102"/>
      <c r="AJ20" s="102"/>
      <c r="AK20" s="102"/>
      <c r="AL20" s="102"/>
      <c r="AM20" s="473" t="s">
        <v>522</v>
      </c>
      <c r="AN20" s="473" t="s">
        <v>522</v>
      </c>
      <c r="AO20" s="102"/>
      <c r="AP20" s="102"/>
      <c r="AQ20" s="102"/>
      <c r="AR20" s="473" t="s">
        <v>522</v>
      </c>
      <c r="AS20" s="102"/>
      <c r="AT20" s="473" t="s">
        <v>522</v>
      </c>
      <c r="AU20" s="102"/>
      <c r="AV20" s="102"/>
      <c r="AW20" s="102"/>
      <c r="AX20" s="102"/>
      <c r="AY20" s="102"/>
      <c r="AZ20" s="102"/>
      <c r="BA20" s="102"/>
      <c r="BB20" s="473" t="s">
        <v>381</v>
      </c>
      <c r="BC20" s="474">
        <v>28.0</v>
      </c>
      <c r="BD20" s="474">
        <v>24.0</v>
      </c>
      <c r="BE20" s="474">
        <v>25.0</v>
      </c>
      <c r="BF20" s="474">
        <v>22.0</v>
      </c>
      <c r="BG20" s="474">
        <v>25.0</v>
      </c>
      <c r="BH20" s="478">
        <f t="shared" si="15"/>
        <v>24.8</v>
      </c>
      <c r="BI20" s="102"/>
      <c r="BJ20" s="102"/>
      <c r="BK20" s="102"/>
      <c r="BL20" s="102"/>
      <c r="BM20" s="102"/>
      <c r="BN20" s="102"/>
      <c r="BO20" s="102"/>
      <c r="BP20" s="473" t="s">
        <v>379</v>
      </c>
      <c r="BQ20" s="474">
        <f>12508+23858</f>
        <v>36366</v>
      </c>
      <c r="BR20" s="474" t="s">
        <v>349</v>
      </c>
      <c r="BS20" s="479">
        <v>1.0</v>
      </c>
      <c r="BT20" s="478">
        <v>11859.363127598337</v>
      </c>
      <c r="BU20" s="474">
        <v>1994.0</v>
      </c>
      <c r="BV20" s="479">
        <f t="shared" si="16"/>
        <v>233.2224804</v>
      </c>
      <c r="BW20" s="479">
        <v>1.0</v>
      </c>
      <c r="BX20" s="481">
        <v>3.0</v>
      </c>
      <c r="BY20" s="474">
        <v>45.9741</v>
      </c>
      <c r="BZ20" s="478">
        <f t="shared" si="17"/>
        <v>32166.58091</v>
      </c>
      <c r="CA20" s="483">
        <f t="shared" ref="CA20:CA47" si="21">BZ20/BQ20</f>
        <v>0.8845234809</v>
      </c>
      <c r="CB20" s="479">
        <f t="shared" si="19"/>
        <v>1</v>
      </c>
      <c r="CC20" s="102"/>
    </row>
    <row r="21">
      <c r="A21" s="102"/>
      <c r="B21" s="102"/>
      <c r="C21" s="467">
        <v>18.0</v>
      </c>
      <c r="D21" s="102"/>
      <c r="E21" s="473" t="s">
        <v>523</v>
      </c>
      <c r="F21" s="474">
        <v>45.0</v>
      </c>
      <c r="G21" s="102"/>
      <c r="H21" s="473" t="s">
        <v>522</v>
      </c>
      <c r="I21" s="474">
        <v>1.2</v>
      </c>
      <c r="J21" s="474">
        <v>1.2</v>
      </c>
      <c r="K21" s="474">
        <v>1.2</v>
      </c>
      <c r="L21" s="474">
        <v>0.0</v>
      </c>
      <c r="M21" s="474">
        <v>1.0</v>
      </c>
      <c r="N21" s="474">
        <v>1.0</v>
      </c>
      <c r="O21" s="102"/>
      <c r="P21" s="474">
        <v>18.0</v>
      </c>
      <c r="Q21" s="474">
        <f t="shared" si="1"/>
        <v>26</v>
      </c>
      <c r="R21" s="474">
        <f t="shared" si="2"/>
        <v>34</v>
      </c>
      <c r="S21" s="474">
        <f t="shared" si="3"/>
        <v>32</v>
      </c>
      <c r="T21" s="474">
        <f t="shared" si="4"/>
        <v>36</v>
      </c>
      <c r="U21" s="474">
        <f t="shared" si="5"/>
        <v>24</v>
      </c>
      <c r="V21" s="474">
        <f t="shared" si="6"/>
        <v>19</v>
      </c>
      <c r="W21" s="474">
        <f t="shared" si="7"/>
        <v>36</v>
      </c>
      <c r="X21" s="474">
        <f t="shared" si="8"/>
        <v>54</v>
      </c>
      <c r="Y21" s="474">
        <f t="shared" si="9"/>
        <v>26</v>
      </c>
      <c r="Z21" s="102"/>
      <c r="AA21" s="474">
        <v>18.0</v>
      </c>
      <c r="AB21" s="474">
        <f t="shared" si="10"/>
        <v>23</v>
      </c>
      <c r="AC21" s="476">
        <f t="shared" si="11"/>
        <v>24</v>
      </c>
      <c r="AD21" s="474">
        <f t="shared" si="12"/>
        <v>30</v>
      </c>
      <c r="AE21" s="474">
        <f t="shared" si="13"/>
        <v>20</v>
      </c>
      <c r="AF21" s="474">
        <f t="shared" si="14"/>
        <v>24</v>
      </c>
      <c r="AG21" s="102"/>
      <c r="AH21" s="473" t="s">
        <v>445</v>
      </c>
      <c r="AI21" s="102"/>
      <c r="AJ21" s="102"/>
      <c r="AK21" s="102"/>
      <c r="AL21" s="102"/>
      <c r="AM21" s="473" t="s">
        <v>445</v>
      </c>
      <c r="AN21" s="473" t="s">
        <v>445</v>
      </c>
      <c r="AO21" s="102"/>
      <c r="AP21" s="102"/>
      <c r="AQ21" s="102"/>
      <c r="AR21" s="473" t="s">
        <v>445</v>
      </c>
      <c r="AS21" s="102"/>
      <c r="AT21" s="473" t="s">
        <v>445</v>
      </c>
      <c r="AU21" s="102"/>
      <c r="AV21" s="102"/>
      <c r="AW21" s="102"/>
      <c r="AX21" s="102"/>
      <c r="AY21" s="102"/>
      <c r="AZ21" s="102"/>
      <c r="BA21" s="102"/>
      <c r="BB21" s="473" t="s">
        <v>383</v>
      </c>
      <c r="BC21" s="474">
        <v>23.0</v>
      </c>
      <c r="BD21" s="474">
        <v>25.0</v>
      </c>
      <c r="BE21" s="474">
        <v>25.0</v>
      </c>
      <c r="BF21" s="474">
        <v>23.0</v>
      </c>
      <c r="BG21" s="474">
        <v>29.0</v>
      </c>
      <c r="BH21" s="478">
        <f t="shared" si="15"/>
        <v>25</v>
      </c>
      <c r="BI21" s="102"/>
      <c r="BJ21" s="102"/>
      <c r="BK21" s="102"/>
      <c r="BL21" s="102"/>
      <c r="BM21" s="102"/>
      <c r="BN21" s="102"/>
      <c r="BO21" s="102"/>
      <c r="BP21" s="473" t="s">
        <v>381</v>
      </c>
      <c r="BQ21" s="474">
        <f>3*7011</f>
        <v>21033</v>
      </c>
      <c r="BR21" s="474">
        <f>3*43869</f>
        <v>131607</v>
      </c>
      <c r="BS21" s="479">
        <f t="shared" ref="BS21:BS26" si="22">(BR21/2)/BQ21</f>
        <v>3.128583654</v>
      </c>
      <c r="BT21" s="474">
        <f>3*4545</f>
        <v>13635</v>
      </c>
      <c r="BU21" s="474">
        <v>1993.0</v>
      </c>
      <c r="BV21" s="479">
        <f t="shared" si="16"/>
        <v>268.2734875</v>
      </c>
      <c r="BW21" s="479">
        <v>3.44</v>
      </c>
      <c r="BX21" s="474">
        <v>1.543</v>
      </c>
      <c r="BY21" s="474">
        <v>45.9741</v>
      </c>
      <c r="BZ21" s="478">
        <f t="shared" si="17"/>
        <v>19030.79439</v>
      </c>
      <c r="CA21" s="479">
        <f t="shared" si="21"/>
        <v>0.9048064656</v>
      </c>
      <c r="CB21" s="479">
        <f t="shared" si="19"/>
        <v>1.099539082</v>
      </c>
      <c r="CC21" s="102"/>
    </row>
    <row r="22">
      <c r="A22" s="102"/>
      <c r="B22" s="102"/>
      <c r="C22" s="467">
        <v>19.0</v>
      </c>
      <c r="D22" s="102"/>
      <c r="E22" s="473" t="s">
        <v>524</v>
      </c>
      <c r="F22" s="474">
        <v>10.0</v>
      </c>
      <c r="G22" s="102"/>
      <c r="H22" s="473" t="s">
        <v>445</v>
      </c>
      <c r="I22" s="474">
        <v>1.0</v>
      </c>
      <c r="J22" s="474">
        <v>1.0</v>
      </c>
      <c r="K22" s="474">
        <v>1.0</v>
      </c>
      <c r="L22" s="474">
        <v>0.0</v>
      </c>
      <c r="M22" s="474">
        <v>1.0</v>
      </c>
      <c r="N22" s="474">
        <v>1.0</v>
      </c>
      <c r="O22" s="102"/>
      <c r="P22" s="474">
        <v>19.0</v>
      </c>
      <c r="Q22" s="474">
        <f t="shared" si="1"/>
        <v>28</v>
      </c>
      <c r="R22" s="474">
        <f t="shared" si="2"/>
        <v>35</v>
      </c>
      <c r="S22" s="474">
        <f t="shared" si="3"/>
        <v>34</v>
      </c>
      <c r="T22" s="474">
        <f t="shared" si="4"/>
        <v>38</v>
      </c>
      <c r="U22" s="474">
        <f t="shared" si="5"/>
        <v>25</v>
      </c>
      <c r="V22" s="474">
        <f t="shared" si="6"/>
        <v>20</v>
      </c>
      <c r="W22" s="474">
        <f t="shared" si="7"/>
        <v>38</v>
      </c>
      <c r="X22" s="474">
        <f t="shared" si="8"/>
        <v>57</v>
      </c>
      <c r="Y22" s="474">
        <f t="shared" si="9"/>
        <v>28</v>
      </c>
      <c r="Z22" s="102"/>
      <c r="AA22" s="474">
        <v>19.0</v>
      </c>
      <c r="AB22" s="474">
        <f t="shared" si="10"/>
        <v>24</v>
      </c>
      <c r="AC22" s="476">
        <f t="shared" si="11"/>
        <v>25</v>
      </c>
      <c r="AD22" s="474">
        <f t="shared" si="12"/>
        <v>31</v>
      </c>
      <c r="AE22" s="474">
        <f t="shared" si="13"/>
        <v>21</v>
      </c>
      <c r="AF22" s="474">
        <f t="shared" si="14"/>
        <v>25</v>
      </c>
      <c r="AG22" s="102"/>
      <c r="AH22" s="473" t="s">
        <v>525</v>
      </c>
      <c r="AI22" s="473" t="s">
        <v>525</v>
      </c>
      <c r="AJ22" s="473" t="s">
        <v>525</v>
      </c>
      <c r="AK22" s="473" t="s">
        <v>525</v>
      </c>
      <c r="AL22" s="473" t="s">
        <v>525</v>
      </c>
      <c r="AM22" s="473" t="s">
        <v>525</v>
      </c>
      <c r="AN22" s="473" t="s">
        <v>525</v>
      </c>
      <c r="AO22" s="473" t="s">
        <v>525</v>
      </c>
      <c r="AP22" s="473" t="s">
        <v>525</v>
      </c>
      <c r="AQ22" s="473" t="s">
        <v>525</v>
      </c>
      <c r="AR22" s="473" t="s">
        <v>525</v>
      </c>
      <c r="AS22" s="473" t="s">
        <v>525</v>
      </c>
      <c r="AT22" s="473" t="s">
        <v>525</v>
      </c>
      <c r="AU22" s="102"/>
      <c r="AV22" s="102"/>
      <c r="AW22" s="102"/>
      <c r="AX22" s="102"/>
      <c r="AY22" s="102"/>
      <c r="AZ22" s="102"/>
      <c r="BA22" s="102"/>
      <c r="BB22" s="473" t="s">
        <v>385</v>
      </c>
      <c r="BC22" s="474">
        <v>60.0</v>
      </c>
      <c r="BD22" s="474">
        <v>43.0</v>
      </c>
      <c r="BE22" s="474">
        <v>50.0</v>
      </c>
      <c r="BF22" s="474">
        <v>64.0</v>
      </c>
      <c r="BG22" s="474">
        <v>45.0</v>
      </c>
      <c r="BH22" s="478">
        <f t="shared" si="15"/>
        <v>52.4</v>
      </c>
      <c r="BI22" s="102"/>
      <c r="BJ22" s="102"/>
      <c r="BK22" s="102"/>
      <c r="BL22" s="102"/>
      <c r="BM22" s="102"/>
      <c r="BN22" s="102"/>
      <c r="BO22" s="102"/>
      <c r="BP22" s="473" t="s">
        <v>383</v>
      </c>
      <c r="BQ22" s="484">
        <v>14769.0</v>
      </c>
      <c r="BR22" s="474">
        <v>92406.0</v>
      </c>
      <c r="BS22" s="479">
        <f t="shared" si="22"/>
        <v>3.128377006</v>
      </c>
      <c r="BT22" s="474">
        <v>9573.0</v>
      </c>
      <c r="BU22" s="474">
        <v>1993.0</v>
      </c>
      <c r="BV22" s="479">
        <f t="shared" si="16"/>
        <v>188.3521889</v>
      </c>
      <c r="BW22" s="479">
        <v>3.44</v>
      </c>
      <c r="BX22" s="474">
        <v>1.543</v>
      </c>
      <c r="BY22" s="474">
        <v>45.9741</v>
      </c>
      <c r="BZ22" s="478">
        <f t="shared" si="17"/>
        <v>13361.33441</v>
      </c>
      <c r="CA22" s="479">
        <f t="shared" si="21"/>
        <v>0.9046878199</v>
      </c>
      <c r="CB22" s="479">
        <f t="shared" si="19"/>
        <v>1.099611714</v>
      </c>
      <c r="CC22" s="102"/>
    </row>
    <row r="23">
      <c r="A23" s="102"/>
      <c r="B23" s="102"/>
      <c r="C23" s="467">
        <v>20.0</v>
      </c>
      <c r="D23" s="102"/>
      <c r="E23" s="473" t="s">
        <v>526</v>
      </c>
      <c r="F23" s="474">
        <v>10.0</v>
      </c>
      <c r="G23" s="102"/>
      <c r="H23" s="473" t="s">
        <v>525</v>
      </c>
      <c r="I23" s="474">
        <v>1.15</v>
      </c>
      <c r="J23" s="474">
        <v>1.15</v>
      </c>
      <c r="K23" s="474">
        <v>1.15</v>
      </c>
      <c r="L23" s="474">
        <v>100.0</v>
      </c>
      <c r="M23" s="474">
        <v>1.0</v>
      </c>
      <c r="N23" s="474">
        <v>1.0</v>
      </c>
      <c r="O23" s="102"/>
      <c r="P23" s="474">
        <v>20.0</v>
      </c>
      <c r="Q23" s="474">
        <f t="shared" si="1"/>
        <v>29</v>
      </c>
      <c r="R23" s="474">
        <f t="shared" si="2"/>
        <v>38</v>
      </c>
      <c r="S23" s="474">
        <f t="shared" si="3"/>
        <v>35</v>
      </c>
      <c r="T23" s="474">
        <f t="shared" si="4"/>
        <v>40</v>
      </c>
      <c r="U23" s="474">
        <f t="shared" si="5"/>
        <v>26</v>
      </c>
      <c r="V23" s="474">
        <f t="shared" si="6"/>
        <v>21</v>
      </c>
      <c r="W23" s="474">
        <f t="shared" si="7"/>
        <v>40</v>
      </c>
      <c r="X23" s="474">
        <f t="shared" si="8"/>
        <v>60</v>
      </c>
      <c r="Y23" s="474">
        <f t="shared" si="9"/>
        <v>29</v>
      </c>
      <c r="Z23" s="102"/>
      <c r="AA23" s="474">
        <v>20.0</v>
      </c>
      <c r="AB23" s="474">
        <f t="shared" si="10"/>
        <v>25</v>
      </c>
      <c r="AC23" s="476">
        <f t="shared" si="11"/>
        <v>26</v>
      </c>
      <c r="AD23" s="474">
        <f t="shared" si="12"/>
        <v>33</v>
      </c>
      <c r="AE23" s="474">
        <f t="shared" si="13"/>
        <v>22</v>
      </c>
      <c r="AF23" s="474">
        <f t="shared" si="14"/>
        <v>26</v>
      </c>
      <c r="AG23" s="102"/>
      <c r="AH23" s="473" t="s">
        <v>527</v>
      </c>
      <c r="AI23" s="102"/>
      <c r="AJ23" s="102"/>
      <c r="AK23" s="102"/>
      <c r="AL23" s="102"/>
      <c r="AM23" s="102"/>
      <c r="AN23" s="102"/>
      <c r="AO23" s="102"/>
      <c r="AP23" s="473" t="s">
        <v>527</v>
      </c>
      <c r="AQ23" s="102"/>
      <c r="AR23" s="102"/>
      <c r="AS23" s="102"/>
      <c r="AT23" s="102"/>
      <c r="AU23" s="102"/>
      <c r="AV23" s="102"/>
      <c r="AW23" s="102"/>
      <c r="AX23" s="102"/>
      <c r="AY23" s="102"/>
      <c r="AZ23" s="102"/>
      <c r="BA23" s="102"/>
      <c r="BB23" s="473" t="s">
        <v>386</v>
      </c>
      <c r="BC23" s="474">
        <v>41.0</v>
      </c>
      <c r="BD23" s="102"/>
      <c r="BE23" s="102"/>
      <c r="BF23" s="102"/>
      <c r="BG23" s="102"/>
      <c r="BH23" s="478">
        <f t="shared" si="15"/>
        <v>41</v>
      </c>
      <c r="BI23" s="102"/>
      <c r="BJ23" s="102"/>
      <c r="BK23" s="102"/>
      <c r="BL23" s="102"/>
      <c r="BM23" s="102"/>
      <c r="BN23" s="102"/>
      <c r="BO23" s="102"/>
      <c r="BP23" s="473" t="s">
        <v>385</v>
      </c>
      <c r="BQ23" s="474">
        <v>3473.0</v>
      </c>
      <c r="BR23" s="474">
        <v>9737.0</v>
      </c>
      <c r="BS23" s="479">
        <f t="shared" si="22"/>
        <v>1.401813994</v>
      </c>
      <c r="BT23" s="474">
        <v>2099.0</v>
      </c>
      <c r="BU23" s="474">
        <v>1993.0</v>
      </c>
      <c r="BV23" s="479">
        <f t="shared" si="16"/>
        <v>41.29857354</v>
      </c>
      <c r="BW23" s="479">
        <v>1.4</v>
      </c>
      <c r="BX23" s="481">
        <v>2.16</v>
      </c>
      <c r="BY23" s="474">
        <v>45.9741</v>
      </c>
      <c r="BZ23" s="478">
        <f t="shared" si="17"/>
        <v>4101.115859</v>
      </c>
      <c r="CA23" s="483">
        <f t="shared" si="21"/>
        <v>1.180856856</v>
      </c>
      <c r="CB23" s="479">
        <f t="shared" si="19"/>
        <v>0.9987059669</v>
      </c>
      <c r="CC23" s="102"/>
    </row>
    <row r="24">
      <c r="A24" s="102"/>
      <c r="B24" s="102"/>
      <c r="C24" s="467">
        <v>21.0</v>
      </c>
      <c r="D24" s="102"/>
      <c r="E24" s="473" t="s">
        <v>286</v>
      </c>
      <c r="F24" s="474">
        <v>20.0</v>
      </c>
      <c r="G24" s="102"/>
      <c r="H24" s="473" t="s">
        <v>527</v>
      </c>
      <c r="I24" s="474">
        <v>1.0</v>
      </c>
      <c r="J24" s="474">
        <v>1.0</v>
      </c>
      <c r="K24" s="474">
        <v>1.0</v>
      </c>
      <c r="L24" s="474">
        <v>0.0</v>
      </c>
      <c r="M24" s="474">
        <v>1.0</v>
      </c>
      <c r="N24" s="474">
        <v>0.9</v>
      </c>
      <c r="O24" s="102"/>
      <c r="P24" s="474">
        <v>21.0</v>
      </c>
      <c r="Q24" s="474">
        <f t="shared" si="1"/>
        <v>31</v>
      </c>
      <c r="R24" s="474">
        <f t="shared" si="2"/>
        <v>39</v>
      </c>
      <c r="S24" s="474">
        <f t="shared" si="3"/>
        <v>38</v>
      </c>
      <c r="T24" s="474">
        <f t="shared" si="4"/>
        <v>42</v>
      </c>
      <c r="U24" s="474">
        <f t="shared" si="5"/>
        <v>28</v>
      </c>
      <c r="V24" s="474">
        <f t="shared" si="6"/>
        <v>22</v>
      </c>
      <c r="W24" s="474">
        <f t="shared" si="7"/>
        <v>42</v>
      </c>
      <c r="X24" s="474">
        <f t="shared" si="8"/>
        <v>63</v>
      </c>
      <c r="Y24" s="474">
        <f t="shared" si="9"/>
        <v>31</v>
      </c>
      <c r="Z24" s="102"/>
      <c r="AA24" s="474">
        <v>21.0</v>
      </c>
      <c r="AB24" s="474">
        <f t="shared" si="10"/>
        <v>26</v>
      </c>
      <c r="AC24" s="476">
        <f t="shared" si="11"/>
        <v>28</v>
      </c>
      <c r="AD24" s="474">
        <f t="shared" si="12"/>
        <v>35</v>
      </c>
      <c r="AE24" s="474">
        <f t="shared" si="13"/>
        <v>24</v>
      </c>
      <c r="AF24" s="474">
        <f t="shared" si="14"/>
        <v>28</v>
      </c>
      <c r="AG24" s="102"/>
      <c r="AH24" s="473" t="s">
        <v>528</v>
      </c>
      <c r="AI24" s="102"/>
      <c r="AJ24" s="102"/>
      <c r="AK24" s="102"/>
      <c r="AL24" s="473" t="s">
        <v>528</v>
      </c>
      <c r="AM24" s="102"/>
      <c r="AN24" s="102"/>
      <c r="AO24" s="102"/>
      <c r="AP24" s="102"/>
      <c r="AQ24" s="102"/>
      <c r="AR24" s="102"/>
      <c r="AS24" s="102"/>
      <c r="AT24" s="102"/>
      <c r="AU24" s="102"/>
      <c r="AV24" s="102"/>
      <c r="AW24" s="102"/>
      <c r="AX24" s="102"/>
      <c r="AY24" s="102"/>
      <c r="AZ24" s="102"/>
      <c r="BA24" s="102"/>
      <c r="BB24" s="473" t="s">
        <v>387</v>
      </c>
      <c r="BC24" s="474">
        <v>33.0</v>
      </c>
      <c r="BD24" s="474">
        <v>35.0</v>
      </c>
      <c r="BE24" s="474">
        <v>38.0</v>
      </c>
      <c r="BF24" s="474">
        <v>24.0</v>
      </c>
      <c r="BG24" s="474">
        <v>36.0</v>
      </c>
      <c r="BH24" s="478">
        <f t="shared" si="15"/>
        <v>33.2</v>
      </c>
      <c r="BI24" s="102"/>
      <c r="BJ24" s="102"/>
      <c r="BK24" s="102"/>
      <c r="BL24" s="102"/>
      <c r="BM24" s="102"/>
      <c r="BN24" s="102"/>
      <c r="BO24" s="102"/>
      <c r="BP24" s="473" t="s">
        <v>386</v>
      </c>
      <c r="BQ24" s="474">
        <v>3013.0</v>
      </c>
      <c r="BR24" s="474">
        <v>7857.0</v>
      </c>
      <c r="BS24" s="479">
        <f t="shared" si="22"/>
        <v>1.303849983</v>
      </c>
      <c r="BT24" s="474">
        <v>1821.0</v>
      </c>
      <c r="BU24" s="474">
        <v>1993.0</v>
      </c>
      <c r="BV24" s="479">
        <f t="shared" si="16"/>
        <v>35.8288244</v>
      </c>
      <c r="BW24" s="479">
        <v>1.3</v>
      </c>
      <c r="BX24" s="481">
        <v>2.16</v>
      </c>
      <c r="BY24" s="474">
        <v>45.9741</v>
      </c>
      <c r="BZ24" s="478">
        <f t="shared" si="17"/>
        <v>3557.947584</v>
      </c>
      <c r="CA24" s="483">
        <f t="shared" si="21"/>
        <v>1.180865445</v>
      </c>
      <c r="CB24" s="479">
        <f t="shared" si="19"/>
        <v>0.997047219</v>
      </c>
      <c r="CC24" s="102"/>
    </row>
    <row r="25">
      <c r="A25" s="102"/>
      <c r="B25" s="102"/>
      <c r="C25" s="467">
        <v>22.0</v>
      </c>
      <c r="D25" s="102"/>
      <c r="E25" s="473" t="s">
        <v>529</v>
      </c>
      <c r="F25" s="474">
        <v>90.0</v>
      </c>
      <c r="G25" s="102"/>
      <c r="H25" s="473" t="s">
        <v>528</v>
      </c>
      <c r="I25" s="474">
        <v>1.25</v>
      </c>
      <c r="J25" s="474">
        <v>1.25</v>
      </c>
      <c r="K25" s="474">
        <v>1.25</v>
      </c>
      <c r="L25" s="474">
        <v>0.0</v>
      </c>
      <c r="M25" s="474">
        <v>1.0</v>
      </c>
      <c r="N25" s="474">
        <v>1.0</v>
      </c>
      <c r="O25" s="102"/>
      <c r="P25" s="474">
        <v>22.0</v>
      </c>
      <c r="Q25" s="474">
        <f t="shared" si="1"/>
        <v>32</v>
      </c>
      <c r="R25" s="474">
        <f t="shared" si="2"/>
        <v>42</v>
      </c>
      <c r="S25" s="474">
        <f t="shared" si="3"/>
        <v>39</v>
      </c>
      <c r="T25" s="474">
        <f t="shared" si="4"/>
        <v>44</v>
      </c>
      <c r="U25" s="474">
        <f t="shared" si="5"/>
        <v>29</v>
      </c>
      <c r="V25" s="474">
        <f t="shared" si="6"/>
        <v>23</v>
      </c>
      <c r="W25" s="474">
        <f t="shared" si="7"/>
        <v>44</v>
      </c>
      <c r="X25" s="474">
        <f t="shared" si="8"/>
        <v>66</v>
      </c>
      <c r="Y25" s="474">
        <f t="shared" si="9"/>
        <v>32</v>
      </c>
      <c r="Z25" s="102"/>
      <c r="AA25" s="474">
        <v>22.0</v>
      </c>
      <c r="AB25" s="474">
        <f t="shared" si="10"/>
        <v>27</v>
      </c>
      <c r="AC25" s="476">
        <f t="shared" si="11"/>
        <v>29</v>
      </c>
      <c r="AD25" s="474">
        <f t="shared" si="12"/>
        <v>36</v>
      </c>
      <c r="AE25" s="474">
        <f t="shared" si="13"/>
        <v>25</v>
      </c>
      <c r="AF25" s="474">
        <f t="shared" si="14"/>
        <v>29</v>
      </c>
      <c r="AG25" s="102"/>
      <c r="AH25" s="473" t="s">
        <v>530</v>
      </c>
      <c r="AI25" s="473" t="s">
        <v>530</v>
      </c>
      <c r="AJ25" s="473" t="s">
        <v>530</v>
      </c>
      <c r="AK25" s="473" t="s">
        <v>530</v>
      </c>
      <c r="AL25" s="473" t="s">
        <v>530</v>
      </c>
      <c r="AM25" s="473" t="s">
        <v>530</v>
      </c>
      <c r="AN25" s="473" t="s">
        <v>530</v>
      </c>
      <c r="AO25" s="473" t="s">
        <v>530</v>
      </c>
      <c r="AP25" s="473" t="s">
        <v>530</v>
      </c>
      <c r="AQ25" s="473" t="s">
        <v>530</v>
      </c>
      <c r="AR25" s="473" t="s">
        <v>530</v>
      </c>
      <c r="AS25" s="473" t="s">
        <v>530</v>
      </c>
      <c r="AT25" s="473" t="s">
        <v>530</v>
      </c>
      <c r="AU25" s="102"/>
      <c r="AV25" s="102"/>
      <c r="AW25" s="102"/>
      <c r="AX25" s="102"/>
      <c r="AY25" s="102"/>
      <c r="AZ25" s="102"/>
      <c r="BA25" s="102"/>
      <c r="BB25" s="473" t="s">
        <v>388</v>
      </c>
      <c r="BC25" s="474">
        <v>61.0</v>
      </c>
      <c r="BD25" s="474">
        <v>64.0</v>
      </c>
      <c r="BE25" s="474">
        <v>67.0</v>
      </c>
      <c r="BF25" s="474">
        <v>57.0</v>
      </c>
      <c r="BG25" s="474">
        <v>62.0</v>
      </c>
      <c r="BH25" s="478">
        <f t="shared" si="15"/>
        <v>62.2</v>
      </c>
      <c r="BI25" s="102"/>
      <c r="BJ25" s="102"/>
      <c r="BK25" s="102"/>
      <c r="BL25" s="102"/>
      <c r="BM25" s="102"/>
      <c r="BN25" s="102"/>
      <c r="BO25" s="102"/>
      <c r="BP25" s="473" t="s">
        <v>387</v>
      </c>
      <c r="BQ25" s="474">
        <v>3975.0</v>
      </c>
      <c r="BR25" s="474">
        <v>11455.0</v>
      </c>
      <c r="BS25" s="479">
        <f t="shared" si="22"/>
        <v>1.440880503</v>
      </c>
      <c r="BT25" s="474">
        <v>2398.0</v>
      </c>
      <c r="BU25" s="474">
        <v>1989.0</v>
      </c>
      <c r="BV25" s="479">
        <f t="shared" si="16"/>
        <v>47.27451947</v>
      </c>
      <c r="BW25" s="479">
        <v>1.44</v>
      </c>
      <c r="BX25" s="481">
        <v>2.16</v>
      </c>
      <c r="BY25" s="474">
        <v>45.9741</v>
      </c>
      <c r="BZ25" s="478">
        <f t="shared" si="17"/>
        <v>4694.551529</v>
      </c>
      <c r="CA25" s="483">
        <f t="shared" si="21"/>
        <v>1.181019252</v>
      </c>
      <c r="CB25" s="479">
        <f t="shared" si="19"/>
        <v>0.9993889131</v>
      </c>
      <c r="CC25" s="102"/>
    </row>
    <row r="26">
      <c r="A26" s="102"/>
      <c r="B26" s="102"/>
      <c r="C26" s="467">
        <v>23.0</v>
      </c>
      <c r="D26" s="102"/>
      <c r="E26" s="473" t="s">
        <v>531</v>
      </c>
      <c r="F26" s="474">
        <v>45.0</v>
      </c>
      <c r="G26" s="102"/>
      <c r="H26" s="473" t="s">
        <v>530</v>
      </c>
      <c r="I26" s="474">
        <v>1.5</v>
      </c>
      <c r="J26" s="474">
        <v>1.5</v>
      </c>
      <c r="K26" s="474">
        <v>1.5</v>
      </c>
      <c r="L26" s="474">
        <v>0.0</v>
      </c>
      <c r="M26" s="474">
        <v>1.0</v>
      </c>
      <c r="N26" s="474">
        <v>1.0</v>
      </c>
      <c r="O26" s="102"/>
      <c r="P26" s="474">
        <v>23.0</v>
      </c>
      <c r="Q26" s="474">
        <f t="shared" si="1"/>
        <v>34</v>
      </c>
      <c r="R26" s="474">
        <f t="shared" si="2"/>
        <v>43</v>
      </c>
      <c r="S26" s="474">
        <f t="shared" si="3"/>
        <v>41</v>
      </c>
      <c r="T26" s="474">
        <f t="shared" si="4"/>
        <v>46</v>
      </c>
      <c r="U26" s="474">
        <f t="shared" si="5"/>
        <v>30</v>
      </c>
      <c r="V26" s="474">
        <f t="shared" si="6"/>
        <v>24</v>
      </c>
      <c r="W26" s="474">
        <f t="shared" si="7"/>
        <v>46</v>
      </c>
      <c r="X26" s="474">
        <f t="shared" si="8"/>
        <v>69</v>
      </c>
      <c r="Y26" s="474">
        <f t="shared" si="9"/>
        <v>34</v>
      </c>
      <c r="Z26" s="102"/>
      <c r="AA26" s="474">
        <v>23.0</v>
      </c>
      <c r="AB26" s="474">
        <f t="shared" si="10"/>
        <v>28</v>
      </c>
      <c r="AC26" s="476">
        <f t="shared" si="11"/>
        <v>30</v>
      </c>
      <c r="AD26" s="474">
        <f t="shared" si="12"/>
        <v>38</v>
      </c>
      <c r="AE26" s="474">
        <f t="shared" si="13"/>
        <v>26</v>
      </c>
      <c r="AF26" s="474">
        <f t="shared" si="14"/>
        <v>30</v>
      </c>
      <c r="AG26" s="102"/>
      <c r="AH26" s="473" t="s">
        <v>532</v>
      </c>
      <c r="AI26" s="473" t="s">
        <v>532</v>
      </c>
      <c r="AJ26" s="473" t="s">
        <v>532</v>
      </c>
      <c r="AK26" s="473" t="s">
        <v>532</v>
      </c>
      <c r="AL26" s="473" t="s">
        <v>532</v>
      </c>
      <c r="AM26" s="473" t="s">
        <v>532</v>
      </c>
      <c r="AN26" s="473" t="s">
        <v>532</v>
      </c>
      <c r="AO26" s="473" t="s">
        <v>532</v>
      </c>
      <c r="AP26" s="473" t="s">
        <v>532</v>
      </c>
      <c r="AQ26" s="473" t="s">
        <v>532</v>
      </c>
      <c r="AR26" s="473" t="s">
        <v>532</v>
      </c>
      <c r="AS26" s="473" t="s">
        <v>532</v>
      </c>
      <c r="AT26" s="473" t="s">
        <v>532</v>
      </c>
      <c r="AU26" s="102"/>
      <c r="AV26" s="102"/>
      <c r="AW26" s="102"/>
      <c r="AX26" s="102"/>
      <c r="AY26" s="102"/>
      <c r="AZ26" s="102"/>
      <c r="BA26" s="102"/>
      <c r="BB26" s="473" t="s">
        <v>390</v>
      </c>
      <c r="BC26" s="474">
        <v>44.0</v>
      </c>
      <c r="BD26" s="474">
        <v>44.0</v>
      </c>
      <c r="BE26" s="474">
        <v>45.0</v>
      </c>
      <c r="BF26" s="474">
        <v>42.0</v>
      </c>
      <c r="BG26" s="474">
        <v>39.0</v>
      </c>
      <c r="BH26" s="478">
        <f t="shared" si="15"/>
        <v>42.8</v>
      </c>
      <c r="BI26" s="102"/>
      <c r="BJ26" s="102"/>
      <c r="BK26" s="102"/>
      <c r="BL26" s="102"/>
      <c r="BM26" s="102"/>
      <c r="BN26" s="102"/>
      <c r="BO26" s="102"/>
      <c r="BP26" s="473" t="s">
        <v>388</v>
      </c>
      <c r="BQ26" s="474">
        <v>2135.0</v>
      </c>
      <c r="BR26" s="474">
        <v>5566.0</v>
      </c>
      <c r="BS26" s="479">
        <f t="shared" si="22"/>
        <v>1.303512881</v>
      </c>
      <c r="BT26" s="474">
        <v>1283.0</v>
      </c>
      <c r="BU26" s="474">
        <v>1981.0</v>
      </c>
      <c r="BV26" s="479">
        <f t="shared" si="16"/>
        <v>25.39336962</v>
      </c>
      <c r="BW26" s="479">
        <v>1.3</v>
      </c>
      <c r="BX26" s="481">
        <v>2.16</v>
      </c>
      <c r="BY26" s="474">
        <v>45.9741</v>
      </c>
      <c r="BZ26" s="478">
        <f t="shared" si="17"/>
        <v>2521.664599</v>
      </c>
      <c r="CA26" s="483">
        <f t="shared" si="21"/>
        <v>1.18110754</v>
      </c>
      <c r="CB26" s="479">
        <f t="shared" si="19"/>
        <v>0.9973050665</v>
      </c>
      <c r="CC26" s="102"/>
    </row>
    <row r="27">
      <c r="A27" s="102"/>
      <c r="B27" s="102"/>
      <c r="C27" s="467">
        <v>24.0</v>
      </c>
      <c r="D27" s="102"/>
      <c r="E27" s="473" t="s">
        <v>533</v>
      </c>
      <c r="F27" s="474">
        <v>30.0</v>
      </c>
      <c r="G27" s="102"/>
      <c r="H27" s="473" t="s">
        <v>532</v>
      </c>
      <c r="I27" s="474">
        <v>1.25</v>
      </c>
      <c r="J27" s="474">
        <v>1.25</v>
      </c>
      <c r="K27" s="474">
        <v>1.25</v>
      </c>
      <c r="L27" s="474">
        <v>0.0</v>
      </c>
      <c r="M27" s="474">
        <v>1.0</v>
      </c>
      <c r="N27" s="474">
        <v>1.0</v>
      </c>
      <c r="O27" s="102"/>
      <c r="P27" s="474">
        <v>24.0</v>
      </c>
      <c r="Q27" s="474">
        <f t="shared" si="1"/>
        <v>35</v>
      </c>
      <c r="R27" s="474">
        <f t="shared" si="2"/>
        <v>46</v>
      </c>
      <c r="S27" s="474">
        <f t="shared" si="3"/>
        <v>42</v>
      </c>
      <c r="T27" s="474">
        <f t="shared" si="4"/>
        <v>48</v>
      </c>
      <c r="U27" s="474">
        <f t="shared" si="5"/>
        <v>32</v>
      </c>
      <c r="V27" s="474">
        <f t="shared" si="6"/>
        <v>25</v>
      </c>
      <c r="W27" s="474">
        <f t="shared" si="7"/>
        <v>48</v>
      </c>
      <c r="X27" s="474">
        <f t="shared" si="8"/>
        <v>72</v>
      </c>
      <c r="Y27" s="474">
        <f t="shared" si="9"/>
        <v>35</v>
      </c>
      <c r="Z27" s="102"/>
      <c r="AA27" s="474">
        <v>24.0</v>
      </c>
      <c r="AB27" s="474">
        <f t="shared" si="10"/>
        <v>29</v>
      </c>
      <c r="AC27" s="476">
        <f t="shared" si="11"/>
        <v>32</v>
      </c>
      <c r="AD27" s="474">
        <f t="shared" si="12"/>
        <v>40</v>
      </c>
      <c r="AE27" s="474">
        <f t="shared" si="13"/>
        <v>27</v>
      </c>
      <c r="AF27" s="474">
        <f t="shared" si="14"/>
        <v>32</v>
      </c>
      <c r="AG27" s="102"/>
      <c r="AH27" s="473" t="s">
        <v>534</v>
      </c>
      <c r="AI27" s="473" t="s">
        <v>534</v>
      </c>
      <c r="AJ27" s="473" t="s">
        <v>534</v>
      </c>
      <c r="AK27" s="102"/>
      <c r="AL27" s="102"/>
      <c r="AM27" s="473" t="s">
        <v>534</v>
      </c>
      <c r="AN27" s="473" t="s">
        <v>534</v>
      </c>
      <c r="AO27" s="102"/>
      <c r="AP27" s="473" t="s">
        <v>534</v>
      </c>
      <c r="AQ27" s="473" t="s">
        <v>534</v>
      </c>
      <c r="AR27" s="473" t="s">
        <v>534</v>
      </c>
      <c r="AS27" s="102"/>
      <c r="AT27" s="473" t="s">
        <v>534</v>
      </c>
      <c r="AU27" s="102"/>
      <c r="AV27" s="102"/>
      <c r="AW27" s="102"/>
      <c r="AX27" s="102"/>
      <c r="AY27" s="102"/>
      <c r="AZ27" s="102"/>
      <c r="BA27" s="102"/>
      <c r="BB27" s="473" t="s">
        <v>391</v>
      </c>
      <c r="BC27" s="474">
        <v>54.0</v>
      </c>
      <c r="BD27" s="474">
        <v>57.0</v>
      </c>
      <c r="BE27" s="474">
        <v>62.0</v>
      </c>
      <c r="BF27" s="474">
        <v>58.0</v>
      </c>
      <c r="BG27" s="474">
        <v>60.0</v>
      </c>
      <c r="BH27" s="478">
        <f t="shared" si="15"/>
        <v>58.2</v>
      </c>
      <c r="BI27" s="102"/>
      <c r="BJ27" s="102"/>
      <c r="BK27" s="102"/>
      <c r="BL27" s="102"/>
      <c r="BM27" s="102"/>
      <c r="BN27" s="102"/>
      <c r="BO27" s="102"/>
      <c r="BP27" s="473" t="s">
        <v>390</v>
      </c>
      <c r="BQ27" s="474">
        <f t="shared" ref="BQ27:BQ28" si="23">22386+71306</f>
        <v>93692</v>
      </c>
      <c r="BR27" s="474" t="s">
        <v>349</v>
      </c>
      <c r="BS27" s="479">
        <v>1.0</v>
      </c>
      <c r="BT27" s="478">
        <v>21930.942553381577</v>
      </c>
      <c r="BU27" s="474">
        <v>1993.0</v>
      </c>
      <c r="BV27" s="479">
        <f t="shared" si="16"/>
        <v>431.4991157</v>
      </c>
      <c r="BW27" s="479">
        <v>1.0</v>
      </c>
      <c r="BX27" s="474">
        <v>4.7</v>
      </c>
      <c r="BY27" s="474">
        <v>45.9741</v>
      </c>
      <c r="BZ27" s="478">
        <f t="shared" si="17"/>
        <v>93237.58242</v>
      </c>
      <c r="CA27" s="479">
        <f t="shared" si="21"/>
        <v>0.9951498785</v>
      </c>
      <c r="CB27" s="479">
        <f t="shared" si="19"/>
        <v>1</v>
      </c>
      <c r="CC27" s="102"/>
    </row>
    <row r="28">
      <c r="A28" s="102"/>
      <c r="B28" s="102"/>
      <c r="C28" s="467">
        <v>25.0</v>
      </c>
      <c r="D28" s="102"/>
      <c r="E28" s="473" t="s">
        <v>535</v>
      </c>
      <c r="F28" s="474">
        <v>10.0</v>
      </c>
      <c r="G28" s="102"/>
      <c r="H28" s="473" t="s">
        <v>534</v>
      </c>
      <c r="I28" s="474">
        <v>1.16</v>
      </c>
      <c r="J28" s="474">
        <v>1.16</v>
      </c>
      <c r="K28" s="474">
        <v>1.16</v>
      </c>
      <c r="L28" s="474">
        <v>0.0</v>
      </c>
      <c r="M28" s="474">
        <v>1.0</v>
      </c>
      <c r="N28" s="474">
        <v>1.0</v>
      </c>
      <c r="O28" s="102"/>
      <c r="P28" s="474">
        <v>25.0</v>
      </c>
      <c r="Q28" s="474">
        <f t="shared" si="1"/>
        <v>37</v>
      </c>
      <c r="R28" s="474">
        <f t="shared" si="2"/>
        <v>47</v>
      </c>
      <c r="S28" s="474">
        <f t="shared" si="3"/>
        <v>45</v>
      </c>
      <c r="T28" s="474">
        <f t="shared" si="4"/>
        <v>50</v>
      </c>
      <c r="U28" s="474">
        <f t="shared" si="5"/>
        <v>33</v>
      </c>
      <c r="V28" s="474">
        <f t="shared" si="6"/>
        <v>26</v>
      </c>
      <c r="W28" s="474">
        <f t="shared" si="7"/>
        <v>50</v>
      </c>
      <c r="X28" s="474">
        <f t="shared" si="8"/>
        <v>75</v>
      </c>
      <c r="Y28" s="474">
        <f t="shared" si="9"/>
        <v>37</v>
      </c>
      <c r="Z28" s="102"/>
      <c r="AA28" s="474">
        <v>25.0</v>
      </c>
      <c r="AB28" s="474">
        <f t="shared" si="10"/>
        <v>30</v>
      </c>
      <c r="AC28" s="476">
        <f t="shared" si="11"/>
        <v>33</v>
      </c>
      <c r="AD28" s="474">
        <f t="shared" si="12"/>
        <v>41</v>
      </c>
      <c r="AE28" s="474">
        <f t="shared" si="13"/>
        <v>28</v>
      </c>
      <c r="AF28" s="474">
        <f t="shared" si="14"/>
        <v>33</v>
      </c>
      <c r="AG28" s="102"/>
      <c r="AH28" s="473" t="s">
        <v>536</v>
      </c>
      <c r="AI28" s="102"/>
      <c r="AJ28" s="473" t="s">
        <v>536</v>
      </c>
      <c r="AK28" s="473" t="s">
        <v>536</v>
      </c>
      <c r="AL28" s="473" t="s">
        <v>536</v>
      </c>
      <c r="AM28" s="102"/>
      <c r="AN28" s="102"/>
      <c r="AO28" s="473" t="s">
        <v>536</v>
      </c>
      <c r="AP28" s="102"/>
      <c r="AQ28" s="473" t="s">
        <v>536</v>
      </c>
      <c r="AR28" s="102"/>
      <c r="AS28" s="102"/>
      <c r="AT28" s="102"/>
      <c r="AU28" s="102"/>
      <c r="AV28" s="102"/>
      <c r="AW28" s="102"/>
      <c r="AX28" s="102"/>
      <c r="AY28" s="102"/>
      <c r="AZ28" s="102"/>
      <c r="BA28" s="102"/>
      <c r="BB28" s="473" t="s">
        <v>392</v>
      </c>
      <c r="BC28" s="474">
        <v>35.0</v>
      </c>
      <c r="BD28" s="474">
        <v>33.0</v>
      </c>
      <c r="BE28" s="474">
        <v>38.0</v>
      </c>
      <c r="BF28" s="474">
        <v>34.0</v>
      </c>
      <c r="BG28" s="474">
        <v>34.0</v>
      </c>
      <c r="BH28" s="478">
        <f t="shared" si="15"/>
        <v>34.8</v>
      </c>
      <c r="BI28" s="102"/>
      <c r="BJ28" s="102"/>
      <c r="BK28" s="102"/>
      <c r="BL28" s="102"/>
      <c r="BM28" s="102"/>
      <c r="BN28" s="102"/>
      <c r="BO28" s="102"/>
      <c r="BP28" s="473" t="s">
        <v>391</v>
      </c>
      <c r="BQ28" s="474">
        <f t="shared" si="23"/>
        <v>93692</v>
      </c>
      <c r="BR28" s="474" t="s">
        <v>349</v>
      </c>
      <c r="BS28" s="479">
        <v>1.0</v>
      </c>
      <c r="BT28" s="478">
        <v>21930.942553381577</v>
      </c>
      <c r="BU28" s="474">
        <v>1993.0</v>
      </c>
      <c r="BV28" s="479">
        <f t="shared" si="16"/>
        <v>431.4991157</v>
      </c>
      <c r="BW28" s="479">
        <v>1.0</v>
      </c>
      <c r="BX28" s="474">
        <v>4.7</v>
      </c>
      <c r="BY28" s="474">
        <v>45.9741</v>
      </c>
      <c r="BZ28" s="478">
        <f t="shared" si="17"/>
        <v>93237.58242</v>
      </c>
      <c r="CA28" s="479">
        <f t="shared" si="21"/>
        <v>0.9951498785</v>
      </c>
      <c r="CB28" s="479">
        <f t="shared" si="19"/>
        <v>1</v>
      </c>
      <c r="CC28" s="102"/>
    </row>
    <row r="29">
      <c r="A29" s="102"/>
      <c r="B29" s="102"/>
      <c r="C29" s="467">
        <v>26.0</v>
      </c>
      <c r="D29" s="102"/>
      <c r="E29" s="473" t="s">
        <v>537</v>
      </c>
      <c r="F29" s="474">
        <v>20.0</v>
      </c>
      <c r="G29" s="102"/>
      <c r="H29" s="473" t="s">
        <v>536</v>
      </c>
      <c r="I29" s="474">
        <v>1.0</v>
      </c>
      <c r="J29" s="474">
        <v>1.0</v>
      </c>
      <c r="K29" s="474">
        <v>1.0</v>
      </c>
      <c r="L29" s="474">
        <v>20.0</v>
      </c>
      <c r="M29" s="474">
        <v>0.8</v>
      </c>
      <c r="N29" s="474">
        <v>1.0</v>
      </c>
      <c r="O29" s="102"/>
      <c r="P29" s="474">
        <v>26.0</v>
      </c>
      <c r="Q29" s="474">
        <f t="shared" si="1"/>
        <v>38</v>
      </c>
      <c r="R29" s="474">
        <f t="shared" si="2"/>
        <v>50</v>
      </c>
      <c r="S29" s="474">
        <f t="shared" si="3"/>
        <v>46</v>
      </c>
      <c r="T29" s="474">
        <f t="shared" si="4"/>
        <v>52</v>
      </c>
      <c r="U29" s="474">
        <f t="shared" si="5"/>
        <v>34</v>
      </c>
      <c r="V29" s="474">
        <f t="shared" si="6"/>
        <v>27</v>
      </c>
      <c r="W29" s="474">
        <f t="shared" si="7"/>
        <v>52</v>
      </c>
      <c r="X29" s="474">
        <f t="shared" si="8"/>
        <v>78</v>
      </c>
      <c r="Y29" s="474">
        <f t="shared" si="9"/>
        <v>38</v>
      </c>
      <c r="Z29" s="102"/>
      <c r="AA29" s="474">
        <v>26.0</v>
      </c>
      <c r="AB29" s="474">
        <f t="shared" si="10"/>
        <v>31</v>
      </c>
      <c r="AC29" s="476">
        <f t="shared" si="11"/>
        <v>34</v>
      </c>
      <c r="AD29" s="474">
        <f t="shared" si="12"/>
        <v>43</v>
      </c>
      <c r="AE29" s="474">
        <f t="shared" si="13"/>
        <v>29</v>
      </c>
      <c r="AF29" s="474">
        <f t="shared" si="14"/>
        <v>34</v>
      </c>
      <c r="AG29" s="102"/>
      <c r="AH29" s="473" t="s">
        <v>538</v>
      </c>
      <c r="AI29" s="473" t="s">
        <v>538</v>
      </c>
      <c r="AJ29" s="473" t="s">
        <v>538</v>
      </c>
      <c r="AK29" s="473" t="s">
        <v>538</v>
      </c>
      <c r="AL29" s="473" t="s">
        <v>538</v>
      </c>
      <c r="AM29" s="473" t="s">
        <v>538</v>
      </c>
      <c r="AN29" s="473" t="s">
        <v>538</v>
      </c>
      <c r="AO29" s="473" t="s">
        <v>538</v>
      </c>
      <c r="AP29" s="473" t="s">
        <v>538</v>
      </c>
      <c r="AQ29" s="473" t="s">
        <v>538</v>
      </c>
      <c r="AR29" s="473" t="s">
        <v>538</v>
      </c>
      <c r="AS29" s="473" t="s">
        <v>538</v>
      </c>
      <c r="AT29" s="473" t="s">
        <v>538</v>
      </c>
      <c r="AU29" s="102"/>
      <c r="AV29" s="102"/>
      <c r="AW29" s="102"/>
      <c r="AX29" s="102"/>
      <c r="AY29" s="102"/>
      <c r="AZ29" s="102"/>
      <c r="BA29" s="102"/>
      <c r="BB29" s="473" t="s">
        <v>393</v>
      </c>
      <c r="BC29" s="474">
        <v>23.0</v>
      </c>
      <c r="BD29" s="474">
        <v>22.0</v>
      </c>
      <c r="BE29" s="474">
        <v>27.0</v>
      </c>
      <c r="BF29" s="474">
        <v>29.0</v>
      </c>
      <c r="BG29" s="474">
        <v>23.0</v>
      </c>
      <c r="BH29" s="478">
        <f t="shared" si="15"/>
        <v>24.8</v>
      </c>
      <c r="BI29" s="102"/>
      <c r="BJ29" s="102"/>
      <c r="BK29" s="102"/>
      <c r="BL29" s="102"/>
      <c r="BM29" s="102"/>
      <c r="BN29" s="102"/>
      <c r="BO29" s="102"/>
      <c r="BP29" s="473" t="s">
        <v>392</v>
      </c>
      <c r="BQ29" s="474">
        <f>8706+75628</f>
        <v>84334</v>
      </c>
      <c r="BR29" s="474" t="s">
        <v>349</v>
      </c>
      <c r="BS29" s="479">
        <v>1.0</v>
      </c>
      <c r="BT29" s="478">
        <v>19741.86675855732</v>
      </c>
      <c r="BU29" s="474">
        <v>1993.0</v>
      </c>
      <c r="BV29" s="479">
        <f t="shared" si="16"/>
        <v>388.4282687</v>
      </c>
      <c r="BW29" s="479">
        <v>1.0</v>
      </c>
      <c r="BX29" s="474">
        <v>4.7</v>
      </c>
      <c r="BY29" s="474">
        <v>45.9741</v>
      </c>
      <c r="BZ29" s="478">
        <f t="shared" si="17"/>
        <v>83930.90833</v>
      </c>
      <c r="CA29" s="479">
        <f t="shared" si="21"/>
        <v>0.9952202946</v>
      </c>
      <c r="CB29" s="479">
        <f t="shared" si="19"/>
        <v>1</v>
      </c>
      <c r="CC29" s="102"/>
    </row>
    <row r="30">
      <c r="A30" s="102"/>
      <c r="B30" s="102"/>
      <c r="C30" s="467">
        <v>27.0</v>
      </c>
      <c r="D30" s="102"/>
      <c r="E30" s="473" t="s">
        <v>539</v>
      </c>
      <c r="F30" s="474">
        <v>25.0</v>
      </c>
      <c r="G30" s="102"/>
      <c r="H30" s="473" t="s">
        <v>538</v>
      </c>
      <c r="I30" s="474">
        <v>1.0</v>
      </c>
      <c r="J30" s="474">
        <v>1.0</v>
      </c>
      <c r="K30" s="474">
        <v>1.0</v>
      </c>
      <c r="L30" s="474">
        <v>30.0</v>
      </c>
      <c r="M30" s="474">
        <v>1.0</v>
      </c>
      <c r="N30" s="474">
        <v>1.0</v>
      </c>
      <c r="O30" s="102"/>
      <c r="P30" s="474">
        <v>27.0</v>
      </c>
      <c r="Q30" s="474">
        <f t="shared" si="1"/>
        <v>40</v>
      </c>
      <c r="R30" s="474">
        <f t="shared" si="2"/>
        <v>51</v>
      </c>
      <c r="S30" s="474">
        <f t="shared" si="3"/>
        <v>48</v>
      </c>
      <c r="T30" s="474">
        <f t="shared" si="4"/>
        <v>54</v>
      </c>
      <c r="U30" s="474">
        <f t="shared" si="5"/>
        <v>36</v>
      </c>
      <c r="V30" s="474">
        <f t="shared" si="6"/>
        <v>28</v>
      </c>
      <c r="W30" s="474">
        <f t="shared" si="7"/>
        <v>54</v>
      </c>
      <c r="X30" s="474">
        <f t="shared" si="8"/>
        <v>81</v>
      </c>
      <c r="Y30" s="474">
        <f t="shared" si="9"/>
        <v>40</v>
      </c>
      <c r="Z30" s="102"/>
      <c r="AA30" s="474">
        <v>27.0</v>
      </c>
      <c r="AB30" s="474">
        <f t="shared" si="10"/>
        <v>32</v>
      </c>
      <c r="AC30" s="476">
        <f t="shared" si="11"/>
        <v>36</v>
      </c>
      <c r="AD30" s="474">
        <f t="shared" si="12"/>
        <v>45</v>
      </c>
      <c r="AE30" s="474">
        <f t="shared" si="13"/>
        <v>30</v>
      </c>
      <c r="AF30" s="474">
        <f t="shared" si="14"/>
        <v>36</v>
      </c>
      <c r="AG30" s="102"/>
      <c r="AH30" s="473" t="s">
        <v>540</v>
      </c>
      <c r="AI30" s="473" t="s">
        <v>540</v>
      </c>
      <c r="AJ30" s="473" t="s">
        <v>540</v>
      </c>
      <c r="AK30" s="473" t="s">
        <v>540</v>
      </c>
      <c r="AL30" s="473" t="s">
        <v>540</v>
      </c>
      <c r="AM30" s="473" t="s">
        <v>540</v>
      </c>
      <c r="AN30" s="473" t="s">
        <v>540</v>
      </c>
      <c r="AO30" s="473" t="s">
        <v>540</v>
      </c>
      <c r="AP30" s="473" t="s">
        <v>540</v>
      </c>
      <c r="AQ30" s="473" t="s">
        <v>540</v>
      </c>
      <c r="AR30" s="473" t="s">
        <v>540</v>
      </c>
      <c r="AS30" s="473" t="s">
        <v>540</v>
      </c>
      <c r="AT30" s="473" t="s">
        <v>540</v>
      </c>
      <c r="AU30" s="102"/>
      <c r="AV30" s="102"/>
      <c r="AW30" s="102"/>
      <c r="AX30" s="102"/>
      <c r="AY30" s="102"/>
      <c r="AZ30" s="102"/>
      <c r="BA30" s="102"/>
      <c r="BB30" s="473" t="s">
        <v>395</v>
      </c>
      <c r="BC30" s="474">
        <v>32.0</v>
      </c>
      <c r="BD30" s="474">
        <v>30.0</v>
      </c>
      <c r="BE30" s="474">
        <v>31.0</v>
      </c>
      <c r="BF30" s="474">
        <v>34.0</v>
      </c>
      <c r="BG30" s="474">
        <v>32.0</v>
      </c>
      <c r="BH30" s="478">
        <f t="shared" si="15"/>
        <v>31.8</v>
      </c>
      <c r="BI30" s="102"/>
      <c r="BJ30" s="102"/>
      <c r="BK30" s="102"/>
      <c r="BL30" s="102"/>
      <c r="BM30" s="102"/>
      <c r="BN30" s="102"/>
      <c r="BO30" s="102"/>
      <c r="BP30" s="473" t="s">
        <v>393</v>
      </c>
      <c r="BQ30" s="474">
        <f>19333+61582</f>
        <v>80915</v>
      </c>
      <c r="BR30" s="474" t="s">
        <v>349</v>
      </c>
      <c r="BS30" s="479">
        <v>1.0</v>
      </c>
      <c r="BT30" s="478">
        <v>18829.80318626183</v>
      </c>
      <c r="BU30" s="474">
        <v>1981.0</v>
      </c>
      <c r="BV30" s="479">
        <f t="shared" si="16"/>
        <v>372.6828933</v>
      </c>
      <c r="BW30" s="479">
        <v>1.0</v>
      </c>
      <c r="BX30" s="474">
        <v>4.7</v>
      </c>
      <c r="BY30" s="474">
        <v>45.9741</v>
      </c>
      <c r="BZ30" s="478">
        <f t="shared" si="17"/>
        <v>80528.67485</v>
      </c>
      <c r="CA30" s="479">
        <f t="shared" si="21"/>
        <v>0.9952255435</v>
      </c>
      <c r="CB30" s="479">
        <f t="shared" si="19"/>
        <v>1</v>
      </c>
      <c r="CC30" s="102"/>
    </row>
    <row r="31">
      <c r="A31" s="102"/>
      <c r="B31" s="102"/>
      <c r="C31" s="467">
        <v>28.0</v>
      </c>
      <c r="D31" s="102"/>
      <c r="E31" s="473" t="s">
        <v>541</v>
      </c>
      <c r="F31" s="474">
        <v>45.0</v>
      </c>
      <c r="G31" s="102"/>
      <c r="H31" s="473" t="s">
        <v>540</v>
      </c>
      <c r="I31" s="474">
        <v>1.0</v>
      </c>
      <c r="J31" s="474">
        <v>1.0</v>
      </c>
      <c r="K31" s="474">
        <v>1.0</v>
      </c>
      <c r="L31" s="474">
        <v>50.0</v>
      </c>
      <c r="M31" s="474">
        <v>1.0</v>
      </c>
      <c r="N31" s="474">
        <v>1.0</v>
      </c>
      <c r="O31" s="102"/>
      <c r="P31" s="474">
        <v>28.0</v>
      </c>
      <c r="Q31" s="474">
        <f t="shared" si="1"/>
        <v>41</v>
      </c>
      <c r="R31" s="474">
        <f t="shared" si="2"/>
        <v>54</v>
      </c>
      <c r="S31" s="474">
        <f t="shared" si="3"/>
        <v>49</v>
      </c>
      <c r="T31" s="474">
        <f t="shared" si="4"/>
        <v>56</v>
      </c>
      <c r="U31" s="474">
        <f t="shared" si="5"/>
        <v>37</v>
      </c>
      <c r="V31" s="474">
        <f t="shared" si="6"/>
        <v>29</v>
      </c>
      <c r="W31" s="474">
        <f t="shared" si="7"/>
        <v>56</v>
      </c>
      <c r="X31" s="474">
        <f t="shared" si="8"/>
        <v>84</v>
      </c>
      <c r="Y31" s="474">
        <f t="shared" si="9"/>
        <v>41</v>
      </c>
      <c r="Z31" s="102"/>
      <c r="AA31" s="474">
        <v>28.0</v>
      </c>
      <c r="AB31" s="474">
        <f t="shared" si="10"/>
        <v>33</v>
      </c>
      <c r="AC31" s="476">
        <f t="shared" si="11"/>
        <v>37</v>
      </c>
      <c r="AD31" s="474">
        <f t="shared" si="12"/>
        <v>46</v>
      </c>
      <c r="AE31" s="474">
        <f t="shared" si="13"/>
        <v>31</v>
      </c>
      <c r="AF31" s="474">
        <f t="shared" si="14"/>
        <v>37</v>
      </c>
      <c r="AG31" s="102"/>
      <c r="AH31" s="473" t="s">
        <v>542</v>
      </c>
      <c r="AI31" s="473" t="s">
        <v>542</v>
      </c>
      <c r="AJ31" s="473" t="s">
        <v>542</v>
      </c>
      <c r="AK31" s="473" t="s">
        <v>542</v>
      </c>
      <c r="AL31" s="473" t="s">
        <v>542</v>
      </c>
      <c r="AM31" s="473" t="s">
        <v>542</v>
      </c>
      <c r="AN31" s="473" t="s">
        <v>542</v>
      </c>
      <c r="AO31" s="473" t="s">
        <v>542</v>
      </c>
      <c r="AP31" s="473" t="s">
        <v>542</v>
      </c>
      <c r="AQ31" s="473" t="s">
        <v>542</v>
      </c>
      <c r="AR31" s="473" t="s">
        <v>542</v>
      </c>
      <c r="AS31" s="473" t="s">
        <v>542</v>
      </c>
      <c r="AT31" s="473" t="s">
        <v>542</v>
      </c>
      <c r="AU31" s="102"/>
      <c r="AV31" s="102"/>
      <c r="AW31" s="102"/>
      <c r="AX31" s="102"/>
      <c r="AY31" s="102"/>
      <c r="AZ31" s="102"/>
      <c r="BA31" s="102"/>
      <c r="BB31" s="473" t="s">
        <v>396</v>
      </c>
      <c r="BC31" s="474">
        <v>69.0</v>
      </c>
      <c r="BD31" s="102"/>
      <c r="BE31" s="102"/>
      <c r="BF31" s="102"/>
      <c r="BG31" s="102"/>
      <c r="BH31" s="478">
        <f t="shared" si="15"/>
        <v>69</v>
      </c>
      <c r="BI31" s="102"/>
      <c r="BJ31" s="102"/>
      <c r="BK31" s="102"/>
      <c r="BL31" s="102"/>
      <c r="BM31" s="102"/>
      <c r="BN31" s="102"/>
      <c r="BO31" s="102"/>
      <c r="BP31" s="473" t="s">
        <v>395</v>
      </c>
      <c r="BQ31" s="474">
        <f>12*3185</f>
        <v>38220</v>
      </c>
      <c r="BR31" s="472">
        <v>84084.0</v>
      </c>
      <c r="BS31" s="479">
        <f t="shared" ref="BS31:BS39" si="24">(BR31/2)/BQ31</f>
        <v>1.1</v>
      </c>
      <c r="BT31" s="474">
        <f>12*1522</f>
        <v>18264</v>
      </c>
      <c r="BU31" s="474">
        <v>1992.0</v>
      </c>
      <c r="BV31" s="479">
        <f t="shared" si="16"/>
        <v>359.5275591</v>
      </c>
      <c r="BW31" s="479">
        <v>1.1</v>
      </c>
      <c r="BX31" s="474">
        <v>2.3</v>
      </c>
      <c r="BY31" s="474">
        <v>45.9741</v>
      </c>
      <c r="BZ31" s="478">
        <f t="shared" si="17"/>
        <v>38016.59869</v>
      </c>
      <c r="CA31" s="479">
        <f t="shared" si="21"/>
        <v>0.9946781447</v>
      </c>
      <c r="CB31" s="479">
        <f t="shared" si="19"/>
        <v>1</v>
      </c>
      <c r="CC31" s="102"/>
    </row>
    <row r="32">
      <c r="A32" s="102"/>
      <c r="B32" s="102"/>
      <c r="C32" s="467">
        <v>29.0</v>
      </c>
      <c r="D32" s="102"/>
      <c r="E32" s="473" t="s">
        <v>543</v>
      </c>
      <c r="F32" s="474">
        <v>30.0</v>
      </c>
      <c r="G32" s="102"/>
      <c r="H32" s="473" t="s">
        <v>542</v>
      </c>
      <c r="I32" s="474">
        <v>1.35</v>
      </c>
      <c r="J32" s="474">
        <v>1.35</v>
      </c>
      <c r="K32" s="474">
        <v>1.35</v>
      </c>
      <c r="L32" s="474">
        <v>0.0</v>
      </c>
      <c r="M32" s="474">
        <v>1.0</v>
      </c>
      <c r="N32" s="474">
        <v>1.0</v>
      </c>
      <c r="O32" s="102"/>
      <c r="P32" s="474">
        <v>29.0</v>
      </c>
      <c r="Q32" s="474">
        <f t="shared" si="1"/>
        <v>43</v>
      </c>
      <c r="R32" s="474">
        <f t="shared" si="2"/>
        <v>55</v>
      </c>
      <c r="S32" s="474">
        <f t="shared" si="3"/>
        <v>52</v>
      </c>
      <c r="T32" s="474">
        <f t="shared" si="4"/>
        <v>58</v>
      </c>
      <c r="U32" s="474">
        <f t="shared" si="5"/>
        <v>38</v>
      </c>
      <c r="V32" s="474">
        <f t="shared" si="6"/>
        <v>30</v>
      </c>
      <c r="W32" s="474">
        <f t="shared" si="7"/>
        <v>58</v>
      </c>
      <c r="X32" s="474">
        <f t="shared" si="8"/>
        <v>87</v>
      </c>
      <c r="Y32" s="474">
        <f t="shared" si="9"/>
        <v>43</v>
      </c>
      <c r="Z32" s="102"/>
      <c r="AA32" s="474">
        <v>29.0</v>
      </c>
      <c r="AB32" s="474">
        <f t="shared" si="10"/>
        <v>34</v>
      </c>
      <c r="AC32" s="476">
        <f t="shared" si="11"/>
        <v>38</v>
      </c>
      <c r="AD32" s="474">
        <f t="shared" si="12"/>
        <v>48</v>
      </c>
      <c r="AE32" s="474">
        <f t="shared" si="13"/>
        <v>32</v>
      </c>
      <c r="AF32" s="474">
        <f t="shared" si="14"/>
        <v>38</v>
      </c>
      <c r="AG32" s="102"/>
      <c r="AH32" s="473" t="s">
        <v>450</v>
      </c>
      <c r="AI32" s="473" t="s">
        <v>450</v>
      </c>
      <c r="AJ32" s="473" t="s">
        <v>450</v>
      </c>
      <c r="AK32" s="473" t="s">
        <v>450</v>
      </c>
      <c r="AL32" s="473" t="s">
        <v>450</v>
      </c>
      <c r="AM32" s="473" t="s">
        <v>450</v>
      </c>
      <c r="AN32" s="473" t="s">
        <v>450</v>
      </c>
      <c r="AO32" s="473" t="s">
        <v>450</v>
      </c>
      <c r="AP32" s="473" t="s">
        <v>450</v>
      </c>
      <c r="AQ32" s="473" t="s">
        <v>450</v>
      </c>
      <c r="AR32" s="473" t="s">
        <v>450</v>
      </c>
      <c r="AS32" s="473" t="s">
        <v>450</v>
      </c>
      <c r="AT32" s="473" t="s">
        <v>450</v>
      </c>
      <c r="AU32" s="102"/>
      <c r="AV32" s="102"/>
      <c r="AW32" s="102"/>
      <c r="AX32" s="102"/>
      <c r="AY32" s="102"/>
      <c r="AZ32" s="102"/>
      <c r="BA32" s="102"/>
      <c r="BB32" s="473" t="s">
        <v>399</v>
      </c>
      <c r="BC32" s="474">
        <v>54.0</v>
      </c>
      <c r="BD32" s="474">
        <v>62.0</v>
      </c>
      <c r="BE32" s="474">
        <v>56.0</v>
      </c>
      <c r="BF32" s="474">
        <v>56.0</v>
      </c>
      <c r="BG32" s="474">
        <v>59.0</v>
      </c>
      <c r="BH32" s="478">
        <f t="shared" si="15"/>
        <v>57.4</v>
      </c>
      <c r="BI32" s="102"/>
      <c r="BJ32" s="102"/>
      <c r="BK32" s="102"/>
      <c r="BL32" s="102"/>
      <c r="BM32" s="102"/>
      <c r="BN32" s="102"/>
      <c r="BO32" s="102"/>
      <c r="BP32" s="473" t="s">
        <v>399</v>
      </c>
      <c r="BQ32" s="474">
        <f>12*2623</f>
        <v>31476</v>
      </c>
      <c r="BR32" s="472">
        <v>69247.0</v>
      </c>
      <c r="BS32" s="479">
        <f t="shared" si="24"/>
        <v>1.099996823</v>
      </c>
      <c r="BT32" s="474">
        <f>12*1254</f>
        <v>15048</v>
      </c>
      <c r="BU32" s="474">
        <v>1992.0</v>
      </c>
      <c r="BV32" s="479">
        <f t="shared" si="16"/>
        <v>296.2204724</v>
      </c>
      <c r="BW32" s="479">
        <v>1.1</v>
      </c>
      <c r="BX32" s="474">
        <v>2.3</v>
      </c>
      <c r="BY32" s="474">
        <v>45.9741</v>
      </c>
      <c r="BZ32" s="478">
        <f t="shared" si="17"/>
        <v>31322.48013</v>
      </c>
      <c r="CA32" s="479">
        <f t="shared" si="21"/>
        <v>0.9951226373</v>
      </c>
      <c r="CB32" s="479">
        <f t="shared" si="19"/>
        <v>1.000002888</v>
      </c>
      <c r="CC32" s="102"/>
    </row>
    <row r="33">
      <c r="A33" s="102"/>
      <c r="B33" s="102"/>
      <c r="C33" s="467">
        <v>30.0</v>
      </c>
      <c r="D33" s="102"/>
      <c r="E33" s="473" t="s">
        <v>544</v>
      </c>
      <c r="F33" s="474">
        <v>30.0</v>
      </c>
      <c r="G33" s="102"/>
      <c r="H33" s="473" t="s">
        <v>450</v>
      </c>
      <c r="I33" s="474">
        <v>1.0</v>
      </c>
      <c r="J33" s="474">
        <v>1.0</v>
      </c>
      <c r="K33" s="474">
        <v>1.0</v>
      </c>
      <c r="L33" s="474">
        <v>0.0</v>
      </c>
      <c r="M33" s="474">
        <v>1.0</v>
      </c>
      <c r="N33" s="474">
        <v>1.0</v>
      </c>
      <c r="O33" s="102"/>
      <c r="P33" s="474">
        <v>30.0</v>
      </c>
      <c r="Q33" s="474">
        <f t="shared" si="1"/>
        <v>44</v>
      </c>
      <c r="R33" s="474">
        <f t="shared" si="2"/>
        <v>58</v>
      </c>
      <c r="S33" s="474">
        <f t="shared" si="3"/>
        <v>53</v>
      </c>
      <c r="T33" s="474">
        <f t="shared" si="4"/>
        <v>60</v>
      </c>
      <c r="U33" s="474">
        <f t="shared" si="5"/>
        <v>39</v>
      </c>
      <c r="V33" s="474">
        <f t="shared" si="6"/>
        <v>31</v>
      </c>
      <c r="W33" s="474">
        <f t="shared" si="7"/>
        <v>60</v>
      </c>
      <c r="X33" s="474">
        <f t="shared" si="8"/>
        <v>90</v>
      </c>
      <c r="Y33" s="474">
        <f t="shared" si="9"/>
        <v>44</v>
      </c>
      <c r="Z33" s="102"/>
      <c r="AA33" s="474">
        <v>30.0</v>
      </c>
      <c r="AB33" s="474">
        <f t="shared" si="10"/>
        <v>35</v>
      </c>
      <c r="AC33" s="476">
        <f t="shared" si="11"/>
        <v>40</v>
      </c>
      <c r="AD33" s="474">
        <f t="shared" si="12"/>
        <v>50</v>
      </c>
      <c r="AE33" s="474">
        <f t="shared" si="13"/>
        <v>33</v>
      </c>
      <c r="AF33" s="474">
        <f t="shared" si="14"/>
        <v>40</v>
      </c>
      <c r="AG33" s="102"/>
      <c r="AH33" s="473" t="s">
        <v>545</v>
      </c>
      <c r="AI33" s="473" t="s">
        <v>545</v>
      </c>
      <c r="AJ33" s="473" t="s">
        <v>545</v>
      </c>
      <c r="AK33" s="473" t="s">
        <v>545</v>
      </c>
      <c r="AL33" s="473" t="s">
        <v>545</v>
      </c>
      <c r="AM33" s="473" t="s">
        <v>545</v>
      </c>
      <c r="AN33" s="473" t="s">
        <v>545</v>
      </c>
      <c r="AO33" s="473" t="s">
        <v>545</v>
      </c>
      <c r="AP33" s="473" t="s">
        <v>545</v>
      </c>
      <c r="AQ33" s="473" t="s">
        <v>545</v>
      </c>
      <c r="AR33" s="473" t="s">
        <v>545</v>
      </c>
      <c r="AS33" s="473" t="s">
        <v>545</v>
      </c>
      <c r="AT33" s="473" t="s">
        <v>545</v>
      </c>
      <c r="AU33" s="102"/>
      <c r="AV33" s="102"/>
      <c r="AW33" s="102"/>
      <c r="AX33" s="102"/>
      <c r="AY33" s="102"/>
      <c r="AZ33" s="102"/>
      <c r="BA33" s="102"/>
      <c r="BB33" s="473" t="s">
        <v>400</v>
      </c>
      <c r="BC33" s="474">
        <v>44.0</v>
      </c>
      <c r="BD33" s="474">
        <v>48.0</v>
      </c>
      <c r="BE33" s="474">
        <v>45.0</v>
      </c>
      <c r="BF33" s="474">
        <v>49.0</v>
      </c>
      <c r="BG33" s="474">
        <v>48.0</v>
      </c>
      <c r="BH33" s="478">
        <f t="shared" si="15"/>
        <v>46.8</v>
      </c>
      <c r="BI33" s="102"/>
      <c r="BJ33" s="102"/>
      <c r="BK33" s="102"/>
      <c r="BL33" s="102"/>
      <c r="BM33" s="102"/>
      <c r="BN33" s="102"/>
      <c r="BO33" s="102"/>
      <c r="BP33" s="473" t="s">
        <v>400</v>
      </c>
      <c r="BQ33" s="474">
        <v>20714.0</v>
      </c>
      <c r="BR33" s="474">
        <v>72701.0</v>
      </c>
      <c r="BS33" s="479">
        <f t="shared" si="24"/>
        <v>1.754875929</v>
      </c>
      <c r="BT33" s="474">
        <v>9961.0</v>
      </c>
      <c r="BU33" s="474">
        <v>2004.0</v>
      </c>
      <c r="BV33" s="479">
        <f t="shared" si="16"/>
        <v>194.9315068</v>
      </c>
      <c r="BW33" s="479">
        <v>1.75</v>
      </c>
      <c r="BX33" s="474">
        <v>2.3</v>
      </c>
      <c r="BY33" s="474">
        <v>45.9741</v>
      </c>
      <c r="BZ33" s="478">
        <f t="shared" si="17"/>
        <v>20612.14135</v>
      </c>
      <c r="CA33" s="479">
        <f t="shared" si="21"/>
        <v>0.9950826183</v>
      </c>
      <c r="CB33" s="479">
        <f t="shared" si="19"/>
        <v>0.9972214963</v>
      </c>
      <c r="CC33" s="102"/>
    </row>
    <row r="34">
      <c r="A34" s="102"/>
      <c r="B34" s="102"/>
      <c r="C34" s="467">
        <v>31.0</v>
      </c>
      <c r="D34" s="102"/>
      <c r="E34" s="473" t="s">
        <v>546</v>
      </c>
      <c r="F34" s="474">
        <v>60.0</v>
      </c>
      <c r="G34" s="102"/>
      <c r="H34" s="473" t="s">
        <v>545</v>
      </c>
      <c r="I34" s="474">
        <v>1.2</v>
      </c>
      <c r="J34" s="474">
        <v>1.2</v>
      </c>
      <c r="K34" s="474">
        <v>1.2</v>
      </c>
      <c r="L34" s="474">
        <v>0.0</v>
      </c>
      <c r="M34" s="474">
        <v>1.0</v>
      </c>
      <c r="N34" s="474">
        <v>1.0</v>
      </c>
      <c r="O34" s="102"/>
      <c r="P34" s="474">
        <v>31.0</v>
      </c>
      <c r="Q34" s="474">
        <f t="shared" si="1"/>
        <v>46</v>
      </c>
      <c r="R34" s="474">
        <f t="shared" si="2"/>
        <v>59</v>
      </c>
      <c r="S34" s="474">
        <f t="shared" si="3"/>
        <v>55</v>
      </c>
      <c r="T34" s="474">
        <f t="shared" si="4"/>
        <v>62</v>
      </c>
      <c r="U34" s="474">
        <f t="shared" si="5"/>
        <v>41</v>
      </c>
      <c r="V34" s="474">
        <f t="shared" si="6"/>
        <v>32</v>
      </c>
      <c r="W34" s="474">
        <f t="shared" si="7"/>
        <v>62</v>
      </c>
      <c r="X34" s="474">
        <f t="shared" si="8"/>
        <v>93</v>
      </c>
      <c r="Y34" s="474">
        <f t="shared" si="9"/>
        <v>46</v>
      </c>
      <c r="Z34" s="102"/>
      <c r="AA34" s="474">
        <v>31.0</v>
      </c>
      <c r="AB34" s="474">
        <f t="shared" si="10"/>
        <v>36</v>
      </c>
      <c r="AC34" s="476">
        <f t="shared" si="11"/>
        <v>41</v>
      </c>
      <c r="AD34" s="474">
        <f t="shared" si="12"/>
        <v>51</v>
      </c>
      <c r="AE34" s="474">
        <f t="shared" si="13"/>
        <v>35</v>
      </c>
      <c r="AF34" s="474">
        <f t="shared" si="14"/>
        <v>41</v>
      </c>
      <c r="AG34" s="102"/>
      <c r="AH34" s="473" t="s">
        <v>547</v>
      </c>
      <c r="AI34" s="102"/>
      <c r="AJ34" s="102"/>
      <c r="AK34" s="102"/>
      <c r="AL34" s="102"/>
      <c r="AM34" s="473" t="s">
        <v>547</v>
      </c>
      <c r="AN34" s="473" t="s">
        <v>547</v>
      </c>
      <c r="AO34" s="102"/>
      <c r="AP34" s="102"/>
      <c r="AQ34" s="102"/>
      <c r="AR34" s="473" t="s">
        <v>547</v>
      </c>
      <c r="AS34" s="102"/>
      <c r="AT34" s="473" t="s">
        <v>547</v>
      </c>
      <c r="AU34" s="102"/>
      <c r="AV34" s="102"/>
      <c r="AW34" s="102"/>
      <c r="AX34" s="102"/>
      <c r="AY34" s="102"/>
      <c r="AZ34" s="102"/>
      <c r="BA34" s="102"/>
      <c r="BB34" s="473" t="s">
        <v>402</v>
      </c>
      <c r="BC34" s="474">
        <v>49.0</v>
      </c>
      <c r="BD34" s="474">
        <v>47.0</v>
      </c>
      <c r="BE34" s="474">
        <v>46.0</v>
      </c>
      <c r="BF34" s="474">
        <v>51.0</v>
      </c>
      <c r="BG34" s="474">
        <v>41.0</v>
      </c>
      <c r="BH34" s="478">
        <f t="shared" si="15"/>
        <v>46.8</v>
      </c>
      <c r="BI34" s="102"/>
      <c r="BJ34" s="102"/>
      <c r="BK34" s="102"/>
      <c r="BL34" s="102"/>
      <c r="BM34" s="102"/>
      <c r="BN34" s="102"/>
      <c r="BO34" s="102"/>
      <c r="BP34" s="473" t="s">
        <v>402</v>
      </c>
      <c r="BQ34" s="474">
        <f>12*2743</f>
        <v>32916</v>
      </c>
      <c r="BR34" s="472">
        <v>72415.0</v>
      </c>
      <c r="BS34" s="479">
        <f t="shared" si="24"/>
        <v>1.099996962</v>
      </c>
      <c r="BT34" s="474">
        <f>12*1312</f>
        <v>15744</v>
      </c>
      <c r="BU34" s="474">
        <v>1993.0</v>
      </c>
      <c r="BV34" s="479">
        <f t="shared" si="16"/>
        <v>309.7688146</v>
      </c>
      <c r="BW34" s="479">
        <v>1.1</v>
      </c>
      <c r="BX34" s="474">
        <v>2.3</v>
      </c>
      <c r="BY34" s="474">
        <v>45.9741</v>
      </c>
      <c r="BZ34" s="478">
        <f t="shared" si="17"/>
        <v>32755.08765</v>
      </c>
      <c r="CA34" s="479">
        <f t="shared" si="21"/>
        <v>0.9951114246</v>
      </c>
      <c r="CB34" s="479">
        <f t="shared" si="19"/>
        <v>1.000002762</v>
      </c>
      <c r="CC34" s="102"/>
    </row>
    <row r="35">
      <c r="A35" s="102"/>
      <c r="B35" s="102"/>
      <c r="C35" s="467">
        <v>32.0</v>
      </c>
      <c r="D35" s="102"/>
      <c r="E35" s="473" t="s">
        <v>548</v>
      </c>
      <c r="F35" s="474">
        <v>15.0</v>
      </c>
      <c r="G35" s="102"/>
      <c r="H35" s="473" t="s">
        <v>547</v>
      </c>
      <c r="I35" s="474">
        <v>1.25</v>
      </c>
      <c r="J35" s="474">
        <v>1.25</v>
      </c>
      <c r="K35" s="474">
        <v>1.25</v>
      </c>
      <c r="L35" s="474">
        <v>0.0</v>
      </c>
      <c r="M35" s="474">
        <v>1.0</v>
      </c>
      <c r="N35" s="474">
        <v>1.0</v>
      </c>
      <c r="O35" s="102"/>
      <c r="P35" s="474">
        <v>32.0</v>
      </c>
      <c r="Q35" s="474">
        <f t="shared" si="1"/>
        <v>47</v>
      </c>
      <c r="R35" s="474">
        <f t="shared" si="2"/>
        <v>62</v>
      </c>
      <c r="S35" s="474">
        <f t="shared" si="3"/>
        <v>56</v>
      </c>
      <c r="T35" s="474">
        <f t="shared" si="4"/>
        <v>64</v>
      </c>
      <c r="U35" s="474">
        <f t="shared" si="5"/>
        <v>42</v>
      </c>
      <c r="V35" s="474">
        <f t="shared" si="6"/>
        <v>33</v>
      </c>
      <c r="W35" s="474">
        <f t="shared" si="7"/>
        <v>64</v>
      </c>
      <c r="X35" s="474">
        <f t="shared" si="8"/>
        <v>96</v>
      </c>
      <c r="Y35" s="474">
        <f t="shared" si="9"/>
        <v>47</v>
      </c>
      <c r="Z35" s="102"/>
      <c r="AA35" s="474">
        <v>32.0</v>
      </c>
      <c r="AB35" s="474">
        <f t="shared" si="10"/>
        <v>37</v>
      </c>
      <c r="AC35" s="476">
        <f t="shared" si="11"/>
        <v>42</v>
      </c>
      <c r="AD35" s="474">
        <f t="shared" si="12"/>
        <v>53</v>
      </c>
      <c r="AE35" s="474">
        <f t="shared" si="13"/>
        <v>36</v>
      </c>
      <c r="AF35" s="474">
        <f t="shared" si="14"/>
        <v>42</v>
      </c>
      <c r="AG35" s="102"/>
      <c r="AH35" s="473" t="s">
        <v>549</v>
      </c>
      <c r="AI35" s="102"/>
      <c r="AJ35" s="102"/>
      <c r="AK35" s="102"/>
      <c r="AL35" s="102"/>
      <c r="AM35" s="473" t="s">
        <v>549</v>
      </c>
      <c r="AN35" s="473" t="s">
        <v>549</v>
      </c>
      <c r="AO35" s="102"/>
      <c r="AP35" s="102"/>
      <c r="AQ35" s="102"/>
      <c r="AR35" s="473" t="s">
        <v>549</v>
      </c>
      <c r="AS35" s="102"/>
      <c r="AT35" s="473" t="s">
        <v>549</v>
      </c>
      <c r="AU35" s="102"/>
      <c r="AV35" s="102"/>
      <c r="AW35" s="102"/>
      <c r="AX35" s="102"/>
      <c r="AY35" s="102"/>
      <c r="AZ35" s="102"/>
      <c r="BA35" s="102"/>
      <c r="BB35" s="473" t="s">
        <v>403</v>
      </c>
      <c r="BC35" s="474">
        <v>64.0</v>
      </c>
      <c r="BD35" s="474">
        <v>61.0</v>
      </c>
      <c r="BE35" s="474">
        <v>63.0</v>
      </c>
      <c r="BF35" s="474">
        <v>61.0</v>
      </c>
      <c r="BG35" s="474">
        <v>64.0</v>
      </c>
      <c r="BH35" s="478">
        <f t="shared" si="15"/>
        <v>62.6</v>
      </c>
      <c r="BI35" s="102"/>
      <c r="BJ35" s="102"/>
      <c r="BK35" s="102"/>
      <c r="BL35" s="102"/>
      <c r="BM35" s="102"/>
      <c r="BN35" s="102"/>
      <c r="BO35" s="102"/>
      <c r="BP35" s="473" t="s">
        <v>403</v>
      </c>
      <c r="BQ35" s="474">
        <f>12*2115</f>
        <v>25380</v>
      </c>
      <c r="BR35" s="472">
        <v>55836.0</v>
      </c>
      <c r="BS35" s="479">
        <f t="shared" si="24"/>
        <v>1.1</v>
      </c>
      <c r="BT35" s="474">
        <f>12*1017</f>
        <v>12204</v>
      </c>
      <c r="BU35" s="474">
        <v>2004.0</v>
      </c>
      <c r="BV35" s="479">
        <f t="shared" si="16"/>
        <v>238.8258317</v>
      </c>
      <c r="BW35" s="479">
        <v>1.1</v>
      </c>
      <c r="BX35" s="474">
        <v>2.3</v>
      </c>
      <c r="BY35" s="474">
        <v>45.9741</v>
      </c>
      <c r="BZ35" s="478">
        <f t="shared" si="17"/>
        <v>25253.54614</v>
      </c>
      <c r="CA35" s="479">
        <f t="shared" si="21"/>
        <v>0.9950175784</v>
      </c>
      <c r="CB35" s="479">
        <f t="shared" si="19"/>
        <v>1</v>
      </c>
      <c r="CC35" s="102"/>
    </row>
    <row r="36">
      <c r="A36" s="102"/>
      <c r="B36" s="102"/>
      <c r="C36" s="467">
        <v>33.0</v>
      </c>
      <c r="D36" s="102"/>
      <c r="E36" s="473" t="s">
        <v>550</v>
      </c>
      <c r="F36" s="474">
        <v>35.0</v>
      </c>
      <c r="G36" s="102"/>
      <c r="H36" s="473" t="s">
        <v>549</v>
      </c>
      <c r="I36" s="474">
        <v>1.0</v>
      </c>
      <c r="J36" s="474">
        <v>1.0</v>
      </c>
      <c r="K36" s="474">
        <v>1.0</v>
      </c>
      <c r="L36" s="474">
        <v>60.0</v>
      </c>
      <c r="M36" s="474">
        <v>0.92</v>
      </c>
      <c r="N36" s="474">
        <v>1.0</v>
      </c>
      <c r="O36" s="102"/>
      <c r="P36" s="474">
        <v>33.0</v>
      </c>
      <c r="Q36" s="474">
        <f t="shared" si="1"/>
        <v>49</v>
      </c>
      <c r="R36" s="474">
        <f t="shared" si="2"/>
        <v>63</v>
      </c>
      <c r="S36" s="474">
        <f t="shared" si="3"/>
        <v>59</v>
      </c>
      <c r="T36" s="474">
        <f t="shared" si="4"/>
        <v>66</v>
      </c>
      <c r="U36" s="474">
        <f t="shared" si="5"/>
        <v>43</v>
      </c>
      <c r="V36" s="474">
        <f t="shared" si="6"/>
        <v>34</v>
      </c>
      <c r="W36" s="474">
        <f t="shared" si="7"/>
        <v>66</v>
      </c>
      <c r="X36" s="474">
        <f t="shared" si="8"/>
        <v>99</v>
      </c>
      <c r="Y36" s="474">
        <f t="shared" si="9"/>
        <v>49</v>
      </c>
      <c r="Z36" s="102"/>
      <c r="AA36" s="474">
        <v>33.0</v>
      </c>
      <c r="AB36" s="474">
        <f t="shared" si="10"/>
        <v>38</v>
      </c>
      <c r="AC36" s="476">
        <f t="shared" si="11"/>
        <v>44</v>
      </c>
      <c r="AD36" s="474">
        <f t="shared" si="12"/>
        <v>55</v>
      </c>
      <c r="AE36" s="474">
        <f t="shared" si="13"/>
        <v>37</v>
      </c>
      <c r="AF36" s="474">
        <f t="shared" si="14"/>
        <v>44</v>
      </c>
      <c r="AG36" s="102"/>
      <c r="AH36" s="473" t="s">
        <v>447</v>
      </c>
      <c r="AI36" s="473" t="s">
        <v>447</v>
      </c>
      <c r="AJ36" s="473" t="s">
        <v>447</v>
      </c>
      <c r="AK36" s="473" t="s">
        <v>447</v>
      </c>
      <c r="AL36" s="473" t="s">
        <v>447</v>
      </c>
      <c r="AM36" s="473" t="s">
        <v>447</v>
      </c>
      <c r="AN36" s="473" t="s">
        <v>447</v>
      </c>
      <c r="AO36" s="473" t="s">
        <v>447</v>
      </c>
      <c r="AP36" s="473" t="s">
        <v>447</v>
      </c>
      <c r="AQ36" s="473" t="s">
        <v>447</v>
      </c>
      <c r="AR36" s="473" t="s">
        <v>447</v>
      </c>
      <c r="AS36" s="473" t="s">
        <v>447</v>
      </c>
      <c r="AT36" s="473" t="s">
        <v>447</v>
      </c>
      <c r="AU36" s="102"/>
      <c r="AV36" s="102"/>
      <c r="AW36" s="102"/>
      <c r="AX36" s="102"/>
      <c r="AY36" s="102"/>
      <c r="AZ36" s="102"/>
      <c r="BA36" s="102"/>
      <c r="BB36" s="473" t="s">
        <v>405</v>
      </c>
      <c r="BC36" s="474">
        <v>29.0</v>
      </c>
      <c r="BD36" s="474">
        <v>36.0</v>
      </c>
      <c r="BE36" s="474">
        <v>35.0</v>
      </c>
      <c r="BF36" s="474">
        <v>28.0</v>
      </c>
      <c r="BG36" s="102"/>
      <c r="BH36" s="478">
        <f t="shared" si="15"/>
        <v>32</v>
      </c>
      <c r="BI36" s="102"/>
      <c r="BJ36" s="102"/>
      <c r="BK36" s="102"/>
      <c r="BL36" s="102"/>
      <c r="BM36" s="102"/>
      <c r="BN36" s="102"/>
      <c r="BO36" s="102"/>
      <c r="BP36" s="473" t="s">
        <v>405</v>
      </c>
      <c r="BQ36" s="474">
        <f>2871+13259</f>
        <v>16130</v>
      </c>
      <c r="BR36" s="485">
        <f>BQ36*1.0366*2</f>
        <v>33440.716</v>
      </c>
      <c r="BS36" s="479">
        <f t="shared" si="24"/>
        <v>1.0366</v>
      </c>
      <c r="BT36" s="474">
        <v>12388.0</v>
      </c>
      <c r="BU36" s="474">
        <v>2006.0</v>
      </c>
      <c r="BV36" s="479">
        <f t="shared" si="16"/>
        <v>242.1896383</v>
      </c>
      <c r="BW36" s="479">
        <v>1.04</v>
      </c>
      <c r="BX36" s="474">
        <v>1.442</v>
      </c>
      <c r="BY36" s="474">
        <v>45.9741</v>
      </c>
      <c r="BZ36" s="478">
        <f t="shared" si="17"/>
        <v>16055.87784</v>
      </c>
      <c r="CA36" s="479">
        <f t="shared" si="21"/>
        <v>0.9954047017</v>
      </c>
      <c r="CB36" s="479">
        <f t="shared" si="19"/>
        <v>1.003279954</v>
      </c>
      <c r="CC36" s="102"/>
    </row>
    <row r="37">
      <c r="A37" s="102"/>
      <c r="B37" s="102"/>
      <c r="C37" s="467">
        <v>34.0</v>
      </c>
      <c r="D37" s="102"/>
      <c r="E37" s="473" t="s">
        <v>551</v>
      </c>
      <c r="F37" s="474">
        <v>60.0</v>
      </c>
      <c r="G37" s="102"/>
      <c r="H37" s="473" t="s">
        <v>447</v>
      </c>
      <c r="I37" s="474">
        <v>1.0</v>
      </c>
      <c r="J37" s="474">
        <v>1.0</v>
      </c>
      <c r="K37" s="474">
        <v>1.0</v>
      </c>
      <c r="L37" s="474">
        <v>0.0</v>
      </c>
      <c r="M37" s="474">
        <v>1.0</v>
      </c>
      <c r="N37" s="474">
        <v>1.0</v>
      </c>
      <c r="O37" s="102"/>
      <c r="P37" s="474">
        <v>34.0</v>
      </c>
      <c r="Q37" s="474">
        <f t="shared" si="1"/>
        <v>50</v>
      </c>
      <c r="R37" s="474">
        <f t="shared" si="2"/>
        <v>66</v>
      </c>
      <c r="S37" s="474">
        <f t="shared" si="3"/>
        <v>60</v>
      </c>
      <c r="T37" s="474">
        <f t="shared" si="4"/>
        <v>68</v>
      </c>
      <c r="U37" s="474">
        <f t="shared" si="5"/>
        <v>45</v>
      </c>
      <c r="V37" s="474">
        <f t="shared" si="6"/>
        <v>35</v>
      </c>
      <c r="W37" s="474">
        <f t="shared" si="7"/>
        <v>68</v>
      </c>
      <c r="X37" s="474">
        <f t="shared" si="8"/>
        <v>102</v>
      </c>
      <c r="Y37" s="474">
        <f t="shared" si="9"/>
        <v>50</v>
      </c>
      <c r="Z37" s="102"/>
      <c r="AA37" s="474">
        <v>34.0</v>
      </c>
      <c r="AB37" s="474">
        <f t="shared" si="10"/>
        <v>39</v>
      </c>
      <c r="AC37" s="476">
        <f t="shared" si="11"/>
        <v>45</v>
      </c>
      <c r="AD37" s="474">
        <f t="shared" si="12"/>
        <v>56</v>
      </c>
      <c r="AE37" s="474">
        <f t="shared" si="13"/>
        <v>38</v>
      </c>
      <c r="AF37" s="474">
        <f t="shared" si="14"/>
        <v>45</v>
      </c>
      <c r="AG37" s="102"/>
      <c r="AH37" s="473" t="s">
        <v>452</v>
      </c>
      <c r="AI37" s="102"/>
      <c r="AJ37" s="102"/>
      <c r="AK37" s="102"/>
      <c r="AL37" s="102"/>
      <c r="AM37" s="102"/>
      <c r="AN37" s="102"/>
      <c r="AO37" s="102"/>
      <c r="AP37" s="102"/>
      <c r="AQ37" s="102"/>
      <c r="AR37" s="102"/>
      <c r="AS37" s="473" t="s">
        <v>452</v>
      </c>
      <c r="AT37" s="102"/>
      <c r="AU37" s="102"/>
      <c r="AV37" s="102"/>
      <c r="AW37" s="102"/>
      <c r="AX37" s="102"/>
      <c r="AY37" s="102"/>
      <c r="AZ37" s="102"/>
      <c r="BA37" s="102"/>
      <c r="BB37" s="473" t="s">
        <v>408</v>
      </c>
      <c r="BC37" s="474">
        <v>39.0</v>
      </c>
      <c r="BD37" s="474">
        <v>45.0</v>
      </c>
      <c r="BE37" s="474">
        <v>40.0</v>
      </c>
      <c r="BF37" s="474">
        <v>40.0</v>
      </c>
      <c r="BG37" s="474">
        <v>39.0</v>
      </c>
      <c r="BH37" s="478">
        <f t="shared" si="15"/>
        <v>40.6</v>
      </c>
      <c r="BI37" s="102"/>
      <c r="BJ37" s="102"/>
      <c r="BK37" s="102"/>
      <c r="BL37" s="102"/>
      <c r="BM37" s="102"/>
      <c r="BN37" s="102"/>
      <c r="BO37" s="102"/>
      <c r="BP37" s="473" t="s">
        <v>408</v>
      </c>
      <c r="BQ37" s="474">
        <v>8887.0</v>
      </c>
      <c r="BR37" s="474">
        <v>57675.0</v>
      </c>
      <c r="BS37" s="479">
        <f t="shared" si="24"/>
        <v>3.244908293</v>
      </c>
      <c r="BT37" s="474">
        <v>6429.0</v>
      </c>
      <c r="BU37" s="474">
        <v>1992.0</v>
      </c>
      <c r="BV37" s="479">
        <f t="shared" si="16"/>
        <v>126.5551181</v>
      </c>
      <c r="BW37" s="479">
        <v>3.25</v>
      </c>
      <c r="BX37" s="474">
        <v>1.52</v>
      </c>
      <c r="BY37" s="474">
        <v>45.9741</v>
      </c>
      <c r="BZ37" s="478">
        <f t="shared" si="17"/>
        <v>8843.751636</v>
      </c>
      <c r="CA37" s="479">
        <f t="shared" si="21"/>
        <v>0.995133525</v>
      </c>
      <c r="CB37" s="479">
        <f t="shared" si="19"/>
        <v>1.001569137</v>
      </c>
      <c r="CC37" s="102"/>
    </row>
    <row r="38">
      <c r="A38" s="102"/>
      <c r="B38" s="102"/>
      <c r="C38" s="467">
        <v>35.0</v>
      </c>
      <c r="D38" s="102"/>
      <c r="E38" s="473" t="s">
        <v>552</v>
      </c>
      <c r="F38" s="474">
        <v>15.0</v>
      </c>
      <c r="G38" s="102"/>
      <c r="H38" s="473" t="s">
        <v>452</v>
      </c>
      <c r="I38" s="474">
        <v>1.0</v>
      </c>
      <c r="J38" s="474">
        <v>1.0</v>
      </c>
      <c r="K38" s="474">
        <v>1.0</v>
      </c>
      <c r="L38" s="474">
        <v>0.0</v>
      </c>
      <c r="M38" s="474">
        <v>1.0</v>
      </c>
      <c r="N38" s="474">
        <v>1.0</v>
      </c>
      <c r="O38" s="102"/>
      <c r="P38" s="474">
        <v>35.0</v>
      </c>
      <c r="Q38" s="474">
        <f t="shared" si="1"/>
        <v>52</v>
      </c>
      <c r="R38" s="474">
        <f t="shared" si="2"/>
        <v>67</v>
      </c>
      <c r="S38" s="474">
        <f t="shared" si="3"/>
        <v>62</v>
      </c>
      <c r="T38" s="474">
        <f t="shared" si="4"/>
        <v>70</v>
      </c>
      <c r="U38" s="474">
        <f t="shared" si="5"/>
        <v>46</v>
      </c>
      <c r="V38" s="474">
        <f t="shared" si="6"/>
        <v>36</v>
      </c>
      <c r="W38" s="474">
        <f t="shared" si="7"/>
        <v>70</v>
      </c>
      <c r="X38" s="474">
        <f t="shared" si="8"/>
        <v>105</v>
      </c>
      <c r="Y38" s="474">
        <f t="shared" si="9"/>
        <v>52</v>
      </c>
      <c r="Z38" s="102"/>
      <c r="AA38" s="474">
        <v>35.0</v>
      </c>
      <c r="AB38" s="474">
        <f t="shared" si="10"/>
        <v>40</v>
      </c>
      <c r="AC38" s="476">
        <f t="shared" si="11"/>
        <v>46</v>
      </c>
      <c r="AD38" s="474">
        <f t="shared" si="12"/>
        <v>58</v>
      </c>
      <c r="AE38" s="474">
        <f t="shared" si="13"/>
        <v>39</v>
      </c>
      <c r="AF38" s="474">
        <f t="shared" si="14"/>
        <v>46</v>
      </c>
      <c r="AG38" s="102"/>
      <c r="AH38" s="473" t="s">
        <v>446</v>
      </c>
      <c r="AI38" s="473" t="s">
        <v>446</v>
      </c>
      <c r="AJ38" s="473" t="s">
        <v>446</v>
      </c>
      <c r="AK38" s="102"/>
      <c r="AL38" s="102"/>
      <c r="AM38" s="473" t="s">
        <v>446</v>
      </c>
      <c r="AN38" s="473" t="s">
        <v>446</v>
      </c>
      <c r="AO38" s="102"/>
      <c r="AP38" s="473" t="s">
        <v>446</v>
      </c>
      <c r="AQ38" s="473" t="s">
        <v>446</v>
      </c>
      <c r="AR38" s="473" t="s">
        <v>446</v>
      </c>
      <c r="AS38" s="473" t="s">
        <v>446</v>
      </c>
      <c r="AT38" s="473" t="s">
        <v>446</v>
      </c>
      <c r="AU38" s="102"/>
      <c r="AV38" s="102"/>
      <c r="AW38" s="102"/>
      <c r="AX38" s="102"/>
      <c r="AY38" s="102"/>
      <c r="AZ38" s="102"/>
      <c r="BA38" s="102"/>
      <c r="BB38" s="473" t="s">
        <v>409</v>
      </c>
      <c r="BC38" s="474">
        <v>27.0</v>
      </c>
      <c r="BD38" s="474">
        <v>36.0</v>
      </c>
      <c r="BE38" s="474">
        <v>35.0</v>
      </c>
      <c r="BF38" s="474">
        <v>28.0</v>
      </c>
      <c r="BG38" s="474">
        <v>27.0</v>
      </c>
      <c r="BH38" s="478">
        <f t="shared" si="15"/>
        <v>30.6</v>
      </c>
      <c r="BI38" s="102"/>
      <c r="BJ38" s="102"/>
      <c r="BK38" s="102"/>
      <c r="BL38" s="102"/>
      <c r="BM38" s="102"/>
      <c r="BN38" s="102"/>
      <c r="BO38" s="102"/>
      <c r="BP38" s="473" t="s">
        <v>409</v>
      </c>
      <c r="BQ38" s="474">
        <v>10082.0</v>
      </c>
      <c r="BR38" s="474">
        <v>70573.0</v>
      </c>
      <c r="BS38" s="479">
        <f t="shared" si="24"/>
        <v>3.499950407</v>
      </c>
      <c r="BT38" s="474">
        <v>7344.0</v>
      </c>
      <c r="BU38" s="474">
        <v>2006.0</v>
      </c>
      <c r="BV38" s="479">
        <f t="shared" si="16"/>
        <v>143.5777126</v>
      </c>
      <c r="BW38" s="479">
        <v>3.5</v>
      </c>
      <c r="BX38" s="474">
        <v>1.52</v>
      </c>
      <c r="BY38" s="474">
        <v>45.9741</v>
      </c>
      <c r="BZ38" s="478">
        <f t="shared" si="17"/>
        <v>10033.3013</v>
      </c>
      <c r="CA38" s="479">
        <f t="shared" si="21"/>
        <v>0.995169738</v>
      </c>
      <c r="CB38" s="479">
        <f t="shared" si="19"/>
        <v>1.00001417</v>
      </c>
      <c r="CC38" s="102"/>
    </row>
    <row r="39">
      <c r="A39" s="102"/>
      <c r="B39" s="102"/>
      <c r="C39" s="467">
        <v>36.0</v>
      </c>
      <c r="D39" s="102"/>
      <c r="E39" s="473" t="s">
        <v>553</v>
      </c>
      <c r="F39" s="474">
        <v>35.0</v>
      </c>
      <c r="G39" s="102"/>
      <c r="H39" s="473" t="s">
        <v>446</v>
      </c>
      <c r="I39" s="474">
        <v>1.0</v>
      </c>
      <c r="J39" s="474">
        <v>1.0</v>
      </c>
      <c r="K39" s="474">
        <v>1.0</v>
      </c>
      <c r="L39" s="474">
        <v>0.0</v>
      </c>
      <c r="M39" s="474">
        <v>1.0</v>
      </c>
      <c r="N39" s="474">
        <v>1.0</v>
      </c>
      <c r="O39" s="102"/>
      <c r="P39" s="474">
        <v>36.0</v>
      </c>
      <c r="Q39" s="474">
        <f t="shared" si="1"/>
        <v>53</v>
      </c>
      <c r="R39" s="474">
        <f t="shared" si="2"/>
        <v>70</v>
      </c>
      <c r="S39" s="474">
        <f t="shared" si="3"/>
        <v>63</v>
      </c>
      <c r="T39" s="474">
        <f t="shared" si="4"/>
        <v>72</v>
      </c>
      <c r="U39" s="474">
        <f t="shared" si="5"/>
        <v>47</v>
      </c>
      <c r="V39" s="474">
        <f t="shared" si="6"/>
        <v>37</v>
      </c>
      <c r="W39" s="474">
        <f t="shared" si="7"/>
        <v>72</v>
      </c>
      <c r="X39" s="474">
        <f t="shared" si="8"/>
        <v>108</v>
      </c>
      <c r="Y39" s="474">
        <f t="shared" si="9"/>
        <v>53</v>
      </c>
      <c r="Z39" s="102"/>
      <c r="AA39" s="474">
        <v>36.0</v>
      </c>
      <c r="AB39" s="474">
        <f t="shared" si="10"/>
        <v>41</v>
      </c>
      <c r="AC39" s="476">
        <f t="shared" si="11"/>
        <v>48</v>
      </c>
      <c r="AD39" s="474">
        <f t="shared" si="12"/>
        <v>60</v>
      </c>
      <c r="AE39" s="474">
        <f t="shared" si="13"/>
        <v>40</v>
      </c>
      <c r="AF39" s="474">
        <f t="shared" si="14"/>
        <v>48</v>
      </c>
      <c r="AG39" s="102"/>
      <c r="AH39" s="473" t="s">
        <v>554</v>
      </c>
      <c r="AI39" s="473" t="s">
        <v>554</v>
      </c>
      <c r="AJ39" s="473" t="s">
        <v>554</v>
      </c>
      <c r="AK39" s="473" t="s">
        <v>554</v>
      </c>
      <c r="AL39" s="473" t="s">
        <v>554</v>
      </c>
      <c r="AM39" s="473" t="s">
        <v>554</v>
      </c>
      <c r="AN39" s="473" t="s">
        <v>554</v>
      </c>
      <c r="AO39" s="473" t="s">
        <v>554</v>
      </c>
      <c r="AP39" s="473" t="s">
        <v>554</v>
      </c>
      <c r="AQ39" s="473" t="s">
        <v>554</v>
      </c>
      <c r="AR39" s="473" t="s">
        <v>554</v>
      </c>
      <c r="AS39" s="473" t="s">
        <v>554</v>
      </c>
      <c r="AT39" s="473" t="s">
        <v>554</v>
      </c>
      <c r="AU39" s="102"/>
      <c r="AV39" s="102"/>
      <c r="AW39" s="102"/>
      <c r="AX39" s="102"/>
      <c r="AY39" s="102"/>
      <c r="AZ39" s="102"/>
      <c r="BA39" s="102"/>
      <c r="BB39" s="473" t="s">
        <v>410</v>
      </c>
      <c r="BC39" s="474">
        <v>57.0</v>
      </c>
      <c r="BD39" s="474">
        <v>58.0</v>
      </c>
      <c r="BE39" s="474">
        <v>55.0</v>
      </c>
      <c r="BF39" s="474">
        <v>57.0</v>
      </c>
      <c r="BG39" s="474">
        <v>56.0</v>
      </c>
      <c r="BH39" s="478">
        <f t="shared" si="15"/>
        <v>56.6</v>
      </c>
      <c r="BI39" s="102"/>
      <c r="BJ39" s="102"/>
      <c r="BK39" s="102"/>
      <c r="BL39" s="102"/>
      <c r="BM39" s="102"/>
      <c r="BN39" s="102"/>
      <c r="BO39" s="102"/>
      <c r="BP39" s="473" t="s">
        <v>410</v>
      </c>
      <c r="BQ39" s="474">
        <v>6348.0</v>
      </c>
      <c r="BR39" s="474">
        <v>43687.0</v>
      </c>
      <c r="BS39" s="479">
        <f t="shared" si="24"/>
        <v>3.441005041</v>
      </c>
      <c r="BT39" s="474">
        <v>4619.0</v>
      </c>
      <c r="BU39" s="474">
        <v>2004.0</v>
      </c>
      <c r="BV39" s="479">
        <f t="shared" si="16"/>
        <v>90.39138943</v>
      </c>
      <c r="BW39" s="479">
        <v>3.44</v>
      </c>
      <c r="BX39" s="474">
        <v>1.52</v>
      </c>
      <c r="BY39" s="474">
        <v>45.9741</v>
      </c>
      <c r="BZ39" s="478">
        <f t="shared" si="17"/>
        <v>6316.607421</v>
      </c>
      <c r="CA39" s="479">
        <f t="shared" si="21"/>
        <v>0.9950547292</v>
      </c>
      <c r="CB39" s="479">
        <f t="shared" si="19"/>
        <v>0.9997079223</v>
      </c>
      <c r="CC39" s="102"/>
    </row>
    <row r="40">
      <c r="A40" s="102"/>
      <c r="B40" s="102"/>
      <c r="C40" s="467">
        <v>37.0</v>
      </c>
      <c r="D40" s="102"/>
      <c r="E40" s="473" t="s">
        <v>555</v>
      </c>
      <c r="F40" s="474">
        <v>45.0</v>
      </c>
      <c r="G40" s="102"/>
      <c r="H40" s="473" t="s">
        <v>554</v>
      </c>
      <c r="I40" s="474">
        <v>1.4</v>
      </c>
      <c r="J40" s="474">
        <v>1.4</v>
      </c>
      <c r="K40" s="474">
        <v>1.4</v>
      </c>
      <c r="L40" s="474">
        <v>0.0</v>
      </c>
      <c r="M40" s="474">
        <v>1.0</v>
      </c>
      <c r="N40" s="474">
        <v>1.0</v>
      </c>
      <c r="O40" s="102"/>
      <c r="P40" s="474">
        <v>37.0</v>
      </c>
      <c r="Q40" s="474">
        <f t="shared" si="1"/>
        <v>55</v>
      </c>
      <c r="R40" s="474">
        <f t="shared" si="2"/>
        <v>71</v>
      </c>
      <c r="S40" s="474">
        <f t="shared" si="3"/>
        <v>66</v>
      </c>
      <c r="T40" s="474">
        <f t="shared" si="4"/>
        <v>74</v>
      </c>
      <c r="U40" s="474">
        <f t="shared" si="5"/>
        <v>49</v>
      </c>
      <c r="V40" s="474">
        <f t="shared" si="6"/>
        <v>38</v>
      </c>
      <c r="W40" s="474">
        <f t="shared" si="7"/>
        <v>74</v>
      </c>
      <c r="X40" s="474">
        <f t="shared" si="8"/>
        <v>111</v>
      </c>
      <c r="Y40" s="474">
        <f t="shared" si="9"/>
        <v>55</v>
      </c>
      <c r="Z40" s="102"/>
      <c r="AA40" s="474">
        <v>37.0</v>
      </c>
      <c r="AB40" s="474">
        <f t="shared" si="10"/>
        <v>42</v>
      </c>
      <c r="AC40" s="476">
        <f t="shared" si="11"/>
        <v>49</v>
      </c>
      <c r="AD40" s="474">
        <f t="shared" si="12"/>
        <v>61</v>
      </c>
      <c r="AE40" s="474">
        <f t="shared" si="13"/>
        <v>41</v>
      </c>
      <c r="AF40" s="474">
        <f t="shared" si="14"/>
        <v>49</v>
      </c>
      <c r="AG40" s="102"/>
      <c r="AH40" s="473" t="s">
        <v>556</v>
      </c>
      <c r="AI40" s="473" t="s">
        <v>556</v>
      </c>
      <c r="AJ40" s="473" t="s">
        <v>556</v>
      </c>
      <c r="AK40" s="473" t="s">
        <v>556</v>
      </c>
      <c r="AL40" s="473" t="s">
        <v>556</v>
      </c>
      <c r="AM40" s="473" t="s">
        <v>556</v>
      </c>
      <c r="AN40" s="473" t="s">
        <v>556</v>
      </c>
      <c r="AO40" s="473" t="s">
        <v>556</v>
      </c>
      <c r="AP40" s="473" t="s">
        <v>556</v>
      </c>
      <c r="AQ40" s="473" t="s">
        <v>556</v>
      </c>
      <c r="AR40" s="473" t="s">
        <v>556</v>
      </c>
      <c r="AS40" s="473" t="s">
        <v>556</v>
      </c>
      <c r="AT40" s="473" t="s">
        <v>556</v>
      </c>
      <c r="AU40" s="102"/>
      <c r="AV40" s="102"/>
      <c r="AW40" s="102"/>
      <c r="AX40" s="102"/>
      <c r="AY40" s="102"/>
      <c r="AZ40" s="102"/>
      <c r="BA40" s="102"/>
      <c r="BB40" s="473" t="s">
        <v>412</v>
      </c>
      <c r="BC40" s="474">
        <v>0.0</v>
      </c>
      <c r="BD40" s="474">
        <v>0.0</v>
      </c>
      <c r="BE40" s="474">
        <v>0.0</v>
      </c>
      <c r="BF40" s="474">
        <v>0.0</v>
      </c>
      <c r="BG40" s="474">
        <v>0.0</v>
      </c>
      <c r="BH40" s="478">
        <f t="shared" si="15"/>
        <v>0</v>
      </c>
      <c r="BI40" s="102"/>
      <c r="BJ40" s="102"/>
      <c r="BK40" s="102"/>
      <c r="BL40" s="102"/>
      <c r="BM40" s="102"/>
      <c r="BN40" s="102"/>
      <c r="BO40" s="102"/>
      <c r="BP40" s="473" t="s">
        <v>412</v>
      </c>
      <c r="BQ40" s="474">
        <v>20399.0</v>
      </c>
      <c r="BR40" s="474" t="s">
        <v>349</v>
      </c>
      <c r="BS40" s="479">
        <v>1.0</v>
      </c>
      <c r="BT40" s="474">
        <v>16501.0</v>
      </c>
      <c r="BU40" s="474">
        <v>1993.0</v>
      </c>
      <c r="BV40" s="479">
        <f t="shared" si="16"/>
        <v>324.6630595</v>
      </c>
      <c r="BW40" s="479">
        <v>1.0</v>
      </c>
      <c r="BX40" s="474">
        <v>1.275</v>
      </c>
      <c r="BY40" s="474">
        <v>45.9741</v>
      </c>
      <c r="BZ40" s="478">
        <f t="shared" si="17"/>
        <v>19030.76725</v>
      </c>
      <c r="CA40" s="483">
        <f t="shared" si="21"/>
        <v>0.9329264795</v>
      </c>
      <c r="CB40" s="479">
        <f t="shared" si="19"/>
        <v>1</v>
      </c>
      <c r="CC40" s="486"/>
    </row>
    <row r="41">
      <c r="A41" s="102"/>
      <c r="B41" s="102"/>
      <c r="C41" s="467">
        <v>38.0</v>
      </c>
      <c r="D41" s="102"/>
      <c r="E41" s="473" t="s">
        <v>557</v>
      </c>
      <c r="F41" s="474">
        <v>20.0</v>
      </c>
      <c r="G41" s="102"/>
      <c r="H41" s="473" t="s">
        <v>556</v>
      </c>
      <c r="I41" s="474">
        <v>1.33</v>
      </c>
      <c r="J41" s="474">
        <v>1.33</v>
      </c>
      <c r="K41" s="474">
        <v>1.33</v>
      </c>
      <c r="L41" s="474">
        <v>0.0</v>
      </c>
      <c r="M41" s="474">
        <v>1.0</v>
      </c>
      <c r="N41" s="474">
        <v>1.0</v>
      </c>
      <c r="O41" s="102"/>
      <c r="P41" s="474">
        <v>38.0</v>
      </c>
      <c r="Q41" s="474">
        <f t="shared" si="1"/>
        <v>56</v>
      </c>
      <c r="R41" s="474">
        <f t="shared" si="2"/>
        <v>74</v>
      </c>
      <c r="S41" s="474">
        <f t="shared" si="3"/>
        <v>67</v>
      </c>
      <c r="T41" s="474">
        <f t="shared" si="4"/>
        <v>76</v>
      </c>
      <c r="U41" s="474">
        <f t="shared" si="5"/>
        <v>50</v>
      </c>
      <c r="V41" s="474">
        <f t="shared" si="6"/>
        <v>39</v>
      </c>
      <c r="W41" s="474">
        <f t="shared" si="7"/>
        <v>76</v>
      </c>
      <c r="X41" s="474">
        <f t="shared" si="8"/>
        <v>114</v>
      </c>
      <c r="Y41" s="474">
        <f t="shared" si="9"/>
        <v>56</v>
      </c>
      <c r="Z41" s="102"/>
      <c r="AA41" s="474">
        <v>38.0</v>
      </c>
      <c r="AB41" s="474">
        <f t="shared" si="10"/>
        <v>43</v>
      </c>
      <c r="AC41" s="476">
        <f t="shared" si="11"/>
        <v>50</v>
      </c>
      <c r="AD41" s="474">
        <f t="shared" si="12"/>
        <v>63</v>
      </c>
      <c r="AE41" s="474">
        <f t="shared" si="13"/>
        <v>42</v>
      </c>
      <c r="AF41" s="474">
        <f t="shared" si="14"/>
        <v>50</v>
      </c>
      <c r="AG41" s="102"/>
      <c r="AH41" s="473" t="s">
        <v>558</v>
      </c>
      <c r="AI41" s="473" t="s">
        <v>558</v>
      </c>
      <c r="AJ41" s="473" t="s">
        <v>558</v>
      </c>
      <c r="AK41" s="473" t="s">
        <v>558</v>
      </c>
      <c r="AL41" s="473" t="s">
        <v>558</v>
      </c>
      <c r="AM41" s="473" t="s">
        <v>558</v>
      </c>
      <c r="AN41" s="473" t="s">
        <v>558</v>
      </c>
      <c r="AO41" s="473" t="s">
        <v>558</v>
      </c>
      <c r="AP41" s="473" t="s">
        <v>558</v>
      </c>
      <c r="AQ41" s="473" t="s">
        <v>558</v>
      </c>
      <c r="AR41" s="473" t="s">
        <v>558</v>
      </c>
      <c r="AS41" s="473" t="s">
        <v>558</v>
      </c>
      <c r="AT41" s="473" t="s">
        <v>558</v>
      </c>
      <c r="AU41" s="102"/>
      <c r="AV41" s="102"/>
      <c r="AW41" s="102"/>
      <c r="AX41" s="102"/>
      <c r="AY41" s="102"/>
      <c r="AZ41" s="102"/>
      <c r="BA41" s="102"/>
      <c r="BB41" s="473" t="s">
        <v>413</v>
      </c>
      <c r="BC41" s="474">
        <v>0.0</v>
      </c>
      <c r="BD41" s="474">
        <v>0.0</v>
      </c>
      <c r="BE41" s="474">
        <v>0.0</v>
      </c>
      <c r="BF41" s="474">
        <v>0.0</v>
      </c>
      <c r="BG41" s="474">
        <v>0.0</v>
      </c>
      <c r="BH41" s="478">
        <f t="shared" si="15"/>
        <v>0</v>
      </c>
      <c r="BI41" s="102"/>
      <c r="BJ41" s="102"/>
      <c r="BK41" s="102"/>
      <c r="BL41" s="102"/>
      <c r="BM41" s="102"/>
      <c r="BN41" s="102"/>
      <c r="BO41" s="102"/>
      <c r="BP41" s="473" t="s">
        <v>413</v>
      </c>
      <c r="BQ41" s="474">
        <v>28390.0</v>
      </c>
      <c r="BR41" s="474" t="s">
        <v>349</v>
      </c>
      <c r="BS41" s="479">
        <v>1.0</v>
      </c>
      <c r="BT41" s="102"/>
      <c r="BU41" s="102"/>
      <c r="BV41" s="479">
        <f t="shared" si="16"/>
        <v>0</v>
      </c>
      <c r="BW41" s="479">
        <v>1.0</v>
      </c>
      <c r="BX41" s="474">
        <v>1.275</v>
      </c>
      <c r="BY41" s="474">
        <v>45.9741</v>
      </c>
      <c r="BZ41" s="478">
        <f t="shared" si="17"/>
        <v>0</v>
      </c>
      <c r="CA41" s="487">
        <f t="shared" si="21"/>
        <v>0</v>
      </c>
      <c r="CB41" s="479">
        <f t="shared" si="19"/>
        <v>1</v>
      </c>
      <c r="CC41" s="486"/>
    </row>
    <row r="42">
      <c r="A42" s="102"/>
      <c r="B42" s="102"/>
      <c r="C42" s="467">
        <v>39.0</v>
      </c>
      <c r="D42" s="102"/>
      <c r="E42" s="469" t="s">
        <v>559</v>
      </c>
      <c r="F42" s="488">
        <v>60.0</v>
      </c>
      <c r="G42" s="102"/>
      <c r="H42" s="473" t="s">
        <v>558</v>
      </c>
      <c r="I42" s="474">
        <v>1.5</v>
      </c>
      <c r="J42" s="474">
        <v>1.5</v>
      </c>
      <c r="K42" s="474">
        <v>1.5</v>
      </c>
      <c r="L42" s="474">
        <v>0.0</v>
      </c>
      <c r="M42" s="474">
        <v>1.0</v>
      </c>
      <c r="N42" s="474">
        <v>1.0</v>
      </c>
      <c r="O42" s="102"/>
      <c r="P42" s="474">
        <v>39.0</v>
      </c>
      <c r="Q42" s="474">
        <f t="shared" si="1"/>
        <v>58</v>
      </c>
      <c r="R42" s="474">
        <f t="shared" si="2"/>
        <v>75</v>
      </c>
      <c r="S42" s="474">
        <f t="shared" si="3"/>
        <v>69</v>
      </c>
      <c r="T42" s="474">
        <f t="shared" si="4"/>
        <v>78</v>
      </c>
      <c r="U42" s="474">
        <f t="shared" si="5"/>
        <v>51</v>
      </c>
      <c r="V42" s="474">
        <f t="shared" si="6"/>
        <v>40</v>
      </c>
      <c r="W42" s="474">
        <f t="shared" si="7"/>
        <v>78</v>
      </c>
      <c r="X42" s="474">
        <f t="shared" si="8"/>
        <v>117</v>
      </c>
      <c r="Y42" s="474">
        <f t="shared" si="9"/>
        <v>58</v>
      </c>
      <c r="Z42" s="102"/>
      <c r="AA42" s="474">
        <v>39.0</v>
      </c>
      <c r="AB42" s="474">
        <f t="shared" si="10"/>
        <v>44</v>
      </c>
      <c r="AC42" s="476">
        <f t="shared" si="11"/>
        <v>52</v>
      </c>
      <c r="AD42" s="474">
        <f t="shared" si="12"/>
        <v>65</v>
      </c>
      <c r="AE42" s="474">
        <f t="shared" si="13"/>
        <v>43</v>
      </c>
      <c r="AF42" s="474">
        <f t="shared" si="14"/>
        <v>52</v>
      </c>
      <c r="AG42" s="102"/>
      <c r="AH42" s="473" t="s">
        <v>560</v>
      </c>
      <c r="AI42" s="102"/>
      <c r="AJ42" s="102"/>
      <c r="AK42" s="102"/>
      <c r="AL42" s="102"/>
      <c r="AM42" s="473" t="s">
        <v>560</v>
      </c>
      <c r="AN42" s="473" t="s">
        <v>560</v>
      </c>
      <c r="AO42" s="102"/>
      <c r="AP42" s="102"/>
      <c r="AQ42" s="102"/>
      <c r="AR42" s="473" t="s">
        <v>560</v>
      </c>
      <c r="AS42" s="102"/>
      <c r="AT42" s="473" t="s">
        <v>560</v>
      </c>
      <c r="AU42" s="102"/>
      <c r="AV42" s="102"/>
      <c r="AW42" s="102"/>
      <c r="AX42" s="102"/>
      <c r="AY42" s="102"/>
      <c r="AZ42" s="102"/>
      <c r="BA42" s="102"/>
      <c r="BB42" s="473" t="s">
        <v>415</v>
      </c>
      <c r="BC42" s="474">
        <v>0.0</v>
      </c>
      <c r="BD42" s="474">
        <v>0.0</v>
      </c>
      <c r="BE42" s="474">
        <v>0.0</v>
      </c>
      <c r="BF42" s="474">
        <v>0.0</v>
      </c>
      <c r="BG42" s="474">
        <v>0.0</v>
      </c>
      <c r="BH42" s="478">
        <f t="shared" si="15"/>
        <v>0</v>
      </c>
      <c r="BI42" s="102"/>
      <c r="BJ42" s="102"/>
      <c r="BK42" s="102"/>
      <c r="BL42" s="102"/>
      <c r="BM42" s="102"/>
      <c r="BN42" s="102"/>
      <c r="BO42" s="102"/>
      <c r="BP42" s="473" t="s">
        <v>415</v>
      </c>
      <c r="BQ42" s="474">
        <v>20399.0</v>
      </c>
      <c r="BR42" s="474" t="s">
        <v>349</v>
      </c>
      <c r="BS42" s="479">
        <v>1.0</v>
      </c>
      <c r="BT42" s="474">
        <v>16501.0</v>
      </c>
      <c r="BU42" s="474">
        <v>1993.0</v>
      </c>
      <c r="BV42" s="479">
        <f t="shared" si="16"/>
        <v>324.6630595</v>
      </c>
      <c r="BW42" s="479">
        <v>1.0</v>
      </c>
      <c r="BX42" s="474">
        <v>1.275</v>
      </c>
      <c r="BY42" s="474">
        <v>45.9741</v>
      </c>
      <c r="BZ42" s="478">
        <f t="shared" si="17"/>
        <v>19030.76725</v>
      </c>
      <c r="CA42" s="483">
        <f t="shared" si="21"/>
        <v>0.9329264795</v>
      </c>
      <c r="CB42" s="479">
        <f t="shared" si="19"/>
        <v>1</v>
      </c>
      <c r="CC42" s="486"/>
    </row>
    <row r="43">
      <c r="A43" s="102"/>
      <c r="B43" s="102"/>
      <c r="C43" s="467">
        <v>40.0</v>
      </c>
      <c r="D43" s="102"/>
      <c r="E43" s="102"/>
      <c r="F43" s="102"/>
      <c r="G43" s="102"/>
      <c r="H43" s="473" t="s">
        <v>560</v>
      </c>
      <c r="I43" s="474">
        <v>1.25</v>
      </c>
      <c r="J43" s="474">
        <v>1.25</v>
      </c>
      <c r="K43" s="474">
        <v>1.25</v>
      </c>
      <c r="L43" s="474">
        <v>0.0</v>
      </c>
      <c r="M43" s="474">
        <v>1.0</v>
      </c>
      <c r="N43" s="474">
        <v>1.0</v>
      </c>
      <c r="O43" s="102"/>
      <c r="P43" s="474">
        <v>40.0</v>
      </c>
      <c r="Q43" s="474">
        <f t="shared" si="1"/>
        <v>59</v>
      </c>
      <c r="R43" s="474">
        <f t="shared" si="2"/>
        <v>78</v>
      </c>
      <c r="S43" s="474">
        <f t="shared" si="3"/>
        <v>70</v>
      </c>
      <c r="T43" s="474">
        <f t="shared" si="4"/>
        <v>80</v>
      </c>
      <c r="U43" s="474">
        <f t="shared" si="5"/>
        <v>52</v>
      </c>
      <c r="V43" s="474">
        <f t="shared" si="6"/>
        <v>41</v>
      </c>
      <c r="W43" s="474">
        <f t="shared" si="7"/>
        <v>80</v>
      </c>
      <c r="X43" s="474">
        <f t="shared" si="8"/>
        <v>120</v>
      </c>
      <c r="Y43" s="474">
        <f t="shared" si="9"/>
        <v>59</v>
      </c>
      <c r="Z43" s="102"/>
      <c r="AA43" s="474">
        <v>40.0</v>
      </c>
      <c r="AB43" s="474">
        <f t="shared" si="10"/>
        <v>45</v>
      </c>
      <c r="AC43" s="476">
        <f t="shared" si="11"/>
        <v>53</v>
      </c>
      <c r="AD43" s="474">
        <f t="shared" si="12"/>
        <v>66</v>
      </c>
      <c r="AE43" s="474">
        <f t="shared" si="13"/>
        <v>44</v>
      </c>
      <c r="AF43" s="474">
        <f t="shared" si="14"/>
        <v>53</v>
      </c>
      <c r="AG43" s="102"/>
      <c r="AH43" s="473" t="s">
        <v>561</v>
      </c>
      <c r="AI43" s="102"/>
      <c r="AJ43" s="102"/>
      <c r="AK43" s="102"/>
      <c r="AL43" s="102"/>
      <c r="AM43" s="102"/>
      <c r="AN43" s="102"/>
      <c r="AO43" s="102"/>
      <c r="AP43" s="473" t="s">
        <v>561</v>
      </c>
      <c r="AQ43" s="102"/>
      <c r="AR43" s="102"/>
      <c r="AS43" s="102"/>
      <c r="AT43" s="102"/>
      <c r="AU43" s="102"/>
      <c r="AV43" s="102"/>
      <c r="AW43" s="102"/>
      <c r="AX43" s="102"/>
      <c r="AY43" s="102"/>
      <c r="AZ43" s="102"/>
      <c r="BA43" s="102"/>
      <c r="BB43" s="473" t="s">
        <v>417</v>
      </c>
      <c r="BC43" s="474">
        <v>0.0</v>
      </c>
      <c r="BD43" s="474">
        <v>0.0</v>
      </c>
      <c r="BE43" s="474">
        <v>0.0</v>
      </c>
      <c r="BF43" s="474">
        <v>0.0</v>
      </c>
      <c r="BG43" s="474">
        <v>0.0</v>
      </c>
      <c r="BH43" s="478">
        <f t="shared" si="15"/>
        <v>0</v>
      </c>
      <c r="BI43" s="102"/>
      <c r="BJ43" s="102"/>
      <c r="BK43" s="102"/>
      <c r="BL43" s="102"/>
      <c r="BM43" s="102"/>
      <c r="BN43" s="102"/>
      <c r="BO43" s="102"/>
      <c r="BP43" s="473" t="s">
        <v>417</v>
      </c>
      <c r="BQ43" s="474">
        <v>20399.0</v>
      </c>
      <c r="BR43" s="474" t="s">
        <v>349</v>
      </c>
      <c r="BS43" s="479">
        <v>1.0</v>
      </c>
      <c r="BT43" s="474">
        <v>16501.0</v>
      </c>
      <c r="BU43" s="474">
        <v>1993.0</v>
      </c>
      <c r="BV43" s="479">
        <f t="shared" si="16"/>
        <v>324.6630595</v>
      </c>
      <c r="BW43" s="479">
        <v>1.0</v>
      </c>
      <c r="BX43" s="474">
        <v>1.275</v>
      </c>
      <c r="BY43" s="474">
        <v>45.9741</v>
      </c>
      <c r="BZ43" s="478">
        <f t="shared" si="17"/>
        <v>19030.76725</v>
      </c>
      <c r="CA43" s="483">
        <f t="shared" si="21"/>
        <v>0.9329264795</v>
      </c>
      <c r="CB43" s="479">
        <f t="shared" si="19"/>
        <v>1</v>
      </c>
      <c r="CC43" s="486"/>
    </row>
    <row r="44">
      <c r="A44" s="102"/>
      <c r="B44" s="102"/>
      <c r="C44" s="467">
        <v>41.0</v>
      </c>
      <c r="D44" s="102"/>
      <c r="E44" s="102"/>
      <c r="F44" s="102"/>
      <c r="G44" s="102"/>
      <c r="H44" s="473" t="s">
        <v>561</v>
      </c>
      <c r="I44" s="474">
        <v>1.5</v>
      </c>
      <c r="J44" s="474">
        <v>1.5</v>
      </c>
      <c r="K44" s="474">
        <v>1.5</v>
      </c>
      <c r="L44" s="474">
        <v>30.0</v>
      </c>
      <c r="M44" s="474">
        <v>1.0</v>
      </c>
      <c r="N44" s="474">
        <v>1.0</v>
      </c>
      <c r="O44" s="102"/>
      <c r="P44" s="474">
        <v>41.0</v>
      </c>
      <c r="Q44" s="474">
        <f t="shared" si="1"/>
        <v>61</v>
      </c>
      <c r="R44" s="474">
        <f t="shared" si="2"/>
        <v>79</v>
      </c>
      <c r="S44" s="474">
        <f t="shared" si="3"/>
        <v>73</v>
      </c>
      <c r="T44" s="474">
        <f t="shared" si="4"/>
        <v>82</v>
      </c>
      <c r="U44" s="474">
        <f t="shared" si="5"/>
        <v>54</v>
      </c>
      <c r="V44" s="474">
        <f t="shared" si="6"/>
        <v>42</v>
      </c>
      <c r="W44" s="474">
        <f t="shared" si="7"/>
        <v>82</v>
      </c>
      <c r="X44" s="474">
        <f t="shared" si="8"/>
        <v>123</v>
      </c>
      <c r="Y44" s="474">
        <f t="shared" si="9"/>
        <v>61</v>
      </c>
      <c r="Z44" s="102"/>
      <c r="AA44" s="474">
        <v>41.0</v>
      </c>
      <c r="AB44" s="474">
        <f t="shared" si="10"/>
        <v>46</v>
      </c>
      <c r="AC44" s="476">
        <f t="shared" si="11"/>
        <v>54</v>
      </c>
      <c r="AD44" s="474">
        <f t="shared" si="12"/>
        <v>68</v>
      </c>
      <c r="AE44" s="474">
        <f t="shared" si="13"/>
        <v>46</v>
      </c>
      <c r="AF44" s="474">
        <f t="shared" si="14"/>
        <v>54</v>
      </c>
      <c r="AG44" s="102"/>
      <c r="AH44" s="473" t="s">
        <v>444</v>
      </c>
      <c r="AI44" s="102"/>
      <c r="AJ44" s="102"/>
      <c r="AK44" s="102"/>
      <c r="AL44" s="102"/>
      <c r="AM44" s="473" t="s">
        <v>444</v>
      </c>
      <c r="AN44" s="473" t="s">
        <v>444</v>
      </c>
      <c r="AO44" s="102"/>
      <c r="AP44" s="102"/>
      <c r="AQ44" s="102"/>
      <c r="AR44" s="473" t="s">
        <v>444</v>
      </c>
      <c r="AS44" s="102"/>
      <c r="AT44" s="473" t="s">
        <v>444</v>
      </c>
      <c r="AU44" s="102"/>
      <c r="AV44" s="102"/>
      <c r="AW44" s="102"/>
      <c r="AX44" s="102"/>
      <c r="AY44" s="102"/>
      <c r="AZ44" s="102"/>
      <c r="BA44" s="102"/>
      <c r="BB44" s="473" t="s">
        <v>418</v>
      </c>
      <c r="BC44" s="474">
        <v>0.0</v>
      </c>
      <c r="BD44" s="474">
        <v>0.0</v>
      </c>
      <c r="BE44" s="474">
        <v>0.0</v>
      </c>
      <c r="BF44" s="474">
        <v>0.0</v>
      </c>
      <c r="BG44" s="474">
        <v>0.0</v>
      </c>
      <c r="BH44" s="478">
        <f t="shared" si="15"/>
        <v>0</v>
      </c>
      <c r="BI44" s="102"/>
      <c r="BJ44" s="102"/>
      <c r="BK44" s="102"/>
      <c r="BL44" s="102"/>
      <c r="BM44" s="102"/>
      <c r="BN44" s="102"/>
      <c r="BO44" s="102"/>
      <c r="BP44" s="473" t="s">
        <v>418</v>
      </c>
      <c r="BQ44" s="474">
        <v>20399.0</v>
      </c>
      <c r="BR44" s="474" t="s">
        <v>349</v>
      </c>
      <c r="BS44" s="479">
        <v>1.0</v>
      </c>
      <c r="BT44" s="474">
        <v>16501.0</v>
      </c>
      <c r="BU44" s="474">
        <v>1993.0</v>
      </c>
      <c r="BV44" s="479">
        <f t="shared" si="16"/>
        <v>324.6630595</v>
      </c>
      <c r="BW44" s="479">
        <v>1.0</v>
      </c>
      <c r="BX44" s="474">
        <v>1.275</v>
      </c>
      <c r="BY44" s="474">
        <v>45.9741</v>
      </c>
      <c r="BZ44" s="478">
        <f t="shared" si="17"/>
        <v>19030.76725</v>
      </c>
      <c r="CA44" s="483">
        <f t="shared" si="21"/>
        <v>0.9329264795</v>
      </c>
      <c r="CB44" s="479">
        <f t="shared" si="19"/>
        <v>1</v>
      </c>
      <c r="CC44" s="486"/>
    </row>
    <row r="45">
      <c r="A45" s="102"/>
      <c r="B45" s="102"/>
      <c r="C45" s="467">
        <v>42.0</v>
      </c>
      <c r="D45" s="102"/>
      <c r="E45" s="102"/>
      <c r="F45" s="102"/>
      <c r="G45" s="102"/>
      <c r="H45" s="473" t="s">
        <v>444</v>
      </c>
      <c r="I45" s="474">
        <v>1.0</v>
      </c>
      <c r="J45" s="474">
        <v>1.0</v>
      </c>
      <c r="K45" s="474">
        <v>1.0</v>
      </c>
      <c r="L45" s="474">
        <v>0.0</v>
      </c>
      <c r="M45" s="474">
        <v>1.0</v>
      </c>
      <c r="N45" s="474">
        <v>1.0</v>
      </c>
      <c r="O45" s="102"/>
      <c r="P45" s="474">
        <v>42.0</v>
      </c>
      <c r="Q45" s="474">
        <f t="shared" si="1"/>
        <v>62</v>
      </c>
      <c r="R45" s="474">
        <f t="shared" si="2"/>
        <v>82</v>
      </c>
      <c r="S45" s="474">
        <f t="shared" si="3"/>
        <v>74</v>
      </c>
      <c r="T45" s="474">
        <f t="shared" si="4"/>
        <v>84</v>
      </c>
      <c r="U45" s="474">
        <f t="shared" si="5"/>
        <v>55</v>
      </c>
      <c r="V45" s="474">
        <f t="shared" si="6"/>
        <v>43</v>
      </c>
      <c r="W45" s="474">
        <f t="shared" si="7"/>
        <v>84</v>
      </c>
      <c r="X45" s="474">
        <f t="shared" si="8"/>
        <v>126</v>
      </c>
      <c r="Y45" s="474">
        <f t="shared" si="9"/>
        <v>62</v>
      </c>
      <c r="Z45" s="102"/>
      <c r="AA45" s="474">
        <v>42.0</v>
      </c>
      <c r="AB45" s="474">
        <f t="shared" si="10"/>
        <v>47</v>
      </c>
      <c r="AC45" s="476">
        <f t="shared" si="11"/>
        <v>56</v>
      </c>
      <c r="AD45" s="474">
        <f t="shared" si="12"/>
        <v>70</v>
      </c>
      <c r="AE45" s="474">
        <f t="shared" si="13"/>
        <v>47</v>
      </c>
      <c r="AF45" s="474">
        <f t="shared" si="14"/>
        <v>56</v>
      </c>
      <c r="AG45" s="102"/>
      <c r="AH45" s="473" t="s">
        <v>562</v>
      </c>
      <c r="AI45" s="473" t="s">
        <v>562</v>
      </c>
      <c r="AJ45" s="473" t="s">
        <v>562</v>
      </c>
      <c r="AK45" s="473" t="s">
        <v>562</v>
      </c>
      <c r="AL45" s="473" t="s">
        <v>562</v>
      </c>
      <c r="AM45" s="473" t="s">
        <v>562</v>
      </c>
      <c r="AN45" s="473" t="s">
        <v>562</v>
      </c>
      <c r="AO45" s="473" t="s">
        <v>562</v>
      </c>
      <c r="AP45" s="473" t="s">
        <v>562</v>
      </c>
      <c r="AQ45" s="473" t="s">
        <v>562</v>
      </c>
      <c r="AR45" s="473" t="s">
        <v>562</v>
      </c>
      <c r="AS45" s="473" t="s">
        <v>562</v>
      </c>
      <c r="AT45" s="473" t="s">
        <v>562</v>
      </c>
      <c r="AU45" s="102"/>
      <c r="AV45" s="102"/>
      <c r="AW45" s="102"/>
      <c r="AX45" s="102"/>
      <c r="AY45" s="102"/>
      <c r="AZ45" s="102"/>
      <c r="BA45" s="102"/>
      <c r="BB45" s="473" t="s">
        <v>420</v>
      </c>
      <c r="BC45" s="474">
        <v>0.0</v>
      </c>
      <c r="BD45" s="474">
        <v>0.0</v>
      </c>
      <c r="BE45" s="474">
        <v>0.0</v>
      </c>
      <c r="BF45" s="474">
        <v>0.0</v>
      </c>
      <c r="BG45" s="474">
        <v>0.0</v>
      </c>
      <c r="BH45" s="478">
        <f t="shared" si="15"/>
        <v>0</v>
      </c>
      <c r="BI45" s="102"/>
      <c r="BJ45" s="102"/>
      <c r="BK45" s="102"/>
      <c r="BL45" s="102"/>
      <c r="BM45" s="102"/>
      <c r="BN45" s="102"/>
      <c r="BO45" s="102"/>
      <c r="BP45" s="473" t="s">
        <v>420</v>
      </c>
      <c r="BQ45" s="474">
        <v>20399.0</v>
      </c>
      <c r="BR45" s="474" t="s">
        <v>349</v>
      </c>
      <c r="BS45" s="479">
        <v>1.0</v>
      </c>
      <c r="BT45" s="474">
        <v>16501.0</v>
      </c>
      <c r="BU45" s="474">
        <v>1993.0</v>
      </c>
      <c r="BV45" s="479">
        <f t="shared" si="16"/>
        <v>324.6630595</v>
      </c>
      <c r="BW45" s="479">
        <v>1.0</v>
      </c>
      <c r="BX45" s="474">
        <v>1.275</v>
      </c>
      <c r="BY45" s="474">
        <v>45.9741</v>
      </c>
      <c r="BZ45" s="478">
        <f t="shared" si="17"/>
        <v>19030.76725</v>
      </c>
      <c r="CA45" s="483">
        <f t="shared" si="21"/>
        <v>0.9329264795</v>
      </c>
      <c r="CB45" s="479">
        <f t="shared" si="19"/>
        <v>1</v>
      </c>
      <c r="CC45" s="486"/>
    </row>
    <row r="46">
      <c r="A46" s="102"/>
      <c r="B46" s="102"/>
      <c r="C46" s="467">
        <v>43.0</v>
      </c>
      <c r="D46" s="102"/>
      <c r="E46" s="102"/>
      <c r="F46" s="102"/>
      <c r="G46" s="102"/>
      <c r="H46" s="473" t="s">
        <v>562</v>
      </c>
      <c r="I46" s="474">
        <v>1.15</v>
      </c>
      <c r="J46" s="474">
        <v>1.1</v>
      </c>
      <c r="K46" s="474">
        <v>1.1</v>
      </c>
      <c r="L46" s="474">
        <v>0.0</v>
      </c>
      <c r="M46" s="474">
        <v>1.0</v>
      </c>
      <c r="N46" s="474">
        <v>1.0</v>
      </c>
      <c r="O46" s="102"/>
      <c r="P46" s="474">
        <v>43.0</v>
      </c>
      <c r="Q46" s="474">
        <f t="shared" si="1"/>
        <v>64</v>
      </c>
      <c r="R46" s="474">
        <f t="shared" si="2"/>
        <v>83</v>
      </c>
      <c r="S46" s="474">
        <f t="shared" si="3"/>
        <v>76</v>
      </c>
      <c r="T46" s="474">
        <f t="shared" si="4"/>
        <v>86</v>
      </c>
      <c r="U46" s="474">
        <f t="shared" si="5"/>
        <v>56</v>
      </c>
      <c r="V46" s="474">
        <f t="shared" si="6"/>
        <v>44</v>
      </c>
      <c r="W46" s="474">
        <f t="shared" si="7"/>
        <v>86</v>
      </c>
      <c r="X46" s="474">
        <f t="shared" si="8"/>
        <v>129</v>
      </c>
      <c r="Y46" s="474">
        <f t="shared" si="9"/>
        <v>64</v>
      </c>
      <c r="Z46" s="102"/>
      <c r="AA46" s="474">
        <v>43.0</v>
      </c>
      <c r="AB46" s="474">
        <f t="shared" si="10"/>
        <v>48</v>
      </c>
      <c r="AC46" s="476">
        <f t="shared" si="11"/>
        <v>57</v>
      </c>
      <c r="AD46" s="474">
        <f t="shared" si="12"/>
        <v>71</v>
      </c>
      <c r="AE46" s="474">
        <f t="shared" si="13"/>
        <v>48</v>
      </c>
      <c r="AF46" s="474">
        <f t="shared" si="14"/>
        <v>57</v>
      </c>
      <c r="AG46" s="102"/>
      <c r="AH46" s="473" t="s">
        <v>563</v>
      </c>
      <c r="AI46" s="102"/>
      <c r="AJ46" s="102"/>
      <c r="AK46" s="102"/>
      <c r="AL46" s="102"/>
      <c r="AM46" s="102"/>
      <c r="AN46" s="102"/>
      <c r="AO46" s="102"/>
      <c r="AP46" s="102"/>
      <c r="AQ46" s="102"/>
      <c r="AR46" s="102"/>
      <c r="AS46" s="473" t="s">
        <v>563</v>
      </c>
      <c r="AT46" s="102"/>
      <c r="AU46" s="102"/>
      <c r="AV46" s="102"/>
      <c r="AW46" s="102"/>
      <c r="AX46" s="102"/>
      <c r="AY46" s="102"/>
      <c r="AZ46" s="102"/>
      <c r="BA46" s="102"/>
      <c r="BB46" s="473" t="s">
        <v>422</v>
      </c>
      <c r="BC46" s="474">
        <v>44.0</v>
      </c>
      <c r="BD46" s="474">
        <v>46.0</v>
      </c>
      <c r="BE46" s="474">
        <v>53.0</v>
      </c>
      <c r="BF46" s="474">
        <v>40.0</v>
      </c>
      <c r="BG46" s="474">
        <v>55.0</v>
      </c>
      <c r="BH46" s="478">
        <f t="shared" si="15"/>
        <v>47.6</v>
      </c>
      <c r="BI46" s="102"/>
      <c r="BJ46" s="102"/>
      <c r="BK46" s="102"/>
      <c r="BL46" s="102"/>
      <c r="BM46" s="102"/>
      <c r="BN46" s="102"/>
      <c r="BO46" s="102"/>
      <c r="BP46" s="473" t="s">
        <v>422</v>
      </c>
      <c r="BQ46" s="474">
        <v>1035.0</v>
      </c>
      <c r="BR46" s="474">
        <v>2781.0</v>
      </c>
      <c r="BS46" s="479">
        <f t="shared" ref="BS46:BS47" si="25">(BR46/2)/BQ46</f>
        <v>1.343478261</v>
      </c>
      <c r="BT46" s="474">
        <v>758.0</v>
      </c>
      <c r="BU46" s="474">
        <v>1989.0</v>
      </c>
      <c r="BV46" s="479">
        <f t="shared" si="16"/>
        <v>14.94332183</v>
      </c>
      <c r="BW46" s="479">
        <v>1.34</v>
      </c>
      <c r="BX46" s="481">
        <v>1.8</v>
      </c>
      <c r="BY46" s="474">
        <v>45.9741</v>
      </c>
      <c r="BZ46" s="478">
        <f t="shared" si="17"/>
        <v>1236.61039</v>
      </c>
      <c r="CA46" s="483">
        <f t="shared" si="21"/>
        <v>1.194792647</v>
      </c>
      <c r="CB46" s="479">
        <f t="shared" si="19"/>
        <v>0.9974110032</v>
      </c>
      <c r="CC46" s="102"/>
    </row>
    <row r="47">
      <c r="A47" s="102"/>
      <c r="B47" s="102"/>
      <c r="C47" s="467">
        <v>44.0</v>
      </c>
      <c r="D47" s="102"/>
      <c r="E47" s="102"/>
      <c r="F47" s="102"/>
      <c r="G47" s="102"/>
      <c r="H47" s="473" t="s">
        <v>563</v>
      </c>
      <c r="I47" s="474">
        <v>1.3</v>
      </c>
      <c r="J47" s="474">
        <v>1.3</v>
      </c>
      <c r="K47" s="474">
        <v>1.3</v>
      </c>
      <c r="L47" s="474">
        <v>0.0</v>
      </c>
      <c r="M47" s="474">
        <v>1.0</v>
      </c>
      <c r="N47" s="474">
        <v>1.0</v>
      </c>
      <c r="O47" s="102"/>
      <c r="P47" s="474">
        <v>44.0</v>
      </c>
      <c r="Q47" s="474">
        <f t="shared" si="1"/>
        <v>65</v>
      </c>
      <c r="R47" s="474">
        <f t="shared" si="2"/>
        <v>86</v>
      </c>
      <c r="S47" s="474">
        <f t="shared" si="3"/>
        <v>77</v>
      </c>
      <c r="T47" s="474">
        <f t="shared" si="4"/>
        <v>88</v>
      </c>
      <c r="U47" s="474">
        <f t="shared" si="5"/>
        <v>58</v>
      </c>
      <c r="V47" s="474">
        <f t="shared" si="6"/>
        <v>45</v>
      </c>
      <c r="W47" s="474">
        <f t="shared" si="7"/>
        <v>88</v>
      </c>
      <c r="X47" s="474">
        <f t="shared" si="8"/>
        <v>132</v>
      </c>
      <c r="Y47" s="474">
        <f t="shared" si="9"/>
        <v>65</v>
      </c>
      <c r="Z47" s="102"/>
      <c r="AA47" s="474">
        <v>44.0</v>
      </c>
      <c r="AB47" s="474">
        <f t="shared" si="10"/>
        <v>49</v>
      </c>
      <c r="AC47" s="476">
        <f t="shared" si="11"/>
        <v>58</v>
      </c>
      <c r="AD47" s="474">
        <f t="shared" si="12"/>
        <v>73</v>
      </c>
      <c r="AE47" s="474">
        <f t="shared" si="13"/>
        <v>49</v>
      </c>
      <c r="AF47" s="474">
        <f t="shared" si="14"/>
        <v>58</v>
      </c>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473" t="s">
        <v>396</v>
      </c>
      <c r="BQ47" s="474">
        <f>2*11392</f>
        <v>22784</v>
      </c>
      <c r="BR47" s="474">
        <f>2*39982</f>
        <v>79964</v>
      </c>
      <c r="BS47" s="479">
        <f t="shared" si="25"/>
        <v>1.754827949</v>
      </c>
      <c r="BT47" s="474">
        <f>2*5503</f>
        <v>11006</v>
      </c>
      <c r="BU47" s="484">
        <v>2013.0</v>
      </c>
      <c r="BV47" s="479">
        <f t="shared" si="16"/>
        <v>214.4374087</v>
      </c>
      <c r="BW47" s="489">
        <v>1.75</v>
      </c>
      <c r="BX47" s="474">
        <v>2.3</v>
      </c>
      <c r="BY47" s="474">
        <v>45.9741</v>
      </c>
      <c r="BZ47" s="478">
        <f t="shared" si="17"/>
        <v>22674.7038</v>
      </c>
      <c r="CA47" s="483">
        <f t="shared" si="21"/>
        <v>0.9952029407</v>
      </c>
      <c r="CB47" s="479">
        <f t="shared" si="19"/>
        <v>0.9972487619</v>
      </c>
      <c r="CC47" s="102"/>
    </row>
    <row r="48">
      <c r="A48" s="102"/>
      <c r="B48" s="102"/>
      <c r="C48" s="467">
        <v>45.0</v>
      </c>
      <c r="D48" s="102"/>
      <c r="E48" s="102"/>
      <c r="F48" s="102"/>
      <c r="G48" s="102"/>
      <c r="H48" s="102"/>
      <c r="I48" s="102"/>
      <c r="J48" s="102"/>
      <c r="K48" s="102"/>
      <c r="L48" s="102"/>
      <c r="M48" s="102"/>
      <c r="N48" s="102"/>
      <c r="O48" s="102"/>
      <c r="P48" s="474">
        <v>45.0</v>
      </c>
      <c r="Q48" s="474">
        <f t="shared" si="1"/>
        <v>67</v>
      </c>
      <c r="R48" s="474">
        <f t="shared" si="2"/>
        <v>87</v>
      </c>
      <c r="S48" s="474">
        <f t="shared" si="3"/>
        <v>80</v>
      </c>
      <c r="T48" s="474">
        <f t="shared" si="4"/>
        <v>90</v>
      </c>
      <c r="U48" s="474">
        <f t="shared" si="5"/>
        <v>59</v>
      </c>
      <c r="V48" s="474">
        <f t="shared" si="6"/>
        <v>46</v>
      </c>
      <c r="W48" s="474">
        <f t="shared" si="7"/>
        <v>90</v>
      </c>
      <c r="X48" s="474">
        <f t="shared" si="8"/>
        <v>135</v>
      </c>
      <c r="Y48" s="474">
        <f t="shared" si="9"/>
        <v>67</v>
      </c>
      <c r="Z48" s="102"/>
      <c r="AA48" s="474">
        <v>45.0</v>
      </c>
      <c r="AB48" s="474">
        <f t="shared" si="10"/>
        <v>50</v>
      </c>
      <c r="AC48" s="476">
        <f t="shared" si="11"/>
        <v>60</v>
      </c>
      <c r="AD48" s="474">
        <f t="shared" si="12"/>
        <v>75</v>
      </c>
      <c r="AE48" s="474">
        <f t="shared" si="13"/>
        <v>50</v>
      </c>
      <c r="AF48" s="474">
        <f t="shared" si="14"/>
        <v>60</v>
      </c>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473"/>
      <c r="BQ48" s="474"/>
      <c r="BR48" s="474"/>
      <c r="BS48" s="479"/>
      <c r="BT48" s="474"/>
      <c r="BU48" s="474"/>
      <c r="BV48" s="479"/>
      <c r="BW48" s="479"/>
      <c r="BX48" s="474"/>
      <c r="BY48" s="474"/>
      <c r="BZ48" s="478"/>
      <c r="CA48" s="479"/>
      <c r="CB48" s="479"/>
      <c r="CC48" s="102"/>
    </row>
    <row r="49">
      <c r="A49" s="102"/>
      <c r="B49" s="102"/>
      <c r="C49" s="467">
        <v>46.0</v>
      </c>
      <c r="D49" s="102"/>
      <c r="E49" s="102"/>
      <c r="F49" s="102"/>
      <c r="G49" s="102"/>
      <c r="H49" s="102"/>
      <c r="I49" s="102"/>
      <c r="J49" s="102"/>
      <c r="K49" s="102"/>
      <c r="L49" s="102"/>
      <c r="M49" s="102"/>
      <c r="N49" s="102"/>
      <c r="O49" s="102"/>
      <c r="P49" s="474">
        <v>46.0</v>
      </c>
      <c r="Q49" s="474">
        <f t="shared" si="1"/>
        <v>68</v>
      </c>
      <c r="R49" s="474">
        <f t="shared" si="2"/>
        <v>90</v>
      </c>
      <c r="S49" s="474">
        <f t="shared" si="3"/>
        <v>81</v>
      </c>
      <c r="T49" s="474">
        <f t="shared" si="4"/>
        <v>92</v>
      </c>
      <c r="U49" s="474">
        <f t="shared" si="5"/>
        <v>60</v>
      </c>
      <c r="V49" s="474">
        <f t="shared" si="6"/>
        <v>47</v>
      </c>
      <c r="W49" s="474">
        <f t="shared" si="7"/>
        <v>92</v>
      </c>
      <c r="X49" s="474">
        <f t="shared" si="8"/>
        <v>138</v>
      </c>
      <c r="Y49" s="474">
        <f t="shared" si="9"/>
        <v>68</v>
      </c>
      <c r="Z49" s="102"/>
      <c r="AA49" s="474">
        <v>46.0</v>
      </c>
      <c r="AB49" s="474">
        <f t="shared" si="10"/>
        <v>51</v>
      </c>
      <c r="AC49" s="476">
        <f t="shared" si="11"/>
        <v>61</v>
      </c>
      <c r="AD49" s="474">
        <f t="shared" si="12"/>
        <v>76</v>
      </c>
      <c r="AE49" s="474">
        <f t="shared" si="13"/>
        <v>51</v>
      </c>
      <c r="AF49" s="474">
        <f t="shared" si="14"/>
        <v>61</v>
      </c>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473"/>
      <c r="BQ49" s="474"/>
      <c r="BR49" s="474"/>
      <c r="BS49" s="479"/>
      <c r="BT49" s="474"/>
      <c r="BU49" s="474"/>
      <c r="BV49" s="479"/>
      <c r="BW49" s="479"/>
      <c r="BX49" s="474"/>
      <c r="BY49" s="474"/>
      <c r="BZ49" s="478"/>
      <c r="CA49" s="479"/>
      <c r="CB49" s="479"/>
      <c r="CC49" s="102"/>
    </row>
    <row r="50">
      <c r="A50" s="102"/>
      <c r="B50" s="102"/>
      <c r="C50" s="467">
        <v>47.0</v>
      </c>
      <c r="D50" s="102"/>
      <c r="E50" s="102"/>
      <c r="F50" s="102"/>
      <c r="G50" s="102"/>
      <c r="H50" s="102"/>
      <c r="I50" s="102"/>
      <c r="J50" s="102"/>
      <c r="K50" s="102"/>
      <c r="L50" s="102"/>
      <c r="M50" s="102"/>
      <c r="N50" s="102"/>
      <c r="O50" s="102"/>
      <c r="P50" s="474">
        <v>47.0</v>
      </c>
      <c r="Q50" s="474">
        <f t="shared" si="1"/>
        <v>70</v>
      </c>
      <c r="R50" s="474">
        <f t="shared" si="2"/>
        <v>91</v>
      </c>
      <c r="S50" s="474">
        <f t="shared" si="3"/>
        <v>83</v>
      </c>
      <c r="T50" s="474">
        <f t="shared" si="4"/>
        <v>94</v>
      </c>
      <c r="U50" s="474">
        <f t="shared" si="5"/>
        <v>62</v>
      </c>
      <c r="V50" s="474">
        <f t="shared" si="6"/>
        <v>48</v>
      </c>
      <c r="W50" s="474">
        <f t="shared" si="7"/>
        <v>94</v>
      </c>
      <c r="X50" s="474">
        <f t="shared" si="8"/>
        <v>141</v>
      </c>
      <c r="Y50" s="474">
        <f t="shared" si="9"/>
        <v>70</v>
      </c>
      <c r="Z50" s="102"/>
      <c r="AA50" s="474">
        <v>47.0</v>
      </c>
      <c r="AB50" s="474">
        <f t="shared" si="10"/>
        <v>52</v>
      </c>
      <c r="AC50" s="476">
        <f t="shared" si="11"/>
        <v>62</v>
      </c>
      <c r="AD50" s="474">
        <f t="shared" si="12"/>
        <v>78</v>
      </c>
      <c r="AE50" s="474">
        <f t="shared" si="13"/>
        <v>52</v>
      </c>
      <c r="AF50" s="474">
        <f t="shared" si="14"/>
        <v>62</v>
      </c>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473"/>
      <c r="BQ50" s="474"/>
      <c r="BR50" s="474"/>
      <c r="BS50" s="479"/>
      <c r="BT50" s="474"/>
      <c r="BU50" s="474"/>
      <c r="BV50" s="479"/>
      <c r="BW50" s="479"/>
      <c r="BX50" s="474"/>
      <c r="BY50" s="474"/>
      <c r="BZ50" s="478"/>
      <c r="CA50" s="479"/>
      <c r="CB50" s="479"/>
      <c r="CC50" s="102"/>
    </row>
    <row r="51">
      <c r="A51" s="102"/>
      <c r="B51" s="102"/>
      <c r="C51" s="467">
        <v>48.0</v>
      </c>
      <c r="D51" s="102"/>
      <c r="E51" s="102"/>
      <c r="F51" s="102"/>
      <c r="G51" s="102"/>
      <c r="H51" s="102"/>
      <c r="I51" s="102"/>
      <c r="J51" s="102"/>
      <c r="K51" s="102"/>
      <c r="L51" s="102"/>
      <c r="M51" s="102"/>
      <c r="N51" s="102"/>
      <c r="O51" s="102"/>
      <c r="P51" s="474">
        <v>48.0</v>
      </c>
      <c r="Q51" s="474">
        <f t="shared" si="1"/>
        <v>71</v>
      </c>
      <c r="R51" s="474">
        <f t="shared" si="2"/>
        <v>94</v>
      </c>
      <c r="S51" s="474">
        <f t="shared" si="3"/>
        <v>84</v>
      </c>
      <c r="T51" s="474">
        <f t="shared" si="4"/>
        <v>96</v>
      </c>
      <c r="U51" s="474">
        <f t="shared" si="5"/>
        <v>63</v>
      </c>
      <c r="V51" s="474">
        <f t="shared" si="6"/>
        <v>49</v>
      </c>
      <c r="W51" s="474">
        <f t="shared" si="7"/>
        <v>96</v>
      </c>
      <c r="X51" s="474">
        <f t="shared" si="8"/>
        <v>144</v>
      </c>
      <c r="Y51" s="474">
        <f t="shared" si="9"/>
        <v>71</v>
      </c>
      <c r="Z51" s="102"/>
      <c r="AA51" s="474">
        <v>48.0</v>
      </c>
      <c r="AB51" s="474">
        <f t="shared" si="10"/>
        <v>53</v>
      </c>
      <c r="AC51" s="476">
        <f t="shared" si="11"/>
        <v>64</v>
      </c>
      <c r="AD51" s="474">
        <f t="shared" si="12"/>
        <v>80</v>
      </c>
      <c r="AE51" s="474">
        <f t="shared" si="13"/>
        <v>53</v>
      </c>
      <c r="AF51" s="474">
        <f t="shared" si="14"/>
        <v>64</v>
      </c>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473"/>
      <c r="BQ51" s="474"/>
      <c r="BR51" s="474"/>
      <c r="BS51" s="479"/>
      <c r="BT51" s="474"/>
      <c r="BU51" s="474"/>
      <c r="BV51" s="479"/>
      <c r="BW51" s="479"/>
      <c r="BX51" s="474"/>
      <c r="BY51" s="474"/>
      <c r="BZ51" s="478"/>
      <c r="CA51" s="479"/>
      <c r="CB51" s="479"/>
      <c r="CC51" s="102"/>
    </row>
    <row r="52">
      <c r="A52" s="102"/>
      <c r="B52" s="102"/>
      <c r="C52" s="467">
        <v>49.0</v>
      </c>
      <c r="D52" s="102"/>
      <c r="E52" s="102"/>
      <c r="F52" s="102"/>
      <c r="G52" s="102"/>
      <c r="H52" s="102"/>
      <c r="I52" s="102"/>
      <c r="J52" s="102"/>
      <c r="K52" s="102"/>
      <c r="L52" s="102"/>
      <c r="M52" s="102"/>
      <c r="N52" s="102"/>
      <c r="O52" s="102"/>
      <c r="P52" s="474">
        <v>49.0</v>
      </c>
      <c r="Q52" s="474">
        <f t="shared" si="1"/>
        <v>73</v>
      </c>
      <c r="R52" s="474">
        <f t="shared" si="2"/>
        <v>95</v>
      </c>
      <c r="S52" s="474">
        <f t="shared" si="3"/>
        <v>87</v>
      </c>
      <c r="T52" s="474">
        <f t="shared" si="4"/>
        <v>98</v>
      </c>
      <c r="U52" s="474">
        <f t="shared" si="5"/>
        <v>64</v>
      </c>
      <c r="V52" s="474">
        <f t="shared" si="6"/>
        <v>50</v>
      </c>
      <c r="W52" s="474">
        <f t="shared" si="7"/>
        <v>98</v>
      </c>
      <c r="X52" s="474">
        <f t="shared" si="8"/>
        <v>147</v>
      </c>
      <c r="Y52" s="474">
        <f t="shared" si="9"/>
        <v>73</v>
      </c>
      <c r="Z52" s="102"/>
      <c r="AA52" s="474">
        <v>49.0</v>
      </c>
      <c r="AB52" s="474">
        <f t="shared" si="10"/>
        <v>54</v>
      </c>
      <c r="AC52" s="476">
        <f t="shared" si="11"/>
        <v>65</v>
      </c>
      <c r="AD52" s="474">
        <f t="shared" si="12"/>
        <v>81</v>
      </c>
      <c r="AE52" s="474">
        <f t="shared" si="13"/>
        <v>54</v>
      </c>
      <c r="AF52" s="474">
        <f t="shared" si="14"/>
        <v>65</v>
      </c>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464"/>
      <c r="CB52" s="102"/>
      <c r="CC52" s="102"/>
    </row>
    <row r="53">
      <c r="A53" s="102"/>
      <c r="B53" s="102"/>
      <c r="C53" s="467">
        <v>50.0</v>
      </c>
      <c r="D53" s="102"/>
      <c r="E53" s="102"/>
      <c r="F53" s="102"/>
      <c r="G53" s="102"/>
      <c r="H53" s="102"/>
      <c r="I53" s="102"/>
      <c r="J53" s="102"/>
      <c r="K53" s="102"/>
      <c r="L53" s="102"/>
      <c r="M53" s="102"/>
      <c r="N53" s="102"/>
      <c r="O53" s="102"/>
      <c r="P53" s="474">
        <v>50.0</v>
      </c>
      <c r="Q53" s="474">
        <f t="shared" si="1"/>
        <v>74</v>
      </c>
      <c r="R53" s="474">
        <f t="shared" si="2"/>
        <v>98</v>
      </c>
      <c r="S53" s="474">
        <f t="shared" si="3"/>
        <v>88</v>
      </c>
      <c r="T53" s="474">
        <f t="shared" si="4"/>
        <v>100</v>
      </c>
      <c r="U53" s="474">
        <f t="shared" si="5"/>
        <v>65</v>
      </c>
      <c r="V53" s="474">
        <f t="shared" si="6"/>
        <v>51</v>
      </c>
      <c r="W53" s="474">
        <f t="shared" si="7"/>
        <v>100</v>
      </c>
      <c r="X53" s="474">
        <f t="shared" si="8"/>
        <v>150</v>
      </c>
      <c r="Y53" s="474">
        <f t="shared" si="9"/>
        <v>74</v>
      </c>
      <c r="Z53" s="102"/>
      <c r="AA53" s="474">
        <v>50.0</v>
      </c>
      <c r="AB53" s="474">
        <f t="shared" si="10"/>
        <v>55</v>
      </c>
      <c r="AC53" s="476">
        <f t="shared" si="11"/>
        <v>67</v>
      </c>
      <c r="AD53" s="474">
        <f t="shared" si="12"/>
        <v>83</v>
      </c>
      <c r="AE53" s="474">
        <f t="shared" si="13"/>
        <v>55</v>
      </c>
      <c r="AF53" s="474">
        <f t="shared" si="14"/>
        <v>67</v>
      </c>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490"/>
      <c r="BS53" s="490"/>
      <c r="BT53" s="102"/>
      <c r="BU53" s="102"/>
      <c r="BV53" s="102"/>
      <c r="BW53" s="102"/>
      <c r="BX53" s="102"/>
      <c r="BY53" s="102"/>
      <c r="BZ53" s="102"/>
      <c r="CA53" s="464"/>
      <c r="CB53" s="102"/>
      <c r="CC53" s="102"/>
    </row>
    <row r="54">
      <c r="A54" s="102"/>
      <c r="B54" s="102"/>
      <c r="C54" s="467">
        <v>51.0</v>
      </c>
      <c r="D54" s="102"/>
      <c r="E54" s="102"/>
      <c r="F54" s="102"/>
      <c r="G54" s="102"/>
      <c r="H54" s="102"/>
      <c r="I54" s="102"/>
      <c r="J54" s="102"/>
      <c r="K54" s="102"/>
      <c r="L54" s="102"/>
      <c r="M54" s="102"/>
      <c r="N54" s="102"/>
      <c r="O54" s="102"/>
      <c r="P54" s="474">
        <v>51.0</v>
      </c>
      <c r="Q54" s="474">
        <f t="shared" si="1"/>
        <v>76</v>
      </c>
      <c r="R54" s="474">
        <f t="shared" si="2"/>
        <v>99</v>
      </c>
      <c r="S54" s="474">
        <f t="shared" si="3"/>
        <v>90</v>
      </c>
      <c r="T54" s="474">
        <f t="shared" si="4"/>
        <v>102</v>
      </c>
      <c r="U54" s="474">
        <f t="shared" si="5"/>
        <v>67</v>
      </c>
      <c r="V54" s="474">
        <f t="shared" si="6"/>
        <v>52</v>
      </c>
      <c r="W54" s="474">
        <f t="shared" si="7"/>
        <v>102</v>
      </c>
      <c r="X54" s="474">
        <f t="shared" si="8"/>
        <v>153</v>
      </c>
      <c r="Y54" s="474">
        <f t="shared" si="9"/>
        <v>76</v>
      </c>
      <c r="Z54" s="102"/>
      <c r="AA54" s="474">
        <v>51.0</v>
      </c>
      <c r="AB54" s="474">
        <f t="shared" si="10"/>
        <v>56</v>
      </c>
      <c r="AC54" s="476">
        <f t="shared" si="11"/>
        <v>68</v>
      </c>
      <c r="AD54" s="474">
        <f t="shared" si="12"/>
        <v>85</v>
      </c>
      <c r="AE54" s="474">
        <f t="shared" si="13"/>
        <v>57</v>
      </c>
      <c r="AF54" s="474">
        <f t="shared" si="14"/>
        <v>68</v>
      </c>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464"/>
      <c r="CB54" s="102"/>
      <c r="CC54" s="102"/>
    </row>
    <row r="55">
      <c r="A55" s="102"/>
      <c r="B55" s="102"/>
      <c r="C55" s="467">
        <v>52.0</v>
      </c>
      <c r="D55" s="102"/>
      <c r="E55" s="102"/>
      <c r="F55" s="102"/>
      <c r="G55" s="102"/>
      <c r="H55" s="102"/>
      <c r="I55" s="102"/>
      <c r="J55" s="102"/>
      <c r="K55" s="102"/>
      <c r="L55" s="102"/>
      <c r="M55" s="102"/>
      <c r="N55" s="102"/>
      <c r="O55" s="102"/>
      <c r="P55" s="474">
        <v>52.0</v>
      </c>
      <c r="Q55" s="474">
        <f t="shared" si="1"/>
        <v>77</v>
      </c>
      <c r="R55" s="474">
        <f t="shared" si="2"/>
        <v>102</v>
      </c>
      <c r="S55" s="474">
        <f t="shared" si="3"/>
        <v>91</v>
      </c>
      <c r="T55" s="474">
        <f t="shared" si="4"/>
        <v>104</v>
      </c>
      <c r="U55" s="474">
        <f t="shared" si="5"/>
        <v>68</v>
      </c>
      <c r="V55" s="474">
        <f t="shared" si="6"/>
        <v>53</v>
      </c>
      <c r="W55" s="474">
        <f t="shared" si="7"/>
        <v>104</v>
      </c>
      <c r="X55" s="474">
        <f t="shared" si="8"/>
        <v>156</v>
      </c>
      <c r="Y55" s="474">
        <f t="shared" si="9"/>
        <v>77</v>
      </c>
      <c r="Z55" s="102"/>
      <c r="AA55" s="474">
        <v>52.0</v>
      </c>
      <c r="AB55" s="474">
        <f t="shared" si="10"/>
        <v>57</v>
      </c>
      <c r="AC55" s="476">
        <f t="shared" si="11"/>
        <v>69</v>
      </c>
      <c r="AD55" s="474">
        <f t="shared" si="12"/>
        <v>86</v>
      </c>
      <c r="AE55" s="474">
        <f t="shared" si="13"/>
        <v>58</v>
      </c>
      <c r="AF55" s="474">
        <f t="shared" si="14"/>
        <v>69</v>
      </c>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464"/>
      <c r="CB55" s="102"/>
      <c r="CC55" s="102"/>
    </row>
    <row r="56">
      <c r="A56" s="102"/>
      <c r="B56" s="102"/>
      <c r="C56" s="467">
        <v>53.0</v>
      </c>
      <c r="D56" s="102"/>
      <c r="E56" s="102"/>
      <c r="F56" s="102"/>
      <c r="G56" s="102"/>
      <c r="H56" s="102"/>
      <c r="I56" s="102"/>
      <c r="J56" s="102"/>
      <c r="K56" s="102"/>
      <c r="L56" s="102"/>
      <c r="M56" s="102"/>
      <c r="N56" s="102"/>
      <c r="O56" s="102"/>
      <c r="P56" s="474">
        <v>53.0</v>
      </c>
      <c r="Q56" s="474">
        <f t="shared" si="1"/>
        <v>79</v>
      </c>
      <c r="R56" s="474">
        <f t="shared" si="2"/>
        <v>103</v>
      </c>
      <c r="S56" s="474">
        <f t="shared" si="3"/>
        <v>94</v>
      </c>
      <c r="T56" s="474">
        <f t="shared" si="4"/>
        <v>106</v>
      </c>
      <c r="U56" s="474">
        <f t="shared" si="5"/>
        <v>69</v>
      </c>
      <c r="V56" s="474">
        <f t="shared" si="6"/>
        <v>54</v>
      </c>
      <c r="W56" s="474">
        <f t="shared" si="7"/>
        <v>106</v>
      </c>
      <c r="X56" s="474">
        <f t="shared" si="8"/>
        <v>159</v>
      </c>
      <c r="Y56" s="474">
        <f t="shared" si="9"/>
        <v>79</v>
      </c>
      <c r="Z56" s="102"/>
      <c r="AA56" s="474">
        <v>53.0</v>
      </c>
      <c r="AB56" s="474">
        <f t="shared" si="10"/>
        <v>58</v>
      </c>
      <c r="AC56" s="476">
        <f t="shared" si="11"/>
        <v>71</v>
      </c>
      <c r="AD56" s="474">
        <f t="shared" si="12"/>
        <v>88</v>
      </c>
      <c r="AE56" s="474">
        <f t="shared" si="13"/>
        <v>59</v>
      </c>
      <c r="AF56" s="474">
        <f t="shared" si="14"/>
        <v>71</v>
      </c>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464"/>
      <c r="CB56" s="102"/>
      <c r="CC56" s="102"/>
    </row>
    <row r="57">
      <c r="A57" s="102"/>
      <c r="B57" s="102"/>
      <c r="C57" s="467">
        <v>54.0</v>
      </c>
      <c r="D57" s="102"/>
      <c r="E57" s="102"/>
      <c r="F57" s="102"/>
      <c r="G57" s="102"/>
      <c r="H57" s="102"/>
      <c r="I57" s="102"/>
      <c r="J57" s="102"/>
      <c r="K57" s="102"/>
      <c r="L57" s="102"/>
      <c r="M57" s="102"/>
      <c r="N57" s="102"/>
      <c r="O57" s="102"/>
      <c r="P57" s="474">
        <v>54.0</v>
      </c>
      <c r="Q57" s="474">
        <f t="shared" si="1"/>
        <v>80</v>
      </c>
      <c r="R57" s="474">
        <f t="shared" si="2"/>
        <v>106</v>
      </c>
      <c r="S57" s="474">
        <f t="shared" si="3"/>
        <v>95</v>
      </c>
      <c r="T57" s="474">
        <f t="shared" si="4"/>
        <v>108</v>
      </c>
      <c r="U57" s="474">
        <f t="shared" si="5"/>
        <v>71</v>
      </c>
      <c r="V57" s="474">
        <f t="shared" si="6"/>
        <v>55</v>
      </c>
      <c r="W57" s="474">
        <f t="shared" si="7"/>
        <v>108</v>
      </c>
      <c r="X57" s="474">
        <f t="shared" si="8"/>
        <v>162</v>
      </c>
      <c r="Y57" s="474">
        <f t="shared" si="9"/>
        <v>80</v>
      </c>
      <c r="Z57" s="102"/>
      <c r="AA57" s="474">
        <v>54.0</v>
      </c>
      <c r="AB57" s="474">
        <f t="shared" si="10"/>
        <v>59</v>
      </c>
      <c r="AC57" s="476">
        <f t="shared" si="11"/>
        <v>72</v>
      </c>
      <c r="AD57" s="474">
        <f t="shared" si="12"/>
        <v>90</v>
      </c>
      <c r="AE57" s="474">
        <f t="shared" si="13"/>
        <v>60</v>
      </c>
      <c r="AF57" s="474">
        <f t="shared" si="14"/>
        <v>72</v>
      </c>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464"/>
      <c r="CB57" s="102"/>
      <c r="CC57" s="102"/>
    </row>
    <row r="58">
      <c r="A58" s="102"/>
      <c r="B58" s="102"/>
      <c r="C58" s="467">
        <v>55.0</v>
      </c>
      <c r="D58" s="102"/>
      <c r="E58" s="102"/>
      <c r="F58" s="102"/>
      <c r="G58" s="102"/>
      <c r="H58" s="102"/>
      <c r="I58" s="102"/>
      <c r="J58" s="102"/>
      <c r="K58" s="102"/>
      <c r="L58" s="102"/>
      <c r="M58" s="102"/>
      <c r="N58" s="102"/>
      <c r="O58" s="102"/>
      <c r="P58" s="474">
        <v>55.0</v>
      </c>
      <c r="Q58" s="474">
        <f t="shared" si="1"/>
        <v>82</v>
      </c>
      <c r="R58" s="474">
        <f t="shared" si="2"/>
        <v>107</v>
      </c>
      <c r="S58" s="474">
        <f t="shared" si="3"/>
        <v>97</v>
      </c>
      <c r="T58" s="474">
        <f t="shared" si="4"/>
        <v>110</v>
      </c>
      <c r="U58" s="474">
        <f t="shared" si="5"/>
        <v>72</v>
      </c>
      <c r="V58" s="474">
        <f t="shared" si="6"/>
        <v>56</v>
      </c>
      <c r="W58" s="474">
        <f t="shared" si="7"/>
        <v>110</v>
      </c>
      <c r="X58" s="474">
        <f t="shared" si="8"/>
        <v>165</v>
      </c>
      <c r="Y58" s="474">
        <f t="shared" si="9"/>
        <v>82</v>
      </c>
      <c r="Z58" s="102"/>
      <c r="AA58" s="474">
        <v>55.0</v>
      </c>
      <c r="AB58" s="474">
        <f t="shared" si="10"/>
        <v>60</v>
      </c>
      <c r="AC58" s="476">
        <f t="shared" si="11"/>
        <v>73</v>
      </c>
      <c r="AD58" s="474">
        <f t="shared" si="12"/>
        <v>91</v>
      </c>
      <c r="AE58" s="474">
        <f t="shared" si="13"/>
        <v>61</v>
      </c>
      <c r="AF58" s="474">
        <f t="shared" si="14"/>
        <v>73</v>
      </c>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464"/>
      <c r="CB58" s="102"/>
      <c r="CC58" s="102"/>
    </row>
    <row r="59">
      <c r="A59" s="102"/>
      <c r="B59" s="102"/>
      <c r="C59" s="467">
        <v>56.0</v>
      </c>
      <c r="D59" s="102"/>
      <c r="E59" s="102"/>
      <c r="F59" s="102"/>
      <c r="G59" s="102"/>
      <c r="H59" s="102"/>
      <c r="I59" s="102"/>
      <c r="J59" s="102"/>
      <c r="K59" s="102"/>
      <c r="L59" s="102"/>
      <c r="M59" s="102"/>
      <c r="N59" s="102"/>
      <c r="O59" s="102"/>
      <c r="P59" s="474">
        <v>56.0</v>
      </c>
      <c r="Q59" s="474">
        <f t="shared" si="1"/>
        <v>83</v>
      </c>
      <c r="R59" s="474">
        <f t="shared" si="2"/>
        <v>110</v>
      </c>
      <c r="S59" s="474">
        <f t="shared" si="3"/>
        <v>98</v>
      </c>
      <c r="T59" s="474">
        <f t="shared" si="4"/>
        <v>112</v>
      </c>
      <c r="U59" s="474">
        <f t="shared" si="5"/>
        <v>73</v>
      </c>
      <c r="V59" s="474">
        <f t="shared" si="6"/>
        <v>57</v>
      </c>
      <c r="W59" s="474">
        <f t="shared" si="7"/>
        <v>112</v>
      </c>
      <c r="X59" s="474">
        <f t="shared" si="8"/>
        <v>168</v>
      </c>
      <c r="Y59" s="474">
        <f t="shared" si="9"/>
        <v>83</v>
      </c>
      <c r="Z59" s="102"/>
      <c r="AA59" s="474">
        <v>56.0</v>
      </c>
      <c r="AB59" s="474">
        <f t="shared" si="10"/>
        <v>61</v>
      </c>
      <c r="AC59" s="476">
        <f t="shared" si="11"/>
        <v>75</v>
      </c>
      <c r="AD59" s="474">
        <f t="shared" si="12"/>
        <v>93</v>
      </c>
      <c r="AE59" s="474">
        <f t="shared" si="13"/>
        <v>62</v>
      </c>
      <c r="AF59" s="474">
        <f t="shared" si="14"/>
        <v>75</v>
      </c>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464"/>
      <c r="CB59" s="102"/>
      <c r="CC59" s="102"/>
    </row>
    <row r="60">
      <c r="A60" s="102"/>
      <c r="B60" s="102"/>
      <c r="C60" s="467">
        <v>57.0</v>
      </c>
      <c r="D60" s="102"/>
      <c r="E60" s="102"/>
      <c r="F60" s="102"/>
      <c r="G60" s="102"/>
      <c r="H60" s="102"/>
      <c r="I60" s="102"/>
      <c r="J60" s="102"/>
      <c r="K60" s="102"/>
      <c r="L60" s="102"/>
      <c r="M60" s="102"/>
      <c r="N60" s="102"/>
      <c r="O60" s="102"/>
      <c r="P60" s="474">
        <v>57.0</v>
      </c>
      <c r="Q60" s="474">
        <f t="shared" si="1"/>
        <v>85</v>
      </c>
      <c r="R60" s="474">
        <f t="shared" si="2"/>
        <v>111</v>
      </c>
      <c r="S60" s="474">
        <f t="shared" si="3"/>
        <v>101</v>
      </c>
      <c r="T60" s="474">
        <f t="shared" si="4"/>
        <v>114</v>
      </c>
      <c r="U60" s="474">
        <f t="shared" si="5"/>
        <v>75</v>
      </c>
      <c r="V60" s="474">
        <f t="shared" si="6"/>
        <v>58</v>
      </c>
      <c r="W60" s="474">
        <f t="shared" si="7"/>
        <v>114</v>
      </c>
      <c r="X60" s="474">
        <f t="shared" si="8"/>
        <v>171</v>
      </c>
      <c r="Y60" s="474">
        <f t="shared" si="9"/>
        <v>85</v>
      </c>
      <c r="Z60" s="102"/>
      <c r="AA60" s="474">
        <v>57.0</v>
      </c>
      <c r="AB60" s="474">
        <f t="shared" si="10"/>
        <v>62</v>
      </c>
      <c r="AC60" s="476">
        <f t="shared" si="11"/>
        <v>76</v>
      </c>
      <c r="AD60" s="474">
        <f t="shared" si="12"/>
        <v>95</v>
      </c>
      <c r="AE60" s="474">
        <f t="shared" si="13"/>
        <v>63</v>
      </c>
      <c r="AF60" s="474">
        <f t="shared" si="14"/>
        <v>76</v>
      </c>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464"/>
      <c r="CB60" s="102"/>
      <c r="CC60" s="102"/>
    </row>
    <row r="61">
      <c r="A61" s="102"/>
      <c r="B61" s="102"/>
      <c r="C61" s="467">
        <v>58.0</v>
      </c>
      <c r="D61" s="102"/>
      <c r="E61" s="102"/>
      <c r="F61" s="102"/>
      <c r="G61" s="102"/>
      <c r="H61" s="102"/>
      <c r="I61" s="102"/>
      <c r="J61" s="102"/>
      <c r="K61" s="102"/>
      <c r="L61" s="102"/>
      <c r="M61" s="102"/>
      <c r="N61" s="102"/>
      <c r="O61" s="102"/>
      <c r="P61" s="474">
        <v>58.0</v>
      </c>
      <c r="Q61" s="474">
        <f t="shared" si="1"/>
        <v>86</v>
      </c>
      <c r="R61" s="474">
        <f t="shared" si="2"/>
        <v>114</v>
      </c>
      <c r="S61" s="474">
        <f t="shared" si="3"/>
        <v>102</v>
      </c>
      <c r="T61" s="474">
        <f t="shared" si="4"/>
        <v>116</v>
      </c>
      <c r="U61" s="474">
        <f t="shared" si="5"/>
        <v>76</v>
      </c>
      <c r="V61" s="474">
        <f t="shared" si="6"/>
        <v>59</v>
      </c>
      <c r="W61" s="474">
        <f t="shared" si="7"/>
        <v>116</v>
      </c>
      <c r="X61" s="474">
        <f t="shared" si="8"/>
        <v>174</v>
      </c>
      <c r="Y61" s="474">
        <f t="shared" si="9"/>
        <v>86</v>
      </c>
      <c r="Z61" s="102"/>
      <c r="AA61" s="474">
        <v>58.0</v>
      </c>
      <c r="AB61" s="474">
        <f t="shared" si="10"/>
        <v>63</v>
      </c>
      <c r="AC61" s="476">
        <f t="shared" si="11"/>
        <v>77</v>
      </c>
      <c r="AD61" s="474">
        <f t="shared" si="12"/>
        <v>96</v>
      </c>
      <c r="AE61" s="474">
        <f t="shared" si="13"/>
        <v>64</v>
      </c>
      <c r="AF61" s="474">
        <f t="shared" si="14"/>
        <v>77</v>
      </c>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464"/>
      <c r="CB61" s="102"/>
      <c r="CC61" s="102"/>
    </row>
    <row r="62">
      <c r="A62" s="102"/>
      <c r="B62" s="102"/>
      <c r="C62" s="467">
        <v>59.0</v>
      </c>
      <c r="D62" s="102"/>
      <c r="E62" s="102"/>
      <c r="F62" s="102"/>
      <c r="G62" s="102"/>
      <c r="H62" s="102"/>
      <c r="I62" s="102"/>
      <c r="J62" s="102"/>
      <c r="K62" s="102"/>
      <c r="L62" s="102"/>
      <c r="M62" s="102"/>
      <c r="N62" s="102"/>
      <c r="O62" s="102"/>
      <c r="P62" s="474">
        <v>59.0</v>
      </c>
      <c r="Q62" s="474">
        <f t="shared" si="1"/>
        <v>88</v>
      </c>
      <c r="R62" s="474">
        <f t="shared" si="2"/>
        <v>115</v>
      </c>
      <c r="S62" s="474">
        <f t="shared" si="3"/>
        <v>104</v>
      </c>
      <c r="T62" s="474">
        <f t="shared" si="4"/>
        <v>118</v>
      </c>
      <c r="U62" s="474">
        <f t="shared" si="5"/>
        <v>77</v>
      </c>
      <c r="V62" s="474">
        <f t="shared" si="6"/>
        <v>60</v>
      </c>
      <c r="W62" s="474">
        <f t="shared" si="7"/>
        <v>118</v>
      </c>
      <c r="X62" s="474">
        <f t="shared" si="8"/>
        <v>177</v>
      </c>
      <c r="Y62" s="474">
        <f t="shared" si="9"/>
        <v>88</v>
      </c>
      <c r="Z62" s="102"/>
      <c r="AA62" s="474">
        <v>59.0</v>
      </c>
      <c r="AB62" s="474">
        <f t="shared" si="10"/>
        <v>64</v>
      </c>
      <c r="AC62" s="476">
        <f t="shared" si="11"/>
        <v>79</v>
      </c>
      <c r="AD62" s="474">
        <f t="shared" si="12"/>
        <v>98</v>
      </c>
      <c r="AE62" s="474">
        <f t="shared" si="13"/>
        <v>65</v>
      </c>
      <c r="AF62" s="474">
        <f t="shared" si="14"/>
        <v>79</v>
      </c>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464"/>
      <c r="CB62" s="102"/>
      <c r="CC62" s="102"/>
    </row>
    <row r="63">
      <c r="A63" s="102"/>
      <c r="B63" s="102"/>
      <c r="C63" s="467">
        <v>60.0</v>
      </c>
      <c r="D63" s="102"/>
      <c r="E63" s="102"/>
      <c r="F63" s="102"/>
      <c r="G63" s="102"/>
      <c r="H63" s="102"/>
      <c r="I63" s="102"/>
      <c r="J63" s="102"/>
      <c r="K63" s="102"/>
      <c r="L63" s="102"/>
      <c r="M63" s="102"/>
      <c r="N63" s="102"/>
      <c r="O63" s="102"/>
      <c r="P63" s="474">
        <v>60.0</v>
      </c>
      <c r="Q63" s="474">
        <f t="shared" si="1"/>
        <v>89</v>
      </c>
      <c r="R63" s="474">
        <f t="shared" si="2"/>
        <v>118</v>
      </c>
      <c r="S63" s="474">
        <f t="shared" si="3"/>
        <v>105</v>
      </c>
      <c r="T63" s="474">
        <f t="shared" si="4"/>
        <v>120</v>
      </c>
      <c r="U63" s="474">
        <f t="shared" si="5"/>
        <v>78</v>
      </c>
      <c r="V63" s="474">
        <f t="shared" si="6"/>
        <v>61</v>
      </c>
      <c r="W63" s="474">
        <f t="shared" si="7"/>
        <v>120</v>
      </c>
      <c r="X63" s="474">
        <f t="shared" si="8"/>
        <v>180</v>
      </c>
      <c r="Y63" s="474">
        <f t="shared" si="9"/>
        <v>89</v>
      </c>
      <c r="Z63" s="102"/>
      <c r="AA63" s="474">
        <v>60.0</v>
      </c>
      <c r="AB63" s="474">
        <f t="shared" si="10"/>
        <v>65</v>
      </c>
      <c r="AC63" s="476">
        <f t="shared" si="11"/>
        <v>80</v>
      </c>
      <c r="AD63" s="474">
        <f t="shared" si="12"/>
        <v>100</v>
      </c>
      <c r="AE63" s="474">
        <f t="shared" si="13"/>
        <v>66</v>
      </c>
      <c r="AF63" s="474">
        <f t="shared" si="14"/>
        <v>80</v>
      </c>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464"/>
      <c r="CB63" s="102"/>
      <c r="CC63" s="102"/>
    </row>
    <row r="64">
      <c r="A64" s="102"/>
      <c r="B64" s="102"/>
      <c r="C64" s="467">
        <v>61.0</v>
      </c>
      <c r="D64" s="102"/>
      <c r="E64" s="102"/>
      <c r="F64" s="102"/>
      <c r="G64" s="102"/>
      <c r="H64" s="102"/>
      <c r="I64" s="102"/>
      <c r="J64" s="102"/>
      <c r="K64" s="102"/>
      <c r="L64" s="102"/>
      <c r="M64" s="102"/>
      <c r="N64" s="102"/>
      <c r="O64" s="102"/>
      <c r="P64" s="474">
        <v>61.0</v>
      </c>
      <c r="Q64" s="474">
        <f t="shared" si="1"/>
        <v>91</v>
      </c>
      <c r="R64" s="474">
        <f t="shared" si="2"/>
        <v>119</v>
      </c>
      <c r="S64" s="474">
        <f t="shared" si="3"/>
        <v>108</v>
      </c>
      <c r="T64" s="474">
        <f t="shared" si="4"/>
        <v>122</v>
      </c>
      <c r="U64" s="474">
        <f t="shared" si="5"/>
        <v>80</v>
      </c>
      <c r="V64" s="474">
        <f t="shared" si="6"/>
        <v>62</v>
      </c>
      <c r="W64" s="474">
        <f t="shared" si="7"/>
        <v>122</v>
      </c>
      <c r="X64" s="474">
        <f t="shared" si="8"/>
        <v>183</v>
      </c>
      <c r="Y64" s="474">
        <f t="shared" si="9"/>
        <v>91</v>
      </c>
      <c r="Z64" s="102"/>
      <c r="AA64" s="474">
        <v>61.0</v>
      </c>
      <c r="AB64" s="474">
        <f t="shared" si="10"/>
        <v>66</v>
      </c>
      <c r="AC64" s="476">
        <f t="shared" si="11"/>
        <v>81</v>
      </c>
      <c r="AD64" s="474">
        <f t="shared" si="12"/>
        <v>101</v>
      </c>
      <c r="AE64" s="474">
        <f t="shared" si="13"/>
        <v>68</v>
      </c>
      <c r="AF64" s="474">
        <f t="shared" si="14"/>
        <v>81</v>
      </c>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464"/>
      <c r="CB64" s="102"/>
      <c r="CC64" s="102"/>
    </row>
    <row r="65">
      <c r="A65" s="102"/>
      <c r="B65" s="102"/>
      <c r="C65" s="467">
        <v>62.0</v>
      </c>
      <c r="D65" s="102"/>
      <c r="E65" s="102"/>
      <c r="F65" s="102"/>
      <c r="G65" s="102"/>
      <c r="H65" s="102"/>
      <c r="I65" s="102"/>
      <c r="J65" s="102"/>
      <c r="K65" s="102"/>
      <c r="L65" s="102"/>
      <c r="M65" s="102"/>
      <c r="N65" s="102"/>
      <c r="O65" s="102"/>
      <c r="P65" s="474">
        <v>62.0</v>
      </c>
      <c r="Q65" s="474">
        <f t="shared" si="1"/>
        <v>92</v>
      </c>
      <c r="R65" s="474">
        <f t="shared" si="2"/>
        <v>122</v>
      </c>
      <c r="S65" s="474">
        <f t="shared" si="3"/>
        <v>109</v>
      </c>
      <c r="T65" s="474">
        <f t="shared" si="4"/>
        <v>124</v>
      </c>
      <c r="U65" s="474">
        <f t="shared" si="5"/>
        <v>81</v>
      </c>
      <c r="V65" s="474">
        <f t="shared" si="6"/>
        <v>63</v>
      </c>
      <c r="W65" s="474">
        <f t="shared" si="7"/>
        <v>124</v>
      </c>
      <c r="X65" s="474">
        <f t="shared" si="8"/>
        <v>186</v>
      </c>
      <c r="Y65" s="474">
        <f t="shared" si="9"/>
        <v>92</v>
      </c>
      <c r="Z65" s="102"/>
      <c r="AA65" s="474">
        <v>62.0</v>
      </c>
      <c r="AB65" s="474">
        <f t="shared" si="10"/>
        <v>67</v>
      </c>
      <c r="AC65" s="476">
        <f t="shared" si="11"/>
        <v>83</v>
      </c>
      <c r="AD65" s="474">
        <f t="shared" si="12"/>
        <v>103</v>
      </c>
      <c r="AE65" s="474">
        <f t="shared" si="13"/>
        <v>69</v>
      </c>
      <c r="AF65" s="474">
        <f t="shared" si="14"/>
        <v>83</v>
      </c>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464"/>
      <c r="CB65" s="102"/>
      <c r="CC65" s="102"/>
    </row>
    <row r="66">
      <c r="A66" s="102"/>
      <c r="B66" s="102"/>
      <c r="C66" s="467">
        <v>63.0</v>
      </c>
      <c r="D66" s="102"/>
      <c r="E66" s="102"/>
      <c r="F66" s="102"/>
      <c r="G66" s="102"/>
      <c r="H66" s="102"/>
      <c r="I66" s="102"/>
      <c r="J66" s="102"/>
      <c r="K66" s="102"/>
      <c r="L66" s="102"/>
      <c r="M66" s="102"/>
      <c r="N66" s="102"/>
      <c r="O66" s="102"/>
      <c r="P66" s="474">
        <v>63.0</v>
      </c>
      <c r="Q66" s="474">
        <f t="shared" si="1"/>
        <v>94</v>
      </c>
      <c r="R66" s="474">
        <f t="shared" si="2"/>
        <v>123</v>
      </c>
      <c r="S66" s="474">
        <f t="shared" si="3"/>
        <v>111</v>
      </c>
      <c r="T66" s="474">
        <f t="shared" si="4"/>
        <v>126</v>
      </c>
      <c r="U66" s="474">
        <f t="shared" si="5"/>
        <v>82</v>
      </c>
      <c r="V66" s="474">
        <f t="shared" si="6"/>
        <v>64</v>
      </c>
      <c r="W66" s="474">
        <f t="shared" si="7"/>
        <v>126</v>
      </c>
      <c r="X66" s="474">
        <f t="shared" si="8"/>
        <v>189</v>
      </c>
      <c r="Y66" s="474">
        <f t="shared" si="9"/>
        <v>94</v>
      </c>
      <c r="Z66" s="102"/>
      <c r="AA66" s="474">
        <v>63.0</v>
      </c>
      <c r="AB66" s="474">
        <f t="shared" si="10"/>
        <v>68</v>
      </c>
      <c r="AC66" s="476">
        <f t="shared" si="11"/>
        <v>84</v>
      </c>
      <c r="AD66" s="474">
        <f t="shared" si="12"/>
        <v>105</v>
      </c>
      <c r="AE66" s="474">
        <f t="shared" si="13"/>
        <v>70</v>
      </c>
      <c r="AF66" s="474">
        <f t="shared" si="14"/>
        <v>84</v>
      </c>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464"/>
      <c r="CB66" s="102"/>
      <c r="CC66" s="102"/>
    </row>
    <row r="67">
      <c r="A67" s="102"/>
      <c r="B67" s="102"/>
      <c r="C67" s="467">
        <v>64.0</v>
      </c>
      <c r="D67" s="102"/>
      <c r="E67" s="102"/>
      <c r="F67" s="102"/>
      <c r="G67" s="102"/>
      <c r="H67" s="102"/>
      <c r="I67" s="102"/>
      <c r="J67" s="102"/>
      <c r="K67" s="102"/>
      <c r="L67" s="102"/>
      <c r="M67" s="102"/>
      <c r="N67" s="102"/>
      <c r="O67" s="102"/>
      <c r="P67" s="474">
        <v>64.0</v>
      </c>
      <c r="Q67" s="474">
        <f t="shared" si="1"/>
        <v>95</v>
      </c>
      <c r="R67" s="474">
        <f t="shared" si="2"/>
        <v>126</v>
      </c>
      <c r="S67" s="474">
        <f t="shared" si="3"/>
        <v>112</v>
      </c>
      <c r="T67" s="474">
        <f t="shared" si="4"/>
        <v>128</v>
      </c>
      <c r="U67" s="474">
        <f t="shared" si="5"/>
        <v>84</v>
      </c>
      <c r="V67" s="474">
        <f t="shared" si="6"/>
        <v>65</v>
      </c>
      <c r="W67" s="474">
        <f t="shared" si="7"/>
        <v>128</v>
      </c>
      <c r="X67" s="474">
        <f t="shared" si="8"/>
        <v>192</v>
      </c>
      <c r="Y67" s="474">
        <f t="shared" si="9"/>
        <v>95</v>
      </c>
      <c r="Z67" s="102"/>
      <c r="AA67" s="474">
        <v>64.0</v>
      </c>
      <c r="AB67" s="474">
        <f t="shared" si="10"/>
        <v>69</v>
      </c>
      <c r="AC67" s="476">
        <f t="shared" si="11"/>
        <v>85</v>
      </c>
      <c r="AD67" s="474">
        <f t="shared" si="12"/>
        <v>106</v>
      </c>
      <c r="AE67" s="474">
        <f t="shared" si="13"/>
        <v>71</v>
      </c>
      <c r="AF67" s="474">
        <f t="shared" si="14"/>
        <v>85</v>
      </c>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464"/>
      <c r="CB67" s="102"/>
      <c r="CC67" s="102"/>
    </row>
    <row r="68">
      <c r="A68" s="102"/>
      <c r="B68" s="102"/>
      <c r="C68" s="467">
        <v>65.0</v>
      </c>
      <c r="D68" s="102"/>
      <c r="E68" s="102"/>
      <c r="F68" s="102"/>
      <c r="G68" s="102"/>
      <c r="H68" s="102"/>
      <c r="I68" s="102"/>
      <c r="J68" s="102"/>
      <c r="K68" s="102"/>
      <c r="L68" s="102"/>
      <c r="M68" s="102"/>
      <c r="N68" s="102"/>
      <c r="O68" s="102"/>
      <c r="P68" s="474">
        <v>65.0</v>
      </c>
      <c r="Q68" s="474">
        <f t="shared" si="1"/>
        <v>97</v>
      </c>
      <c r="R68" s="474">
        <f t="shared" si="2"/>
        <v>127</v>
      </c>
      <c r="S68" s="474">
        <f t="shared" si="3"/>
        <v>115</v>
      </c>
      <c r="T68" s="474">
        <f t="shared" si="4"/>
        <v>130</v>
      </c>
      <c r="U68" s="474">
        <f t="shared" si="5"/>
        <v>85</v>
      </c>
      <c r="V68" s="474">
        <f t="shared" si="6"/>
        <v>66</v>
      </c>
      <c r="W68" s="474">
        <f t="shared" si="7"/>
        <v>130</v>
      </c>
      <c r="X68" s="474">
        <f t="shared" si="8"/>
        <v>195</v>
      </c>
      <c r="Y68" s="474">
        <f t="shared" si="9"/>
        <v>97</v>
      </c>
      <c r="Z68" s="102"/>
      <c r="AA68" s="474">
        <v>65.0</v>
      </c>
      <c r="AB68" s="474">
        <f t="shared" si="10"/>
        <v>70</v>
      </c>
      <c r="AC68" s="476">
        <f t="shared" si="11"/>
        <v>87</v>
      </c>
      <c r="AD68" s="474">
        <f t="shared" si="12"/>
        <v>108</v>
      </c>
      <c r="AE68" s="474">
        <f t="shared" si="13"/>
        <v>72</v>
      </c>
      <c r="AF68" s="474">
        <f t="shared" si="14"/>
        <v>87</v>
      </c>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464"/>
      <c r="CB68" s="102"/>
      <c r="CC68" s="102"/>
    </row>
    <row r="69">
      <c r="A69" s="102"/>
      <c r="B69" s="102"/>
      <c r="C69" s="467">
        <v>66.0</v>
      </c>
      <c r="D69" s="102"/>
      <c r="E69" s="102"/>
      <c r="F69" s="102"/>
      <c r="G69" s="102"/>
      <c r="H69" s="102"/>
      <c r="I69" s="102"/>
      <c r="J69" s="102"/>
      <c r="K69" s="102"/>
      <c r="L69" s="102"/>
      <c r="M69" s="102"/>
      <c r="N69" s="102"/>
      <c r="O69" s="102"/>
      <c r="P69" s="474">
        <v>66.0</v>
      </c>
      <c r="Q69" s="474">
        <f t="shared" si="1"/>
        <v>98</v>
      </c>
      <c r="R69" s="474">
        <f t="shared" si="2"/>
        <v>130</v>
      </c>
      <c r="S69" s="474">
        <f t="shared" si="3"/>
        <v>116</v>
      </c>
      <c r="T69" s="474">
        <f t="shared" si="4"/>
        <v>132</v>
      </c>
      <c r="U69" s="474">
        <f t="shared" si="5"/>
        <v>86</v>
      </c>
      <c r="V69" s="474">
        <f t="shared" si="6"/>
        <v>67</v>
      </c>
      <c r="W69" s="474">
        <f t="shared" si="7"/>
        <v>132</v>
      </c>
      <c r="X69" s="474">
        <f t="shared" si="8"/>
        <v>198</v>
      </c>
      <c r="Y69" s="474">
        <f t="shared" si="9"/>
        <v>98</v>
      </c>
      <c r="Z69" s="102"/>
      <c r="AA69" s="474">
        <v>66.0</v>
      </c>
      <c r="AB69" s="474">
        <f t="shared" si="10"/>
        <v>71</v>
      </c>
      <c r="AC69" s="476">
        <f t="shared" si="11"/>
        <v>88</v>
      </c>
      <c r="AD69" s="474">
        <f t="shared" si="12"/>
        <v>110</v>
      </c>
      <c r="AE69" s="474">
        <f t="shared" si="13"/>
        <v>73</v>
      </c>
      <c r="AF69" s="474">
        <f t="shared" si="14"/>
        <v>88</v>
      </c>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464"/>
      <c r="CB69" s="102"/>
      <c r="CC69" s="102"/>
    </row>
    <row r="70">
      <c r="A70" s="102"/>
      <c r="B70" s="102"/>
      <c r="C70" s="467">
        <v>67.0</v>
      </c>
      <c r="D70" s="102"/>
      <c r="E70" s="102"/>
      <c r="F70" s="102"/>
      <c r="G70" s="102"/>
      <c r="H70" s="102"/>
      <c r="I70" s="102"/>
      <c r="J70" s="102"/>
      <c r="K70" s="102"/>
      <c r="L70" s="102"/>
      <c r="M70" s="102"/>
      <c r="N70" s="102"/>
      <c r="O70" s="102"/>
      <c r="P70" s="474">
        <v>67.0</v>
      </c>
      <c r="Q70" s="474">
        <f t="shared" si="1"/>
        <v>100</v>
      </c>
      <c r="R70" s="474">
        <f t="shared" si="2"/>
        <v>131</v>
      </c>
      <c r="S70" s="474">
        <f t="shared" si="3"/>
        <v>118</v>
      </c>
      <c r="T70" s="474">
        <f t="shared" si="4"/>
        <v>134</v>
      </c>
      <c r="U70" s="474">
        <f t="shared" si="5"/>
        <v>88</v>
      </c>
      <c r="V70" s="474">
        <f t="shared" si="6"/>
        <v>68</v>
      </c>
      <c r="W70" s="474">
        <f t="shared" si="7"/>
        <v>134</v>
      </c>
      <c r="X70" s="474">
        <f t="shared" si="8"/>
        <v>201</v>
      </c>
      <c r="Y70" s="474">
        <f t="shared" si="9"/>
        <v>100</v>
      </c>
      <c r="Z70" s="102"/>
      <c r="AA70" s="474">
        <v>67.0</v>
      </c>
      <c r="AB70" s="474">
        <f t="shared" si="10"/>
        <v>72</v>
      </c>
      <c r="AC70" s="476">
        <f t="shared" si="11"/>
        <v>89</v>
      </c>
      <c r="AD70" s="474">
        <f t="shared" si="12"/>
        <v>111</v>
      </c>
      <c r="AE70" s="474">
        <f t="shared" si="13"/>
        <v>74</v>
      </c>
      <c r="AF70" s="474">
        <f t="shared" si="14"/>
        <v>89</v>
      </c>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464"/>
      <c r="CB70" s="102"/>
      <c r="CC70" s="102"/>
    </row>
    <row r="71">
      <c r="A71" s="102"/>
      <c r="B71" s="102"/>
      <c r="C71" s="467">
        <v>68.0</v>
      </c>
      <c r="D71" s="102"/>
      <c r="E71" s="102"/>
      <c r="F71" s="102"/>
      <c r="G71" s="102"/>
      <c r="H71" s="102"/>
      <c r="I71" s="102"/>
      <c r="J71" s="102"/>
      <c r="K71" s="102"/>
      <c r="L71" s="102"/>
      <c r="M71" s="102"/>
      <c r="N71" s="102"/>
      <c r="O71" s="102"/>
      <c r="P71" s="474">
        <v>68.0</v>
      </c>
      <c r="Q71" s="474">
        <f t="shared" si="1"/>
        <v>101</v>
      </c>
      <c r="R71" s="474">
        <f t="shared" si="2"/>
        <v>134</v>
      </c>
      <c r="S71" s="474">
        <f t="shared" si="3"/>
        <v>119</v>
      </c>
      <c r="T71" s="474">
        <f t="shared" si="4"/>
        <v>136</v>
      </c>
      <c r="U71" s="474">
        <f t="shared" si="5"/>
        <v>89</v>
      </c>
      <c r="V71" s="474">
        <f t="shared" si="6"/>
        <v>69</v>
      </c>
      <c r="W71" s="474">
        <f t="shared" si="7"/>
        <v>136</v>
      </c>
      <c r="X71" s="474">
        <f t="shared" si="8"/>
        <v>204</v>
      </c>
      <c r="Y71" s="474">
        <f t="shared" si="9"/>
        <v>101</v>
      </c>
      <c r="Z71" s="102"/>
      <c r="AA71" s="474">
        <v>68.0</v>
      </c>
      <c r="AB71" s="474">
        <f t="shared" si="10"/>
        <v>73</v>
      </c>
      <c r="AC71" s="476">
        <f t="shared" si="11"/>
        <v>91</v>
      </c>
      <c r="AD71" s="474">
        <f t="shared" si="12"/>
        <v>113</v>
      </c>
      <c r="AE71" s="474">
        <f t="shared" si="13"/>
        <v>75</v>
      </c>
      <c r="AF71" s="474">
        <f t="shared" si="14"/>
        <v>91</v>
      </c>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2"/>
      <c r="BU71" s="102"/>
      <c r="BV71" s="102"/>
      <c r="BW71" s="102"/>
      <c r="BX71" s="102"/>
      <c r="BY71" s="102"/>
      <c r="BZ71" s="102"/>
      <c r="CA71" s="464"/>
      <c r="CB71" s="102"/>
      <c r="CC71" s="102"/>
    </row>
    <row r="72">
      <c r="A72" s="102"/>
      <c r="B72" s="102"/>
      <c r="C72" s="467">
        <v>69.0</v>
      </c>
      <c r="D72" s="102"/>
      <c r="E72" s="102"/>
      <c r="F72" s="102"/>
      <c r="G72" s="102"/>
      <c r="H72" s="102"/>
      <c r="I72" s="102"/>
      <c r="J72" s="102"/>
      <c r="K72" s="102"/>
      <c r="L72" s="102"/>
      <c r="M72" s="102"/>
      <c r="N72" s="102"/>
      <c r="O72" s="102"/>
      <c r="P72" s="474">
        <v>69.0</v>
      </c>
      <c r="Q72" s="474">
        <f t="shared" si="1"/>
        <v>103</v>
      </c>
      <c r="R72" s="474">
        <f t="shared" si="2"/>
        <v>135</v>
      </c>
      <c r="S72" s="474">
        <f t="shared" si="3"/>
        <v>122</v>
      </c>
      <c r="T72" s="474">
        <f t="shared" si="4"/>
        <v>138</v>
      </c>
      <c r="U72" s="474">
        <f t="shared" si="5"/>
        <v>90</v>
      </c>
      <c r="V72" s="474">
        <f t="shared" si="6"/>
        <v>70</v>
      </c>
      <c r="W72" s="474">
        <f t="shared" si="7"/>
        <v>138</v>
      </c>
      <c r="X72" s="474">
        <f t="shared" si="8"/>
        <v>207</v>
      </c>
      <c r="Y72" s="474">
        <f t="shared" si="9"/>
        <v>103</v>
      </c>
      <c r="Z72" s="102"/>
      <c r="AA72" s="474">
        <v>69.0</v>
      </c>
      <c r="AB72" s="474">
        <f t="shared" si="10"/>
        <v>74</v>
      </c>
      <c r="AC72" s="476">
        <f t="shared" si="11"/>
        <v>92</v>
      </c>
      <c r="AD72" s="474">
        <f t="shared" si="12"/>
        <v>115</v>
      </c>
      <c r="AE72" s="474">
        <f t="shared" si="13"/>
        <v>76</v>
      </c>
      <c r="AF72" s="474">
        <f t="shared" si="14"/>
        <v>92</v>
      </c>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464"/>
      <c r="CB72" s="102"/>
      <c r="CC72" s="102"/>
    </row>
    <row r="73">
      <c r="A73" s="102"/>
      <c r="B73" s="102"/>
      <c r="C73" s="467">
        <v>70.0</v>
      </c>
      <c r="D73" s="102"/>
      <c r="E73" s="102"/>
      <c r="F73" s="102"/>
      <c r="G73" s="102"/>
      <c r="H73" s="102"/>
      <c r="I73" s="102"/>
      <c r="J73" s="102"/>
      <c r="K73" s="102"/>
      <c r="L73" s="102"/>
      <c r="M73" s="102"/>
      <c r="N73" s="102"/>
      <c r="O73" s="102"/>
      <c r="P73" s="474">
        <v>70.0</v>
      </c>
      <c r="Q73" s="474">
        <f t="shared" si="1"/>
        <v>104</v>
      </c>
      <c r="R73" s="474">
        <f t="shared" si="2"/>
        <v>138</v>
      </c>
      <c r="S73" s="474">
        <f t="shared" si="3"/>
        <v>123</v>
      </c>
      <c r="T73" s="474">
        <f t="shared" si="4"/>
        <v>140</v>
      </c>
      <c r="U73" s="474">
        <f t="shared" si="5"/>
        <v>91</v>
      </c>
      <c r="V73" s="474">
        <f t="shared" si="6"/>
        <v>71</v>
      </c>
      <c r="W73" s="474">
        <f t="shared" si="7"/>
        <v>140</v>
      </c>
      <c r="X73" s="474">
        <f t="shared" si="8"/>
        <v>210</v>
      </c>
      <c r="Y73" s="474">
        <f t="shared" si="9"/>
        <v>104</v>
      </c>
      <c r="Z73" s="102"/>
      <c r="AA73" s="474">
        <v>70.0</v>
      </c>
      <c r="AB73" s="474">
        <f t="shared" si="10"/>
        <v>75</v>
      </c>
      <c r="AC73" s="476">
        <f t="shared" si="11"/>
        <v>93</v>
      </c>
      <c r="AD73" s="474">
        <f t="shared" si="12"/>
        <v>116</v>
      </c>
      <c r="AE73" s="474">
        <f t="shared" si="13"/>
        <v>77</v>
      </c>
      <c r="AF73" s="474">
        <f t="shared" si="14"/>
        <v>93</v>
      </c>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464"/>
      <c r="CB73" s="102"/>
      <c r="CC73" s="102"/>
    </row>
    <row r="74">
      <c r="A74" s="102"/>
      <c r="B74" s="102"/>
      <c r="C74" s="467">
        <v>71.0</v>
      </c>
      <c r="D74" s="102"/>
      <c r="E74" s="102"/>
      <c r="F74" s="102"/>
      <c r="G74" s="102"/>
      <c r="H74" s="102"/>
      <c r="I74" s="102"/>
      <c r="J74" s="102"/>
      <c r="K74" s="102"/>
      <c r="L74" s="102"/>
      <c r="M74" s="102"/>
      <c r="N74" s="102"/>
      <c r="O74" s="102"/>
      <c r="P74" s="474">
        <v>71.0</v>
      </c>
      <c r="Q74" s="474">
        <f t="shared" si="1"/>
        <v>106</v>
      </c>
      <c r="R74" s="474">
        <f t="shared" si="2"/>
        <v>139</v>
      </c>
      <c r="S74" s="474">
        <f t="shared" si="3"/>
        <v>125</v>
      </c>
      <c r="T74" s="474">
        <f t="shared" si="4"/>
        <v>142</v>
      </c>
      <c r="U74" s="474">
        <f t="shared" si="5"/>
        <v>93</v>
      </c>
      <c r="V74" s="474">
        <f t="shared" si="6"/>
        <v>72</v>
      </c>
      <c r="W74" s="474">
        <f t="shared" si="7"/>
        <v>142</v>
      </c>
      <c r="X74" s="474">
        <f t="shared" si="8"/>
        <v>213</v>
      </c>
      <c r="Y74" s="474">
        <f t="shared" si="9"/>
        <v>106</v>
      </c>
      <c r="Z74" s="102"/>
      <c r="AA74" s="474">
        <v>71.0</v>
      </c>
      <c r="AB74" s="474">
        <f t="shared" si="10"/>
        <v>76</v>
      </c>
      <c r="AC74" s="476">
        <f t="shared" si="11"/>
        <v>95</v>
      </c>
      <c r="AD74" s="474">
        <f t="shared" si="12"/>
        <v>118</v>
      </c>
      <c r="AE74" s="474">
        <f t="shared" si="13"/>
        <v>79</v>
      </c>
      <c r="AF74" s="474">
        <f t="shared" si="14"/>
        <v>95</v>
      </c>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464"/>
      <c r="CB74" s="102"/>
      <c r="CC74" s="102"/>
    </row>
    <row r="75">
      <c r="A75" s="102"/>
      <c r="B75" s="102"/>
      <c r="C75" s="467">
        <v>72.0</v>
      </c>
      <c r="D75" s="102"/>
      <c r="E75" s="102"/>
      <c r="F75" s="102"/>
      <c r="G75" s="102"/>
      <c r="H75" s="102"/>
      <c r="I75" s="102"/>
      <c r="J75" s="102"/>
      <c r="K75" s="102"/>
      <c r="L75" s="102"/>
      <c r="M75" s="102"/>
      <c r="N75" s="102"/>
      <c r="O75" s="102"/>
      <c r="P75" s="474">
        <v>72.0</v>
      </c>
      <c r="Q75" s="474">
        <f t="shared" si="1"/>
        <v>107</v>
      </c>
      <c r="R75" s="474">
        <f t="shared" si="2"/>
        <v>142</v>
      </c>
      <c r="S75" s="474">
        <f t="shared" si="3"/>
        <v>126</v>
      </c>
      <c r="T75" s="474">
        <f t="shared" si="4"/>
        <v>144</v>
      </c>
      <c r="U75" s="474">
        <f t="shared" si="5"/>
        <v>94</v>
      </c>
      <c r="V75" s="474">
        <f t="shared" si="6"/>
        <v>73</v>
      </c>
      <c r="W75" s="474">
        <f t="shared" si="7"/>
        <v>144</v>
      </c>
      <c r="X75" s="474">
        <f t="shared" si="8"/>
        <v>216</v>
      </c>
      <c r="Y75" s="474">
        <f t="shared" si="9"/>
        <v>107</v>
      </c>
      <c r="Z75" s="102"/>
      <c r="AA75" s="474">
        <v>72.0</v>
      </c>
      <c r="AB75" s="474">
        <f t="shared" si="10"/>
        <v>77</v>
      </c>
      <c r="AC75" s="476">
        <f t="shared" si="11"/>
        <v>96</v>
      </c>
      <c r="AD75" s="474">
        <f t="shared" si="12"/>
        <v>120</v>
      </c>
      <c r="AE75" s="474">
        <f t="shared" si="13"/>
        <v>80</v>
      </c>
      <c r="AF75" s="474">
        <f t="shared" si="14"/>
        <v>96</v>
      </c>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464"/>
      <c r="CB75" s="102"/>
      <c r="CC75" s="102"/>
    </row>
    <row r="76">
      <c r="A76" s="102"/>
      <c r="B76" s="102"/>
      <c r="C76" s="467">
        <v>73.0</v>
      </c>
      <c r="D76" s="102"/>
      <c r="E76" s="102"/>
      <c r="F76" s="102"/>
      <c r="G76" s="102"/>
      <c r="H76" s="102"/>
      <c r="I76" s="102"/>
      <c r="J76" s="102"/>
      <c r="K76" s="102"/>
      <c r="L76" s="102"/>
      <c r="M76" s="102"/>
      <c r="N76" s="102"/>
      <c r="O76" s="102"/>
      <c r="P76" s="474">
        <v>73.0</v>
      </c>
      <c r="Q76" s="474">
        <f t="shared" si="1"/>
        <v>109</v>
      </c>
      <c r="R76" s="474">
        <f t="shared" si="2"/>
        <v>143</v>
      </c>
      <c r="S76" s="474">
        <f t="shared" si="3"/>
        <v>129</v>
      </c>
      <c r="T76" s="474">
        <f t="shared" si="4"/>
        <v>146</v>
      </c>
      <c r="U76" s="474">
        <f t="shared" si="5"/>
        <v>95</v>
      </c>
      <c r="V76" s="474">
        <f t="shared" si="6"/>
        <v>74</v>
      </c>
      <c r="W76" s="474">
        <f t="shared" si="7"/>
        <v>146</v>
      </c>
      <c r="X76" s="474">
        <f t="shared" si="8"/>
        <v>219</v>
      </c>
      <c r="Y76" s="474">
        <f t="shared" si="9"/>
        <v>109</v>
      </c>
      <c r="Z76" s="102"/>
      <c r="AA76" s="474">
        <v>73.0</v>
      </c>
      <c r="AB76" s="474">
        <f t="shared" si="10"/>
        <v>78</v>
      </c>
      <c r="AC76" s="476">
        <f t="shared" si="11"/>
        <v>97</v>
      </c>
      <c r="AD76" s="474">
        <f t="shared" si="12"/>
        <v>121</v>
      </c>
      <c r="AE76" s="474">
        <f t="shared" si="13"/>
        <v>81</v>
      </c>
      <c r="AF76" s="474">
        <f t="shared" si="14"/>
        <v>97</v>
      </c>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464"/>
      <c r="CB76" s="102"/>
      <c r="CC76" s="102"/>
    </row>
    <row r="77">
      <c r="A77" s="102"/>
      <c r="B77" s="102"/>
      <c r="C77" s="467">
        <v>74.0</v>
      </c>
      <c r="D77" s="102"/>
      <c r="E77" s="102"/>
      <c r="F77" s="102"/>
      <c r="G77" s="102"/>
      <c r="H77" s="102"/>
      <c r="I77" s="102"/>
      <c r="J77" s="102"/>
      <c r="K77" s="102"/>
      <c r="L77" s="102"/>
      <c r="M77" s="102"/>
      <c r="N77" s="102"/>
      <c r="O77" s="102"/>
      <c r="P77" s="474">
        <v>74.0</v>
      </c>
      <c r="Q77" s="474">
        <f t="shared" si="1"/>
        <v>110</v>
      </c>
      <c r="R77" s="474">
        <f t="shared" si="2"/>
        <v>146</v>
      </c>
      <c r="S77" s="474">
        <f t="shared" si="3"/>
        <v>130</v>
      </c>
      <c r="T77" s="474">
        <f t="shared" si="4"/>
        <v>148</v>
      </c>
      <c r="U77" s="474">
        <f t="shared" si="5"/>
        <v>97</v>
      </c>
      <c r="V77" s="474">
        <f t="shared" si="6"/>
        <v>75</v>
      </c>
      <c r="W77" s="474">
        <f t="shared" si="7"/>
        <v>148</v>
      </c>
      <c r="X77" s="474">
        <f t="shared" si="8"/>
        <v>222</v>
      </c>
      <c r="Y77" s="474">
        <f t="shared" si="9"/>
        <v>110</v>
      </c>
      <c r="Z77" s="102"/>
      <c r="AA77" s="474">
        <v>74.0</v>
      </c>
      <c r="AB77" s="474">
        <f t="shared" si="10"/>
        <v>79</v>
      </c>
      <c r="AC77" s="476">
        <f t="shared" si="11"/>
        <v>99</v>
      </c>
      <c r="AD77" s="474">
        <f t="shared" si="12"/>
        <v>123</v>
      </c>
      <c r="AE77" s="474">
        <f t="shared" si="13"/>
        <v>82</v>
      </c>
      <c r="AF77" s="474">
        <f t="shared" si="14"/>
        <v>99</v>
      </c>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464"/>
      <c r="CB77" s="102"/>
      <c r="CC77" s="102"/>
    </row>
    <row r="78">
      <c r="A78" s="102"/>
      <c r="B78" s="102"/>
      <c r="C78" s="467">
        <v>75.0</v>
      </c>
      <c r="D78" s="102"/>
      <c r="E78" s="102"/>
      <c r="F78" s="102"/>
      <c r="G78" s="102"/>
      <c r="H78" s="102"/>
      <c r="I78" s="102"/>
      <c r="J78" s="102"/>
      <c r="K78" s="102"/>
      <c r="L78" s="102"/>
      <c r="M78" s="102"/>
      <c r="N78" s="102"/>
      <c r="O78" s="102"/>
      <c r="P78" s="474">
        <v>75.0</v>
      </c>
      <c r="Q78" s="474">
        <f t="shared" si="1"/>
        <v>112</v>
      </c>
      <c r="R78" s="474">
        <f t="shared" si="2"/>
        <v>147</v>
      </c>
      <c r="S78" s="474">
        <f t="shared" si="3"/>
        <v>132</v>
      </c>
      <c r="T78" s="474">
        <f t="shared" si="4"/>
        <v>150</v>
      </c>
      <c r="U78" s="474">
        <f t="shared" si="5"/>
        <v>98</v>
      </c>
      <c r="V78" s="474">
        <f t="shared" si="6"/>
        <v>76</v>
      </c>
      <c r="W78" s="474">
        <f t="shared" si="7"/>
        <v>150</v>
      </c>
      <c r="X78" s="474">
        <f t="shared" si="8"/>
        <v>225</v>
      </c>
      <c r="Y78" s="474">
        <f t="shared" si="9"/>
        <v>112</v>
      </c>
      <c r="Z78" s="102"/>
      <c r="AA78" s="474">
        <v>75.0</v>
      </c>
      <c r="AB78" s="474">
        <f t="shared" si="10"/>
        <v>80</v>
      </c>
      <c r="AC78" s="476">
        <f t="shared" si="11"/>
        <v>100</v>
      </c>
      <c r="AD78" s="474">
        <f t="shared" si="12"/>
        <v>125</v>
      </c>
      <c r="AE78" s="474">
        <f t="shared" si="13"/>
        <v>83</v>
      </c>
      <c r="AF78" s="474">
        <f t="shared" si="14"/>
        <v>100</v>
      </c>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464"/>
      <c r="CB78" s="102"/>
      <c r="CC78" s="102"/>
    </row>
    <row r="79">
      <c r="A79" s="102"/>
      <c r="B79" s="102"/>
      <c r="C79" s="467">
        <v>76.0</v>
      </c>
      <c r="D79" s="102"/>
      <c r="E79" s="102"/>
      <c r="F79" s="102"/>
      <c r="G79" s="102"/>
      <c r="H79" s="102"/>
      <c r="I79" s="102"/>
      <c r="J79" s="102"/>
      <c r="K79" s="102"/>
      <c r="L79" s="102"/>
      <c r="M79" s="102"/>
      <c r="N79" s="102"/>
      <c r="O79" s="102"/>
      <c r="P79" s="474">
        <v>76.0</v>
      </c>
      <c r="Q79" s="474">
        <f t="shared" si="1"/>
        <v>113</v>
      </c>
      <c r="R79" s="474">
        <f t="shared" si="2"/>
        <v>150</v>
      </c>
      <c r="S79" s="474">
        <f t="shared" si="3"/>
        <v>133</v>
      </c>
      <c r="T79" s="474">
        <f t="shared" si="4"/>
        <v>152</v>
      </c>
      <c r="U79" s="474">
        <f t="shared" si="5"/>
        <v>99</v>
      </c>
      <c r="V79" s="474">
        <f t="shared" si="6"/>
        <v>77</v>
      </c>
      <c r="W79" s="474">
        <f t="shared" si="7"/>
        <v>152</v>
      </c>
      <c r="X79" s="474">
        <f t="shared" si="8"/>
        <v>228</v>
      </c>
      <c r="Y79" s="474">
        <f t="shared" si="9"/>
        <v>113</v>
      </c>
      <c r="Z79" s="102"/>
      <c r="AA79" s="474">
        <v>76.0</v>
      </c>
      <c r="AB79" s="474">
        <f t="shared" si="10"/>
        <v>81</v>
      </c>
      <c r="AC79" s="476">
        <f t="shared" si="11"/>
        <v>101</v>
      </c>
      <c r="AD79" s="474">
        <f t="shared" si="12"/>
        <v>126</v>
      </c>
      <c r="AE79" s="474">
        <f t="shared" si="13"/>
        <v>84</v>
      </c>
      <c r="AF79" s="474">
        <f t="shared" si="14"/>
        <v>101</v>
      </c>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464"/>
      <c r="CB79" s="102"/>
      <c r="CC79" s="102"/>
    </row>
    <row r="80">
      <c r="A80" s="102"/>
      <c r="B80" s="102"/>
      <c r="C80" s="467">
        <v>77.0</v>
      </c>
      <c r="D80" s="102"/>
      <c r="E80" s="102"/>
      <c r="F80" s="102"/>
      <c r="G80" s="102"/>
      <c r="H80" s="102"/>
      <c r="I80" s="102"/>
      <c r="J80" s="102"/>
      <c r="K80" s="102"/>
      <c r="L80" s="102"/>
      <c r="M80" s="102"/>
      <c r="N80" s="102"/>
      <c r="O80" s="102"/>
      <c r="P80" s="474">
        <v>77.0</v>
      </c>
      <c r="Q80" s="474">
        <f t="shared" si="1"/>
        <v>115</v>
      </c>
      <c r="R80" s="474">
        <f t="shared" si="2"/>
        <v>151</v>
      </c>
      <c r="S80" s="474">
        <f t="shared" si="3"/>
        <v>136</v>
      </c>
      <c r="T80" s="474">
        <f t="shared" si="4"/>
        <v>154</v>
      </c>
      <c r="U80" s="474">
        <f t="shared" si="5"/>
        <v>101</v>
      </c>
      <c r="V80" s="474">
        <f t="shared" si="6"/>
        <v>78</v>
      </c>
      <c r="W80" s="474">
        <f t="shared" si="7"/>
        <v>154</v>
      </c>
      <c r="X80" s="474">
        <f t="shared" si="8"/>
        <v>231</v>
      </c>
      <c r="Y80" s="474">
        <f t="shared" si="9"/>
        <v>115</v>
      </c>
      <c r="Z80" s="102"/>
      <c r="AA80" s="474">
        <v>77.0</v>
      </c>
      <c r="AB80" s="474">
        <f t="shared" si="10"/>
        <v>82</v>
      </c>
      <c r="AC80" s="476">
        <f t="shared" si="11"/>
        <v>103</v>
      </c>
      <c r="AD80" s="474">
        <f t="shared" si="12"/>
        <v>128</v>
      </c>
      <c r="AE80" s="474">
        <f t="shared" si="13"/>
        <v>85</v>
      </c>
      <c r="AF80" s="474">
        <f t="shared" si="14"/>
        <v>103</v>
      </c>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464"/>
      <c r="CB80" s="102"/>
      <c r="CC80" s="102"/>
    </row>
    <row r="81">
      <c r="A81" s="102"/>
      <c r="B81" s="102"/>
      <c r="C81" s="467">
        <v>78.0</v>
      </c>
      <c r="D81" s="102"/>
      <c r="E81" s="102"/>
      <c r="F81" s="102"/>
      <c r="G81" s="102"/>
      <c r="H81" s="102"/>
      <c r="I81" s="102"/>
      <c r="J81" s="102"/>
      <c r="K81" s="102"/>
      <c r="L81" s="102"/>
      <c r="M81" s="102"/>
      <c r="N81" s="102"/>
      <c r="O81" s="102"/>
      <c r="P81" s="474">
        <v>78.0</v>
      </c>
      <c r="Q81" s="474">
        <f t="shared" si="1"/>
        <v>116</v>
      </c>
      <c r="R81" s="474">
        <f t="shared" si="2"/>
        <v>154</v>
      </c>
      <c r="S81" s="474">
        <f t="shared" si="3"/>
        <v>137</v>
      </c>
      <c r="T81" s="474">
        <f t="shared" si="4"/>
        <v>156</v>
      </c>
      <c r="U81" s="474">
        <f t="shared" si="5"/>
        <v>102</v>
      </c>
      <c r="V81" s="474">
        <f t="shared" si="6"/>
        <v>79</v>
      </c>
      <c r="W81" s="474">
        <f t="shared" si="7"/>
        <v>156</v>
      </c>
      <c r="X81" s="474">
        <f t="shared" si="8"/>
        <v>234</v>
      </c>
      <c r="Y81" s="474">
        <f t="shared" si="9"/>
        <v>116</v>
      </c>
      <c r="Z81" s="102"/>
      <c r="AA81" s="474">
        <v>78.0</v>
      </c>
      <c r="AB81" s="474">
        <f t="shared" si="10"/>
        <v>83</v>
      </c>
      <c r="AC81" s="476">
        <f t="shared" si="11"/>
        <v>104</v>
      </c>
      <c r="AD81" s="474">
        <f t="shared" si="12"/>
        <v>130</v>
      </c>
      <c r="AE81" s="474">
        <f t="shared" si="13"/>
        <v>86</v>
      </c>
      <c r="AF81" s="474">
        <f t="shared" si="14"/>
        <v>104</v>
      </c>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464"/>
      <c r="CB81" s="102"/>
      <c r="CC81" s="102"/>
    </row>
    <row r="82">
      <c r="A82" s="102"/>
      <c r="B82" s="102"/>
      <c r="C82" s="467">
        <v>79.0</v>
      </c>
      <c r="D82" s="102"/>
      <c r="E82" s="102"/>
      <c r="F82" s="102"/>
      <c r="G82" s="102"/>
      <c r="H82" s="102"/>
      <c r="I82" s="102"/>
      <c r="J82" s="102"/>
      <c r="K82" s="102"/>
      <c r="L82" s="102"/>
      <c r="M82" s="102"/>
      <c r="N82" s="102"/>
      <c r="O82" s="102"/>
      <c r="P82" s="474">
        <v>79.0</v>
      </c>
      <c r="Q82" s="474">
        <f t="shared" si="1"/>
        <v>118</v>
      </c>
      <c r="R82" s="474">
        <f t="shared" si="2"/>
        <v>155</v>
      </c>
      <c r="S82" s="474">
        <f t="shared" si="3"/>
        <v>139</v>
      </c>
      <c r="T82" s="474">
        <f t="shared" si="4"/>
        <v>158</v>
      </c>
      <c r="U82" s="474">
        <f t="shared" si="5"/>
        <v>103</v>
      </c>
      <c r="V82" s="474">
        <f t="shared" si="6"/>
        <v>80</v>
      </c>
      <c r="W82" s="474">
        <f t="shared" si="7"/>
        <v>158</v>
      </c>
      <c r="X82" s="474">
        <f t="shared" si="8"/>
        <v>237</v>
      </c>
      <c r="Y82" s="474">
        <f t="shared" si="9"/>
        <v>118</v>
      </c>
      <c r="Z82" s="102"/>
      <c r="AA82" s="474">
        <v>79.0</v>
      </c>
      <c r="AB82" s="474">
        <f t="shared" si="10"/>
        <v>84</v>
      </c>
      <c r="AC82" s="476">
        <f t="shared" si="11"/>
        <v>105</v>
      </c>
      <c r="AD82" s="474">
        <f t="shared" si="12"/>
        <v>131</v>
      </c>
      <c r="AE82" s="474">
        <f t="shared" si="13"/>
        <v>87</v>
      </c>
      <c r="AF82" s="474">
        <f t="shared" si="14"/>
        <v>105</v>
      </c>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464"/>
      <c r="CB82" s="102"/>
      <c r="CC82" s="102"/>
    </row>
    <row r="83">
      <c r="A83" s="102"/>
      <c r="B83" s="102"/>
      <c r="C83" s="467">
        <v>80.0</v>
      </c>
      <c r="D83" s="102"/>
      <c r="E83" s="102"/>
      <c r="F83" s="102"/>
      <c r="G83" s="102"/>
      <c r="H83" s="102"/>
      <c r="I83" s="102"/>
      <c r="J83" s="102"/>
      <c r="K83" s="102"/>
      <c r="L83" s="102"/>
      <c r="M83" s="102"/>
      <c r="N83" s="102"/>
      <c r="O83" s="102"/>
      <c r="P83" s="474">
        <v>80.0</v>
      </c>
      <c r="Q83" s="474">
        <f t="shared" si="1"/>
        <v>119</v>
      </c>
      <c r="R83" s="474">
        <f t="shared" si="2"/>
        <v>158</v>
      </c>
      <c r="S83" s="474">
        <f t="shared" si="3"/>
        <v>140</v>
      </c>
      <c r="T83" s="474">
        <f t="shared" si="4"/>
        <v>160</v>
      </c>
      <c r="U83" s="474">
        <f t="shared" si="5"/>
        <v>104</v>
      </c>
      <c r="V83" s="474">
        <f t="shared" si="6"/>
        <v>81</v>
      </c>
      <c r="W83" s="474">
        <f t="shared" si="7"/>
        <v>160</v>
      </c>
      <c r="X83" s="474">
        <f t="shared" si="8"/>
        <v>240</v>
      </c>
      <c r="Y83" s="474">
        <f t="shared" si="9"/>
        <v>119</v>
      </c>
      <c r="Z83" s="102"/>
      <c r="AA83" s="474">
        <v>80.0</v>
      </c>
      <c r="AB83" s="474">
        <f t="shared" si="10"/>
        <v>85</v>
      </c>
      <c r="AC83" s="476">
        <f t="shared" si="11"/>
        <v>107</v>
      </c>
      <c r="AD83" s="474">
        <f t="shared" si="12"/>
        <v>133</v>
      </c>
      <c r="AE83" s="474">
        <f t="shared" si="13"/>
        <v>88</v>
      </c>
      <c r="AF83" s="474">
        <f t="shared" si="14"/>
        <v>107</v>
      </c>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464"/>
      <c r="CB83" s="102"/>
      <c r="CC83" s="102"/>
    </row>
    <row r="84">
      <c r="A84" s="102"/>
      <c r="B84" s="102"/>
      <c r="C84" s="467">
        <v>81.0</v>
      </c>
      <c r="D84" s="102"/>
      <c r="E84" s="102"/>
      <c r="F84" s="102"/>
      <c r="G84" s="102"/>
      <c r="H84" s="102"/>
      <c r="I84" s="102"/>
      <c r="J84" s="102"/>
      <c r="K84" s="102"/>
      <c r="L84" s="102"/>
      <c r="M84" s="102"/>
      <c r="N84" s="102"/>
      <c r="O84" s="102"/>
      <c r="P84" s="474">
        <v>81.0</v>
      </c>
      <c r="Q84" s="474">
        <f t="shared" si="1"/>
        <v>121</v>
      </c>
      <c r="R84" s="474">
        <f t="shared" si="2"/>
        <v>159</v>
      </c>
      <c r="S84" s="474">
        <f t="shared" si="3"/>
        <v>143</v>
      </c>
      <c r="T84" s="474">
        <f t="shared" si="4"/>
        <v>162</v>
      </c>
      <c r="U84" s="474">
        <f t="shared" si="5"/>
        <v>106</v>
      </c>
      <c r="V84" s="474">
        <f t="shared" si="6"/>
        <v>82</v>
      </c>
      <c r="W84" s="474">
        <f t="shared" si="7"/>
        <v>162</v>
      </c>
      <c r="X84" s="474">
        <f t="shared" si="8"/>
        <v>243</v>
      </c>
      <c r="Y84" s="474">
        <f t="shared" si="9"/>
        <v>121</v>
      </c>
      <c r="Z84" s="102"/>
      <c r="AA84" s="474">
        <v>81.0</v>
      </c>
      <c r="AB84" s="474">
        <f t="shared" si="10"/>
        <v>86</v>
      </c>
      <c r="AC84" s="476">
        <f t="shared" si="11"/>
        <v>108</v>
      </c>
      <c r="AD84" s="474">
        <f t="shared" si="12"/>
        <v>135</v>
      </c>
      <c r="AE84" s="474">
        <f t="shared" si="13"/>
        <v>90</v>
      </c>
      <c r="AF84" s="474">
        <f t="shared" si="14"/>
        <v>108</v>
      </c>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464"/>
      <c r="CB84" s="102"/>
      <c r="CC84" s="102"/>
    </row>
    <row r="85">
      <c r="A85" s="102"/>
      <c r="B85" s="102"/>
      <c r="C85" s="467">
        <v>82.0</v>
      </c>
      <c r="D85" s="102"/>
      <c r="E85" s="102"/>
      <c r="F85" s="102"/>
      <c r="G85" s="102"/>
      <c r="H85" s="102"/>
      <c r="I85" s="102"/>
      <c r="J85" s="102"/>
      <c r="K85" s="102"/>
      <c r="L85" s="102"/>
      <c r="M85" s="102"/>
      <c r="N85" s="102"/>
      <c r="O85" s="102"/>
      <c r="P85" s="474">
        <v>82.0</v>
      </c>
      <c r="Q85" s="474">
        <f t="shared" si="1"/>
        <v>122</v>
      </c>
      <c r="R85" s="474">
        <f t="shared" si="2"/>
        <v>162</v>
      </c>
      <c r="S85" s="474">
        <f t="shared" si="3"/>
        <v>144</v>
      </c>
      <c r="T85" s="474">
        <f t="shared" si="4"/>
        <v>164</v>
      </c>
      <c r="U85" s="474">
        <f t="shared" si="5"/>
        <v>107</v>
      </c>
      <c r="V85" s="474">
        <f t="shared" si="6"/>
        <v>83</v>
      </c>
      <c r="W85" s="474">
        <f t="shared" si="7"/>
        <v>164</v>
      </c>
      <c r="X85" s="474">
        <f t="shared" si="8"/>
        <v>246</v>
      </c>
      <c r="Y85" s="474">
        <f t="shared" si="9"/>
        <v>122</v>
      </c>
      <c r="Z85" s="102"/>
      <c r="AA85" s="474">
        <v>82.0</v>
      </c>
      <c r="AB85" s="474">
        <f t="shared" si="10"/>
        <v>87</v>
      </c>
      <c r="AC85" s="476">
        <f t="shared" si="11"/>
        <v>109</v>
      </c>
      <c r="AD85" s="474">
        <f t="shared" si="12"/>
        <v>136</v>
      </c>
      <c r="AE85" s="474">
        <f t="shared" si="13"/>
        <v>91</v>
      </c>
      <c r="AF85" s="474">
        <f t="shared" si="14"/>
        <v>109</v>
      </c>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464"/>
      <c r="CB85" s="102"/>
      <c r="CC85" s="102"/>
    </row>
    <row r="86">
      <c r="A86" s="102"/>
      <c r="B86" s="102"/>
      <c r="C86" s="467">
        <v>83.0</v>
      </c>
      <c r="D86" s="102"/>
      <c r="E86" s="102"/>
      <c r="F86" s="102"/>
      <c r="G86" s="102"/>
      <c r="H86" s="102"/>
      <c r="I86" s="102"/>
      <c r="J86" s="102"/>
      <c r="K86" s="102"/>
      <c r="L86" s="102"/>
      <c r="M86" s="102"/>
      <c r="N86" s="102"/>
      <c r="O86" s="102"/>
      <c r="P86" s="474">
        <v>83.0</v>
      </c>
      <c r="Q86" s="474">
        <f t="shared" si="1"/>
        <v>124</v>
      </c>
      <c r="R86" s="474">
        <f t="shared" si="2"/>
        <v>163</v>
      </c>
      <c r="S86" s="474">
        <f t="shared" si="3"/>
        <v>146</v>
      </c>
      <c r="T86" s="474">
        <f t="shared" si="4"/>
        <v>166</v>
      </c>
      <c r="U86" s="474">
        <f t="shared" si="5"/>
        <v>108</v>
      </c>
      <c r="V86" s="474">
        <f t="shared" si="6"/>
        <v>84</v>
      </c>
      <c r="W86" s="474">
        <f t="shared" si="7"/>
        <v>166</v>
      </c>
      <c r="X86" s="474">
        <f t="shared" si="8"/>
        <v>249</v>
      </c>
      <c r="Y86" s="474">
        <f t="shared" si="9"/>
        <v>124</v>
      </c>
      <c r="Z86" s="102"/>
      <c r="AA86" s="474">
        <v>83.0</v>
      </c>
      <c r="AB86" s="474">
        <f t="shared" si="10"/>
        <v>88</v>
      </c>
      <c r="AC86" s="476">
        <f t="shared" si="11"/>
        <v>111</v>
      </c>
      <c r="AD86" s="474">
        <f t="shared" si="12"/>
        <v>138</v>
      </c>
      <c r="AE86" s="474">
        <f t="shared" si="13"/>
        <v>92</v>
      </c>
      <c r="AF86" s="474">
        <f t="shared" si="14"/>
        <v>111</v>
      </c>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464"/>
      <c r="CB86" s="102"/>
      <c r="CC86" s="102"/>
    </row>
    <row r="87">
      <c r="A87" s="102"/>
      <c r="B87" s="102"/>
      <c r="C87" s="467">
        <v>84.0</v>
      </c>
      <c r="D87" s="102"/>
      <c r="E87" s="102"/>
      <c r="F87" s="102"/>
      <c r="G87" s="102"/>
      <c r="H87" s="102"/>
      <c r="I87" s="102"/>
      <c r="J87" s="102"/>
      <c r="K87" s="102"/>
      <c r="L87" s="102"/>
      <c r="M87" s="102"/>
      <c r="N87" s="102"/>
      <c r="O87" s="102"/>
      <c r="P87" s="474">
        <v>84.0</v>
      </c>
      <c r="Q87" s="474">
        <f t="shared" si="1"/>
        <v>125</v>
      </c>
      <c r="R87" s="474">
        <f t="shared" si="2"/>
        <v>166</v>
      </c>
      <c r="S87" s="474">
        <f t="shared" si="3"/>
        <v>147</v>
      </c>
      <c r="T87" s="474">
        <f t="shared" si="4"/>
        <v>168</v>
      </c>
      <c r="U87" s="474">
        <f t="shared" si="5"/>
        <v>110</v>
      </c>
      <c r="V87" s="474">
        <f t="shared" si="6"/>
        <v>85</v>
      </c>
      <c r="W87" s="474">
        <f t="shared" si="7"/>
        <v>168</v>
      </c>
      <c r="X87" s="474">
        <f t="shared" si="8"/>
        <v>252</v>
      </c>
      <c r="Y87" s="474">
        <f t="shared" si="9"/>
        <v>125</v>
      </c>
      <c r="Z87" s="102"/>
      <c r="AA87" s="474">
        <v>84.0</v>
      </c>
      <c r="AB87" s="474">
        <f t="shared" si="10"/>
        <v>89</v>
      </c>
      <c r="AC87" s="476">
        <f t="shared" si="11"/>
        <v>112</v>
      </c>
      <c r="AD87" s="474">
        <f t="shared" si="12"/>
        <v>140</v>
      </c>
      <c r="AE87" s="474">
        <f t="shared" si="13"/>
        <v>93</v>
      </c>
      <c r="AF87" s="474">
        <f t="shared" si="14"/>
        <v>112</v>
      </c>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464"/>
      <c r="CB87" s="102"/>
      <c r="CC87" s="102"/>
    </row>
    <row r="88">
      <c r="A88" s="102"/>
      <c r="B88" s="102"/>
      <c r="C88" s="467">
        <v>85.0</v>
      </c>
      <c r="D88" s="102"/>
      <c r="E88" s="102"/>
      <c r="F88" s="102"/>
      <c r="G88" s="102"/>
      <c r="H88" s="102"/>
      <c r="I88" s="102"/>
      <c r="J88" s="102"/>
      <c r="K88" s="102"/>
      <c r="L88" s="102"/>
      <c r="M88" s="102"/>
      <c r="N88" s="102"/>
      <c r="O88" s="102"/>
      <c r="P88" s="474">
        <v>85.0</v>
      </c>
      <c r="Q88" s="474">
        <f t="shared" si="1"/>
        <v>127</v>
      </c>
      <c r="R88" s="474">
        <f t="shared" si="2"/>
        <v>167</v>
      </c>
      <c r="S88" s="474">
        <f t="shared" si="3"/>
        <v>150</v>
      </c>
      <c r="T88" s="474">
        <f t="shared" si="4"/>
        <v>170</v>
      </c>
      <c r="U88" s="474">
        <f t="shared" si="5"/>
        <v>111</v>
      </c>
      <c r="V88" s="474">
        <f t="shared" si="6"/>
        <v>86</v>
      </c>
      <c r="W88" s="474">
        <f t="shared" si="7"/>
        <v>170</v>
      </c>
      <c r="X88" s="474">
        <f t="shared" si="8"/>
        <v>255</v>
      </c>
      <c r="Y88" s="474">
        <f t="shared" si="9"/>
        <v>127</v>
      </c>
      <c r="Z88" s="102"/>
      <c r="AA88" s="474">
        <v>85.0</v>
      </c>
      <c r="AB88" s="474">
        <f t="shared" si="10"/>
        <v>90</v>
      </c>
      <c r="AC88" s="476">
        <f t="shared" si="11"/>
        <v>113</v>
      </c>
      <c r="AD88" s="474">
        <f t="shared" si="12"/>
        <v>141</v>
      </c>
      <c r="AE88" s="474">
        <f t="shared" si="13"/>
        <v>94</v>
      </c>
      <c r="AF88" s="474">
        <f t="shared" si="14"/>
        <v>113</v>
      </c>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464"/>
      <c r="CB88" s="102"/>
      <c r="CC88" s="102"/>
    </row>
    <row r="89">
      <c r="A89" s="102"/>
      <c r="B89" s="102"/>
      <c r="C89" s="467">
        <v>86.0</v>
      </c>
      <c r="D89" s="102"/>
      <c r="E89" s="102"/>
      <c r="F89" s="102"/>
      <c r="G89" s="102"/>
      <c r="H89" s="102"/>
      <c r="I89" s="102"/>
      <c r="J89" s="102"/>
      <c r="K89" s="102"/>
      <c r="L89" s="102"/>
      <c r="M89" s="102"/>
      <c r="N89" s="102"/>
      <c r="O89" s="102"/>
      <c r="P89" s="474">
        <v>86.0</v>
      </c>
      <c r="Q89" s="474">
        <f t="shared" si="1"/>
        <v>128</v>
      </c>
      <c r="R89" s="474">
        <f t="shared" si="2"/>
        <v>170</v>
      </c>
      <c r="S89" s="474">
        <f t="shared" si="3"/>
        <v>151</v>
      </c>
      <c r="T89" s="474">
        <f t="shared" si="4"/>
        <v>172</v>
      </c>
      <c r="U89" s="474">
        <f t="shared" si="5"/>
        <v>112</v>
      </c>
      <c r="V89" s="474">
        <f t="shared" si="6"/>
        <v>87</v>
      </c>
      <c r="W89" s="474">
        <f t="shared" si="7"/>
        <v>172</v>
      </c>
      <c r="X89" s="474">
        <f t="shared" si="8"/>
        <v>258</v>
      </c>
      <c r="Y89" s="474">
        <f t="shared" si="9"/>
        <v>128</v>
      </c>
      <c r="Z89" s="102"/>
      <c r="AA89" s="474">
        <v>86.0</v>
      </c>
      <c r="AB89" s="474">
        <f t="shared" si="10"/>
        <v>91</v>
      </c>
      <c r="AC89" s="476">
        <f t="shared" si="11"/>
        <v>115</v>
      </c>
      <c r="AD89" s="474">
        <f t="shared" si="12"/>
        <v>143</v>
      </c>
      <c r="AE89" s="474">
        <f t="shared" si="13"/>
        <v>95</v>
      </c>
      <c r="AF89" s="474">
        <f t="shared" si="14"/>
        <v>115</v>
      </c>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464"/>
      <c r="CB89" s="102"/>
      <c r="CC89" s="102"/>
    </row>
    <row r="90">
      <c r="A90" s="102"/>
      <c r="B90" s="102"/>
      <c r="C90" s="467">
        <v>87.0</v>
      </c>
      <c r="D90" s="102"/>
      <c r="E90" s="102"/>
      <c r="F90" s="102"/>
      <c r="G90" s="102"/>
      <c r="H90" s="102"/>
      <c r="I90" s="102"/>
      <c r="J90" s="102"/>
      <c r="K90" s="102"/>
      <c r="L90" s="102"/>
      <c r="M90" s="102"/>
      <c r="N90" s="102"/>
      <c r="O90" s="102"/>
      <c r="P90" s="474">
        <v>87.0</v>
      </c>
      <c r="Q90" s="474">
        <f t="shared" si="1"/>
        <v>130</v>
      </c>
      <c r="R90" s="474">
        <f t="shared" si="2"/>
        <v>171</v>
      </c>
      <c r="S90" s="474">
        <f t="shared" si="3"/>
        <v>153</v>
      </c>
      <c r="T90" s="474">
        <f t="shared" si="4"/>
        <v>174</v>
      </c>
      <c r="U90" s="474">
        <f t="shared" si="5"/>
        <v>114</v>
      </c>
      <c r="V90" s="474">
        <f t="shared" si="6"/>
        <v>88</v>
      </c>
      <c r="W90" s="474">
        <f t="shared" si="7"/>
        <v>174</v>
      </c>
      <c r="X90" s="474">
        <f t="shared" si="8"/>
        <v>261</v>
      </c>
      <c r="Y90" s="474">
        <f t="shared" si="9"/>
        <v>130</v>
      </c>
      <c r="Z90" s="102"/>
      <c r="AA90" s="474">
        <v>87.0</v>
      </c>
      <c r="AB90" s="474">
        <f t="shared" si="10"/>
        <v>92</v>
      </c>
      <c r="AC90" s="476">
        <f t="shared" si="11"/>
        <v>116</v>
      </c>
      <c r="AD90" s="474">
        <f t="shared" si="12"/>
        <v>145</v>
      </c>
      <c r="AE90" s="474">
        <f t="shared" si="13"/>
        <v>96</v>
      </c>
      <c r="AF90" s="474">
        <f t="shared" si="14"/>
        <v>116</v>
      </c>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464"/>
      <c r="CB90" s="102"/>
      <c r="CC90" s="102"/>
    </row>
    <row r="91">
      <c r="A91" s="102"/>
      <c r="B91" s="102"/>
      <c r="C91" s="467">
        <v>88.0</v>
      </c>
      <c r="D91" s="102"/>
      <c r="E91" s="102"/>
      <c r="F91" s="102"/>
      <c r="G91" s="102"/>
      <c r="H91" s="102"/>
      <c r="I91" s="102"/>
      <c r="J91" s="102"/>
      <c r="K91" s="102"/>
      <c r="L91" s="102"/>
      <c r="M91" s="102"/>
      <c r="N91" s="102"/>
      <c r="O91" s="102"/>
      <c r="P91" s="474">
        <v>88.0</v>
      </c>
      <c r="Q91" s="474">
        <f t="shared" si="1"/>
        <v>131</v>
      </c>
      <c r="R91" s="474">
        <f t="shared" si="2"/>
        <v>174</v>
      </c>
      <c r="S91" s="474">
        <f t="shared" si="3"/>
        <v>154</v>
      </c>
      <c r="T91" s="474">
        <f t="shared" si="4"/>
        <v>176</v>
      </c>
      <c r="U91" s="474">
        <f t="shared" si="5"/>
        <v>115</v>
      </c>
      <c r="V91" s="474">
        <f t="shared" si="6"/>
        <v>89</v>
      </c>
      <c r="W91" s="474">
        <f t="shared" si="7"/>
        <v>176</v>
      </c>
      <c r="X91" s="474">
        <f t="shared" si="8"/>
        <v>264</v>
      </c>
      <c r="Y91" s="474">
        <f t="shared" si="9"/>
        <v>131</v>
      </c>
      <c r="Z91" s="102"/>
      <c r="AA91" s="474">
        <v>88.0</v>
      </c>
      <c r="AB91" s="474">
        <f t="shared" si="10"/>
        <v>93</v>
      </c>
      <c r="AC91" s="476">
        <f t="shared" si="11"/>
        <v>117</v>
      </c>
      <c r="AD91" s="474">
        <f t="shared" si="12"/>
        <v>146</v>
      </c>
      <c r="AE91" s="474">
        <f t="shared" si="13"/>
        <v>97</v>
      </c>
      <c r="AF91" s="474">
        <f t="shared" si="14"/>
        <v>117</v>
      </c>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464"/>
      <c r="CB91" s="102"/>
      <c r="CC91" s="102"/>
    </row>
    <row r="92">
      <c r="A92" s="102"/>
      <c r="B92" s="102"/>
      <c r="C92" s="467">
        <v>89.0</v>
      </c>
      <c r="D92" s="102"/>
      <c r="E92" s="102"/>
      <c r="F92" s="102"/>
      <c r="G92" s="102"/>
      <c r="H92" s="102"/>
      <c r="I92" s="102"/>
      <c r="J92" s="102"/>
      <c r="K92" s="102"/>
      <c r="L92" s="102"/>
      <c r="M92" s="102"/>
      <c r="N92" s="102"/>
      <c r="O92" s="102"/>
      <c r="P92" s="474">
        <v>89.0</v>
      </c>
      <c r="Q92" s="474">
        <f t="shared" si="1"/>
        <v>133</v>
      </c>
      <c r="R92" s="474">
        <f t="shared" si="2"/>
        <v>175</v>
      </c>
      <c r="S92" s="474">
        <f t="shared" si="3"/>
        <v>157</v>
      </c>
      <c r="T92" s="474">
        <f t="shared" si="4"/>
        <v>178</v>
      </c>
      <c r="U92" s="474">
        <f t="shared" si="5"/>
        <v>116</v>
      </c>
      <c r="V92" s="474">
        <f t="shared" si="6"/>
        <v>90</v>
      </c>
      <c r="W92" s="474">
        <f t="shared" si="7"/>
        <v>178</v>
      </c>
      <c r="X92" s="474">
        <f t="shared" si="8"/>
        <v>267</v>
      </c>
      <c r="Y92" s="474">
        <f t="shared" si="9"/>
        <v>133</v>
      </c>
      <c r="Z92" s="102"/>
      <c r="AA92" s="474">
        <v>89.0</v>
      </c>
      <c r="AB92" s="474">
        <f t="shared" si="10"/>
        <v>94</v>
      </c>
      <c r="AC92" s="476">
        <f t="shared" si="11"/>
        <v>119</v>
      </c>
      <c r="AD92" s="474">
        <f t="shared" si="12"/>
        <v>148</v>
      </c>
      <c r="AE92" s="474">
        <f t="shared" si="13"/>
        <v>98</v>
      </c>
      <c r="AF92" s="474">
        <f t="shared" si="14"/>
        <v>119</v>
      </c>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464"/>
      <c r="CB92" s="102"/>
      <c r="CC92" s="102"/>
    </row>
    <row r="93">
      <c r="A93" s="102"/>
      <c r="B93" s="102"/>
      <c r="C93" s="467">
        <v>90.0</v>
      </c>
      <c r="D93" s="102"/>
      <c r="E93" s="102"/>
      <c r="F93" s="102"/>
      <c r="G93" s="102"/>
      <c r="H93" s="102"/>
      <c r="I93" s="102"/>
      <c r="J93" s="102"/>
      <c r="K93" s="102"/>
      <c r="L93" s="102"/>
      <c r="M93" s="102"/>
      <c r="N93" s="102"/>
      <c r="O93" s="102"/>
      <c r="P93" s="474">
        <v>90.0</v>
      </c>
      <c r="Q93" s="474">
        <f t="shared" si="1"/>
        <v>134</v>
      </c>
      <c r="R93" s="474">
        <f t="shared" si="2"/>
        <v>178</v>
      </c>
      <c r="S93" s="474">
        <f t="shared" si="3"/>
        <v>158</v>
      </c>
      <c r="T93" s="474">
        <f t="shared" si="4"/>
        <v>180</v>
      </c>
      <c r="U93" s="474">
        <f t="shared" si="5"/>
        <v>117</v>
      </c>
      <c r="V93" s="474">
        <f t="shared" si="6"/>
        <v>91</v>
      </c>
      <c r="W93" s="474">
        <f t="shared" si="7"/>
        <v>180</v>
      </c>
      <c r="X93" s="474">
        <f t="shared" si="8"/>
        <v>270</v>
      </c>
      <c r="Y93" s="474">
        <f t="shared" si="9"/>
        <v>134</v>
      </c>
      <c r="Z93" s="102"/>
      <c r="AA93" s="474">
        <v>90.0</v>
      </c>
      <c r="AB93" s="474">
        <f t="shared" si="10"/>
        <v>95</v>
      </c>
      <c r="AC93" s="476">
        <f t="shared" si="11"/>
        <v>120</v>
      </c>
      <c r="AD93" s="474">
        <f t="shared" si="12"/>
        <v>150</v>
      </c>
      <c r="AE93" s="474">
        <f t="shared" si="13"/>
        <v>99</v>
      </c>
      <c r="AF93" s="474">
        <f t="shared" si="14"/>
        <v>120</v>
      </c>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464"/>
      <c r="CB93" s="102"/>
      <c r="CC93" s="102"/>
    </row>
    <row r="94">
      <c r="A94" s="102"/>
      <c r="B94" s="102"/>
      <c r="C94" s="467">
        <v>91.0</v>
      </c>
      <c r="D94" s="102"/>
      <c r="E94" s="102"/>
      <c r="F94" s="102"/>
      <c r="G94" s="102"/>
      <c r="H94" s="102"/>
      <c r="I94" s="102"/>
      <c r="J94" s="102"/>
      <c r="K94" s="102"/>
      <c r="L94" s="102"/>
      <c r="M94" s="102"/>
      <c r="N94" s="102"/>
      <c r="O94" s="102"/>
      <c r="P94" s="474">
        <v>91.0</v>
      </c>
      <c r="Q94" s="474">
        <f t="shared" si="1"/>
        <v>136</v>
      </c>
      <c r="R94" s="474">
        <f t="shared" si="2"/>
        <v>179</v>
      </c>
      <c r="S94" s="474">
        <f t="shared" si="3"/>
        <v>160</v>
      </c>
      <c r="T94" s="474">
        <f t="shared" si="4"/>
        <v>182</v>
      </c>
      <c r="U94" s="474">
        <f t="shared" si="5"/>
        <v>119</v>
      </c>
      <c r="V94" s="474">
        <f t="shared" si="6"/>
        <v>92</v>
      </c>
      <c r="W94" s="474">
        <f t="shared" si="7"/>
        <v>182</v>
      </c>
      <c r="X94" s="474">
        <f t="shared" si="8"/>
        <v>273</v>
      </c>
      <c r="Y94" s="474">
        <f t="shared" si="9"/>
        <v>136</v>
      </c>
      <c r="Z94" s="102"/>
      <c r="AA94" s="474">
        <v>91.0</v>
      </c>
      <c r="AB94" s="474">
        <f t="shared" si="10"/>
        <v>96</v>
      </c>
      <c r="AC94" s="476">
        <f t="shared" si="11"/>
        <v>121</v>
      </c>
      <c r="AD94" s="474">
        <f t="shared" si="12"/>
        <v>151</v>
      </c>
      <c r="AE94" s="474">
        <f t="shared" si="13"/>
        <v>101</v>
      </c>
      <c r="AF94" s="474">
        <f t="shared" si="14"/>
        <v>121</v>
      </c>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464"/>
      <c r="CB94" s="102"/>
      <c r="CC94" s="102"/>
    </row>
    <row r="95">
      <c r="A95" s="102"/>
      <c r="B95" s="102"/>
      <c r="C95" s="467">
        <v>92.0</v>
      </c>
      <c r="D95" s="102"/>
      <c r="E95" s="102"/>
      <c r="F95" s="102"/>
      <c r="G95" s="102"/>
      <c r="H95" s="102"/>
      <c r="I95" s="102"/>
      <c r="J95" s="102"/>
      <c r="K95" s="102"/>
      <c r="L95" s="102"/>
      <c r="M95" s="102"/>
      <c r="N95" s="102"/>
      <c r="O95" s="102"/>
      <c r="P95" s="474">
        <v>92.0</v>
      </c>
      <c r="Q95" s="474">
        <f t="shared" si="1"/>
        <v>137</v>
      </c>
      <c r="R95" s="474">
        <f t="shared" si="2"/>
        <v>182</v>
      </c>
      <c r="S95" s="474">
        <f t="shared" si="3"/>
        <v>161</v>
      </c>
      <c r="T95" s="474">
        <f t="shared" si="4"/>
        <v>184</v>
      </c>
      <c r="U95" s="474">
        <f t="shared" si="5"/>
        <v>120</v>
      </c>
      <c r="V95" s="474">
        <f t="shared" si="6"/>
        <v>93</v>
      </c>
      <c r="W95" s="474">
        <f t="shared" si="7"/>
        <v>184</v>
      </c>
      <c r="X95" s="474">
        <f t="shared" si="8"/>
        <v>276</v>
      </c>
      <c r="Y95" s="474">
        <f t="shared" si="9"/>
        <v>137</v>
      </c>
      <c r="Z95" s="102"/>
      <c r="AA95" s="474">
        <v>92.0</v>
      </c>
      <c r="AB95" s="474">
        <f t="shared" si="10"/>
        <v>97</v>
      </c>
      <c r="AC95" s="476">
        <f t="shared" si="11"/>
        <v>123</v>
      </c>
      <c r="AD95" s="474">
        <f t="shared" si="12"/>
        <v>153</v>
      </c>
      <c r="AE95" s="474">
        <f t="shared" si="13"/>
        <v>102</v>
      </c>
      <c r="AF95" s="474">
        <f t="shared" si="14"/>
        <v>123</v>
      </c>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c r="BZ95" s="102"/>
      <c r="CA95" s="464"/>
      <c r="CB95" s="102"/>
      <c r="CC95" s="102"/>
    </row>
    <row r="96">
      <c r="A96" s="102"/>
      <c r="B96" s="102"/>
      <c r="C96" s="467">
        <v>93.0</v>
      </c>
      <c r="D96" s="102"/>
      <c r="E96" s="102"/>
      <c r="F96" s="102"/>
      <c r="G96" s="102"/>
      <c r="H96" s="102"/>
      <c r="I96" s="102"/>
      <c r="J96" s="102"/>
      <c r="K96" s="102"/>
      <c r="L96" s="102"/>
      <c r="M96" s="102"/>
      <c r="N96" s="102"/>
      <c r="O96" s="102"/>
      <c r="P96" s="474">
        <v>93.0</v>
      </c>
      <c r="Q96" s="474">
        <f t="shared" si="1"/>
        <v>139</v>
      </c>
      <c r="R96" s="474">
        <f t="shared" si="2"/>
        <v>183</v>
      </c>
      <c r="S96" s="474">
        <f t="shared" si="3"/>
        <v>164</v>
      </c>
      <c r="T96" s="474">
        <f t="shared" si="4"/>
        <v>186</v>
      </c>
      <c r="U96" s="474">
        <f t="shared" si="5"/>
        <v>121</v>
      </c>
      <c r="V96" s="474">
        <f t="shared" si="6"/>
        <v>94</v>
      </c>
      <c r="W96" s="474">
        <f t="shared" si="7"/>
        <v>186</v>
      </c>
      <c r="X96" s="474">
        <f t="shared" si="8"/>
        <v>279</v>
      </c>
      <c r="Y96" s="474">
        <f t="shared" si="9"/>
        <v>139</v>
      </c>
      <c r="Z96" s="102"/>
      <c r="AA96" s="474">
        <v>93.0</v>
      </c>
      <c r="AB96" s="474">
        <f t="shared" si="10"/>
        <v>98</v>
      </c>
      <c r="AC96" s="476">
        <f t="shared" si="11"/>
        <v>124</v>
      </c>
      <c r="AD96" s="474">
        <f t="shared" si="12"/>
        <v>155</v>
      </c>
      <c r="AE96" s="474">
        <f t="shared" si="13"/>
        <v>103</v>
      </c>
      <c r="AF96" s="474">
        <f t="shared" si="14"/>
        <v>124</v>
      </c>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464"/>
      <c r="CB96" s="102"/>
      <c r="CC96" s="102"/>
    </row>
    <row r="97">
      <c r="A97" s="102"/>
      <c r="B97" s="102"/>
      <c r="C97" s="467">
        <v>94.0</v>
      </c>
      <c r="D97" s="102"/>
      <c r="E97" s="102"/>
      <c r="F97" s="102"/>
      <c r="G97" s="102"/>
      <c r="H97" s="102"/>
      <c r="I97" s="102"/>
      <c r="J97" s="102"/>
      <c r="K97" s="102"/>
      <c r="L97" s="102"/>
      <c r="M97" s="102"/>
      <c r="N97" s="102"/>
      <c r="O97" s="102"/>
      <c r="P97" s="474">
        <v>94.0</v>
      </c>
      <c r="Q97" s="474">
        <f t="shared" si="1"/>
        <v>140</v>
      </c>
      <c r="R97" s="474">
        <f t="shared" si="2"/>
        <v>186</v>
      </c>
      <c r="S97" s="474">
        <f t="shared" si="3"/>
        <v>165</v>
      </c>
      <c r="T97" s="474">
        <f t="shared" si="4"/>
        <v>188</v>
      </c>
      <c r="U97" s="474">
        <f t="shared" si="5"/>
        <v>123</v>
      </c>
      <c r="V97" s="474">
        <f t="shared" si="6"/>
        <v>95</v>
      </c>
      <c r="W97" s="474">
        <f t="shared" si="7"/>
        <v>188</v>
      </c>
      <c r="X97" s="474">
        <f t="shared" si="8"/>
        <v>282</v>
      </c>
      <c r="Y97" s="474">
        <f t="shared" si="9"/>
        <v>140</v>
      </c>
      <c r="Z97" s="102"/>
      <c r="AA97" s="474">
        <v>94.0</v>
      </c>
      <c r="AB97" s="474">
        <f t="shared" si="10"/>
        <v>99</v>
      </c>
      <c r="AC97" s="476">
        <f t="shared" si="11"/>
        <v>125</v>
      </c>
      <c r="AD97" s="474">
        <f t="shared" si="12"/>
        <v>156</v>
      </c>
      <c r="AE97" s="474">
        <f t="shared" si="13"/>
        <v>104</v>
      </c>
      <c r="AF97" s="474">
        <f t="shared" si="14"/>
        <v>125</v>
      </c>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464"/>
      <c r="CB97" s="102"/>
      <c r="CC97" s="102"/>
    </row>
    <row r="98">
      <c r="A98" s="102"/>
      <c r="B98" s="102"/>
      <c r="C98" s="467">
        <v>95.0</v>
      </c>
      <c r="D98" s="102"/>
      <c r="E98" s="102"/>
      <c r="F98" s="102"/>
      <c r="G98" s="102"/>
      <c r="H98" s="102"/>
      <c r="I98" s="102"/>
      <c r="J98" s="102"/>
      <c r="K98" s="102"/>
      <c r="L98" s="102"/>
      <c r="M98" s="102"/>
      <c r="N98" s="102"/>
      <c r="O98" s="102"/>
      <c r="P98" s="474">
        <v>95.0</v>
      </c>
      <c r="Q98" s="474">
        <f t="shared" si="1"/>
        <v>142</v>
      </c>
      <c r="R98" s="474">
        <f t="shared" si="2"/>
        <v>187</v>
      </c>
      <c r="S98" s="474">
        <f t="shared" si="3"/>
        <v>167</v>
      </c>
      <c r="T98" s="474">
        <f t="shared" si="4"/>
        <v>190</v>
      </c>
      <c r="U98" s="474">
        <f t="shared" si="5"/>
        <v>124</v>
      </c>
      <c r="V98" s="474">
        <f t="shared" si="6"/>
        <v>96</v>
      </c>
      <c r="W98" s="474">
        <f t="shared" si="7"/>
        <v>190</v>
      </c>
      <c r="X98" s="474">
        <f t="shared" si="8"/>
        <v>285</v>
      </c>
      <c r="Y98" s="474">
        <f t="shared" si="9"/>
        <v>142</v>
      </c>
      <c r="Z98" s="102"/>
      <c r="AA98" s="474">
        <v>95.0</v>
      </c>
      <c r="AB98" s="474">
        <f t="shared" si="10"/>
        <v>100</v>
      </c>
      <c r="AC98" s="476">
        <f t="shared" si="11"/>
        <v>127</v>
      </c>
      <c r="AD98" s="474">
        <f t="shared" si="12"/>
        <v>158</v>
      </c>
      <c r="AE98" s="474">
        <f t="shared" si="13"/>
        <v>105</v>
      </c>
      <c r="AF98" s="474">
        <f t="shared" si="14"/>
        <v>127</v>
      </c>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464"/>
      <c r="CB98" s="102"/>
      <c r="CC98" s="102"/>
    </row>
    <row r="99">
      <c r="A99" s="102"/>
      <c r="B99" s="102"/>
      <c r="C99" s="467">
        <v>96.0</v>
      </c>
      <c r="D99" s="102"/>
      <c r="E99" s="102"/>
      <c r="F99" s="102"/>
      <c r="G99" s="102"/>
      <c r="H99" s="102"/>
      <c r="I99" s="102"/>
      <c r="J99" s="102"/>
      <c r="K99" s="102"/>
      <c r="L99" s="102"/>
      <c r="M99" s="102"/>
      <c r="N99" s="102"/>
      <c r="O99" s="102"/>
      <c r="P99" s="474">
        <v>96.0</v>
      </c>
      <c r="Q99" s="474">
        <f t="shared" si="1"/>
        <v>143</v>
      </c>
      <c r="R99" s="474">
        <f t="shared" si="2"/>
        <v>190</v>
      </c>
      <c r="S99" s="474">
        <f t="shared" si="3"/>
        <v>168</v>
      </c>
      <c r="T99" s="474">
        <f t="shared" si="4"/>
        <v>192</v>
      </c>
      <c r="U99" s="474">
        <f t="shared" si="5"/>
        <v>125</v>
      </c>
      <c r="V99" s="474">
        <f t="shared" si="6"/>
        <v>97</v>
      </c>
      <c r="W99" s="474">
        <f t="shared" si="7"/>
        <v>192</v>
      </c>
      <c r="X99" s="474">
        <f t="shared" si="8"/>
        <v>288</v>
      </c>
      <c r="Y99" s="474">
        <f t="shared" si="9"/>
        <v>143</v>
      </c>
      <c r="Z99" s="102"/>
      <c r="AA99" s="474">
        <v>96.0</v>
      </c>
      <c r="AB99" s="474">
        <f t="shared" si="10"/>
        <v>101</v>
      </c>
      <c r="AC99" s="476">
        <f t="shared" si="11"/>
        <v>128</v>
      </c>
      <c r="AD99" s="474">
        <f t="shared" si="12"/>
        <v>160</v>
      </c>
      <c r="AE99" s="474">
        <f t="shared" si="13"/>
        <v>106</v>
      </c>
      <c r="AF99" s="474">
        <f t="shared" si="14"/>
        <v>128</v>
      </c>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464"/>
      <c r="CB99" s="102"/>
      <c r="CC99" s="102"/>
    </row>
    <row r="100">
      <c r="A100" s="102"/>
      <c r="B100" s="102"/>
      <c r="C100" s="467">
        <v>97.0</v>
      </c>
      <c r="D100" s="102"/>
      <c r="E100" s="102"/>
      <c r="F100" s="102"/>
      <c r="G100" s="102"/>
      <c r="H100" s="102"/>
      <c r="I100" s="102"/>
      <c r="J100" s="102"/>
      <c r="K100" s="102"/>
      <c r="L100" s="102"/>
      <c r="M100" s="102"/>
      <c r="N100" s="102"/>
      <c r="O100" s="102"/>
      <c r="P100" s="474">
        <v>97.0</v>
      </c>
      <c r="Q100" s="474">
        <f t="shared" si="1"/>
        <v>145</v>
      </c>
      <c r="R100" s="474">
        <f t="shared" si="2"/>
        <v>191</v>
      </c>
      <c r="S100" s="474">
        <f t="shared" si="3"/>
        <v>171</v>
      </c>
      <c r="T100" s="474">
        <f t="shared" si="4"/>
        <v>194</v>
      </c>
      <c r="U100" s="474">
        <f t="shared" si="5"/>
        <v>127</v>
      </c>
      <c r="V100" s="474">
        <f t="shared" si="6"/>
        <v>98</v>
      </c>
      <c r="W100" s="474">
        <f t="shared" si="7"/>
        <v>194</v>
      </c>
      <c r="X100" s="474">
        <f t="shared" si="8"/>
        <v>291</v>
      </c>
      <c r="Y100" s="474">
        <f t="shared" si="9"/>
        <v>145</v>
      </c>
      <c r="Z100" s="102"/>
      <c r="AA100" s="474">
        <v>97.0</v>
      </c>
      <c r="AB100" s="474">
        <f t="shared" si="10"/>
        <v>102</v>
      </c>
      <c r="AC100" s="476">
        <f t="shared" si="11"/>
        <v>129</v>
      </c>
      <c r="AD100" s="474">
        <f t="shared" si="12"/>
        <v>161</v>
      </c>
      <c r="AE100" s="474">
        <f t="shared" si="13"/>
        <v>107</v>
      </c>
      <c r="AF100" s="474">
        <f t="shared" si="14"/>
        <v>129</v>
      </c>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464"/>
      <c r="CB100" s="102"/>
      <c r="CC100" s="102"/>
    </row>
    <row r="101">
      <c r="A101" s="102"/>
      <c r="B101" s="102"/>
      <c r="C101" s="467">
        <v>98.0</v>
      </c>
      <c r="D101" s="102"/>
      <c r="E101" s="102"/>
      <c r="F101" s="102"/>
      <c r="G101" s="102"/>
      <c r="H101" s="102"/>
      <c r="I101" s="102"/>
      <c r="J101" s="102"/>
      <c r="K101" s="102"/>
      <c r="L101" s="102"/>
      <c r="M101" s="102"/>
      <c r="N101" s="102"/>
      <c r="O101" s="102"/>
      <c r="P101" s="474">
        <v>98.0</v>
      </c>
      <c r="Q101" s="474">
        <f t="shared" si="1"/>
        <v>146</v>
      </c>
      <c r="R101" s="474">
        <f t="shared" si="2"/>
        <v>194</v>
      </c>
      <c r="S101" s="474">
        <f t="shared" si="3"/>
        <v>172</v>
      </c>
      <c r="T101" s="474">
        <f t="shared" si="4"/>
        <v>196</v>
      </c>
      <c r="U101" s="474">
        <f t="shared" si="5"/>
        <v>128</v>
      </c>
      <c r="V101" s="474">
        <f t="shared" si="6"/>
        <v>99</v>
      </c>
      <c r="W101" s="474">
        <f t="shared" si="7"/>
        <v>196</v>
      </c>
      <c r="X101" s="474">
        <f t="shared" si="8"/>
        <v>294</v>
      </c>
      <c r="Y101" s="474">
        <f t="shared" si="9"/>
        <v>146</v>
      </c>
      <c r="Z101" s="102"/>
      <c r="AA101" s="474">
        <v>98.0</v>
      </c>
      <c r="AB101" s="474">
        <f t="shared" si="10"/>
        <v>103</v>
      </c>
      <c r="AC101" s="476">
        <f t="shared" si="11"/>
        <v>131</v>
      </c>
      <c r="AD101" s="474">
        <f t="shared" si="12"/>
        <v>163</v>
      </c>
      <c r="AE101" s="474">
        <f t="shared" si="13"/>
        <v>108</v>
      </c>
      <c r="AF101" s="474">
        <f t="shared" si="14"/>
        <v>131</v>
      </c>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464"/>
      <c r="CB101" s="102"/>
      <c r="CC101" s="102"/>
    </row>
    <row r="102">
      <c r="A102" s="102"/>
      <c r="B102" s="102"/>
      <c r="C102" s="467">
        <v>99.0</v>
      </c>
      <c r="D102" s="102"/>
      <c r="E102" s="102"/>
      <c r="F102" s="102"/>
      <c r="G102" s="102"/>
      <c r="H102" s="102"/>
      <c r="I102" s="102"/>
      <c r="J102" s="102"/>
      <c r="K102" s="102"/>
      <c r="L102" s="102"/>
      <c r="M102" s="102"/>
      <c r="N102" s="102"/>
      <c r="O102" s="102"/>
      <c r="P102" s="474">
        <v>99.0</v>
      </c>
      <c r="Q102" s="474">
        <f t="shared" si="1"/>
        <v>148</v>
      </c>
      <c r="R102" s="474">
        <f t="shared" si="2"/>
        <v>195</v>
      </c>
      <c r="S102" s="474">
        <f t="shared" si="3"/>
        <v>174</v>
      </c>
      <c r="T102" s="474">
        <f t="shared" si="4"/>
        <v>198</v>
      </c>
      <c r="U102" s="474">
        <f t="shared" si="5"/>
        <v>129</v>
      </c>
      <c r="V102" s="474">
        <f t="shared" si="6"/>
        <v>100</v>
      </c>
      <c r="W102" s="474">
        <f t="shared" si="7"/>
        <v>198</v>
      </c>
      <c r="X102" s="474">
        <f t="shared" si="8"/>
        <v>297</v>
      </c>
      <c r="Y102" s="474">
        <f t="shared" si="9"/>
        <v>148</v>
      </c>
      <c r="Z102" s="102"/>
      <c r="AA102" s="474">
        <v>99.0</v>
      </c>
      <c r="AB102" s="474">
        <f t="shared" si="10"/>
        <v>104</v>
      </c>
      <c r="AC102" s="476">
        <f t="shared" si="11"/>
        <v>132</v>
      </c>
      <c r="AD102" s="474">
        <f t="shared" si="12"/>
        <v>165</v>
      </c>
      <c r="AE102" s="474">
        <f t="shared" si="13"/>
        <v>109</v>
      </c>
      <c r="AF102" s="474">
        <f t="shared" si="14"/>
        <v>132</v>
      </c>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464"/>
      <c r="CB102" s="102"/>
      <c r="CC102" s="102"/>
    </row>
    <row r="103">
      <c r="A103" s="102"/>
      <c r="B103" s="102"/>
      <c r="C103" s="467">
        <v>100.0</v>
      </c>
      <c r="D103" s="102"/>
      <c r="E103" s="102"/>
      <c r="F103" s="102"/>
      <c r="G103" s="102"/>
      <c r="H103" s="102"/>
      <c r="I103" s="102"/>
      <c r="J103" s="102"/>
      <c r="K103" s="102"/>
      <c r="L103" s="102"/>
      <c r="M103" s="102"/>
      <c r="N103" s="102"/>
      <c r="O103" s="102"/>
      <c r="P103" s="474">
        <v>100.0</v>
      </c>
      <c r="Q103" s="474">
        <f t="shared" si="1"/>
        <v>149</v>
      </c>
      <c r="R103" s="474">
        <f t="shared" si="2"/>
        <v>198</v>
      </c>
      <c r="S103" s="474">
        <f t="shared" si="3"/>
        <v>175</v>
      </c>
      <c r="T103" s="474">
        <f t="shared" si="4"/>
        <v>200</v>
      </c>
      <c r="U103" s="474">
        <f t="shared" si="5"/>
        <v>130</v>
      </c>
      <c r="V103" s="474">
        <f t="shared" si="6"/>
        <v>101</v>
      </c>
      <c r="W103" s="474">
        <f t="shared" si="7"/>
        <v>200</v>
      </c>
      <c r="X103" s="474">
        <f t="shared" si="8"/>
        <v>300</v>
      </c>
      <c r="Y103" s="474">
        <f t="shared" si="9"/>
        <v>149</v>
      </c>
      <c r="Z103" s="102"/>
      <c r="AA103" s="474">
        <v>100.0</v>
      </c>
      <c r="AB103" s="474">
        <f t="shared" si="10"/>
        <v>105</v>
      </c>
      <c r="AC103" s="476">
        <f t="shared" si="11"/>
        <v>134</v>
      </c>
      <c r="AD103" s="474">
        <f t="shared" si="12"/>
        <v>167</v>
      </c>
      <c r="AE103" s="474">
        <f t="shared" si="13"/>
        <v>110</v>
      </c>
      <c r="AF103" s="474">
        <f t="shared" si="14"/>
        <v>134</v>
      </c>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464"/>
      <c r="CB103" s="102"/>
      <c r="CC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474">
        <v>101.0</v>
      </c>
      <c r="AB104" s="474">
        <f t="shared" si="10"/>
        <v>106</v>
      </c>
      <c r="AC104" s="476">
        <f t="shared" si="11"/>
        <v>135</v>
      </c>
      <c r="AD104" s="474">
        <f t="shared" si="12"/>
        <v>168</v>
      </c>
      <c r="AE104" s="474">
        <f t="shared" si="13"/>
        <v>112</v>
      </c>
      <c r="AF104" s="474">
        <f t="shared" si="14"/>
        <v>135</v>
      </c>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2"/>
      <c r="BU104" s="102"/>
      <c r="BV104" s="102"/>
      <c r="BW104" s="102"/>
      <c r="BX104" s="102"/>
      <c r="BY104" s="102"/>
      <c r="BZ104" s="102"/>
      <c r="CA104" s="464"/>
      <c r="CB104" s="102"/>
      <c r="CC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474">
        <v>102.0</v>
      </c>
      <c r="AB105" s="474">
        <f t="shared" si="10"/>
        <v>107</v>
      </c>
      <c r="AC105" s="476">
        <f t="shared" si="11"/>
        <v>136</v>
      </c>
      <c r="AD105" s="474">
        <f t="shared" si="12"/>
        <v>170</v>
      </c>
      <c r="AE105" s="474">
        <f t="shared" si="13"/>
        <v>113</v>
      </c>
      <c r="AF105" s="474">
        <f t="shared" si="14"/>
        <v>136</v>
      </c>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464"/>
      <c r="CB105" s="102"/>
      <c r="CC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474">
        <v>103.0</v>
      </c>
      <c r="AB106" s="474">
        <f t="shared" si="10"/>
        <v>108</v>
      </c>
      <c r="AC106" s="476">
        <f t="shared" si="11"/>
        <v>138</v>
      </c>
      <c r="AD106" s="474">
        <f t="shared" si="12"/>
        <v>172</v>
      </c>
      <c r="AE106" s="474">
        <f t="shared" si="13"/>
        <v>114</v>
      </c>
      <c r="AF106" s="474">
        <f t="shared" si="14"/>
        <v>138</v>
      </c>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464"/>
      <c r="CB106" s="102"/>
      <c r="CC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474">
        <v>104.0</v>
      </c>
      <c r="AB107" s="474">
        <f t="shared" si="10"/>
        <v>109</v>
      </c>
      <c r="AC107" s="476">
        <f t="shared" si="11"/>
        <v>139</v>
      </c>
      <c r="AD107" s="474">
        <f t="shared" si="12"/>
        <v>173</v>
      </c>
      <c r="AE107" s="474">
        <f t="shared" si="13"/>
        <v>115</v>
      </c>
      <c r="AF107" s="474">
        <f t="shared" si="14"/>
        <v>139</v>
      </c>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464"/>
      <c r="CB107" s="102"/>
      <c r="CC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474">
        <v>105.0</v>
      </c>
      <c r="AB108" s="474">
        <f t="shared" si="10"/>
        <v>110</v>
      </c>
      <c r="AC108" s="476">
        <f t="shared" si="11"/>
        <v>140</v>
      </c>
      <c r="AD108" s="474">
        <f t="shared" si="12"/>
        <v>175</v>
      </c>
      <c r="AE108" s="474">
        <f t="shared" si="13"/>
        <v>116</v>
      </c>
      <c r="AF108" s="474">
        <f t="shared" si="14"/>
        <v>140</v>
      </c>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464"/>
      <c r="CB108" s="102"/>
      <c r="CC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474">
        <v>106.0</v>
      </c>
      <c r="AB109" s="474">
        <f t="shared" si="10"/>
        <v>111</v>
      </c>
      <c r="AC109" s="476">
        <f t="shared" si="11"/>
        <v>142</v>
      </c>
      <c r="AD109" s="474">
        <f t="shared" si="12"/>
        <v>177</v>
      </c>
      <c r="AE109" s="474">
        <f t="shared" si="13"/>
        <v>117</v>
      </c>
      <c r="AF109" s="474">
        <f t="shared" si="14"/>
        <v>142</v>
      </c>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464"/>
      <c r="CB109" s="102"/>
      <c r="CC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474">
        <v>107.0</v>
      </c>
      <c r="AB110" s="474">
        <f t="shared" si="10"/>
        <v>112</v>
      </c>
      <c r="AC110" s="476">
        <f t="shared" si="11"/>
        <v>143</v>
      </c>
      <c r="AD110" s="474">
        <f t="shared" si="12"/>
        <v>178</v>
      </c>
      <c r="AE110" s="474">
        <f t="shared" si="13"/>
        <v>118</v>
      </c>
      <c r="AF110" s="474">
        <f t="shared" si="14"/>
        <v>143</v>
      </c>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464"/>
      <c r="CB110" s="102"/>
      <c r="CC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474">
        <v>108.0</v>
      </c>
      <c r="AB111" s="474">
        <f t="shared" si="10"/>
        <v>113</v>
      </c>
      <c r="AC111" s="476">
        <f t="shared" si="11"/>
        <v>144</v>
      </c>
      <c r="AD111" s="474">
        <f t="shared" si="12"/>
        <v>180</v>
      </c>
      <c r="AE111" s="474">
        <f t="shared" si="13"/>
        <v>119</v>
      </c>
      <c r="AF111" s="474">
        <f t="shared" si="14"/>
        <v>144</v>
      </c>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464"/>
      <c r="CB111" s="102"/>
      <c r="CC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474">
        <v>109.0</v>
      </c>
      <c r="AB112" s="474">
        <f t="shared" si="10"/>
        <v>114</v>
      </c>
      <c r="AC112" s="476">
        <f t="shared" si="11"/>
        <v>146</v>
      </c>
      <c r="AD112" s="474">
        <f t="shared" si="12"/>
        <v>182</v>
      </c>
      <c r="AE112" s="474">
        <f t="shared" si="13"/>
        <v>120</v>
      </c>
      <c r="AF112" s="474">
        <f t="shared" si="14"/>
        <v>146</v>
      </c>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464"/>
      <c r="CB112" s="102"/>
      <c r="CC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474">
        <v>110.0</v>
      </c>
      <c r="AB113" s="474">
        <f t="shared" si="10"/>
        <v>115</v>
      </c>
      <c r="AC113" s="476">
        <f t="shared" si="11"/>
        <v>147</v>
      </c>
      <c r="AD113" s="474">
        <f t="shared" si="12"/>
        <v>183</v>
      </c>
      <c r="AE113" s="474">
        <f t="shared" si="13"/>
        <v>121</v>
      </c>
      <c r="AF113" s="474">
        <f t="shared" si="14"/>
        <v>147</v>
      </c>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464"/>
      <c r="CB113" s="102"/>
      <c r="CC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474">
        <v>111.0</v>
      </c>
      <c r="AB114" s="474">
        <f t="shared" si="10"/>
        <v>116</v>
      </c>
      <c r="AC114" s="476">
        <f t="shared" si="11"/>
        <v>148</v>
      </c>
      <c r="AD114" s="474">
        <f t="shared" si="12"/>
        <v>185</v>
      </c>
      <c r="AE114" s="474">
        <f t="shared" si="13"/>
        <v>123</v>
      </c>
      <c r="AF114" s="474">
        <f t="shared" si="14"/>
        <v>148</v>
      </c>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464"/>
      <c r="CB114" s="102"/>
      <c r="CC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474">
        <v>112.0</v>
      </c>
      <c r="AB115" s="474">
        <f t="shared" si="10"/>
        <v>117</v>
      </c>
      <c r="AC115" s="476">
        <f t="shared" si="11"/>
        <v>150</v>
      </c>
      <c r="AD115" s="474">
        <f t="shared" si="12"/>
        <v>187</v>
      </c>
      <c r="AE115" s="474">
        <f t="shared" si="13"/>
        <v>124</v>
      </c>
      <c r="AF115" s="474">
        <f t="shared" si="14"/>
        <v>150</v>
      </c>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464"/>
      <c r="CB115" s="102"/>
      <c r="CC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474">
        <v>113.0</v>
      </c>
      <c r="AB116" s="474">
        <f t="shared" si="10"/>
        <v>118</v>
      </c>
      <c r="AC116" s="476">
        <f t="shared" si="11"/>
        <v>151</v>
      </c>
      <c r="AD116" s="474">
        <f t="shared" si="12"/>
        <v>188</v>
      </c>
      <c r="AE116" s="474">
        <f t="shared" si="13"/>
        <v>125</v>
      </c>
      <c r="AF116" s="474">
        <f t="shared" si="14"/>
        <v>151</v>
      </c>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464"/>
      <c r="CB116" s="102"/>
      <c r="CC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474">
        <v>114.0</v>
      </c>
      <c r="AB117" s="474">
        <f t="shared" si="10"/>
        <v>119</v>
      </c>
      <c r="AC117" s="476">
        <f t="shared" si="11"/>
        <v>152</v>
      </c>
      <c r="AD117" s="474">
        <f t="shared" si="12"/>
        <v>190</v>
      </c>
      <c r="AE117" s="474">
        <f t="shared" si="13"/>
        <v>126</v>
      </c>
      <c r="AF117" s="474">
        <f t="shared" si="14"/>
        <v>152</v>
      </c>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464"/>
      <c r="CB117" s="102"/>
      <c r="CC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474">
        <v>115.0</v>
      </c>
      <c r="AB118" s="474">
        <f t="shared" si="10"/>
        <v>120</v>
      </c>
      <c r="AC118" s="476">
        <f t="shared" si="11"/>
        <v>154</v>
      </c>
      <c r="AD118" s="474">
        <f t="shared" si="12"/>
        <v>192</v>
      </c>
      <c r="AE118" s="474">
        <f t="shared" si="13"/>
        <v>127</v>
      </c>
      <c r="AF118" s="474">
        <f t="shared" si="14"/>
        <v>154</v>
      </c>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464"/>
      <c r="CB118" s="102"/>
      <c r="CC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474">
        <v>116.0</v>
      </c>
      <c r="AB119" s="474">
        <f t="shared" si="10"/>
        <v>121</v>
      </c>
      <c r="AC119" s="476">
        <f t="shared" si="11"/>
        <v>155</v>
      </c>
      <c r="AD119" s="474">
        <f t="shared" si="12"/>
        <v>193</v>
      </c>
      <c r="AE119" s="474">
        <f t="shared" si="13"/>
        <v>128</v>
      </c>
      <c r="AF119" s="474">
        <f t="shared" si="14"/>
        <v>155</v>
      </c>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464"/>
      <c r="CB119" s="102"/>
      <c r="CC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474">
        <v>117.0</v>
      </c>
      <c r="AB120" s="474">
        <f t="shared" si="10"/>
        <v>122</v>
      </c>
      <c r="AC120" s="476">
        <f t="shared" si="11"/>
        <v>156</v>
      </c>
      <c r="AD120" s="474">
        <f t="shared" si="12"/>
        <v>195</v>
      </c>
      <c r="AE120" s="474">
        <f t="shared" si="13"/>
        <v>129</v>
      </c>
      <c r="AF120" s="474">
        <f t="shared" si="14"/>
        <v>156</v>
      </c>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464"/>
      <c r="CB120" s="102"/>
      <c r="CC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474">
        <v>118.0</v>
      </c>
      <c r="AB121" s="474">
        <f t="shared" si="10"/>
        <v>123</v>
      </c>
      <c r="AC121" s="476">
        <f t="shared" si="11"/>
        <v>158</v>
      </c>
      <c r="AD121" s="474">
        <f t="shared" si="12"/>
        <v>197</v>
      </c>
      <c r="AE121" s="474">
        <f t="shared" si="13"/>
        <v>130</v>
      </c>
      <c r="AF121" s="474">
        <f t="shared" si="14"/>
        <v>158</v>
      </c>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464"/>
      <c r="CB121" s="102"/>
      <c r="CC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474">
        <v>119.0</v>
      </c>
      <c r="AB122" s="474">
        <f t="shared" si="10"/>
        <v>124</v>
      </c>
      <c r="AC122" s="476">
        <f t="shared" si="11"/>
        <v>159</v>
      </c>
      <c r="AD122" s="474">
        <f t="shared" si="12"/>
        <v>198</v>
      </c>
      <c r="AE122" s="474">
        <f t="shared" si="13"/>
        <v>131</v>
      </c>
      <c r="AF122" s="474">
        <f t="shared" si="14"/>
        <v>159</v>
      </c>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464"/>
      <c r="CB122" s="102"/>
      <c r="CC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474">
        <v>120.0</v>
      </c>
      <c r="AB123" s="474">
        <f t="shared" si="10"/>
        <v>125</v>
      </c>
      <c r="AC123" s="476">
        <f t="shared" si="11"/>
        <v>160</v>
      </c>
      <c r="AD123" s="474">
        <f t="shared" si="12"/>
        <v>200</v>
      </c>
      <c r="AE123" s="474">
        <f t="shared" si="13"/>
        <v>132</v>
      </c>
      <c r="AF123" s="474">
        <f t="shared" si="14"/>
        <v>160</v>
      </c>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464"/>
      <c r="CB123" s="102"/>
      <c r="CC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474">
        <v>121.0</v>
      </c>
      <c r="AB124" s="474">
        <f t="shared" si="10"/>
        <v>126</v>
      </c>
      <c r="AC124" s="476">
        <f t="shared" si="11"/>
        <v>162</v>
      </c>
      <c r="AD124" s="474">
        <f t="shared" si="12"/>
        <v>202</v>
      </c>
      <c r="AE124" s="474">
        <f t="shared" si="13"/>
        <v>134</v>
      </c>
      <c r="AF124" s="474">
        <f t="shared" si="14"/>
        <v>162</v>
      </c>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464"/>
      <c r="CB124" s="102"/>
      <c r="CC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474">
        <v>122.0</v>
      </c>
      <c r="AB125" s="474">
        <f t="shared" si="10"/>
        <v>127</v>
      </c>
      <c r="AC125" s="476">
        <f t="shared" si="11"/>
        <v>163</v>
      </c>
      <c r="AD125" s="474">
        <f t="shared" si="12"/>
        <v>203</v>
      </c>
      <c r="AE125" s="474">
        <f t="shared" si="13"/>
        <v>135</v>
      </c>
      <c r="AF125" s="474">
        <f t="shared" si="14"/>
        <v>163</v>
      </c>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464"/>
      <c r="CB125" s="102"/>
      <c r="CC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474">
        <v>123.0</v>
      </c>
      <c r="AB126" s="474">
        <f t="shared" si="10"/>
        <v>128</v>
      </c>
      <c r="AC126" s="476">
        <f t="shared" si="11"/>
        <v>164</v>
      </c>
      <c r="AD126" s="474">
        <f t="shared" si="12"/>
        <v>205</v>
      </c>
      <c r="AE126" s="474">
        <f t="shared" si="13"/>
        <v>136</v>
      </c>
      <c r="AF126" s="474">
        <f t="shared" si="14"/>
        <v>164</v>
      </c>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464"/>
      <c r="CB126" s="102"/>
      <c r="CC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474">
        <v>124.0</v>
      </c>
      <c r="AB127" s="474">
        <f t="shared" si="10"/>
        <v>129</v>
      </c>
      <c r="AC127" s="476">
        <f t="shared" si="11"/>
        <v>166</v>
      </c>
      <c r="AD127" s="474">
        <f t="shared" si="12"/>
        <v>207</v>
      </c>
      <c r="AE127" s="474">
        <f t="shared" si="13"/>
        <v>137</v>
      </c>
      <c r="AF127" s="474">
        <f t="shared" si="14"/>
        <v>166</v>
      </c>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464"/>
      <c r="CB127" s="102"/>
      <c r="CC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474">
        <v>125.0</v>
      </c>
      <c r="AB128" s="474">
        <f t="shared" si="10"/>
        <v>130</v>
      </c>
      <c r="AC128" s="476">
        <f t="shared" si="11"/>
        <v>167</v>
      </c>
      <c r="AD128" s="474">
        <f t="shared" si="12"/>
        <v>208</v>
      </c>
      <c r="AE128" s="474">
        <f t="shared" si="13"/>
        <v>138</v>
      </c>
      <c r="AF128" s="474">
        <f t="shared" si="14"/>
        <v>167</v>
      </c>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464"/>
      <c r="CB128" s="102"/>
      <c r="CC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474">
        <v>126.0</v>
      </c>
      <c r="AB129" s="474">
        <f t="shared" si="10"/>
        <v>131</v>
      </c>
      <c r="AC129" s="476">
        <f t="shared" si="11"/>
        <v>168</v>
      </c>
      <c r="AD129" s="474">
        <f t="shared" si="12"/>
        <v>210</v>
      </c>
      <c r="AE129" s="474">
        <f t="shared" si="13"/>
        <v>139</v>
      </c>
      <c r="AF129" s="474">
        <f t="shared" si="14"/>
        <v>168</v>
      </c>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464"/>
      <c r="CB129" s="102"/>
      <c r="CC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474">
        <v>127.0</v>
      </c>
      <c r="AB130" s="474">
        <f t="shared" si="10"/>
        <v>132</v>
      </c>
      <c r="AC130" s="476">
        <f t="shared" si="11"/>
        <v>170</v>
      </c>
      <c r="AD130" s="474">
        <f t="shared" si="12"/>
        <v>212</v>
      </c>
      <c r="AE130" s="474">
        <f t="shared" si="13"/>
        <v>140</v>
      </c>
      <c r="AF130" s="474">
        <f t="shared" si="14"/>
        <v>170</v>
      </c>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464"/>
      <c r="CB130" s="102"/>
      <c r="CC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474">
        <v>128.0</v>
      </c>
      <c r="AB131" s="474">
        <f t="shared" si="10"/>
        <v>133</v>
      </c>
      <c r="AC131" s="476">
        <f t="shared" si="11"/>
        <v>171</v>
      </c>
      <c r="AD131" s="474">
        <f t="shared" si="12"/>
        <v>213</v>
      </c>
      <c r="AE131" s="474">
        <f t="shared" si="13"/>
        <v>141</v>
      </c>
      <c r="AF131" s="474">
        <f t="shared" si="14"/>
        <v>171</v>
      </c>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464"/>
      <c r="CB131" s="102"/>
      <c r="CC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474">
        <v>129.0</v>
      </c>
      <c r="AB132" s="474">
        <f t="shared" si="10"/>
        <v>134</v>
      </c>
      <c r="AC132" s="476">
        <f t="shared" si="11"/>
        <v>172</v>
      </c>
      <c r="AD132" s="474">
        <f t="shared" si="12"/>
        <v>215</v>
      </c>
      <c r="AE132" s="474">
        <f t="shared" si="13"/>
        <v>142</v>
      </c>
      <c r="AF132" s="474">
        <f t="shared" si="14"/>
        <v>172</v>
      </c>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464"/>
      <c r="CB132" s="102"/>
      <c r="CC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474">
        <v>130.0</v>
      </c>
      <c r="AB133" s="474">
        <f t="shared" si="10"/>
        <v>135</v>
      </c>
      <c r="AC133" s="476">
        <f t="shared" si="11"/>
        <v>174</v>
      </c>
      <c r="AD133" s="474">
        <f t="shared" si="12"/>
        <v>217</v>
      </c>
      <c r="AE133" s="474">
        <f t="shared" si="13"/>
        <v>143</v>
      </c>
      <c r="AF133" s="474">
        <f t="shared" si="14"/>
        <v>174</v>
      </c>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464"/>
      <c r="CB133" s="102"/>
      <c r="CC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474">
        <v>131.0</v>
      </c>
      <c r="AB134" s="474">
        <f t="shared" si="10"/>
        <v>136</v>
      </c>
      <c r="AC134" s="476">
        <f t="shared" si="11"/>
        <v>175</v>
      </c>
      <c r="AD134" s="474">
        <f t="shared" si="12"/>
        <v>218</v>
      </c>
      <c r="AE134" s="474">
        <f t="shared" si="13"/>
        <v>145</v>
      </c>
      <c r="AF134" s="474">
        <f t="shared" si="14"/>
        <v>175</v>
      </c>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464"/>
      <c r="CB134" s="102"/>
      <c r="CC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474">
        <v>132.0</v>
      </c>
      <c r="AB135" s="474">
        <f t="shared" si="10"/>
        <v>137</v>
      </c>
      <c r="AC135" s="476">
        <f t="shared" si="11"/>
        <v>176</v>
      </c>
      <c r="AD135" s="474">
        <f t="shared" si="12"/>
        <v>220</v>
      </c>
      <c r="AE135" s="474">
        <f t="shared" si="13"/>
        <v>146</v>
      </c>
      <c r="AF135" s="474">
        <f t="shared" si="14"/>
        <v>176</v>
      </c>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464"/>
      <c r="CB135" s="102"/>
      <c r="CC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474">
        <v>133.0</v>
      </c>
      <c r="AB136" s="474">
        <f t="shared" si="10"/>
        <v>138</v>
      </c>
      <c r="AC136" s="476">
        <f t="shared" si="11"/>
        <v>178</v>
      </c>
      <c r="AD136" s="474">
        <f t="shared" si="12"/>
        <v>222</v>
      </c>
      <c r="AE136" s="474">
        <f t="shared" si="13"/>
        <v>147</v>
      </c>
      <c r="AF136" s="474">
        <f t="shared" si="14"/>
        <v>178</v>
      </c>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464"/>
      <c r="CB136" s="102"/>
      <c r="CC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474">
        <v>134.0</v>
      </c>
      <c r="AB137" s="474">
        <f t="shared" si="10"/>
        <v>139</v>
      </c>
      <c r="AC137" s="476">
        <f t="shared" si="11"/>
        <v>179</v>
      </c>
      <c r="AD137" s="474">
        <f t="shared" si="12"/>
        <v>223</v>
      </c>
      <c r="AE137" s="474">
        <f t="shared" si="13"/>
        <v>148</v>
      </c>
      <c r="AF137" s="474">
        <f t="shared" si="14"/>
        <v>179</v>
      </c>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464"/>
      <c r="CB137" s="102"/>
      <c r="CC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474">
        <v>135.0</v>
      </c>
      <c r="AB138" s="474">
        <f t="shared" si="10"/>
        <v>140</v>
      </c>
      <c r="AC138" s="476">
        <f t="shared" si="11"/>
        <v>180</v>
      </c>
      <c r="AD138" s="474">
        <f t="shared" si="12"/>
        <v>225</v>
      </c>
      <c r="AE138" s="474">
        <f t="shared" si="13"/>
        <v>149</v>
      </c>
      <c r="AF138" s="474">
        <f t="shared" si="14"/>
        <v>180</v>
      </c>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464"/>
      <c r="CB138" s="102"/>
      <c r="CC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474">
        <v>136.0</v>
      </c>
      <c r="AB139" s="474">
        <f t="shared" si="10"/>
        <v>141</v>
      </c>
      <c r="AC139" s="476">
        <f t="shared" si="11"/>
        <v>182</v>
      </c>
      <c r="AD139" s="474">
        <f t="shared" si="12"/>
        <v>227</v>
      </c>
      <c r="AE139" s="474">
        <f t="shared" si="13"/>
        <v>150</v>
      </c>
      <c r="AF139" s="474">
        <f t="shared" si="14"/>
        <v>182</v>
      </c>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464"/>
      <c r="CB139" s="102"/>
      <c r="CC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474">
        <v>137.0</v>
      </c>
      <c r="AB140" s="474">
        <f t="shared" si="10"/>
        <v>142</v>
      </c>
      <c r="AC140" s="476">
        <f t="shared" si="11"/>
        <v>183</v>
      </c>
      <c r="AD140" s="474">
        <f t="shared" si="12"/>
        <v>228</v>
      </c>
      <c r="AE140" s="474">
        <f t="shared" si="13"/>
        <v>151</v>
      </c>
      <c r="AF140" s="474">
        <f t="shared" si="14"/>
        <v>183</v>
      </c>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464"/>
      <c r="CB140" s="102"/>
      <c r="CC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474">
        <v>138.0</v>
      </c>
      <c r="AB141" s="474">
        <f t="shared" si="10"/>
        <v>143</v>
      </c>
      <c r="AC141" s="476">
        <f t="shared" si="11"/>
        <v>184</v>
      </c>
      <c r="AD141" s="474">
        <f t="shared" si="12"/>
        <v>230</v>
      </c>
      <c r="AE141" s="474">
        <f t="shared" si="13"/>
        <v>152</v>
      </c>
      <c r="AF141" s="474">
        <f t="shared" si="14"/>
        <v>184</v>
      </c>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464"/>
      <c r="CB141" s="102"/>
      <c r="CC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474">
        <v>139.0</v>
      </c>
      <c r="AB142" s="474">
        <f t="shared" si="10"/>
        <v>144</v>
      </c>
      <c r="AC142" s="476">
        <f t="shared" si="11"/>
        <v>186</v>
      </c>
      <c r="AD142" s="474">
        <f t="shared" si="12"/>
        <v>232</v>
      </c>
      <c r="AE142" s="474">
        <f t="shared" si="13"/>
        <v>153</v>
      </c>
      <c r="AF142" s="474">
        <f t="shared" si="14"/>
        <v>186</v>
      </c>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464"/>
      <c r="CB142" s="102"/>
      <c r="CC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474">
        <v>140.0</v>
      </c>
      <c r="AB143" s="474">
        <f t="shared" si="10"/>
        <v>145</v>
      </c>
      <c r="AC143" s="476">
        <f t="shared" si="11"/>
        <v>187</v>
      </c>
      <c r="AD143" s="474">
        <f t="shared" si="12"/>
        <v>233</v>
      </c>
      <c r="AE143" s="474">
        <f t="shared" si="13"/>
        <v>154</v>
      </c>
      <c r="AF143" s="474">
        <f t="shared" si="14"/>
        <v>187</v>
      </c>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464"/>
      <c r="CB143" s="102"/>
      <c r="CC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474">
        <v>141.0</v>
      </c>
      <c r="AB144" s="474">
        <f t="shared" si="10"/>
        <v>146</v>
      </c>
      <c r="AC144" s="476">
        <f t="shared" si="11"/>
        <v>188</v>
      </c>
      <c r="AD144" s="474">
        <f t="shared" si="12"/>
        <v>235</v>
      </c>
      <c r="AE144" s="474">
        <f t="shared" si="13"/>
        <v>156</v>
      </c>
      <c r="AF144" s="474">
        <f t="shared" si="14"/>
        <v>188</v>
      </c>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464"/>
      <c r="CB144" s="102"/>
      <c r="CC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474">
        <v>142.0</v>
      </c>
      <c r="AB145" s="474">
        <f t="shared" si="10"/>
        <v>147</v>
      </c>
      <c r="AC145" s="476">
        <f t="shared" si="11"/>
        <v>190</v>
      </c>
      <c r="AD145" s="474">
        <f t="shared" si="12"/>
        <v>237</v>
      </c>
      <c r="AE145" s="474">
        <f t="shared" si="13"/>
        <v>157</v>
      </c>
      <c r="AF145" s="474">
        <f t="shared" si="14"/>
        <v>190</v>
      </c>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464"/>
      <c r="CB145" s="102"/>
      <c r="CC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474">
        <v>143.0</v>
      </c>
      <c r="AB146" s="474">
        <f t="shared" si="10"/>
        <v>148</v>
      </c>
      <c r="AC146" s="476">
        <f t="shared" si="11"/>
        <v>191</v>
      </c>
      <c r="AD146" s="474">
        <f t="shared" si="12"/>
        <v>238</v>
      </c>
      <c r="AE146" s="474">
        <f t="shared" si="13"/>
        <v>158</v>
      </c>
      <c r="AF146" s="474">
        <f t="shared" si="14"/>
        <v>191</v>
      </c>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464"/>
      <c r="CB146" s="102"/>
      <c r="CC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474">
        <v>144.0</v>
      </c>
      <c r="AB147" s="474">
        <f t="shared" si="10"/>
        <v>149</v>
      </c>
      <c r="AC147" s="476">
        <f t="shared" si="11"/>
        <v>192</v>
      </c>
      <c r="AD147" s="474">
        <f t="shared" si="12"/>
        <v>240</v>
      </c>
      <c r="AE147" s="474">
        <f t="shared" si="13"/>
        <v>159</v>
      </c>
      <c r="AF147" s="474">
        <f t="shared" si="14"/>
        <v>192</v>
      </c>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464"/>
      <c r="CB147" s="102"/>
      <c r="CC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474">
        <v>145.0</v>
      </c>
      <c r="AB148" s="474">
        <f t="shared" si="10"/>
        <v>150</v>
      </c>
      <c r="AC148" s="476">
        <f t="shared" si="11"/>
        <v>194</v>
      </c>
      <c r="AD148" s="474">
        <f t="shared" si="12"/>
        <v>242</v>
      </c>
      <c r="AE148" s="474">
        <f t="shared" si="13"/>
        <v>160</v>
      </c>
      <c r="AF148" s="474">
        <f t="shared" si="14"/>
        <v>194</v>
      </c>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464"/>
      <c r="CB148" s="102"/>
      <c r="CC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474">
        <v>146.0</v>
      </c>
      <c r="AB149" s="474">
        <f t="shared" si="10"/>
        <v>151</v>
      </c>
      <c r="AC149" s="476">
        <f t="shared" si="11"/>
        <v>195</v>
      </c>
      <c r="AD149" s="474">
        <f t="shared" si="12"/>
        <v>243</v>
      </c>
      <c r="AE149" s="474">
        <f t="shared" si="13"/>
        <v>161</v>
      </c>
      <c r="AF149" s="474">
        <f t="shared" si="14"/>
        <v>195</v>
      </c>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464"/>
      <c r="CB149" s="102"/>
      <c r="CC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474">
        <v>147.0</v>
      </c>
      <c r="AB150" s="474">
        <f t="shared" si="10"/>
        <v>152</v>
      </c>
      <c r="AC150" s="476">
        <f t="shared" si="11"/>
        <v>196</v>
      </c>
      <c r="AD150" s="474">
        <f t="shared" si="12"/>
        <v>245</v>
      </c>
      <c r="AE150" s="474">
        <f t="shared" si="13"/>
        <v>162</v>
      </c>
      <c r="AF150" s="474">
        <f t="shared" si="14"/>
        <v>196</v>
      </c>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464"/>
      <c r="CB150" s="102"/>
      <c r="CC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474">
        <v>148.0</v>
      </c>
      <c r="AB151" s="474">
        <f t="shared" si="10"/>
        <v>153</v>
      </c>
      <c r="AC151" s="476">
        <f t="shared" si="11"/>
        <v>198</v>
      </c>
      <c r="AD151" s="474">
        <f t="shared" si="12"/>
        <v>247</v>
      </c>
      <c r="AE151" s="474">
        <f t="shared" si="13"/>
        <v>163</v>
      </c>
      <c r="AF151" s="474">
        <f t="shared" si="14"/>
        <v>198</v>
      </c>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464"/>
      <c r="CB151" s="102"/>
      <c r="CC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474">
        <v>149.0</v>
      </c>
      <c r="AB152" s="474">
        <f t="shared" si="10"/>
        <v>154</v>
      </c>
      <c r="AC152" s="476">
        <f t="shared" si="11"/>
        <v>199</v>
      </c>
      <c r="AD152" s="474">
        <f t="shared" si="12"/>
        <v>248</v>
      </c>
      <c r="AE152" s="474">
        <f t="shared" si="13"/>
        <v>164</v>
      </c>
      <c r="AF152" s="474">
        <f t="shared" si="14"/>
        <v>199</v>
      </c>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464"/>
      <c r="CB152" s="102"/>
      <c r="CC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474">
        <v>150.0</v>
      </c>
      <c r="AB153" s="474">
        <f t="shared" si="10"/>
        <v>155</v>
      </c>
      <c r="AC153" s="476">
        <f t="shared" si="11"/>
        <v>201</v>
      </c>
      <c r="AD153" s="474">
        <f t="shared" si="12"/>
        <v>250</v>
      </c>
      <c r="AE153" s="474">
        <f t="shared" si="13"/>
        <v>165</v>
      </c>
      <c r="AF153" s="474">
        <f t="shared" si="14"/>
        <v>201</v>
      </c>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464"/>
      <c r="CB153" s="102"/>
      <c r="CC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474">
        <v>151.0</v>
      </c>
      <c r="AB154" s="474">
        <f t="shared" si="10"/>
        <v>156</v>
      </c>
      <c r="AC154" s="476">
        <f t="shared" si="11"/>
        <v>202</v>
      </c>
      <c r="AD154" s="474">
        <f t="shared" si="12"/>
        <v>252</v>
      </c>
      <c r="AE154" s="474">
        <f t="shared" si="13"/>
        <v>167</v>
      </c>
      <c r="AF154" s="474">
        <f t="shared" si="14"/>
        <v>202</v>
      </c>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464"/>
      <c r="CB154" s="102"/>
      <c r="CC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474">
        <v>152.0</v>
      </c>
      <c r="AB155" s="474">
        <f t="shared" si="10"/>
        <v>157</v>
      </c>
      <c r="AC155" s="476">
        <f t="shared" si="11"/>
        <v>203</v>
      </c>
      <c r="AD155" s="474">
        <f t="shared" si="12"/>
        <v>253</v>
      </c>
      <c r="AE155" s="474">
        <f t="shared" si="13"/>
        <v>168</v>
      </c>
      <c r="AF155" s="474">
        <f t="shared" si="14"/>
        <v>203</v>
      </c>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464"/>
      <c r="CB155" s="102"/>
      <c r="CC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474">
        <v>153.0</v>
      </c>
      <c r="AB156" s="474">
        <f t="shared" si="10"/>
        <v>158</v>
      </c>
      <c r="AC156" s="476">
        <f t="shared" si="11"/>
        <v>205</v>
      </c>
      <c r="AD156" s="474">
        <f t="shared" si="12"/>
        <v>255</v>
      </c>
      <c r="AE156" s="474">
        <f t="shared" si="13"/>
        <v>169</v>
      </c>
      <c r="AF156" s="474">
        <f t="shared" si="14"/>
        <v>205</v>
      </c>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464"/>
      <c r="CB156" s="102"/>
      <c r="CC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474">
        <v>154.0</v>
      </c>
      <c r="AB157" s="474">
        <f t="shared" si="10"/>
        <v>159</v>
      </c>
      <c r="AC157" s="476">
        <f t="shared" si="11"/>
        <v>206</v>
      </c>
      <c r="AD157" s="474">
        <f t="shared" si="12"/>
        <v>257</v>
      </c>
      <c r="AE157" s="474">
        <f t="shared" si="13"/>
        <v>170</v>
      </c>
      <c r="AF157" s="474">
        <f t="shared" si="14"/>
        <v>206</v>
      </c>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464"/>
      <c r="CB157" s="102"/>
      <c r="CC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474">
        <v>155.0</v>
      </c>
      <c r="AB158" s="474">
        <f t="shared" si="10"/>
        <v>160</v>
      </c>
      <c r="AC158" s="476">
        <f t="shared" si="11"/>
        <v>207</v>
      </c>
      <c r="AD158" s="474">
        <f t="shared" si="12"/>
        <v>258</v>
      </c>
      <c r="AE158" s="474">
        <f t="shared" si="13"/>
        <v>171</v>
      </c>
      <c r="AF158" s="474">
        <f t="shared" si="14"/>
        <v>207</v>
      </c>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464"/>
      <c r="CB158" s="102"/>
      <c r="CC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474">
        <v>156.0</v>
      </c>
      <c r="AB159" s="474">
        <f t="shared" si="10"/>
        <v>161</v>
      </c>
      <c r="AC159" s="476">
        <f t="shared" si="11"/>
        <v>209</v>
      </c>
      <c r="AD159" s="474">
        <f t="shared" si="12"/>
        <v>260</v>
      </c>
      <c r="AE159" s="474">
        <f t="shared" si="13"/>
        <v>172</v>
      </c>
      <c r="AF159" s="474">
        <f t="shared" si="14"/>
        <v>209</v>
      </c>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464"/>
      <c r="CB159" s="102"/>
      <c r="CC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474">
        <v>157.0</v>
      </c>
      <c r="AB160" s="474">
        <f t="shared" si="10"/>
        <v>162</v>
      </c>
      <c r="AC160" s="476">
        <f t="shared" si="11"/>
        <v>210</v>
      </c>
      <c r="AD160" s="474">
        <f t="shared" si="12"/>
        <v>262</v>
      </c>
      <c r="AE160" s="474">
        <f t="shared" si="13"/>
        <v>173</v>
      </c>
      <c r="AF160" s="474">
        <f t="shared" si="14"/>
        <v>210</v>
      </c>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464"/>
      <c r="CB160" s="102"/>
      <c r="CC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474">
        <v>158.0</v>
      </c>
      <c r="AB161" s="474">
        <f t="shared" si="10"/>
        <v>163</v>
      </c>
      <c r="AC161" s="476">
        <f t="shared" si="11"/>
        <v>211</v>
      </c>
      <c r="AD161" s="474">
        <f t="shared" si="12"/>
        <v>263</v>
      </c>
      <c r="AE161" s="474">
        <f t="shared" si="13"/>
        <v>174</v>
      </c>
      <c r="AF161" s="474">
        <f t="shared" si="14"/>
        <v>211</v>
      </c>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464"/>
      <c r="CB161" s="102"/>
      <c r="CC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474">
        <v>159.0</v>
      </c>
      <c r="AB162" s="474">
        <f t="shared" si="10"/>
        <v>164</v>
      </c>
      <c r="AC162" s="476">
        <f t="shared" si="11"/>
        <v>213</v>
      </c>
      <c r="AD162" s="474">
        <f t="shared" si="12"/>
        <v>265</v>
      </c>
      <c r="AE162" s="474">
        <f t="shared" si="13"/>
        <v>175</v>
      </c>
      <c r="AF162" s="474">
        <f t="shared" si="14"/>
        <v>213</v>
      </c>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464"/>
      <c r="CB162" s="102"/>
      <c r="CC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474">
        <v>160.0</v>
      </c>
      <c r="AB163" s="474">
        <f t="shared" si="10"/>
        <v>165</v>
      </c>
      <c r="AC163" s="476">
        <f t="shared" si="11"/>
        <v>214</v>
      </c>
      <c r="AD163" s="474">
        <f t="shared" si="12"/>
        <v>267</v>
      </c>
      <c r="AE163" s="474">
        <f t="shared" si="13"/>
        <v>176</v>
      </c>
      <c r="AF163" s="474">
        <f t="shared" si="14"/>
        <v>214</v>
      </c>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464"/>
      <c r="CB163" s="102"/>
      <c r="CC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474">
        <v>161.0</v>
      </c>
      <c r="AB164" s="474">
        <f t="shared" si="10"/>
        <v>166</v>
      </c>
      <c r="AC164" s="476">
        <f t="shared" si="11"/>
        <v>215</v>
      </c>
      <c r="AD164" s="474">
        <f t="shared" si="12"/>
        <v>268</v>
      </c>
      <c r="AE164" s="474">
        <f t="shared" si="13"/>
        <v>178</v>
      </c>
      <c r="AF164" s="474">
        <f t="shared" si="14"/>
        <v>215</v>
      </c>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464"/>
      <c r="CB164" s="102"/>
      <c r="CC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474">
        <v>162.0</v>
      </c>
      <c r="AB165" s="474">
        <f t="shared" si="10"/>
        <v>167</v>
      </c>
      <c r="AC165" s="476">
        <f t="shared" si="11"/>
        <v>217</v>
      </c>
      <c r="AD165" s="474">
        <f t="shared" si="12"/>
        <v>270</v>
      </c>
      <c r="AE165" s="474">
        <f t="shared" si="13"/>
        <v>179</v>
      </c>
      <c r="AF165" s="474">
        <f t="shared" si="14"/>
        <v>217</v>
      </c>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464"/>
      <c r="CB165" s="102"/>
      <c r="CC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474">
        <v>163.0</v>
      </c>
      <c r="AB166" s="474">
        <f t="shared" si="10"/>
        <v>168</v>
      </c>
      <c r="AC166" s="476">
        <f t="shared" si="11"/>
        <v>218</v>
      </c>
      <c r="AD166" s="474">
        <f t="shared" si="12"/>
        <v>272</v>
      </c>
      <c r="AE166" s="474">
        <f t="shared" si="13"/>
        <v>180</v>
      </c>
      <c r="AF166" s="474">
        <f t="shared" si="14"/>
        <v>218</v>
      </c>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464"/>
      <c r="CB166" s="102"/>
      <c r="CC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474">
        <v>164.0</v>
      </c>
      <c r="AB167" s="474">
        <f t="shared" si="10"/>
        <v>169</v>
      </c>
      <c r="AC167" s="476">
        <f t="shared" si="11"/>
        <v>219</v>
      </c>
      <c r="AD167" s="474">
        <f t="shared" si="12"/>
        <v>273</v>
      </c>
      <c r="AE167" s="474">
        <f t="shared" si="13"/>
        <v>181</v>
      </c>
      <c r="AF167" s="474">
        <f t="shared" si="14"/>
        <v>219</v>
      </c>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464"/>
      <c r="CB167" s="102"/>
      <c r="CC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474">
        <v>165.0</v>
      </c>
      <c r="AB168" s="474">
        <f t="shared" si="10"/>
        <v>170</v>
      </c>
      <c r="AC168" s="476">
        <f t="shared" si="11"/>
        <v>221</v>
      </c>
      <c r="AD168" s="474">
        <f t="shared" si="12"/>
        <v>275</v>
      </c>
      <c r="AE168" s="474">
        <f t="shared" si="13"/>
        <v>182</v>
      </c>
      <c r="AF168" s="474">
        <f t="shared" si="14"/>
        <v>221</v>
      </c>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464"/>
      <c r="CB168" s="102"/>
      <c r="CC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474">
        <v>166.0</v>
      </c>
      <c r="AB169" s="474">
        <f t="shared" si="10"/>
        <v>171</v>
      </c>
      <c r="AC169" s="476">
        <f t="shared" si="11"/>
        <v>222</v>
      </c>
      <c r="AD169" s="474">
        <f t="shared" si="12"/>
        <v>277</v>
      </c>
      <c r="AE169" s="474">
        <f t="shared" si="13"/>
        <v>183</v>
      </c>
      <c r="AF169" s="474">
        <f t="shared" si="14"/>
        <v>222</v>
      </c>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464"/>
      <c r="CB169" s="102"/>
      <c r="CC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474">
        <v>167.0</v>
      </c>
      <c r="AB170" s="474">
        <f t="shared" si="10"/>
        <v>172</v>
      </c>
      <c r="AC170" s="476">
        <f t="shared" si="11"/>
        <v>223</v>
      </c>
      <c r="AD170" s="474">
        <f t="shared" si="12"/>
        <v>278</v>
      </c>
      <c r="AE170" s="474">
        <f t="shared" si="13"/>
        <v>184</v>
      </c>
      <c r="AF170" s="474">
        <f t="shared" si="14"/>
        <v>223</v>
      </c>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464"/>
      <c r="CB170" s="102"/>
      <c r="CC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474">
        <v>168.0</v>
      </c>
      <c r="AB171" s="474">
        <f t="shared" si="10"/>
        <v>173</v>
      </c>
      <c r="AC171" s="476">
        <f t="shared" si="11"/>
        <v>225</v>
      </c>
      <c r="AD171" s="474">
        <f t="shared" si="12"/>
        <v>280</v>
      </c>
      <c r="AE171" s="474">
        <f t="shared" si="13"/>
        <v>185</v>
      </c>
      <c r="AF171" s="474">
        <f t="shared" si="14"/>
        <v>225</v>
      </c>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464"/>
      <c r="CB171" s="102"/>
      <c r="CC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474">
        <v>169.0</v>
      </c>
      <c r="AB172" s="474">
        <f t="shared" si="10"/>
        <v>174</v>
      </c>
      <c r="AC172" s="476">
        <f t="shared" si="11"/>
        <v>226</v>
      </c>
      <c r="AD172" s="474">
        <f t="shared" si="12"/>
        <v>282</v>
      </c>
      <c r="AE172" s="474">
        <f t="shared" si="13"/>
        <v>186</v>
      </c>
      <c r="AF172" s="474">
        <f t="shared" si="14"/>
        <v>226</v>
      </c>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464"/>
      <c r="CB172" s="102"/>
      <c r="CC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474">
        <v>170.0</v>
      </c>
      <c r="AB173" s="474">
        <f t="shared" si="10"/>
        <v>175</v>
      </c>
      <c r="AC173" s="476">
        <f t="shared" si="11"/>
        <v>227</v>
      </c>
      <c r="AD173" s="474">
        <f t="shared" si="12"/>
        <v>283</v>
      </c>
      <c r="AE173" s="474">
        <f t="shared" si="13"/>
        <v>187</v>
      </c>
      <c r="AF173" s="474">
        <f t="shared" si="14"/>
        <v>227</v>
      </c>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464"/>
      <c r="CB173" s="102"/>
      <c r="CC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474">
        <v>171.0</v>
      </c>
      <c r="AB174" s="474">
        <f t="shared" si="10"/>
        <v>176</v>
      </c>
      <c r="AC174" s="476">
        <f t="shared" si="11"/>
        <v>229</v>
      </c>
      <c r="AD174" s="474">
        <f t="shared" si="12"/>
        <v>285</v>
      </c>
      <c r="AE174" s="474">
        <f t="shared" si="13"/>
        <v>189</v>
      </c>
      <c r="AF174" s="474">
        <f t="shared" si="14"/>
        <v>229</v>
      </c>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464"/>
      <c r="CB174" s="102"/>
      <c r="CC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474">
        <v>172.0</v>
      </c>
      <c r="AB175" s="474">
        <f t="shared" si="10"/>
        <v>177</v>
      </c>
      <c r="AC175" s="476">
        <f t="shared" si="11"/>
        <v>230</v>
      </c>
      <c r="AD175" s="474">
        <f t="shared" si="12"/>
        <v>287</v>
      </c>
      <c r="AE175" s="474">
        <f t="shared" si="13"/>
        <v>190</v>
      </c>
      <c r="AF175" s="474">
        <f t="shared" si="14"/>
        <v>230</v>
      </c>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464"/>
      <c r="CB175" s="102"/>
      <c r="CC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474">
        <v>173.0</v>
      </c>
      <c r="AB176" s="474">
        <f t="shared" si="10"/>
        <v>178</v>
      </c>
      <c r="AC176" s="476">
        <f t="shared" si="11"/>
        <v>231</v>
      </c>
      <c r="AD176" s="474">
        <f t="shared" si="12"/>
        <v>288</v>
      </c>
      <c r="AE176" s="474">
        <f t="shared" si="13"/>
        <v>191</v>
      </c>
      <c r="AF176" s="474">
        <f t="shared" si="14"/>
        <v>231</v>
      </c>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464"/>
      <c r="CB176" s="102"/>
      <c r="CC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474">
        <v>174.0</v>
      </c>
      <c r="AB177" s="474">
        <f t="shared" si="10"/>
        <v>179</v>
      </c>
      <c r="AC177" s="476">
        <f t="shared" si="11"/>
        <v>233</v>
      </c>
      <c r="AD177" s="474">
        <f t="shared" si="12"/>
        <v>290</v>
      </c>
      <c r="AE177" s="474">
        <f t="shared" si="13"/>
        <v>192</v>
      </c>
      <c r="AF177" s="474">
        <f t="shared" si="14"/>
        <v>233</v>
      </c>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464"/>
      <c r="CB177" s="102"/>
      <c r="CC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474">
        <v>175.0</v>
      </c>
      <c r="AB178" s="474">
        <f t="shared" si="10"/>
        <v>180</v>
      </c>
      <c r="AC178" s="476">
        <f t="shared" si="11"/>
        <v>234</v>
      </c>
      <c r="AD178" s="474">
        <f t="shared" si="12"/>
        <v>292</v>
      </c>
      <c r="AE178" s="474">
        <f t="shared" si="13"/>
        <v>193</v>
      </c>
      <c r="AF178" s="474">
        <f t="shared" si="14"/>
        <v>234</v>
      </c>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464"/>
      <c r="CB178" s="102"/>
      <c r="CC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474">
        <v>176.0</v>
      </c>
      <c r="AB179" s="474">
        <f t="shared" si="10"/>
        <v>181</v>
      </c>
      <c r="AC179" s="476">
        <f t="shared" si="11"/>
        <v>235</v>
      </c>
      <c r="AD179" s="474">
        <f t="shared" si="12"/>
        <v>293</v>
      </c>
      <c r="AE179" s="474">
        <f t="shared" si="13"/>
        <v>194</v>
      </c>
      <c r="AF179" s="474">
        <f t="shared" si="14"/>
        <v>235</v>
      </c>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c r="BZ179" s="102"/>
      <c r="CA179" s="464"/>
      <c r="CB179" s="102"/>
      <c r="CC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474">
        <v>177.0</v>
      </c>
      <c r="AB180" s="474">
        <f t="shared" si="10"/>
        <v>182</v>
      </c>
      <c r="AC180" s="476">
        <f t="shared" si="11"/>
        <v>237</v>
      </c>
      <c r="AD180" s="474">
        <f t="shared" si="12"/>
        <v>295</v>
      </c>
      <c r="AE180" s="474">
        <f t="shared" si="13"/>
        <v>195</v>
      </c>
      <c r="AF180" s="474">
        <f t="shared" si="14"/>
        <v>237</v>
      </c>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464"/>
      <c r="CB180" s="102"/>
      <c r="CC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474">
        <v>178.0</v>
      </c>
      <c r="AB181" s="474">
        <f t="shared" si="10"/>
        <v>183</v>
      </c>
      <c r="AC181" s="476">
        <f t="shared" si="11"/>
        <v>238</v>
      </c>
      <c r="AD181" s="474">
        <f t="shared" si="12"/>
        <v>297</v>
      </c>
      <c r="AE181" s="474">
        <f t="shared" si="13"/>
        <v>196</v>
      </c>
      <c r="AF181" s="474">
        <f t="shared" si="14"/>
        <v>238</v>
      </c>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464"/>
      <c r="CB181" s="102"/>
      <c r="CC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474">
        <v>179.0</v>
      </c>
      <c r="AB182" s="474">
        <f t="shared" si="10"/>
        <v>184</v>
      </c>
      <c r="AC182" s="476">
        <f t="shared" si="11"/>
        <v>239</v>
      </c>
      <c r="AD182" s="474">
        <f t="shared" si="12"/>
        <v>298</v>
      </c>
      <c r="AE182" s="474">
        <f t="shared" si="13"/>
        <v>197</v>
      </c>
      <c r="AF182" s="474">
        <f t="shared" si="14"/>
        <v>239</v>
      </c>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464"/>
      <c r="CB182" s="102"/>
      <c r="CC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474">
        <v>180.0</v>
      </c>
      <c r="AB183" s="474">
        <f t="shared" si="10"/>
        <v>185</v>
      </c>
      <c r="AC183" s="476">
        <f t="shared" si="11"/>
        <v>241</v>
      </c>
      <c r="AD183" s="474">
        <f t="shared" si="12"/>
        <v>300</v>
      </c>
      <c r="AE183" s="474">
        <f t="shared" si="13"/>
        <v>198</v>
      </c>
      <c r="AF183" s="474">
        <f t="shared" si="14"/>
        <v>241</v>
      </c>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464"/>
      <c r="CB183" s="102"/>
      <c r="CC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474">
        <v>181.0</v>
      </c>
      <c r="AB184" s="474">
        <f t="shared" si="10"/>
        <v>186</v>
      </c>
      <c r="AC184" s="476">
        <f t="shared" si="11"/>
        <v>242</v>
      </c>
      <c r="AD184" s="474">
        <f t="shared" si="12"/>
        <v>302</v>
      </c>
      <c r="AE184" s="474">
        <f t="shared" si="13"/>
        <v>200</v>
      </c>
      <c r="AF184" s="474">
        <f t="shared" si="14"/>
        <v>242</v>
      </c>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464"/>
      <c r="CB184" s="102"/>
      <c r="CC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474">
        <v>182.0</v>
      </c>
      <c r="AB185" s="474">
        <f t="shared" si="10"/>
        <v>187</v>
      </c>
      <c r="AC185" s="476">
        <f t="shared" si="11"/>
        <v>243</v>
      </c>
      <c r="AD185" s="474">
        <f t="shared" si="12"/>
        <v>303</v>
      </c>
      <c r="AE185" s="474">
        <f t="shared" si="13"/>
        <v>201</v>
      </c>
      <c r="AF185" s="474">
        <f t="shared" si="14"/>
        <v>243</v>
      </c>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464"/>
      <c r="CB185" s="102"/>
      <c r="CC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474">
        <v>183.0</v>
      </c>
      <c r="AB186" s="474">
        <f t="shared" si="10"/>
        <v>188</v>
      </c>
      <c r="AC186" s="476">
        <f t="shared" si="11"/>
        <v>245</v>
      </c>
      <c r="AD186" s="474">
        <f t="shared" si="12"/>
        <v>305</v>
      </c>
      <c r="AE186" s="474">
        <f t="shared" si="13"/>
        <v>202</v>
      </c>
      <c r="AF186" s="474">
        <f t="shared" si="14"/>
        <v>245</v>
      </c>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464"/>
      <c r="CB186" s="102"/>
      <c r="CC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474">
        <v>184.0</v>
      </c>
      <c r="AB187" s="474">
        <f t="shared" si="10"/>
        <v>189</v>
      </c>
      <c r="AC187" s="476">
        <f t="shared" si="11"/>
        <v>246</v>
      </c>
      <c r="AD187" s="474">
        <f t="shared" si="12"/>
        <v>307</v>
      </c>
      <c r="AE187" s="474">
        <f t="shared" si="13"/>
        <v>203</v>
      </c>
      <c r="AF187" s="474">
        <f t="shared" si="14"/>
        <v>246</v>
      </c>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464"/>
      <c r="CB187" s="102"/>
      <c r="CC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474">
        <v>185.0</v>
      </c>
      <c r="AB188" s="474">
        <f t="shared" si="10"/>
        <v>190</v>
      </c>
      <c r="AC188" s="476">
        <f t="shared" si="11"/>
        <v>247</v>
      </c>
      <c r="AD188" s="474">
        <f t="shared" si="12"/>
        <v>308</v>
      </c>
      <c r="AE188" s="474">
        <f t="shared" si="13"/>
        <v>204</v>
      </c>
      <c r="AF188" s="474">
        <f t="shared" si="14"/>
        <v>247</v>
      </c>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464"/>
      <c r="CB188" s="102"/>
      <c r="CC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474">
        <v>186.0</v>
      </c>
      <c r="AB189" s="474">
        <f t="shared" si="10"/>
        <v>191</v>
      </c>
      <c r="AC189" s="476">
        <f t="shared" si="11"/>
        <v>249</v>
      </c>
      <c r="AD189" s="474">
        <f t="shared" si="12"/>
        <v>310</v>
      </c>
      <c r="AE189" s="474">
        <f t="shared" si="13"/>
        <v>205</v>
      </c>
      <c r="AF189" s="474">
        <f t="shared" si="14"/>
        <v>249</v>
      </c>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464"/>
      <c r="CB189" s="102"/>
      <c r="CC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474">
        <v>187.0</v>
      </c>
      <c r="AB190" s="474">
        <f t="shared" si="10"/>
        <v>192</v>
      </c>
      <c r="AC190" s="476">
        <f t="shared" si="11"/>
        <v>250</v>
      </c>
      <c r="AD190" s="474">
        <f t="shared" si="12"/>
        <v>312</v>
      </c>
      <c r="AE190" s="474">
        <f t="shared" si="13"/>
        <v>206</v>
      </c>
      <c r="AF190" s="474">
        <f t="shared" si="14"/>
        <v>250</v>
      </c>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464"/>
      <c r="CB190" s="102"/>
      <c r="CC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474">
        <v>188.0</v>
      </c>
      <c r="AB191" s="474">
        <f t="shared" si="10"/>
        <v>193</v>
      </c>
      <c r="AC191" s="476">
        <f t="shared" si="11"/>
        <v>251</v>
      </c>
      <c r="AD191" s="474">
        <f t="shared" si="12"/>
        <v>313</v>
      </c>
      <c r="AE191" s="474">
        <f t="shared" si="13"/>
        <v>207</v>
      </c>
      <c r="AF191" s="474">
        <f t="shared" si="14"/>
        <v>251</v>
      </c>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464"/>
      <c r="CB191" s="102"/>
      <c r="CC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474">
        <v>189.0</v>
      </c>
      <c r="AB192" s="474">
        <f t="shared" si="10"/>
        <v>194</v>
      </c>
      <c r="AC192" s="476">
        <f t="shared" si="11"/>
        <v>253</v>
      </c>
      <c r="AD192" s="474">
        <f t="shared" si="12"/>
        <v>315</v>
      </c>
      <c r="AE192" s="474">
        <f t="shared" si="13"/>
        <v>208</v>
      </c>
      <c r="AF192" s="474">
        <f t="shared" si="14"/>
        <v>253</v>
      </c>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464"/>
      <c r="CB192" s="102"/>
      <c r="CC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474">
        <v>190.0</v>
      </c>
      <c r="AB193" s="474">
        <f t="shared" si="10"/>
        <v>195</v>
      </c>
      <c r="AC193" s="476">
        <f t="shared" si="11"/>
        <v>254</v>
      </c>
      <c r="AD193" s="474">
        <f t="shared" si="12"/>
        <v>317</v>
      </c>
      <c r="AE193" s="474">
        <f t="shared" si="13"/>
        <v>209</v>
      </c>
      <c r="AF193" s="474">
        <f t="shared" si="14"/>
        <v>254</v>
      </c>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464"/>
      <c r="CB193" s="102"/>
      <c r="CC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474">
        <v>191.0</v>
      </c>
      <c r="AB194" s="474">
        <f t="shared" si="10"/>
        <v>196</v>
      </c>
      <c r="AC194" s="476">
        <f t="shared" si="11"/>
        <v>255</v>
      </c>
      <c r="AD194" s="474">
        <f t="shared" si="12"/>
        <v>318</v>
      </c>
      <c r="AE194" s="474">
        <f t="shared" si="13"/>
        <v>211</v>
      </c>
      <c r="AF194" s="474">
        <f t="shared" si="14"/>
        <v>255</v>
      </c>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464"/>
      <c r="CB194" s="102"/>
      <c r="CC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474">
        <v>192.0</v>
      </c>
      <c r="AB195" s="474">
        <f t="shared" si="10"/>
        <v>197</v>
      </c>
      <c r="AC195" s="476">
        <f t="shared" si="11"/>
        <v>257</v>
      </c>
      <c r="AD195" s="474">
        <f t="shared" si="12"/>
        <v>320</v>
      </c>
      <c r="AE195" s="474">
        <f t="shared" si="13"/>
        <v>212</v>
      </c>
      <c r="AF195" s="474">
        <f t="shared" si="14"/>
        <v>257</v>
      </c>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464"/>
      <c r="CB195" s="102"/>
      <c r="CC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474">
        <v>193.0</v>
      </c>
      <c r="AB196" s="474">
        <f t="shared" si="10"/>
        <v>198</v>
      </c>
      <c r="AC196" s="476">
        <f t="shared" si="11"/>
        <v>258</v>
      </c>
      <c r="AD196" s="474">
        <f t="shared" si="12"/>
        <v>322</v>
      </c>
      <c r="AE196" s="474">
        <f t="shared" si="13"/>
        <v>213</v>
      </c>
      <c r="AF196" s="474">
        <f t="shared" si="14"/>
        <v>258</v>
      </c>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464"/>
      <c r="CB196" s="102"/>
      <c r="CC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474">
        <v>194.0</v>
      </c>
      <c r="AB197" s="474">
        <f t="shared" si="10"/>
        <v>199</v>
      </c>
      <c r="AC197" s="476">
        <f t="shared" si="11"/>
        <v>259</v>
      </c>
      <c r="AD197" s="474">
        <f t="shared" si="12"/>
        <v>323</v>
      </c>
      <c r="AE197" s="474">
        <f t="shared" si="13"/>
        <v>214</v>
      </c>
      <c r="AF197" s="474">
        <f t="shared" si="14"/>
        <v>259</v>
      </c>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464"/>
      <c r="CB197" s="102"/>
      <c r="CC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474">
        <v>195.0</v>
      </c>
      <c r="AB198" s="474">
        <f t="shared" si="10"/>
        <v>200</v>
      </c>
      <c r="AC198" s="476">
        <f t="shared" si="11"/>
        <v>261</v>
      </c>
      <c r="AD198" s="474">
        <f t="shared" si="12"/>
        <v>325</v>
      </c>
      <c r="AE198" s="474">
        <f t="shared" si="13"/>
        <v>215</v>
      </c>
      <c r="AF198" s="474">
        <f t="shared" si="14"/>
        <v>261</v>
      </c>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464"/>
      <c r="CB198" s="102"/>
      <c r="CC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474">
        <v>196.0</v>
      </c>
      <c r="AB199" s="474">
        <f t="shared" si="10"/>
        <v>201</v>
      </c>
      <c r="AC199" s="476">
        <f t="shared" si="11"/>
        <v>262</v>
      </c>
      <c r="AD199" s="474">
        <f t="shared" si="12"/>
        <v>327</v>
      </c>
      <c r="AE199" s="474">
        <f t="shared" si="13"/>
        <v>216</v>
      </c>
      <c r="AF199" s="474">
        <f t="shared" si="14"/>
        <v>262</v>
      </c>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464"/>
      <c r="CB199" s="102"/>
      <c r="CC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474">
        <v>197.0</v>
      </c>
      <c r="AB200" s="474">
        <f t="shared" si="10"/>
        <v>202</v>
      </c>
      <c r="AC200" s="476">
        <f t="shared" si="11"/>
        <v>263</v>
      </c>
      <c r="AD200" s="474">
        <f t="shared" si="12"/>
        <v>328</v>
      </c>
      <c r="AE200" s="474">
        <f t="shared" si="13"/>
        <v>217</v>
      </c>
      <c r="AF200" s="474">
        <f t="shared" si="14"/>
        <v>263</v>
      </c>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464"/>
      <c r="CB200" s="102"/>
      <c r="CC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474">
        <v>198.0</v>
      </c>
      <c r="AB201" s="474">
        <f t="shared" si="10"/>
        <v>203</v>
      </c>
      <c r="AC201" s="476">
        <f t="shared" si="11"/>
        <v>265</v>
      </c>
      <c r="AD201" s="474">
        <f t="shared" si="12"/>
        <v>330</v>
      </c>
      <c r="AE201" s="474">
        <f t="shared" si="13"/>
        <v>218</v>
      </c>
      <c r="AF201" s="474">
        <f t="shared" si="14"/>
        <v>265</v>
      </c>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464"/>
      <c r="CB201" s="102"/>
      <c r="CC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474">
        <v>199.0</v>
      </c>
      <c r="AB202" s="474">
        <f t="shared" si="10"/>
        <v>204</v>
      </c>
      <c r="AC202" s="476">
        <f t="shared" si="11"/>
        <v>266</v>
      </c>
      <c r="AD202" s="474">
        <f t="shared" si="12"/>
        <v>332</v>
      </c>
      <c r="AE202" s="474">
        <f t="shared" si="13"/>
        <v>219</v>
      </c>
      <c r="AF202" s="474">
        <f t="shared" si="14"/>
        <v>266</v>
      </c>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464"/>
      <c r="CB202" s="102"/>
      <c r="CC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474">
        <v>200.0</v>
      </c>
      <c r="AB203" s="474">
        <f t="shared" si="10"/>
        <v>205</v>
      </c>
      <c r="AC203" s="476">
        <f t="shared" si="11"/>
        <v>268</v>
      </c>
      <c r="AD203" s="474">
        <f t="shared" si="12"/>
        <v>334</v>
      </c>
      <c r="AE203" s="474">
        <f t="shared" si="13"/>
        <v>220</v>
      </c>
      <c r="AF203" s="474">
        <f t="shared" si="14"/>
        <v>268</v>
      </c>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464"/>
      <c r="CB203" s="102"/>
      <c r="CC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474">
        <v>201.0</v>
      </c>
      <c r="AB204" s="474">
        <f t="shared" si="10"/>
        <v>206</v>
      </c>
      <c r="AC204" s="476">
        <f t="shared" si="11"/>
        <v>269</v>
      </c>
      <c r="AD204" s="474">
        <f t="shared" si="12"/>
        <v>335</v>
      </c>
      <c r="AE204" s="474">
        <f t="shared" si="13"/>
        <v>222</v>
      </c>
      <c r="AF204" s="474">
        <f t="shared" si="14"/>
        <v>269</v>
      </c>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464"/>
      <c r="CB204" s="102"/>
      <c r="CC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474">
        <v>202.0</v>
      </c>
      <c r="AB205" s="474">
        <f t="shared" si="10"/>
        <v>207</v>
      </c>
      <c r="AC205" s="476">
        <f t="shared" si="11"/>
        <v>270</v>
      </c>
      <c r="AD205" s="474">
        <f t="shared" si="12"/>
        <v>337</v>
      </c>
      <c r="AE205" s="474">
        <f t="shared" si="13"/>
        <v>223</v>
      </c>
      <c r="AF205" s="474">
        <f t="shared" si="14"/>
        <v>270</v>
      </c>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464"/>
      <c r="CB205" s="102"/>
      <c r="CC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474">
        <v>203.0</v>
      </c>
      <c r="AB206" s="474">
        <f t="shared" si="10"/>
        <v>208</v>
      </c>
      <c r="AC206" s="476">
        <f t="shared" si="11"/>
        <v>272</v>
      </c>
      <c r="AD206" s="474">
        <f t="shared" si="12"/>
        <v>339</v>
      </c>
      <c r="AE206" s="474">
        <f t="shared" si="13"/>
        <v>224</v>
      </c>
      <c r="AF206" s="474">
        <f t="shared" si="14"/>
        <v>272</v>
      </c>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464"/>
      <c r="CB206" s="102"/>
      <c r="CC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474">
        <v>204.0</v>
      </c>
      <c r="AB207" s="474">
        <f t="shared" si="10"/>
        <v>209</v>
      </c>
      <c r="AC207" s="476">
        <f t="shared" si="11"/>
        <v>273</v>
      </c>
      <c r="AD207" s="474">
        <f t="shared" si="12"/>
        <v>340</v>
      </c>
      <c r="AE207" s="474">
        <f t="shared" si="13"/>
        <v>225</v>
      </c>
      <c r="AF207" s="474">
        <f t="shared" si="14"/>
        <v>273</v>
      </c>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464"/>
      <c r="CB207" s="102"/>
      <c r="CC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474">
        <v>205.0</v>
      </c>
      <c r="AB208" s="474">
        <f t="shared" si="10"/>
        <v>210</v>
      </c>
      <c r="AC208" s="476">
        <f t="shared" si="11"/>
        <v>274</v>
      </c>
      <c r="AD208" s="474">
        <f t="shared" si="12"/>
        <v>342</v>
      </c>
      <c r="AE208" s="474">
        <f t="shared" si="13"/>
        <v>226</v>
      </c>
      <c r="AF208" s="474">
        <f t="shared" si="14"/>
        <v>274</v>
      </c>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464"/>
      <c r="CB208" s="102"/>
      <c r="CC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474">
        <v>206.0</v>
      </c>
      <c r="AB209" s="474">
        <f t="shared" si="10"/>
        <v>211</v>
      </c>
      <c r="AC209" s="476">
        <f t="shared" si="11"/>
        <v>276</v>
      </c>
      <c r="AD209" s="474">
        <f t="shared" si="12"/>
        <v>344</v>
      </c>
      <c r="AE209" s="474">
        <f t="shared" si="13"/>
        <v>227</v>
      </c>
      <c r="AF209" s="474">
        <f t="shared" si="14"/>
        <v>276</v>
      </c>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464"/>
      <c r="CB209" s="102"/>
      <c r="CC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474">
        <v>207.0</v>
      </c>
      <c r="AB210" s="474">
        <f t="shared" si="10"/>
        <v>212</v>
      </c>
      <c r="AC210" s="476">
        <f t="shared" si="11"/>
        <v>277</v>
      </c>
      <c r="AD210" s="474">
        <f t="shared" si="12"/>
        <v>345</v>
      </c>
      <c r="AE210" s="474">
        <f t="shared" si="13"/>
        <v>228</v>
      </c>
      <c r="AF210" s="474">
        <f t="shared" si="14"/>
        <v>277</v>
      </c>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464"/>
      <c r="CB210" s="102"/>
      <c r="CC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474">
        <v>208.0</v>
      </c>
      <c r="AB211" s="474">
        <f t="shared" si="10"/>
        <v>213</v>
      </c>
      <c r="AC211" s="476">
        <f t="shared" si="11"/>
        <v>278</v>
      </c>
      <c r="AD211" s="474">
        <f t="shared" si="12"/>
        <v>347</v>
      </c>
      <c r="AE211" s="474">
        <f t="shared" si="13"/>
        <v>229</v>
      </c>
      <c r="AF211" s="474">
        <f t="shared" si="14"/>
        <v>278</v>
      </c>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464"/>
      <c r="CB211" s="102"/>
      <c r="CC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474">
        <v>209.0</v>
      </c>
      <c r="AB212" s="474">
        <f t="shared" si="10"/>
        <v>214</v>
      </c>
      <c r="AC212" s="476">
        <f t="shared" si="11"/>
        <v>280</v>
      </c>
      <c r="AD212" s="474">
        <f t="shared" si="12"/>
        <v>349</v>
      </c>
      <c r="AE212" s="474">
        <f t="shared" si="13"/>
        <v>230</v>
      </c>
      <c r="AF212" s="474">
        <f t="shared" si="14"/>
        <v>280</v>
      </c>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464"/>
      <c r="CB212" s="102"/>
      <c r="CC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474">
        <v>210.0</v>
      </c>
      <c r="AB213" s="474">
        <f t="shared" si="10"/>
        <v>215</v>
      </c>
      <c r="AC213" s="476">
        <f t="shared" si="11"/>
        <v>281</v>
      </c>
      <c r="AD213" s="474">
        <f t="shared" si="12"/>
        <v>350</v>
      </c>
      <c r="AE213" s="474">
        <f t="shared" si="13"/>
        <v>231</v>
      </c>
      <c r="AF213" s="474">
        <f t="shared" si="14"/>
        <v>281</v>
      </c>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464"/>
      <c r="CB213" s="102"/>
      <c r="CC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474">
        <v>211.0</v>
      </c>
      <c r="AB214" s="474">
        <f t="shared" si="10"/>
        <v>216</v>
      </c>
      <c r="AC214" s="476">
        <f t="shared" si="11"/>
        <v>282</v>
      </c>
      <c r="AD214" s="474">
        <f t="shared" si="12"/>
        <v>352</v>
      </c>
      <c r="AE214" s="474">
        <f t="shared" si="13"/>
        <v>233</v>
      </c>
      <c r="AF214" s="474">
        <f t="shared" si="14"/>
        <v>282</v>
      </c>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464"/>
      <c r="CB214" s="102"/>
      <c r="CC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474">
        <v>212.0</v>
      </c>
      <c r="AB215" s="474">
        <f t="shared" si="10"/>
        <v>217</v>
      </c>
      <c r="AC215" s="476">
        <f t="shared" si="11"/>
        <v>284</v>
      </c>
      <c r="AD215" s="474">
        <f t="shared" si="12"/>
        <v>354</v>
      </c>
      <c r="AE215" s="474">
        <f t="shared" si="13"/>
        <v>234</v>
      </c>
      <c r="AF215" s="474">
        <f t="shared" si="14"/>
        <v>284</v>
      </c>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c r="BZ215" s="102"/>
      <c r="CA215" s="464"/>
      <c r="CB215" s="102"/>
      <c r="CC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474">
        <v>213.0</v>
      </c>
      <c r="AB216" s="474">
        <f t="shared" si="10"/>
        <v>218</v>
      </c>
      <c r="AC216" s="476">
        <f t="shared" si="11"/>
        <v>285</v>
      </c>
      <c r="AD216" s="474">
        <f t="shared" si="12"/>
        <v>355</v>
      </c>
      <c r="AE216" s="474">
        <f t="shared" si="13"/>
        <v>235</v>
      </c>
      <c r="AF216" s="474">
        <f t="shared" si="14"/>
        <v>285</v>
      </c>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464"/>
      <c r="CB216" s="102"/>
      <c r="CC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474">
        <v>214.0</v>
      </c>
      <c r="AB217" s="474">
        <f t="shared" si="10"/>
        <v>219</v>
      </c>
      <c r="AC217" s="476">
        <f t="shared" si="11"/>
        <v>286</v>
      </c>
      <c r="AD217" s="474">
        <f t="shared" si="12"/>
        <v>357</v>
      </c>
      <c r="AE217" s="474">
        <f t="shared" si="13"/>
        <v>236</v>
      </c>
      <c r="AF217" s="474">
        <f t="shared" si="14"/>
        <v>286</v>
      </c>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464"/>
      <c r="CB217" s="102"/>
      <c r="CC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474">
        <v>215.0</v>
      </c>
      <c r="AB218" s="474">
        <f t="shared" si="10"/>
        <v>220</v>
      </c>
      <c r="AC218" s="476">
        <f t="shared" si="11"/>
        <v>288</v>
      </c>
      <c r="AD218" s="474">
        <f t="shared" si="12"/>
        <v>359</v>
      </c>
      <c r="AE218" s="474">
        <f t="shared" si="13"/>
        <v>237</v>
      </c>
      <c r="AF218" s="474">
        <f t="shared" si="14"/>
        <v>288</v>
      </c>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c r="BZ218" s="102"/>
      <c r="CA218" s="464"/>
      <c r="CB218" s="102"/>
      <c r="CC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474">
        <v>216.0</v>
      </c>
      <c r="AB219" s="474">
        <f t="shared" si="10"/>
        <v>221</v>
      </c>
      <c r="AC219" s="476">
        <f t="shared" si="11"/>
        <v>289</v>
      </c>
      <c r="AD219" s="474">
        <f t="shared" si="12"/>
        <v>360</v>
      </c>
      <c r="AE219" s="474">
        <f t="shared" si="13"/>
        <v>238</v>
      </c>
      <c r="AF219" s="474">
        <f t="shared" si="14"/>
        <v>289</v>
      </c>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c r="BZ219" s="102"/>
      <c r="CA219" s="464"/>
      <c r="CB219" s="102"/>
      <c r="CC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474">
        <v>217.0</v>
      </c>
      <c r="AB220" s="474">
        <f t="shared" si="10"/>
        <v>222</v>
      </c>
      <c r="AC220" s="476">
        <f t="shared" si="11"/>
        <v>290</v>
      </c>
      <c r="AD220" s="474">
        <f t="shared" si="12"/>
        <v>362</v>
      </c>
      <c r="AE220" s="474">
        <f t="shared" si="13"/>
        <v>239</v>
      </c>
      <c r="AF220" s="474">
        <f t="shared" si="14"/>
        <v>290</v>
      </c>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c r="BZ220" s="102"/>
      <c r="CA220" s="464"/>
      <c r="CB220" s="102"/>
      <c r="CC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474">
        <v>218.0</v>
      </c>
      <c r="AB221" s="474">
        <f t="shared" si="10"/>
        <v>223</v>
      </c>
      <c r="AC221" s="476">
        <f t="shared" si="11"/>
        <v>292</v>
      </c>
      <c r="AD221" s="474">
        <f t="shared" si="12"/>
        <v>364</v>
      </c>
      <c r="AE221" s="474">
        <f t="shared" si="13"/>
        <v>240</v>
      </c>
      <c r="AF221" s="474">
        <f t="shared" si="14"/>
        <v>292</v>
      </c>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464"/>
      <c r="CB221" s="102"/>
      <c r="CC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474">
        <v>219.0</v>
      </c>
      <c r="AB222" s="474">
        <f t="shared" si="10"/>
        <v>224</v>
      </c>
      <c r="AC222" s="476">
        <f t="shared" si="11"/>
        <v>293</v>
      </c>
      <c r="AD222" s="474">
        <f t="shared" si="12"/>
        <v>365</v>
      </c>
      <c r="AE222" s="474">
        <f t="shared" si="13"/>
        <v>241</v>
      </c>
      <c r="AF222" s="474">
        <f t="shared" si="14"/>
        <v>293</v>
      </c>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2"/>
      <c r="BU222" s="102"/>
      <c r="BV222" s="102"/>
      <c r="BW222" s="102"/>
      <c r="BX222" s="102"/>
      <c r="BY222" s="102"/>
      <c r="BZ222" s="102"/>
      <c r="CA222" s="464"/>
      <c r="CB222" s="102"/>
      <c r="CC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474">
        <v>220.0</v>
      </c>
      <c r="AB223" s="474">
        <f t="shared" si="10"/>
        <v>225</v>
      </c>
      <c r="AC223" s="476">
        <f t="shared" si="11"/>
        <v>294</v>
      </c>
      <c r="AD223" s="474">
        <f t="shared" si="12"/>
        <v>367</v>
      </c>
      <c r="AE223" s="474">
        <f t="shared" si="13"/>
        <v>242</v>
      </c>
      <c r="AF223" s="474">
        <f t="shared" si="14"/>
        <v>294</v>
      </c>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464"/>
      <c r="CB223" s="102"/>
      <c r="CC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474">
        <v>221.0</v>
      </c>
      <c r="AB224" s="474">
        <f t="shared" si="10"/>
        <v>226</v>
      </c>
      <c r="AC224" s="476">
        <f t="shared" si="11"/>
        <v>296</v>
      </c>
      <c r="AD224" s="474">
        <f t="shared" si="12"/>
        <v>369</v>
      </c>
      <c r="AE224" s="474">
        <f t="shared" si="13"/>
        <v>244</v>
      </c>
      <c r="AF224" s="474">
        <f t="shared" si="14"/>
        <v>296</v>
      </c>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464"/>
      <c r="CB224" s="102"/>
      <c r="CC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474">
        <v>222.0</v>
      </c>
      <c r="AB225" s="474">
        <f t="shared" si="10"/>
        <v>227</v>
      </c>
      <c r="AC225" s="476">
        <f t="shared" si="11"/>
        <v>297</v>
      </c>
      <c r="AD225" s="474">
        <f t="shared" si="12"/>
        <v>370</v>
      </c>
      <c r="AE225" s="474">
        <f t="shared" si="13"/>
        <v>245</v>
      </c>
      <c r="AF225" s="474">
        <f t="shared" si="14"/>
        <v>297</v>
      </c>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464"/>
      <c r="CB225" s="102"/>
      <c r="CC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474">
        <v>223.0</v>
      </c>
      <c r="AB226" s="474">
        <f t="shared" si="10"/>
        <v>228</v>
      </c>
      <c r="AC226" s="476">
        <f t="shared" si="11"/>
        <v>298</v>
      </c>
      <c r="AD226" s="474">
        <f t="shared" si="12"/>
        <v>372</v>
      </c>
      <c r="AE226" s="474">
        <f t="shared" si="13"/>
        <v>246</v>
      </c>
      <c r="AF226" s="474">
        <f t="shared" si="14"/>
        <v>298</v>
      </c>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2"/>
      <c r="BU226" s="102"/>
      <c r="BV226" s="102"/>
      <c r="BW226" s="102"/>
      <c r="BX226" s="102"/>
      <c r="BY226" s="102"/>
      <c r="BZ226" s="102"/>
      <c r="CA226" s="464"/>
      <c r="CB226" s="102"/>
      <c r="CC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474">
        <v>224.0</v>
      </c>
      <c r="AB227" s="474">
        <f t="shared" si="10"/>
        <v>229</v>
      </c>
      <c r="AC227" s="476">
        <f t="shared" si="11"/>
        <v>300</v>
      </c>
      <c r="AD227" s="474">
        <f t="shared" si="12"/>
        <v>374</v>
      </c>
      <c r="AE227" s="474">
        <f t="shared" si="13"/>
        <v>247</v>
      </c>
      <c r="AF227" s="474">
        <f t="shared" si="14"/>
        <v>300</v>
      </c>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2"/>
      <c r="BU227" s="102"/>
      <c r="BV227" s="102"/>
      <c r="BW227" s="102"/>
      <c r="BX227" s="102"/>
      <c r="BY227" s="102"/>
      <c r="BZ227" s="102"/>
      <c r="CA227" s="464"/>
      <c r="CB227" s="102"/>
      <c r="CC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474">
        <v>225.0</v>
      </c>
      <c r="AB228" s="474">
        <f t="shared" si="10"/>
        <v>230</v>
      </c>
      <c r="AC228" s="476">
        <f t="shared" si="11"/>
        <v>301</v>
      </c>
      <c r="AD228" s="474">
        <f t="shared" si="12"/>
        <v>375</v>
      </c>
      <c r="AE228" s="474">
        <f t="shared" si="13"/>
        <v>248</v>
      </c>
      <c r="AF228" s="474">
        <f t="shared" si="14"/>
        <v>301</v>
      </c>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464"/>
      <c r="CB228" s="102"/>
      <c r="CC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474">
        <v>226.0</v>
      </c>
      <c r="AB229" s="474">
        <f t="shared" si="10"/>
        <v>231</v>
      </c>
      <c r="AC229" s="476">
        <f t="shared" si="11"/>
        <v>302</v>
      </c>
      <c r="AD229" s="474">
        <f t="shared" si="12"/>
        <v>377</v>
      </c>
      <c r="AE229" s="474">
        <f t="shared" si="13"/>
        <v>249</v>
      </c>
      <c r="AF229" s="474">
        <f t="shared" si="14"/>
        <v>302</v>
      </c>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2"/>
      <c r="BU229" s="102"/>
      <c r="BV229" s="102"/>
      <c r="BW229" s="102"/>
      <c r="BX229" s="102"/>
      <c r="BY229" s="102"/>
      <c r="BZ229" s="102"/>
      <c r="CA229" s="464"/>
      <c r="CB229" s="102"/>
      <c r="CC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474">
        <v>227.0</v>
      </c>
      <c r="AB230" s="474">
        <f t="shared" si="10"/>
        <v>232</v>
      </c>
      <c r="AC230" s="476">
        <f t="shared" si="11"/>
        <v>304</v>
      </c>
      <c r="AD230" s="474">
        <f t="shared" si="12"/>
        <v>379</v>
      </c>
      <c r="AE230" s="474">
        <f t="shared" si="13"/>
        <v>250</v>
      </c>
      <c r="AF230" s="474">
        <f t="shared" si="14"/>
        <v>304</v>
      </c>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464"/>
      <c r="CB230" s="102"/>
      <c r="CC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474">
        <v>228.0</v>
      </c>
      <c r="AB231" s="474">
        <f t="shared" si="10"/>
        <v>233</v>
      </c>
      <c r="AC231" s="476">
        <f t="shared" si="11"/>
        <v>305</v>
      </c>
      <c r="AD231" s="474">
        <f t="shared" si="12"/>
        <v>380</v>
      </c>
      <c r="AE231" s="474">
        <f t="shared" si="13"/>
        <v>251</v>
      </c>
      <c r="AF231" s="474">
        <f t="shared" si="14"/>
        <v>305</v>
      </c>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464"/>
      <c r="CB231" s="102"/>
      <c r="CC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474">
        <v>229.0</v>
      </c>
      <c r="AB232" s="474">
        <f t="shared" si="10"/>
        <v>234</v>
      </c>
      <c r="AC232" s="476">
        <f t="shared" si="11"/>
        <v>306</v>
      </c>
      <c r="AD232" s="474">
        <f t="shared" si="12"/>
        <v>382</v>
      </c>
      <c r="AE232" s="474">
        <f t="shared" si="13"/>
        <v>252</v>
      </c>
      <c r="AF232" s="474">
        <f t="shared" si="14"/>
        <v>306</v>
      </c>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464"/>
      <c r="CB232" s="102"/>
      <c r="CC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474">
        <v>230.0</v>
      </c>
      <c r="AB233" s="474">
        <f t="shared" si="10"/>
        <v>235</v>
      </c>
      <c r="AC233" s="476">
        <f t="shared" si="11"/>
        <v>308</v>
      </c>
      <c r="AD233" s="474">
        <f t="shared" si="12"/>
        <v>384</v>
      </c>
      <c r="AE233" s="474">
        <f t="shared" si="13"/>
        <v>253</v>
      </c>
      <c r="AF233" s="474">
        <f t="shared" si="14"/>
        <v>308</v>
      </c>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464"/>
      <c r="CB233" s="102"/>
      <c r="CC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474">
        <v>231.0</v>
      </c>
      <c r="AB234" s="474">
        <f t="shared" si="10"/>
        <v>236</v>
      </c>
      <c r="AC234" s="476">
        <f t="shared" si="11"/>
        <v>309</v>
      </c>
      <c r="AD234" s="474">
        <f t="shared" si="12"/>
        <v>385</v>
      </c>
      <c r="AE234" s="474">
        <f t="shared" si="13"/>
        <v>255</v>
      </c>
      <c r="AF234" s="474">
        <f t="shared" si="14"/>
        <v>309</v>
      </c>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464"/>
      <c r="CB234" s="102"/>
      <c r="CC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474">
        <v>232.0</v>
      </c>
      <c r="AB235" s="474">
        <f t="shared" si="10"/>
        <v>237</v>
      </c>
      <c r="AC235" s="476">
        <f t="shared" si="11"/>
        <v>310</v>
      </c>
      <c r="AD235" s="474">
        <f t="shared" si="12"/>
        <v>387</v>
      </c>
      <c r="AE235" s="474">
        <f t="shared" si="13"/>
        <v>256</v>
      </c>
      <c r="AF235" s="474">
        <f t="shared" si="14"/>
        <v>310</v>
      </c>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464"/>
      <c r="CB235" s="102"/>
      <c r="CC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474">
        <v>233.0</v>
      </c>
      <c r="AB236" s="474">
        <f t="shared" si="10"/>
        <v>238</v>
      </c>
      <c r="AC236" s="476">
        <f t="shared" si="11"/>
        <v>312</v>
      </c>
      <c r="AD236" s="474">
        <f t="shared" si="12"/>
        <v>389</v>
      </c>
      <c r="AE236" s="474">
        <f t="shared" si="13"/>
        <v>257</v>
      </c>
      <c r="AF236" s="474">
        <f t="shared" si="14"/>
        <v>312</v>
      </c>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464"/>
      <c r="CB236" s="102"/>
      <c r="CC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474">
        <v>234.0</v>
      </c>
      <c r="AB237" s="474">
        <f t="shared" si="10"/>
        <v>239</v>
      </c>
      <c r="AC237" s="476">
        <f t="shared" si="11"/>
        <v>313</v>
      </c>
      <c r="AD237" s="474">
        <f t="shared" si="12"/>
        <v>390</v>
      </c>
      <c r="AE237" s="474">
        <f t="shared" si="13"/>
        <v>258</v>
      </c>
      <c r="AF237" s="474">
        <f t="shared" si="14"/>
        <v>313</v>
      </c>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2"/>
      <c r="BU237" s="102"/>
      <c r="BV237" s="102"/>
      <c r="BW237" s="102"/>
      <c r="BX237" s="102"/>
      <c r="BY237" s="102"/>
      <c r="BZ237" s="102"/>
      <c r="CA237" s="464"/>
      <c r="CB237" s="102"/>
      <c r="CC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474">
        <v>235.0</v>
      </c>
      <c r="AB238" s="474">
        <f t="shared" si="10"/>
        <v>240</v>
      </c>
      <c r="AC238" s="476">
        <f t="shared" si="11"/>
        <v>314</v>
      </c>
      <c r="AD238" s="474">
        <f t="shared" si="12"/>
        <v>392</v>
      </c>
      <c r="AE238" s="474">
        <f t="shared" si="13"/>
        <v>259</v>
      </c>
      <c r="AF238" s="474">
        <f t="shared" si="14"/>
        <v>314</v>
      </c>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464"/>
      <c r="CB238" s="102"/>
      <c r="CC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474">
        <v>236.0</v>
      </c>
      <c r="AB239" s="474">
        <f t="shared" si="10"/>
        <v>241</v>
      </c>
      <c r="AC239" s="476">
        <f t="shared" si="11"/>
        <v>316</v>
      </c>
      <c r="AD239" s="474">
        <f t="shared" si="12"/>
        <v>394</v>
      </c>
      <c r="AE239" s="474">
        <f t="shared" si="13"/>
        <v>260</v>
      </c>
      <c r="AF239" s="474">
        <f t="shared" si="14"/>
        <v>316</v>
      </c>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464"/>
      <c r="CB239" s="102"/>
      <c r="CC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474">
        <v>237.0</v>
      </c>
      <c r="AB240" s="474">
        <f t="shared" si="10"/>
        <v>242</v>
      </c>
      <c r="AC240" s="476">
        <f t="shared" si="11"/>
        <v>317</v>
      </c>
      <c r="AD240" s="474">
        <f t="shared" si="12"/>
        <v>395</v>
      </c>
      <c r="AE240" s="474">
        <f t="shared" si="13"/>
        <v>261</v>
      </c>
      <c r="AF240" s="474">
        <f t="shared" si="14"/>
        <v>317</v>
      </c>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02"/>
      <c r="CA240" s="464"/>
      <c r="CB240" s="102"/>
      <c r="CC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474">
        <v>238.0</v>
      </c>
      <c r="AB241" s="474">
        <f t="shared" si="10"/>
        <v>243</v>
      </c>
      <c r="AC241" s="476">
        <f t="shared" si="11"/>
        <v>318</v>
      </c>
      <c r="AD241" s="474">
        <f t="shared" si="12"/>
        <v>397</v>
      </c>
      <c r="AE241" s="474">
        <f t="shared" si="13"/>
        <v>262</v>
      </c>
      <c r="AF241" s="474">
        <f t="shared" si="14"/>
        <v>318</v>
      </c>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464"/>
      <c r="CB241" s="102"/>
      <c r="CC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474">
        <v>239.0</v>
      </c>
      <c r="AB242" s="474">
        <f t="shared" si="10"/>
        <v>244</v>
      </c>
      <c r="AC242" s="476">
        <f t="shared" si="11"/>
        <v>320</v>
      </c>
      <c r="AD242" s="474">
        <f t="shared" si="12"/>
        <v>399</v>
      </c>
      <c r="AE242" s="474">
        <f t="shared" si="13"/>
        <v>263</v>
      </c>
      <c r="AF242" s="474">
        <f t="shared" si="14"/>
        <v>320</v>
      </c>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464"/>
      <c r="CB242" s="102"/>
      <c r="CC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474">
        <v>240.0</v>
      </c>
      <c r="AB243" s="474">
        <f t="shared" si="10"/>
        <v>245</v>
      </c>
      <c r="AC243" s="476">
        <f t="shared" si="11"/>
        <v>321</v>
      </c>
      <c r="AD243" s="474">
        <f t="shared" si="12"/>
        <v>400</v>
      </c>
      <c r="AE243" s="474">
        <f t="shared" si="13"/>
        <v>264</v>
      </c>
      <c r="AF243" s="474">
        <f t="shared" si="14"/>
        <v>321</v>
      </c>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2"/>
      <c r="BU243" s="102"/>
      <c r="BV243" s="102"/>
      <c r="BW243" s="102"/>
      <c r="BX243" s="102"/>
      <c r="BY243" s="102"/>
      <c r="BZ243" s="102"/>
      <c r="CA243" s="464"/>
      <c r="CB243" s="102"/>
      <c r="CC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474">
        <v>241.0</v>
      </c>
      <c r="AB244" s="474">
        <f t="shared" si="10"/>
        <v>246</v>
      </c>
      <c r="AC244" s="476">
        <f t="shared" si="11"/>
        <v>322</v>
      </c>
      <c r="AD244" s="474">
        <f t="shared" si="12"/>
        <v>402</v>
      </c>
      <c r="AE244" s="474">
        <f t="shared" si="13"/>
        <v>266</v>
      </c>
      <c r="AF244" s="474">
        <f t="shared" si="14"/>
        <v>322</v>
      </c>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c r="BZ244" s="102"/>
      <c r="CA244" s="464"/>
      <c r="CB244" s="102"/>
      <c r="CC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474">
        <v>242.0</v>
      </c>
      <c r="AB245" s="474">
        <f t="shared" si="10"/>
        <v>247</v>
      </c>
      <c r="AC245" s="476">
        <f t="shared" si="11"/>
        <v>324</v>
      </c>
      <c r="AD245" s="474">
        <f t="shared" si="12"/>
        <v>404</v>
      </c>
      <c r="AE245" s="474">
        <f t="shared" si="13"/>
        <v>267</v>
      </c>
      <c r="AF245" s="474">
        <f t="shared" si="14"/>
        <v>324</v>
      </c>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c r="BZ245" s="102"/>
      <c r="CA245" s="464"/>
      <c r="CB245" s="102"/>
      <c r="CC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474">
        <v>243.0</v>
      </c>
      <c r="AB246" s="474">
        <f t="shared" si="10"/>
        <v>248</v>
      </c>
      <c r="AC246" s="476">
        <f t="shared" si="11"/>
        <v>325</v>
      </c>
      <c r="AD246" s="474">
        <f t="shared" si="12"/>
        <v>405</v>
      </c>
      <c r="AE246" s="474">
        <f t="shared" si="13"/>
        <v>268</v>
      </c>
      <c r="AF246" s="474">
        <f t="shared" si="14"/>
        <v>325</v>
      </c>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464"/>
      <c r="CB246" s="102"/>
      <c r="CC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474">
        <v>244.0</v>
      </c>
      <c r="AB247" s="474">
        <f t="shared" si="10"/>
        <v>249</v>
      </c>
      <c r="AC247" s="476">
        <f t="shared" si="11"/>
        <v>326</v>
      </c>
      <c r="AD247" s="474">
        <f t="shared" si="12"/>
        <v>407</v>
      </c>
      <c r="AE247" s="474">
        <f t="shared" si="13"/>
        <v>269</v>
      </c>
      <c r="AF247" s="474">
        <f t="shared" si="14"/>
        <v>326</v>
      </c>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464"/>
      <c r="CB247" s="102"/>
      <c r="CC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474">
        <v>245.0</v>
      </c>
      <c r="AB248" s="474">
        <f t="shared" si="10"/>
        <v>250</v>
      </c>
      <c r="AC248" s="476">
        <f t="shared" si="11"/>
        <v>328</v>
      </c>
      <c r="AD248" s="474">
        <f t="shared" si="12"/>
        <v>409</v>
      </c>
      <c r="AE248" s="474">
        <f t="shared" si="13"/>
        <v>270</v>
      </c>
      <c r="AF248" s="474">
        <f t="shared" si="14"/>
        <v>328</v>
      </c>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464"/>
      <c r="CB248" s="102"/>
      <c r="CC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474">
        <v>246.0</v>
      </c>
      <c r="AB249" s="474">
        <f t="shared" si="10"/>
        <v>251</v>
      </c>
      <c r="AC249" s="476">
        <f t="shared" si="11"/>
        <v>329</v>
      </c>
      <c r="AD249" s="474">
        <f t="shared" si="12"/>
        <v>410</v>
      </c>
      <c r="AE249" s="474">
        <f t="shared" si="13"/>
        <v>271</v>
      </c>
      <c r="AF249" s="474">
        <f t="shared" si="14"/>
        <v>329</v>
      </c>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464"/>
      <c r="CB249" s="102"/>
      <c r="CC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474">
        <v>247.0</v>
      </c>
      <c r="AB250" s="474">
        <f t="shared" si="10"/>
        <v>252</v>
      </c>
      <c r="AC250" s="476">
        <f t="shared" si="11"/>
        <v>330</v>
      </c>
      <c r="AD250" s="474">
        <f t="shared" si="12"/>
        <v>412</v>
      </c>
      <c r="AE250" s="474">
        <f t="shared" si="13"/>
        <v>272</v>
      </c>
      <c r="AF250" s="474">
        <f t="shared" si="14"/>
        <v>330</v>
      </c>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464"/>
      <c r="CB250" s="102"/>
      <c r="CC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474">
        <v>248.0</v>
      </c>
      <c r="AB251" s="474">
        <f t="shared" si="10"/>
        <v>253</v>
      </c>
      <c r="AC251" s="476">
        <f t="shared" si="11"/>
        <v>332</v>
      </c>
      <c r="AD251" s="474">
        <f t="shared" si="12"/>
        <v>414</v>
      </c>
      <c r="AE251" s="474">
        <f t="shared" si="13"/>
        <v>273</v>
      </c>
      <c r="AF251" s="474">
        <f t="shared" si="14"/>
        <v>332</v>
      </c>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464"/>
      <c r="CB251" s="102"/>
      <c r="CC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474">
        <v>249.0</v>
      </c>
      <c r="AB252" s="474">
        <f t="shared" si="10"/>
        <v>254</v>
      </c>
      <c r="AC252" s="476">
        <f t="shared" si="11"/>
        <v>333</v>
      </c>
      <c r="AD252" s="474">
        <f t="shared" si="12"/>
        <v>415</v>
      </c>
      <c r="AE252" s="474">
        <f t="shared" si="13"/>
        <v>274</v>
      </c>
      <c r="AF252" s="474">
        <f t="shared" si="14"/>
        <v>333</v>
      </c>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464"/>
      <c r="CB252" s="102"/>
      <c r="CC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474">
        <v>250.0</v>
      </c>
      <c r="AB253" s="474">
        <f t="shared" si="10"/>
        <v>255</v>
      </c>
      <c r="AC253" s="476">
        <f t="shared" si="11"/>
        <v>335</v>
      </c>
      <c r="AD253" s="474">
        <f t="shared" si="12"/>
        <v>417</v>
      </c>
      <c r="AE253" s="474">
        <f t="shared" si="13"/>
        <v>275</v>
      </c>
      <c r="AF253" s="474">
        <f t="shared" si="14"/>
        <v>335</v>
      </c>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464"/>
      <c r="CB253" s="102"/>
      <c r="CC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474">
        <v>251.0</v>
      </c>
      <c r="AB254" s="474">
        <f t="shared" si="10"/>
        <v>256</v>
      </c>
      <c r="AC254" s="476">
        <f t="shared" si="11"/>
        <v>336</v>
      </c>
      <c r="AD254" s="474">
        <f t="shared" si="12"/>
        <v>419</v>
      </c>
      <c r="AE254" s="474">
        <f t="shared" si="13"/>
        <v>277</v>
      </c>
      <c r="AF254" s="474">
        <f t="shared" si="14"/>
        <v>336</v>
      </c>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464"/>
      <c r="CB254" s="102"/>
      <c r="CC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474">
        <v>252.0</v>
      </c>
      <c r="AB255" s="474">
        <f t="shared" si="10"/>
        <v>257</v>
      </c>
      <c r="AC255" s="476">
        <f t="shared" si="11"/>
        <v>337</v>
      </c>
      <c r="AD255" s="474">
        <f t="shared" si="12"/>
        <v>420</v>
      </c>
      <c r="AE255" s="474">
        <f t="shared" si="13"/>
        <v>278</v>
      </c>
      <c r="AF255" s="474">
        <f t="shared" si="14"/>
        <v>337</v>
      </c>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2"/>
      <c r="BU255" s="102"/>
      <c r="BV255" s="102"/>
      <c r="BW255" s="102"/>
      <c r="BX255" s="102"/>
      <c r="BY255" s="102"/>
      <c r="BZ255" s="102"/>
      <c r="CA255" s="464"/>
      <c r="CB255" s="102"/>
      <c r="CC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474">
        <v>253.0</v>
      </c>
      <c r="AB256" s="474">
        <f t="shared" si="10"/>
        <v>258</v>
      </c>
      <c r="AC256" s="476">
        <f t="shared" si="11"/>
        <v>339</v>
      </c>
      <c r="AD256" s="474">
        <f t="shared" si="12"/>
        <v>422</v>
      </c>
      <c r="AE256" s="474">
        <f t="shared" si="13"/>
        <v>279</v>
      </c>
      <c r="AF256" s="474">
        <f t="shared" si="14"/>
        <v>339</v>
      </c>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464"/>
      <c r="CB256" s="102"/>
      <c r="CC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474">
        <v>254.0</v>
      </c>
      <c r="AB257" s="474">
        <f t="shared" si="10"/>
        <v>259</v>
      </c>
      <c r="AC257" s="476">
        <f t="shared" si="11"/>
        <v>340</v>
      </c>
      <c r="AD257" s="474">
        <f t="shared" si="12"/>
        <v>424</v>
      </c>
      <c r="AE257" s="474">
        <f t="shared" si="13"/>
        <v>280</v>
      </c>
      <c r="AF257" s="474">
        <f t="shared" si="14"/>
        <v>340</v>
      </c>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464"/>
      <c r="CB257" s="102"/>
      <c r="CC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474">
        <v>255.0</v>
      </c>
      <c r="AB258" s="474">
        <f t="shared" si="10"/>
        <v>260</v>
      </c>
      <c r="AC258" s="476">
        <f t="shared" si="11"/>
        <v>341</v>
      </c>
      <c r="AD258" s="474">
        <f t="shared" si="12"/>
        <v>425</v>
      </c>
      <c r="AE258" s="474">
        <f t="shared" si="13"/>
        <v>281</v>
      </c>
      <c r="AF258" s="474">
        <f t="shared" si="14"/>
        <v>341</v>
      </c>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464"/>
      <c r="CB258" s="102"/>
      <c r="CC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474">
        <v>256.0</v>
      </c>
      <c r="AB259" s="474">
        <f t="shared" si="10"/>
        <v>261</v>
      </c>
      <c r="AC259" s="476">
        <f t="shared" si="11"/>
        <v>343</v>
      </c>
      <c r="AD259" s="474">
        <f t="shared" si="12"/>
        <v>427</v>
      </c>
      <c r="AE259" s="474">
        <f t="shared" si="13"/>
        <v>282</v>
      </c>
      <c r="AF259" s="474">
        <f t="shared" si="14"/>
        <v>343</v>
      </c>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2"/>
      <c r="BU259" s="102"/>
      <c r="BV259" s="102"/>
      <c r="BW259" s="102"/>
      <c r="BX259" s="102"/>
      <c r="BY259" s="102"/>
      <c r="BZ259" s="102"/>
      <c r="CA259" s="464"/>
      <c r="CB259" s="102"/>
      <c r="CC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474">
        <v>257.0</v>
      </c>
      <c r="AB260" s="474">
        <f t="shared" si="10"/>
        <v>262</v>
      </c>
      <c r="AC260" s="476">
        <f t="shared" si="11"/>
        <v>344</v>
      </c>
      <c r="AD260" s="474">
        <f t="shared" si="12"/>
        <v>429</v>
      </c>
      <c r="AE260" s="474">
        <f t="shared" si="13"/>
        <v>283</v>
      </c>
      <c r="AF260" s="474">
        <f t="shared" si="14"/>
        <v>344</v>
      </c>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2"/>
      <c r="BU260" s="102"/>
      <c r="BV260" s="102"/>
      <c r="BW260" s="102"/>
      <c r="BX260" s="102"/>
      <c r="BY260" s="102"/>
      <c r="BZ260" s="102"/>
      <c r="CA260" s="464"/>
      <c r="CB260" s="102"/>
      <c r="CC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474">
        <v>258.0</v>
      </c>
      <c r="AB261" s="474">
        <f t="shared" si="10"/>
        <v>263</v>
      </c>
      <c r="AC261" s="476">
        <f t="shared" si="11"/>
        <v>345</v>
      </c>
      <c r="AD261" s="474">
        <f t="shared" si="12"/>
        <v>430</v>
      </c>
      <c r="AE261" s="474">
        <f t="shared" si="13"/>
        <v>284</v>
      </c>
      <c r="AF261" s="474">
        <f t="shared" si="14"/>
        <v>345</v>
      </c>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2"/>
      <c r="BU261" s="102"/>
      <c r="BV261" s="102"/>
      <c r="BW261" s="102"/>
      <c r="BX261" s="102"/>
      <c r="BY261" s="102"/>
      <c r="BZ261" s="102"/>
      <c r="CA261" s="464"/>
      <c r="CB261" s="102"/>
      <c r="CC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474">
        <v>259.0</v>
      </c>
      <c r="AB262" s="474">
        <f t="shared" si="10"/>
        <v>264</v>
      </c>
      <c r="AC262" s="476">
        <f t="shared" si="11"/>
        <v>347</v>
      </c>
      <c r="AD262" s="474">
        <f t="shared" si="12"/>
        <v>432</v>
      </c>
      <c r="AE262" s="474">
        <f t="shared" si="13"/>
        <v>285</v>
      </c>
      <c r="AF262" s="474">
        <f t="shared" si="14"/>
        <v>347</v>
      </c>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464"/>
      <c r="CB262" s="102"/>
      <c r="CC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474">
        <v>260.0</v>
      </c>
      <c r="AB263" s="474">
        <f t="shared" si="10"/>
        <v>265</v>
      </c>
      <c r="AC263" s="476">
        <f t="shared" si="11"/>
        <v>348</v>
      </c>
      <c r="AD263" s="474">
        <f t="shared" si="12"/>
        <v>434</v>
      </c>
      <c r="AE263" s="474">
        <f t="shared" si="13"/>
        <v>286</v>
      </c>
      <c r="AF263" s="474">
        <f t="shared" si="14"/>
        <v>348</v>
      </c>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2"/>
      <c r="BU263" s="102"/>
      <c r="BV263" s="102"/>
      <c r="BW263" s="102"/>
      <c r="BX263" s="102"/>
      <c r="BY263" s="102"/>
      <c r="BZ263" s="102"/>
      <c r="CA263" s="464"/>
      <c r="CB263" s="102"/>
      <c r="CC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474">
        <v>261.0</v>
      </c>
      <c r="AB264" s="474">
        <f t="shared" si="10"/>
        <v>266</v>
      </c>
      <c r="AC264" s="476">
        <f t="shared" si="11"/>
        <v>349</v>
      </c>
      <c r="AD264" s="474">
        <f t="shared" si="12"/>
        <v>435</v>
      </c>
      <c r="AE264" s="474">
        <f t="shared" si="13"/>
        <v>288</v>
      </c>
      <c r="AF264" s="474">
        <f t="shared" si="14"/>
        <v>349</v>
      </c>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02"/>
      <c r="CA264" s="464"/>
      <c r="CB264" s="102"/>
      <c r="CC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474">
        <v>262.0</v>
      </c>
      <c r="AB265" s="474">
        <f t="shared" si="10"/>
        <v>267</v>
      </c>
      <c r="AC265" s="476">
        <f t="shared" si="11"/>
        <v>351</v>
      </c>
      <c r="AD265" s="474">
        <f t="shared" si="12"/>
        <v>437</v>
      </c>
      <c r="AE265" s="474">
        <f t="shared" si="13"/>
        <v>289</v>
      </c>
      <c r="AF265" s="474">
        <f t="shared" si="14"/>
        <v>351</v>
      </c>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c r="BZ265" s="102"/>
      <c r="CA265" s="464"/>
      <c r="CB265" s="102"/>
      <c r="CC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474">
        <v>263.0</v>
      </c>
      <c r="AB266" s="474">
        <f t="shared" si="10"/>
        <v>268</v>
      </c>
      <c r="AC266" s="476">
        <f t="shared" si="11"/>
        <v>352</v>
      </c>
      <c r="AD266" s="474">
        <f t="shared" si="12"/>
        <v>439</v>
      </c>
      <c r="AE266" s="474">
        <f t="shared" si="13"/>
        <v>290</v>
      </c>
      <c r="AF266" s="474">
        <f t="shared" si="14"/>
        <v>352</v>
      </c>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464"/>
      <c r="CB266" s="102"/>
      <c r="CC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474">
        <v>264.0</v>
      </c>
      <c r="AB267" s="474">
        <f t="shared" si="10"/>
        <v>269</v>
      </c>
      <c r="AC267" s="476">
        <f t="shared" si="11"/>
        <v>353</v>
      </c>
      <c r="AD267" s="474">
        <f t="shared" si="12"/>
        <v>440</v>
      </c>
      <c r="AE267" s="474">
        <f t="shared" si="13"/>
        <v>291</v>
      </c>
      <c r="AF267" s="474">
        <f t="shared" si="14"/>
        <v>353</v>
      </c>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464"/>
      <c r="CB267" s="102"/>
      <c r="CC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474">
        <v>265.0</v>
      </c>
      <c r="AB268" s="474">
        <f t="shared" si="10"/>
        <v>270</v>
      </c>
      <c r="AC268" s="476">
        <f t="shared" si="11"/>
        <v>355</v>
      </c>
      <c r="AD268" s="474">
        <f t="shared" si="12"/>
        <v>442</v>
      </c>
      <c r="AE268" s="474">
        <f t="shared" si="13"/>
        <v>292</v>
      </c>
      <c r="AF268" s="474">
        <f t="shared" si="14"/>
        <v>355</v>
      </c>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464"/>
      <c r="CB268" s="102"/>
      <c r="CC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474">
        <v>266.0</v>
      </c>
      <c r="AB269" s="474">
        <f t="shared" si="10"/>
        <v>271</v>
      </c>
      <c r="AC269" s="476">
        <f t="shared" si="11"/>
        <v>356</v>
      </c>
      <c r="AD269" s="474">
        <f t="shared" si="12"/>
        <v>444</v>
      </c>
      <c r="AE269" s="474">
        <f t="shared" si="13"/>
        <v>293</v>
      </c>
      <c r="AF269" s="474">
        <f t="shared" si="14"/>
        <v>356</v>
      </c>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464"/>
      <c r="CB269" s="102"/>
      <c r="CC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474">
        <v>267.0</v>
      </c>
      <c r="AB270" s="474">
        <f t="shared" si="10"/>
        <v>272</v>
      </c>
      <c r="AC270" s="476">
        <f t="shared" si="11"/>
        <v>357</v>
      </c>
      <c r="AD270" s="474">
        <f t="shared" si="12"/>
        <v>445</v>
      </c>
      <c r="AE270" s="474">
        <f t="shared" si="13"/>
        <v>294</v>
      </c>
      <c r="AF270" s="474">
        <f t="shared" si="14"/>
        <v>357</v>
      </c>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464"/>
      <c r="CB270" s="102"/>
      <c r="CC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474">
        <v>268.0</v>
      </c>
      <c r="AB271" s="474">
        <f t="shared" si="10"/>
        <v>273</v>
      </c>
      <c r="AC271" s="476">
        <f t="shared" si="11"/>
        <v>359</v>
      </c>
      <c r="AD271" s="474">
        <f t="shared" si="12"/>
        <v>447</v>
      </c>
      <c r="AE271" s="474">
        <f t="shared" si="13"/>
        <v>295</v>
      </c>
      <c r="AF271" s="474">
        <f t="shared" si="14"/>
        <v>359</v>
      </c>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464"/>
      <c r="CB271" s="102"/>
      <c r="CC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474">
        <v>269.0</v>
      </c>
      <c r="AB272" s="474">
        <f t="shared" si="10"/>
        <v>274</v>
      </c>
      <c r="AC272" s="476">
        <f t="shared" si="11"/>
        <v>360</v>
      </c>
      <c r="AD272" s="474">
        <f t="shared" si="12"/>
        <v>449</v>
      </c>
      <c r="AE272" s="474">
        <f t="shared" si="13"/>
        <v>296</v>
      </c>
      <c r="AF272" s="474">
        <f t="shared" si="14"/>
        <v>360</v>
      </c>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464"/>
      <c r="CB272" s="102"/>
      <c r="CC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474">
        <v>270.0</v>
      </c>
      <c r="AB273" s="474">
        <f t="shared" si="10"/>
        <v>275</v>
      </c>
      <c r="AC273" s="476">
        <f t="shared" si="11"/>
        <v>361</v>
      </c>
      <c r="AD273" s="474">
        <f t="shared" si="12"/>
        <v>450</v>
      </c>
      <c r="AE273" s="474">
        <f t="shared" si="13"/>
        <v>297</v>
      </c>
      <c r="AF273" s="474">
        <f t="shared" si="14"/>
        <v>361</v>
      </c>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464"/>
      <c r="CB273" s="102"/>
      <c r="CC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474">
        <v>271.0</v>
      </c>
      <c r="AB274" s="474">
        <f t="shared" si="10"/>
        <v>276</v>
      </c>
      <c r="AC274" s="476">
        <f t="shared" si="11"/>
        <v>363</v>
      </c>
      <c r="AD274" s="474">
        <f t="shared" si="12"/>
        <v>452</v>
      </c>
      <c r="AE274" s="474">
        <f t="shared" si="13"/>
        <v>299</v>
      </c>
      <c r="AF274" s="474">
        <f t="shared" si="14"/>
        <v>363</v>
      </c>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464"/>
      <c r="CB274" s="102"/>
      <c r="CC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474">
        <v>272.0</v>
      </c>
      <c r="AB275" s="474">
        <f t="shared" si="10"/>
        <v>277</v>
      </c>
      <c r="AC275" s="476">
        <f t="shared" si="11"/>
        <v>364</v>
      </c>
      <c r="AD275" s="474">
        <f t="shared" si="12"/>
        <v>454</v>
      </c>
      <c r="AE275" s="474">
        <f t="shared" si="13"/>
        <v>300</v>
      </c>
      <c r="AF275" s="474">
        <f t="shared" si="14"/>
        <v>364</v>
      </c>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c r="BY275" s="102"/>
      <c r="BZ275" s="102"/>
      <c r="CA275" s="464"/>
      <c r="CB275" s="102"/>
      <c r="CC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474">
        <v>273.0</v>
      </c>
      <c r="AB276" s="474">
        <f t="shared" si="10"/>
        <v>278</v>
      </c>
      <c r="AC276" s="476">
        <f t="shared" si="11"/>
        <v>365</v>
      </c>
      <c r="AD276" s="474">
        <f t="shared" si="12"/>
        <v>455</v>
      </c>
      <c r="AE276" s="474">
        <f t="shared" si="13"/>
        <v>301</v>
      </c>
      <c r="AF276" s="474">
        <f t="shared" si="14"/>
        <v>365</v>
      </c>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464"/>
      <c r="CB276" s="102"/>
      <c r="CC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474">
        <v>274.0</v>
      </c>
      <c r="AB277" s="474">
        <f t="shared" si="10"/>
        <v>279</v>
      </c>
      <c r="AC277" s="476">
        <f t="shared" si="11"/>
        <v>367</v>
      </c>
      <c r="AD277" s="474">
        <f t="shared" si="12"/>
        <v>457</v>
      </c>
      <c r="AE277" s="474">
        <f t="shared" si="13"/>
        <v>302</v>
      </c>
      <c r="AF277" s="474">
        <f t="shared" si="14"/>
        <v>367</v>
      </c>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464"/>
      <c r="CB277" s="102"/>
      <c r="CC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474">
        <v>275.0</v>
      </c>
      <c r="AB278" s="474">
        <f t="shared" si="10"/>
        <v>280</v>
      </c>
      <c r="AC278" s="476">
        <f t="shared" si="11"/>
        <v>368</v>
      </c>
      <c r="AD278" s="474">
        <f t="shared" si="12"/>
        <v>459</v>
      </c>
      <c r="AE278" s="474">
        <f t="shared" si="13"/>
        <v>303</v>
      </c>
      <c r="AF278" s="474">
        <f t="shared" si="14"/>
        <v>368</v>
      </c>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2"/>
      <c r="BU278" s="102"/>
      <c r="BV278" s="102"/>
      <c r="BW278" s="102"/>
      <c r="BX278" s="102"/>
      <c r="BY278" s="102"/>
      <c r="BZ278" s="102"/>
      <c r="CA278" s="464"/>
      <c r="CB278" s="102"/>
      <c r="CC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474">
        <v>276.0</v>
      </c>
      <c r="AB279" s="474">
        <f t="shared" si="10"/>
        <v>281</v>
      </c>
      <c r="AC279" s="476">
        <f t="shared" si="11"/>
        <v>369</v>
      </c>
      <c r="AD279" s="474">
        <f t="shared" si="12"/>
        <v>460</v>
      </c>
      <c r="AE279" s="474">
        <f t="shared" si="13"/>
        <v>304</v>
      </c>
      <c r="AF279" s="474">
        <f t="shared" si="14"/>
        <v>369</v>
      </c>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c r="BY279" s="102"/>
      <c r="BZ279" s="102"/>
      <c r="CA279" s="464"/>
      <c r="CB279" s="102"/>
      <c r="CC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474">
        <v>277.0</v>
      </c>
      <c r="AB280" s="474">
        <f t="shared" si="10"/>
        <v>282</v>
      </c>
      <c r="AC280" s="476">
        <f t="shared" si="11"/>
        <v>371</v>
      </c>
      <c r="AD280" s="474">
        <f t="shared" si="12"/>
        <v>462</v>
      </c>
      <c r="AE280" s="474">
        <f t="shared" si="13"/>
        <v>305</v>
      </c>
      <c r="AF280" s="474">
        <f t="shared" si="14"/>
        <v>371</v>
      </c>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464"/>
      <c r="CB280" s="102"/>
      <c r="CC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474">
        <v>278.0</v>
      </c>
      <c r="AB281" s="474">
        <f t="shared" si="10"/>
        <v>283</v>
      </c>
      <c r="AC281" s="476">
        <f t="shared" si="11"/>
        <v>372</v>
      </c>
      <c r="AD281" s="474">
        <f t="shared" si="12"/>
        <v>464</v>
      </c>
      <c r="AE281" s="474">
        <f t="shared" si="13"/>
        <v>306</v>
      </c>
      <c r="AF281" s="474">
        <f t="shared" si="14"/>
        <v>372</v>
      </c>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464"/>
      <c r="CB281" s="102"/>
      <c r="CC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474">
        <v>279.0</v>
      </c>
      <c r="AB282" s="474">
        <f t="shared" si="10"/>
        <v>284</v>
      </c>
      <c r="AC282" s="476">
        <f t="shared" si="11"/>
        <v>373</v>
      </c>
      <c r="AD282" s="474">
        <f t="shared" si="12"/>
        <v>465</v>
      </c>
      <c r="AE282" s="474">
        <f t="shared" si="13"/>
        <v>307</v>
      </c>
      <c r="AF282" s="474">
        <f t="shared" si="14"/>
        <v>373</v>
      </c>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2"/>
      <c r="BU282" s="102"/>
      <c r="BV282" s="102"/>
      <c r="BW282" s="102"/>
      <c r="BX282" s="102"/>
      <c r="BY282" s="102"/>
      <c r="BZ282" s="102"/>
      <c r="CA282" s="464"/>
      <c r="CB282" s="102"/>
      <c r="CC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474">
        <v>280.0</v>
      </c>
      <c r="AB283" s="474">
        <f t="shared" si="10"/>
        <v>285</v>
      </c>
      <c r="AC283" s="476">
        <f t="shared" si="11"/>
        <v>375</v>
      </c>
      <c r="AD283" s="474">
        <f t="shared" si="12"/>
        <v>467</v>
      </c>
      <c r="AE283" s="474">
        <f t="shared" si="13"/>
        <v>308</v>
      </c>
      <c r="AF283" s="474">
        <f t="shared" si="14"/>
        <v>375</v>
      </c>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2"/>
      <c r="BU283" s="102"/>
      <c r="BV283" s="102"/>
      <c r="BW283" s="102"/>
      <c r="BX283" s="102"/>
      <c r="BY283" s="102"/>
      <c r="BZ283" s="102"/>
      <c r="CA283" s="464"/>
      <c r="CB283" s="102"/>
      <c r="CC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474">
        <v>281.0</v>
      </c>
      <c r="AB284" s="474">
        <f t="shared" si="10"/>
        <v>286</v>
      </c>
      <c r="AC284" s="476">
        <f t="shared" si="11"/>
        <v>376</v>
      </c>
      <c r="AD284" s="474">
        <f t="shared" si="12"/>
        <v>469</v>
      </c>
      <c r="AE284" s="474">
        <f t="shared" si="13"/>
        <v>310</v>
      </c>
      <c r="AF284" s="474">
        <f t="shared" si="14"/>
        <v>376</v>
      </c>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2"/>
      <c r="BU284" s="102"/>
      <c r="BV284" s="102"/>
      <c r="BW284" s="102"/>
      <c r="BX284" s="102"/>
      <c r="BY284" s="102"/>
      <c r="BZ284" s="102"/>
      <c r="CA284" s="464"/>
      <c r="CB284" s="102"/>
      <c r="CC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474">
        <v>282.0</v>
      </c>
      <c r="AB285" s="474">
        <f t="shared" si="10"/>
        <v>287</v>
      </c>
      <c r="AC285" s="476">
        <f t="shared" si="11"/>
        <v>377</v>
      </c>
      <c r="AD285" s="474">
        <f t="shared" si="12"/>
        <v>470</v>
      </c>
      <c r="AE285" s="474">
        <f t="shared" si="13"/>
        <v>311</v>
      </c>
      <c r="AF285" s="474">
        <f t="shared" si="14"/>
        <v>377</v>
      </c>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2"/>
      <c r="BU285" s="102"/>
      <c r="BV285" s="102"/>
      <c r="BW285" s="102"/>
      <c r="BX285" s="102"/>
      <c r="BY285" s="102"/>
      <c r="BZ285" s="102"/>
      <c r="CA285" s="464"/>
      <c r="CB285" s="102"/>
      <c r="CC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474">
        <v>283.0</v>
      </c>
      <c r="AB286" s="474">
        <f t="shared" si="10"/>
        <v>288</v>
      </c>
      <c r="AC286" s="476">
        <f t="shared" si="11"/>
        <v>379</v>
      </c>
      <c r="AD286" s="474">
        <f t="shared" si="12"/>
        <v>472</v>
      </c>
      <c r="AE286" s="474">
        <f t="shared" si="13"/>
        <v>312</v>
      </c>
      <c r="AF286" s="474">
        <f t="shared" si="14"/>
        <v>379</v>
      </c>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464"/>
      <c r="CB286" s="102"/>
      <c r="CC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474">
        <v>284.0</v>
      </c>
      <c r="AB287" s="474">
        <f t="shared" si="10"/>
        <v>289</v>
      </c>
      <c r="AC287" s="476">
        <f t="shared" si="11"/>
        <v>380</v>
      </c>
      <c r="AD287" s="474">
        <f t="shared" si="12"/>
        <v>474</v>
      </c>
      <c r="AE287" s="474">
        <f t="shared" si="13"/>
        <v>313</v>
      </c>
      <c r="AF287" s="474">
        <f t="shared" si="14"/>
        <v>380</v>
      </c>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464"/>
      <c r="CB287" s="102"/>
      <c r="CC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474">
        <v>285.0</v>
      </c>
      <c r="AB288" s="474">
        <f t="shared" si="10"/>
        <v>290</v>
      </c>
      <c r="AC288" s="476">
        <f t="shared" si="11"/>
        <v>381</v>
      </c>
      <c r="AD288" s="474">
        <f t="shared" si="12"/>
        <v>475</v>
      </c>
      <c r="AE288" s="474">
        <f t="shared" si="13"/>
        <v>314</v>
      </c>
      <c r="AF288" s="474">
        <f t="shared" si="14"/>
        <v>381</v>
      </c>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464"/>
      <c r="CB288" s="102"/>
      <c r="CC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474">
        <v>286.0</v>
      </c>
      <c r="AB289" s="474">
        <f t="shared" si="10"/>
        <v>291</v>
      </c>
      <c r="AC289" s="476">
        <f t="shared" si="11"/>
        <v>383</v>
      </c>
      <c r="AD289" s="474">
        <f t="shared" si="12"/>
        <v>477</v>
      </c>
      <c r="AE289" s="474">
        <f t="shared" si="13"/>
        <v>315</v>
      </c>
      <c r="AF289" s="474">
        <f t="shared" si="14"/>
        <v>383</v>
      </c>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2"/>
      <c r="BU289" s="102"/>
      <c r="BV289" s="102"/>
      <c r="BW289" s="102"/>
      <c r="BX289" s="102"/>
      <c r="BY289" s="102"/>
      <c r="BZ289" s="102"/>
      <c r="CA289" s="464"/>
      <c r="CB289" s="102"/>
      <c r="CC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474">
        <v>287.0</v>
      </c>
      <c r="AB290" s="474">
        <f t="shared" si="10"/>
        <v>292</v>
      </c>
      <c r="AC290" s="476">
        <f t="shared" si="11"/>
        <v>384</v>
      </c>
      <c r="AD290" s="474">
        <f t="shared" si="12"/>
        <v>479</v>
      </c>
      <c r="AE290" s="474">
        <f t="shared" si="13"/>
        <v>316</v>
      </c>
      <c r="AF290" s="474">
        <f t="shared" si="14"/>
        <v>384</v>
      </c>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464"/>
      <c r="CB290" s="102"/>
      <c r="CC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474">
        <v>288.0</v>
      </c>
      <c r="AB291" s="474">
        <f t="shared" si="10"/>
        <v>293</v>
      </c>
      <c r="AC291" s="476">
        <f t="shared" si="11"/>
        <v>385</v>
      </c>
      <c r="AD291" s="474">
        <f t="shared" si="12"/>
        <v>480</v>
      </c>
      <c r="AE291" s="474">
        <f t="shared" si="13"/>
        <v>317</v>
      </c>
      <c r="AF291" s="474">
        <f t="shared" si="14"/>
        <v>385</v>
      </c>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464"/>
      <c r="CB291" s="102"/>
      <c r="CC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474">
        <v>289.0</v>
      </c>
      <c r="AB292" s="474">
        <f t="shared" si="10"/>
        <v>294</v>
      </c>
      <c r="AC292" s="476">
        <f t="shared" si="11"/>
        <v>387</v>
      </c>
      <c r="AD292" s="474">
        <f t="shared" si="12"/>
        <v>482</v>
      </c>
      <c r="AE292" s="474">
        <f t="shared" si="13"/>
        <v>318</v>
      </c>
      <c r="AF292" s="474">
        <f t="shared" si="14"/>
        <v>387</v>
      </c>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464"/>
      <c r="CB292" s="102"/>
      <c r="CC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474">
        <v>290.0</v>
      </c>
      <c r="AB293" s="474">
        <f t="shared" si="10"/>
        <v>295</v>
      </c>
      <c r="AC293" s="476">
        <f t="shared" si="11"/>
        <v>388</v>
      </c>
      <c r="AD293" s="474">
        <f t="shared" si="12"/>
        <v>484</v>
      </c>
      <c r="AE293" s="474">
        <f t="shared" si="13"/>
        <v>319</v>
      </c>
      <c r="AF293" s="474">
        <f t="shared" si="14"/>
        <v>388</v>
      </c>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2"/>
      <c r="BU293" s="102"/>
      <c r="BV293" s="102"/>
      <c r="BW293" s="102"/>
      <c r="BX293" s="102"/>
      <c r="BY293" s="102"/>
      <c r="BZ293" s="102"/>
      <c r="CA293" s="464"/>
      <c r="CB293" s="102"/>
      <c r="CC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474">
        <v>291.0</v>
      </c>
      <c r="AB294" s="474">
        <f t="shared" si="10"/>
        <v>296</v>
      </c>
      <c r="AC294" s="476">
        <f t="shared" si="11"/>
        <v>389</v>
      </c>
      <c r="AD294" s="474">
        <f t="shared" si="12"/>
        <v>485</v>
      </c>
      <c r="AE294" s="474">
        <f t="shared" si="13"/>
        <v>321</v>
      </c>
      <c r="AF294" s="474">
        <f t="shared" si="14"/>
        <v>389</v>
      </c>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c r="BY294" s="102"/>
      <c r="BZ294" s="102"/>
      <c r="CA294" s="464"/>
      <c r="CB294" s="102"/>
      <c r="CC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474">
        <v>292.0</v>
      </c>
      <c r="AB295" s="474">
        <f t="shared" si="10"/>
        <v>297</v>
      </c>
      <c r="AC295" s="476">
        <f t="shared" si="11"/>
        <v>391</v>
      </c>
      <c r="AD295" s="474">
        <f t="shared" si="12"/>
        <v>487</v>
      </c>
      <c r="AE295" s="474">
        <f t="shared" si="13"/>
        <v>322</v>
      </c>
      <c r="AF295" s="474">
        <f t="shared" si="14"/>
        <v>391</v>
      </c>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2"/>
      <c r="BU295" s="102"/>
      <c r="BV295" s="102"/>
      <c r="BW295" s="102"/>
      <c r="BX295" s="102"/>
      <c r="BY295" s="102"/>
      <c r="BZ295" s="102"/>
      <c r="CA295" s="464"/>
      <c r="CB295" s="102"/>
      <c r="CC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474">
        <v>293.0</v>
      </c>
      <c r="AB296" s="474">
        <f t="shared" si="10"/>
        <v>298</v>
      </c>
      <c r="AC296" s="476">
        <f t="shared" si="11"/>
        <v>392</v>
      </c>
      <c r="AD296" s="474">
        <f t="shared" si="12"/>
        <v>489</v>
      </c>
      <c r="AE296" s="474">
        <f t="shared" si="13"/>
        <v>323</v>
      </c>
      <c r="AF296" s="474">
        <f t="shared" si="14"/>
        <v>392</v>
      </c>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464"/>
      <c r="CB296" s="102"/>
      <c r="CC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474">
        <v>294.0</v>
      </c>
      <c r="AB297" s="474">
        <f t="shared" si="10"/>
        <v>299</v>
      </c>
      <c r="AC297" s="476">
        <f t="shared" si="11"/>
        <v>393</v>
      </c>
      <c r="AD297" s="474">
        <f t="shared" si="12"/>
        <v>490</v>
      </c>
      <c r="AE297" s="474">
        <f t="shared" si="13"/>
        <v>324</v>
      </c>
      <c r="AF297" s="474">
        <f t="shared" si="14"/>
        <v>393</v>
      </c>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464"/>
      <c r="CB297" s="102"/>
      <c r="CC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474">
        <v>295.0</v>
      </c>
      <c r="AB298" s="474">
        <f t="shared" si="10"/>
        <v>300</v>
      </c>
      <c r="AC298" s="476">
        <f t="shared" si="11"/>
        <v>395</v>
      </c>
      <c r="AD298" s="474">
        <f t="shared" si="12"/>
        <v>492</v>
      </c>
      <c r="AE298" s="474">
        <f t="shared" si="13"/>
        <v>325</v>
      </c>
      <c r="AF298" s="474">
        <f t="shared" si="14"/>
        <v>395</v>
      </c>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464"/>
      <c r="CB298" s="102"/>
      <c r="CC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474">
        <v>296.0</v>
      </c>
      <c r="AB299" s="474">
        <f t="shared" si="10"/>
        <v>301</v>
      </c>
      <c r="AC299" s="476">
        <f t="shared" si="11"/>
        <v>396</v>
      </c>
      <c r="AD299" s="474">
        <f t="shared" si="12"/>
        <v>494</v>
      </c>
      <c r="AE299" s="474">
        <f t="shared" si="13"/>
        <v>326</v>
      </c>
      <c r="AF299" s="474">
        <f t="shared" si="14"/>
        <v>396</v>
      </c>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464"/>
      <c r="CB299" s="102"/>
      <c r="CC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474">
        <v>297.0</v>
      </c>
      <c r="AB300" s="474">
        <f t="shared" si="10"/>
        <v>302</v>
      </c>
      <c r="AC300" s="476">
        <f t="shared" si="11"/>
        <v>397</v>
      </c>
      <c r="AD300" s="474">
        <f t="shared" si="12"/>
        <v>495</v>
      </c>
      <c r="AE300" s="474">
        <f t="shared" si="13"/>
        <v>327</v>
      </c>
      <c r="AF300" s="474">
        <f t="shared" si="14"/>
        <v>397</v>
      </c>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464"/>
      <c r="CB300" s="102"/>
      <c r="CC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474">
        <v>298.0</v>
      </c>
      <c r="AB301" s="474">
        <f t="shared" si="10"/>
        <v>303</v>
      </c>
      <c r="AC301" s="476">
        <f t="shared" si="11"/>
        <v>399</v>
      </c>
      <c r="AD301" s="474">
        <f t="shared" si="12"/>
        <v>497</v>
      </c>
      <c r="AE301" s="474">
        <f t="shared" si="13"/>
        <v>328</v>
      </c>
      <c r="AF301" s="474">
        <f t="shared" si="14"/>
        <v>399</v>
      </c>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464"/>
      <c r="CB301" s="102"/>
      <c r="CC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474">
        <v>299.0</v>
      </c>
      <c r="AB302" s="474">
        <f t="shared" si="10"/>
        <v>304</v>
      </c>
      <c r="AC302" s="476">
        <f t="shared" si="11"/>
        <v>400</v>
      </c>
      <c r="AD302" s="474">
        <f t="shared" si="12"/>
        <v>499</v>
      </c>
      <c r="AE302" s="474">
        <f t="shared" si="13"/>
        <v>329</v>
      </c>
      <c r="AF302" s="474">
        <f t="shared" si="14"/>
        <v>400</v>
      </c>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464"/>
      <c r="CB302" s="102"/>
      <c r="CC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474">
        <v>300.0</v>
      </c>
      <c r="AB303" s="474">
        <f t="shared" si="10"/>
        <v>305</v>
      </c>
      <c r="AC303" s="476">
        <f t="shared" si="11"/>
        <v>402</v>
      </c>
      <c r="AD303" s="474">
        <f t="shared" si="12"/>
        <v>501</v>
      </c>
      <c r="AE303" s="474">
        <f t="shared" si="13"/>
        <v>330</v>
      </c>
      <c r="AF303" s="474">
        <f t="shared" si="14"/>
        <v>402</v>
      </c>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464"/>
      <c r="CB303" s="102"/>
      <c r="CC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474">
        <v>301.0</v>
      </c>
      <c r="AB304" s="474">
        <f t="shared" si="10"/>
        <v>306</v>
      </c>
      <c r="AC304" s="476">
        <f t="shared" si="11"/>
        <v>403</v>
      </c>
      <c r="AD304" s="474">
        <f t="shared" si="12"/>
        <v>502</v>
      </c>
      <c r="AE304" s="474">
        <f t="shared" si="13"/>
        <v>332</v>
      </c>
      <c r="AF304" s="474">
        <f t="shared" si="14"/>
        <v>403</v>
      </c>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2"/>
      <c r="BU304" s="102"/>
      <c r="BV304" s="102"/>
      <c r="BW304" s="102"/>
      <c r="BX304" s="102"/>
      <c r="BY304" s="102"/>
      <c r="BZ304" s="102"/>
      <c r="CA304" s="464"/>
      <c r="CB304" s="102"/>
      <c r="CC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474">
        <v>302.0</v>
      </c>
      <c r="AB305" s="474">
        <f t="shared" si="10"/>
        <v>307</v>
      </c>
      <c r="AC305" s="476">
        <f t="shared" si="11"/>
        <v>404</v>
      </c>
      <c r="AD305" s="474">
        <f t="shared" si="12"/>
        <v>504</v>
      </c>
      <c r="AE305" s="474">
        <f t="shared" si="13"/>
        <v>333</v>
      </c>
      <c r="AF305" s="474">
        <f t="shared" si="14"/>
        <v>404</v>
      </c>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464"/>
      <c r="CB305" s="102"/>
      <c r="CC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474">
        <v>303.0</v>
      </c>
      <c r="AB306" s="474">
        <f t="shared" si="10"/>
        <v>308</v>
      </c>
      <c r="AC306" s="476">
        <f t="shared" si="11"/>
        <v>406</v>
      </c>
      <c r="AD306" s="474">
        <f t="shared" si="12"/>
        <v>506</v>
      </c>
      <c r="AE306" s="474">
        <f t="shared" si="13"/>
        <v>334</v>
      </c>
      <c r="AF306" s="474">
        <f t="shared" si="14"/>
        <v>406</v>
      </c>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464"/>
      <c r="CB306" s="102"/>
      <c r="CC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474">
        <v>304.0</v>
      </c>
      <c r="AB307" s="474">
        <f t="shared" si="10"/>
        <v>309</v>
      </c>
      <c r="AC307" s="476">
        <f t="shared" si="11"/>
        <v>407</v>
      </c>
      <c r="AD307" s="474">
        <f t="shared" si="12"/>
        <v>507</v>
      </c>
      <c r="AE307" s="474">
        <f t="shared" si="13"/>
        <v>335</v>
      </c>
      <c r="AF307" s="474">
        <f t="shared" si="14"/>
        <v>407</v>
      </c>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464"/>
      <c r="CB307" s="102"/>
      <c r="CC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474">
        <v>305.0</v>
      </c>
      <c r="AB308" s="474">
        <f t="shared" si="10"/>
        <v>310</v>
      </c>
      <c r="AC308" s="476">
        <f t="shared" si="11"/>
        <v>408</v>
      </c>
      <c r="AD308" s="474">
        <f t="shared" si="12"/>
        <v>509</v>
      </c>
      <c r="AE308" s="474">
        <f t="shared" si="13"/>
        <v>336</v>
      </c>
      <c r="AF308" s="474">
        <f t="shared" si="14"/>
        <v>408</v>
      </c>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464"/>
      <c r="CB308" s="102"/>
      <c r="CC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474">
        <v>306.0</v>
      </c>
      <c r="AB309" s="474">
        <f t="shared" si="10"/>
        <v>311</v>
      </c>
      <c r="AC309" s="476">
        <f t="shared" si="11"/>
        <v>410</v>
      </c>
      <c r="AD309" s="474">
        <f t="shared" si="12"/>
        <v>511</v>
      </c>
      <c r="AE309" s="474">
        <f t="shared" si="13"/>
        <v>337</v>
      </c>
      <c r="AF309" s="474">
        <f t="shared" si="14"/>
        <v>410</v>
      </c>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c r="BZ309" s="102"/>
      <c r="CA309" s="464"/>
      <c r="CB309" s="102"/>
      <c r="CC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474">
        <v>307.0</v>
      </c>
      <c r="AB310" s="474">
        <f t="shared" si="10"/>
        <v>312</v>
      </c>
      <c r="AC310" s="476">
        <f t="shared" si="11"/>
        <v>411</v>
      </c>
      <c r="AD310" s="474">
        <f t="shared" si="12"/>
        <v>512</v>
      </c>
      <c r="AE310" s="474">
        <f t="shared" si="13"/>
        <v>338</v>
      </c>
      <c r="AF310" s="474">
        <f t="shared" si="14"/>
        <v>411</v>
      </c>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464"/>
      <c r="CB310" s="102"/>
      <c r="CC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474">
        <v>308.0</v>
      </c>
      <c r="AB311" s="474">
        <f t="shared" si="10"/>
        <v>313</v>
      </c>
      <c r="AC311" s="476">
        <f t="shared" si="11"/>
        <v>412</v>
      </c>
      <c r="AD311" s="474">
        <f t="shared" si="12"/>
        <v>514</v>
      </c>
      <c r="AE311" s="474">
        <f t="shared" si="13"/>
        <v>339</v>
      </c>
      <c r="AF311" s="474">
        <f t="shared" si="14"/>
        <v>412</v>
      </c>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464"/>
      <c r="CB311" s="102"/>
      <c r="CC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474">
        <v>309.0</v>
      </c>
      <c r="AB312" s="474">
        <f t="shared" si="10"/>
        <v>314</v>
      </c>
      <c r="AC312" s="476">
        <f t="shared" si="11"/>
        <v>414</v>
      </c>
      <c r="AD312" s="474">
        <f t="shared" si="12"/>
        <v>516</v>
      </c>
      <c r="AE312" s="474">
        <f t="shared" si="13"/>
        <v>340</v>
      </c>
      <c r="AF312" s="474">
        <f t="shared" si="14"/>
        <v>414</v>
      </c>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464"/>
      <c r="CB312" s="102"/>
      <c r="CC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474">
        <v>310.0</v>
      </c>
      <c r="AB313" s="474">
        <f t="shared" si="10"/>
        <v>315</v>
      </c>
      <c r="AC313" s="476">
        <f t="shared" si="11"/>
        <v>415</v>
      </c>
      <c r="AD313" s="474">
        <f t="shared" si="12"/>
        <v>517</v>
      </c>
      <c r="AE313" s="474">
        <f t="shared" si="13"/>
        <v>341</v>
      </c>
      <c r="AF313" s="474">
        <f t="shared" si="14"/>
        <v>415</v>
      </c>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464"/>
      <c r="CB313" s="102"/>
      <c r="CC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474">
        <v>311.0</v>
      </c>
      <c r="AB314" s="474">
        <f t="shared" si="10"/>
        <v>316</v>
      </c>
      <c r="AC314" s="476">
        <f t="shared" si="11"/>
        <v>416</v>
      </c>
      <c r="AD314" s="474">
        <f t="shared" si="12"/>
        <v>519</v>
      </c>
      <c r="AE314" s="474">
        <f t="shared" si="13"/>
        <v>343</v>
      </c>
      <c r="AF314" s="474">
        <f t="shared" si="14"/>
        <v>416</v>
      </c>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2"/>
      <c r="BU314" s="102"/>
      <c r="BV314" s="102"/>
      <c r="BW314" s="102"/>
      <c r="BX314" s="102"/>
      <c r="BY314" s="102"/>
      <c r="BZ314" s="102"/>
      <c r="CA314" s="464"/>
      <c r="CB314" s="102"/>
      <c r="CC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474">
        <v>312.0</v>
      </c>
      <c r="AB315" s="474">
        <f t="shared" si="10"/>
        <v>317</v>
      </c>
      <c r="AC315" s="476">
        <f t="shared" si="11"/>
        <v>418</v>
      </c>
      <c r="AD315" s="474">
        <f t="shared" si="12"/>
        <v>521</v>
      </c>
      <c r="AE315" s="474">
        <f t="shared" si="13"/>
        <v>344</v>
      </c>
      <c r="AF315" s="474">
        <f t="shared" si="14"/>
        <v>418</v>
      </c>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2"/>
      <c r="BU315" s="102"/>
      <c r="BV315" s="102"/>
      <c r="BW315" s="102"/>
      <c r="BX315" s="102"/>
      <c r="BY315" s="102"/>
      <c r="BZ315" s="102"/>
      <c r="CA315" s="464"/>
      <c r="CB315" s="102"/>
      <c r="CC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474">
        <v>313.0</v>
      </c>
      <c r="AB316" s="474">
        <f t="shared" si="10"/>
        <v>318</v>
      </c>
      <c r="AC316" s="476">
        <f t="shared" si="11"/>
        <v>419</v>
      </c>
      <c r="AD316" s="474">
        <f t="shared" si="12"/>
        <v>522</v>
      </c>
      <c r="AE316" s="474">
        <f t="shared" si="13"/>
        <v>345</v>
      </c>
      <c r="AF316" s="474">
        <f t="shared" si="14"/>
        <v>419</v>
      </c>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2"/>
      <c r="BU316" s="102"/>
      <c r="BV316" s="102"/>
      <c r="BW316" s="102"/>
      <c r="BX316" s="102"/>
      <c r="BY316" s="102"/>
      <c r="BZ316" s="102"/>
      <c r="CA316" s="464"/>
      <c r="CB316" s="102"/>
      <c r="CC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474">
        <v>314.0</v>
      </c>
      <c r="AB317" s="474">
        <f t="shared" si="10"/>
        <v>319</v>
      </c>
      <c r="AC317" s="476">
        <f t="shared" si="11"/>
        <v>420</v>
      </c>
      <c r="AD317" s="474">
        <f t="shared" si="12"/>
        <v>524</v>
      </c>
      <c r="AE317" s="474">
        <f t="shared" si="13"/>
        <v>346</v>
      </c>
      <c r="AF317" s="474">
        <f t="shared" si="14"/>
        <v>420</v>
      </c>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2"/>
      <c r="BU317" s="102"/>
      <c r="BV317" s="102"/>
      <c r="BW317" s="102"/>
      <c r="BX317" s="102"/>
      <c r="BY317" s="102"/>
      <c r="BZ317" s="102"/>
      <c r="CA317" s="464"/>
      <c r="CB317" s="102"/>
      <c r="CC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474">
        <v>315.0</v>
      </c>
      <c r="AB318" s="474">
        <f t="shared" si="10"/>
        <v>320</v>
      </c>
      <c r="AC318" s="476">
        <f t="shared" si="11"/>
        <v>422</v>
      </c>
      <c r="AD318" s="474">
        <f t="shared" si="12"/>
        <v>526</v>
      </c>
      <c r="AE318" s="474">
        <f t="shared" si="13"/>
        <v>347</v>
      </c>
      <c r="AF318" s="474">
        <f t="shared" si="14"/>
        <v>422</v>
      </c>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464"/>
      <c r="CB318" s="102"/>
      <c r="CC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474">
        <v>316.0</v>
      </c>
      <c r="AB319" s="474">
        <f t="shared" si="10"/>
        <v>321</v>
      </c>
      <c r="AC319" s="476">
        <f t="shared" si="11"/>
        <v>423</v>
      </c>
      <c r="AD319" s="474">
        <f t="shared" si="12"/>
        <v>527</v>
      </c>
      <c r="AE319" s="474">
        <f t="shared" si="13"/>
        <v>348</v>
      </c>
      <c r="AF319" s="474">
        <f t="shared" si="14"/>
        <v>423</v>
      </c>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2"/>
      <c r="BU319" s="102"/>
      <c r="BV319" s="102"/>
      <c r="BW319" s="102"/>
      <c r="BX319" s="102"/>
      <c r="BY319" s="102"/>
      <c r="BZ319" s="102"/>
      <c r="CA319" s="464"/>
      <c r="CB319" s="102"/>
      <c r="CC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474">
        <v>317.0</v>
      </c>
      <c r="AB320" s="474">
        <f t="shared" si="10"/>
        <v>322</v>
      </c>
      <c r="AC320" s="476">
        <f t="shared" si="11"/>
        <v>424</v>
      </c>
      <c r="AD320" s="474">
        <f t="shared" si="12"/>
        <v>529</v>
      </c>
      <c r="AE320" s="474">
        <f t="shared" si="13"/>
        <v>349</v>
      </c>
      <c r="AF320" s="474">
        <f t="shared" si="14"/>
        <v>424</v>
      </c>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2"/>
      <c r="BU320" s="102"/>
      <c r="BV320" s="102"/>
      <c r="BW320" s="102"/>
      <c r="BX320" s="102"/>
      <c r="BY320" s="102"/>
      <c r="BZ320" s="102"/>
      <c r="CA320" s="464"/>
      <c r="CB320" s="102"/>
      <c r="CC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474">
        <v>318.0</v>
      </c>
      <c r="AB321" s="474">
        <f t="shared" si="10"/>
        <v>323</v>
      </c>
      <c r="AC321" s="476">
        <f t="shared" si="11"/>
        <v>426</v>
      </c>
      <c r="AD321" s="474">
        <f t="shared" si="12"/>
        <v>531</v>
      </c>
      <c r="AE321" s="474">
        <f t="shared" si="13"/>
        <v>350</v>
      </c>
      <c r="AF321" s="474">
        <f t="shared" si="14"/>
        <v>426</v>
      </c>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2"/>
      <c r="BU321" s="102"/>
      <c r="BV321" s="102"/>
      <c r="BW321" s="102"/>
      <c r="BX321" s="102"/>
      <c r="BY321" s="102"/>
      <c r="BZ321" s="102"/>
      <c r="CA321" s="464"/>
      <c r="CB321" s="102"/>
      <c r="CC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474">
        <v>319.0</v>
      </c>
      <c r="AB322" s="474">
        <f t="shared" si="10"/>
        <v>324</v>
      </c>
      <c r="AC322" s="476">
        <f t="shared" si="11"/>
        <v>427</v>
      </c>
      <c r="AD322" s="474">
        <f t="shared" si="12"/>
        <v>532</v>
      </c>
      <c r="AE322" s="474">
        <f t="shared" si="13"/>
        <v>351</v>
      </c>
      <c r="AF322" s="474">
        <f t="shared" si="14"/>
        <v>427</v>
      </c>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2"/>
      <c r="BU322" s="102"/>
      <c r="BV322" s="102"/>
      <c r="BW322" s="102"/>
      <c r="BX322" s="102"/>
      <c r="BY322" s="102"/>
      <c r="BZ322" s="102"/>
      <c r="CA322" s="464"/>
      <c r="CB322" s="102"/>
      <c r="CC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474">
        <v>320.0</v>
      </c>
      <c r="AB323" s="474">
        <f t="shared" si="10"/>
        <v>325</v>
      </c>
      <c r="AC323" s="476">
        <f t="shared" si="11"/>
        <v>428</v>
      </c>
      <c r="AD323" s="474">
        <f t="shared" si="12"/>
        <v>534</v>
      </c>
      <c r="AE323" s="474">
        <f t="shared" si="13"/>
        <v>352</v>
      </c>
      <c r="AF323" s="474">
        <f t="shared" si="14"/>
        <v>428</v>
      </c>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2"/>
      <c r="BU323" s="102"/>
      <c r="BV323" s="102"/>
      <c r="BW323" s="102"/>
      <c r="BX323" s="102"/>
      <c r="BY323" s="102"/>
      <c r="BZ323" s="102"/>
      <c r="CA323" s="464"/>
      <c r="CB323" s="102"/>
      <c r="CC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474">
        <v>321.0</v>
      </c>
      <c r="AB324" s="474">
        <f t="shared" si="10"/>
        <v>326</v>
      </c>
      <c r="AC324" s="476">
        <f t="shared" si="11"/>
        <v>430</v>
      </c>
      <c r="AD324" s="474">
        <f t="shared" si="12"/>
        <v>536</v>
      </c>
      <c r="AE324" s="474">
        <f t="shared" si="13"/>
        <v>354</v>
      </c>
      <c r="AF324" s="474">
        <f t="shared" si="14"/>
        <v>430</v>
      </c>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2"/>
      <c r="BU324" s="102"/>
      <c r="BV324" s="102"/>
      <c r="BW324" s="102"/>
      <c r="BX324" s="102"/>
      <c r="BY324" s="102"/>
      <c r="BZ324" s="102"/>
      <c r="CA324" s="464"/>
      <c r="CB324" s="102"/>
      <c r="CC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474">
        <v>322.0</v>
      </c>
      <c r="AB325" s="474">
        <f t="shared" si="10"/>
        <v>327</v>
      </c>
      <c r="AC325" s="476">
        <f t="shared" si="11"/>
        <v>431</v>
      </c>
      <c r="AD325" s="474">
        <f t="shared" si="12"/>
        <v>537</v>
      </c>
      <c r="AE325" s="474">
        <f t="shared" si="13"/>
        <v>355</v>
      </c>
      <c r="AF325" s="474">
        <f t="shared" si="14"/>
        <v>431</v>
      </c>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2"/>
      <c r="BU325" s="102"/>
      <c r="BV325" s="102"/>
      <c r="BW325" s="102"/>
      <c r="BX325" s="102"/>
      <c r="BY325" s="102"/>
      <c r="BZ325" s="102"/>
      <c r="CA325" s="464"/>
      <c r="CB325" s="102"/>
      <c r="CC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474">
        <v>323.0</v>
      </c>
      <c r="AB326" s="474">
        <f t="shared" si="10"/>
        <v>328</v>
      </c>
      <c r="AC326" s="476">
        <f t="shared" si="11"/>
        <v>432</v>
      </c>
      <c r="AD326" s="474">
        <f t="shared" si="12"/>
        <v>539</v>
      </c>
      <c r="AE326" s="474">
        <f t="shared" si="13"/>
        <v>356</v>
      </c>
      <c r="AF326" s="474">
        <f t="shared" si="14"/>
        <v>432</v>
      </c>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2"/>
      <c r="BU326" s="102"/>
      <c r="BV326" s="102"/>
      <c r="BW326" s="102"/>
      <c r="BX326" s="102"/>
      <c r="BY326" s="102"/>
      <c r="BZ326" s="102"/>
      <c r="CA326" s="464"/>
      <c r="CB326" s="102"/>
      <c r="CC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474">
        <v>324.0</v>
      </c>
      <c r="AB327" s="474">
        <f t="shared" si="10"/>
        <v>329</v>
      </c>
      <c r="AC327" s="476">
        <f t="shared" si="11"/>
        <v>434</v>
      </c>
      <c r="AD327" s="474">
        <f t="shared" si="12"/>
        <v>541</v>
      </c>
      <c r="AE327" s="474">
        <f t="shared" si="13"/>
        <v>357</v>
      </c>
      <c r="AF327" s="474">
        <f t="shared" si="14"/>
        <v>434</v>
      </c>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c r="BR327" s="102"/>
      <c r="BS327" s="102"/>
      <c r="BT327" s="102"/>
      <c r="BU327" s="102"/>
      <c r="BV327" s="102"/>
      <c r="BW327" s="102"/>
      <c r="BX327" s="102"/>
      <c r="BY327" s="102"/>
      <c r="BZ327" s="102"/>
      <c r="CA327" s="464"/>
      <c r="CB327" s="102"/>
      <c r="CC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474">
        <v>325.0</v>
      </c>
      <c r="AB328" s="474">
        <f t="shared" si="10"/>
        <v>330</v>
      </c>
      <c r="AC328" s="476">
        <f t="shared" si="11"/>
        <v>435</v>
      </c>
      <c r="AD328" s="474">
        <f t="shared" si="12"/>
        <v>542</v>
      </c>
      <c r="AE328" s="474">
        <f t="shared" si="13"/>
        <v>358</v>
      </c>
      <c r="AF328" s="474">
        <f t="shared" si="14"/>
        <v>435</v>
      </c>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2"/>
      <c r="BU328" s="102"/>
      <c r="BV328" s="102"/>
      <c r="BW328" s="102"/>
      <c r="BX328" s="102"/>
      <c r="BY328" s="102"/>
      <c r="BZ328" s="102"/>
      <c r="CA328" s="464"/>
      <c r="CB328" s="102"/>
      <c r="CC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474">
        <v>326.0</v>
      </c>
      <c r="AB329" s="474">
        <f t="shared" si="10"/>
        <v>331</v>
      </c>
      <c r="AC329" s="476">
        <f t="shared" si="11"/>
        <v>436</v>
      </c>
      <c r="AD329" s="474">
        <f t="shared" si="12"/>
        <v>544</v>
      </c>
      <c r="AE329" s="474">
        <f t="shared" si="13"/>
        <v>359</v>
      </c>
      <c r="AF329" s="474">
        <f t="shared" si="14"/>
        <v>436</v>
      </c>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2"/>
      <c r="BU329" s="102"/>
      <c r="BV329" s="102"/>
      <c r="BW329" s="102"/>
      <c r="BX329" s="102"/>
      <c r="BY329" s="102"/>
      <c r="BZ329" s="102"/>
      <c r="CA329" s="464"/>
      <c r="CB329" s="102"/>
      <c r="CC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474">
        <v>327.0</v>
      </c>
      <c r="AB330" s="474">
        <f t="shared" si="10"/>
        <v>332</v>
      </c>
      <c r="AC330" s="476">
        <f t="shared" si="11"/>
        <v>438</v>
      </c>
      <c r="AD330" s="474">
        <f t="shared" si="12"/>
        <v>546</v>
      </c>
      <c r="AE330" s="474">
        <f t="shared" si="13"/>
        <v>360</v>
      </c>
      <c r="AF330" s="474">
        <f t="shared" si="14"/>
        <v>438</v>
      </c>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c r="BR330" s="102"/>
      <c r="BS330" s="102"/>
      <c r="BT330" s="102"/>
      <c r="BU330" s="102"/>
      <c r="BV330" s="102"/>
      <c r="BW330" s="102"/>
      <c r="BX330" s="102"/>
      <c r="BY330" s="102"/>
      <c r="BZ330" s="102"/>
      <c r="CA330" s="464"/>
      <c r="CB330" s="102"/>
      <c r="CC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474">
        <v>328.0</v>
      </c>
      <c r="AB331" s="474">
        <f t="shared" si="10"/>
        <v>333</v>
      </c>
      <c r="AC331" s="476">
        <f t="shared" si="11"/>
        <v>439</v>
      </c>
      <c r="AD331" s="474">
        <f t="shared" si="12"/>
        <v>547</v>
      </c>
      <c r="AE331" s="474">
        <f t="shared" si="13"/>
        <v>361</v>
      </c>
      <c r="AF331" s="474">
        <f t="shared" si="14"/>
        <v>439</v>
      </c>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2"/>
      <c r="BU331" s="102"/>
      <c r="BV331" s="102"/>
      <c r="BW331" s="102"/>
      <c r="BX331" s="102"/>
      <c r="BY331" s="102"/>
      <c r="BZ331" s="102"/>
      <c r="CA331" s="464"/>
      <c r="CB331" s="102"/>
      <c r="CC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474">
        <v>329.0</v>
      </c>
      <c r="AB332" s="474">
        <f t="shared" si="10"/>
        <v>334</v>
      </c>
      <c r="AC332" s="476">
        <f t="shared" si="11"/>
        <v>440</v>
      </c>
      <c r="AD332" s="474">
        <f t="shared" si="12"/>
        <v>549</v>
      </c>
      <c r="AE332" s="474">
        <f t="shared" si="13"/>
        <v>362</v>
      </c>
      <c r="AF332" s="474">
        <f t="shared" si="14"/>
        <v>440</v>
      </c>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c r="BZ332" s="102"/>
      <c r="CA332" s="464"/>
      <c r="CB332" s="102"/>
      <c r="CC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474">
        <v>330.0</v>
      </c>
      <c r="AB333" s="474">
        <f t="shared" si="10"/>
        <v>335</v>
      </c>
      <c r="AC333" s="476">
        <f t="shared" si="11"/>
        <v>442</v>
      </c>
      <c r="AD333" s="474">
        <f t="shared" si="12"/>
        <v>551</v>
      </c>
      <c r="AE333" s="474">
        <f t="shared" si="13"/>
        <v>363</v>
      </c>
      <c r="AF333" s="474">
        <f t="shared" si="14"/>
        <v>442</v>
      </c>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2"/>
      <c r="BU333" s="102"/>
      <c r="BV333" s="102"/>
      <c r="BW333" s="102"/>
      <c r="BX333" s="102"/>
      <c r="BY333" s="102"/>
      <c r="BZ333" s="102"/>
      <c r="CA333" s="464"/>
      <c r="CB333" s="102"/>
      <c r="CC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474">
        <v>331.0</v>
      </c>
      <c r="AB334" s="474">
        <f t="shared" si="10"/>
        <v>336</v>
      </c>
      <c r="AC334" s="476">
        <f t="shared" si="11"/>
        <v>443</v>
      </c>
      <c r="AD334" s="474">
        <f t="shared" si="12"/>
        <v>552</v>
      </c>
      <c r="AE334" s="474">
        <f t="shared" si="13"/>
        <v>365</v>
      </c>
      <c r="AF334" s="474">
        <f t="shared" si="14"/>
        <v>443</v>
      </c>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c r="BZ334" s="102"/>
      <c r="CA334" s="464"/>
      <c r="CB334" s="102"/>
      <c r="CC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474">
        <v>332.0</v>
      </c>
      <c r="AB335" s="474">
        <f t="shared" si="10"/>
        <v>337</v>
      </c>
      <c r="AC335" s="476">
        <f t="shared" si="11"/>
        <v>444</v>
      </c>
      <c r="AD335" s="474">
        <f t="shared" si="12"/>
        <v>554</v>
      </c>
      <c r="AE335" s="474">
        <f t="shared" si="13"/>
        <v>366</v>
      </c>
      <c r="AF335" s="474">
        <f t="shared" si="14"/>
        <v>444</v>
      </c>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c r="BZ335" s="102"/>
      <c r="CA335" s="464"/>
      <c r="CB335" s="102"/>
      <c r="CC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474">
        <v>333.0</v>
      </c>
      <c r="AB336" s="474">
        <f t="shared" si="10"/>
        <v>338</v>
      </c>
      <c r="AC336" s="476">
        <f t="shared" si="11"/>
        <v>446</v>
      </c>
      <c r="AD336" s="474">
        <f t="shared" si="12"/>
        <v>556</v>
      </c>
      <c r="AE336" s="474">
        <f t="shared" si="13"/>
        <v>367</v>
      </c>
      <c r="AF336" s="474">
        <f t="shared" si="14"/>
        <v>446</v>
      </c>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02"/>
      <c r="CA336" s="464"/>
      <c r="CB336" s="102"/>
      <c r="CC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474">
        <v>334.0</v>
      </c>
      <c r="AB337" s="474">
        <f t="shared" si="10"/>
        <v>339</v>
      </c>
      <c r="AC337" s="476">
        <f t="shared" si="11"/>
        <v>447</v>
      </c>
      <c r="AD337" s="474">
        <f t="shared" si="12"/>
        <v>557</v>
      </c>
      <c r="AE337" s="474">
        <f t="shared" si="13"/>
        <v>368</v>
      </c>
      <c r="AF337" s="474">
        <f t="shared" si="14"/>
        <v>447</v>
      </c>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2"/>
      <c r="BU337" s="102"/>
      <c r="BV337" s="102"/>
      <c r="BW337" s="102"/>
      <c r="BX337" s="102"/>
      <c r="BY337" s="102"/>
      <c r="BZ337" s="102"/>
      <c r="CA337" s="464"/>
      <c r="CB337" s="102"/>
      <c r="CC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474">
        <v>335.0</v>
      </c>
      <c r="AB338" s="474">
        <f t="shared" si="10"/>
        <v>340</v>
      </c>
      <c r="AC338" s="476">
        <f t="shared" si="11"/>
        <v>448</v>
      </c>
      <c r="AD338" s="474">
        <f t="shared" si="12"/>
        <v>559</v>
      </c>
      <c r="AE338" s="474">
        <f t="shared" si="13"/>
        <v>369</v>
      </c>
      <c r="AF338" s="474">
        <f t="shared" si="14"/>
        <v>448</v>
      </c>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2"/>
      <c r="BU338" s="102"/>
      <c r="BV338" s="102"/>
      <c r="BW338" s="102"/>
      <c r="BX338" s="102"/>
      <c r="BY338" s="102"/>
      <c r="BZ338" s="102"/>
      <c r="CA338" s="464"/>
      <c r="CB338" s="102"/>
      <c r="CC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474">
        <v>336.0</v>
      </c>
      <c r="AB339" s="474">
        <f t="shared" si="10"/>
        <v>341</v>
      </c>
      <c r="AC339" s="476">
        <f t="shared" si="11"/>
        <v>450</v>
      </c>
      <c r="AD339" s="474">
        <f t="shared" si="12"/>
        <v>561</v>
      </c>
      <c r="AE339" s="474">
        <f t="shared" si="13"/>
        <v>370</v>
      </c>
      <c r="AF339" s="474">
        <f t="shared" si="14"/>
        <v>450</v>
      </c>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2"/>
      <c r="BU339" s="102"/>
      <c r="BV339" s="102"/>
      <c r="BW339" s="102"/>
      <c r="BX339" s="102"/>
      <c r="BY339" s="102"/>
      <c r="BZ339" s="102"/>
      <c r="CA339" s="464"/>
      <c r="CB339" s="102"/>
      <c r="CC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474">
        <v>337.0</v>
      </c>
      <c r="AB340" s="474">
        <f t="shared" si="10"/>
        <v>342</v>
      </c>
      <c r="AC340" s="476">
        <f t="shared" si="11"/>
        <v>451</v>
      </c>
      <c r="AD340" s="474">
        <f t="shared" si="12"/>
        <v>562</v>
      </c>
      <c r="AE340" s="474">
        <f t="shared" si="13"/>
        <v>371</v>
      </c>
      <c r="AF340" s="474">
        <f t="shared" si="14"/>
        <v>451</v>
      </c>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2"/>
      <c r="BU340" s="102"/>
      <c r="BV340" s="102"/>
      <c r="BW340" s="102"/>
      <c r="BX340" s="102"/>
      <c r="BY340" s="102"/>
      <c r="BZ340" s="102"/>
      <c r="CA340" s="464"/>
      <c r="CB340" s="102"/>
      <c r="CC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474">
        <v>338.0</v>
      </c>
      <c r="AB341" s="474">
        <f t="shared" si="10"/>
        <v>343</v>
      </c>
      <c r="AC341" s="476">
        <f t="shared" si="11"/>
        <v>452</v>
      </c>
      <c r="AD341" s="474">
        <f t="shared" si="12"/>
        <v>564</v>
      </c>
      <c r="AE341" s="474">
        <f t="shared" si="13"/>
        <v>372</v>
      </c>
      <c r="AF341" s="474">
        <f t="shared" si="14"/>
        <v>452</v>
      </c>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2"/>
      <c r="BU341" s="102"/>
      <c r="BV341" s="102"/>
      <c r="BW341" s="102"/>
      <c r="BX341" s="102"/>
      <c r="BY341" s="102"/>
      <c r="BZ341" s="102"/>
      <c r="CA341" s="464"/>
      <c r="CB341" s="102"/>
      <c r="CC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474">
        <v>339.0</v>
      </c>
      <c r="AB342" s="474">
        <f t="shared" si="10"/>
        <v>344</v>
      </c>
      <c r="AC342" s="476">
        <f t="shared" si="11"/>
        <v>454</v>
      </c>
      <c r="AD342" s="474">
        <f t="shared" si="12"/>
        <v>566</v>
      </c>
      <c r="AE342" s="474">
        <f t="shared" si="13"/>
        <v>373</v>
      </c>
      <c r="AF342" s="474">
        <f t="shared" si="14"/>
        <v>454</v>
      </c>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2"/>
      <c r="BU342" s="102"/>
      <c r="BV342" s="102"/>
      <c r="BW342" s="102"/>
      <c r="BX342" s="102"/>
      <c r="BY342" s="102"/>
      <c r="BZ342" s="102"/>
      <c r="CA342" s="464"/>
      <c r="CB342" s="102"/>
      <c r="CC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474">
        <v>340.0</v>
      </c>
      <c r="AB343" s="474">
        <f t="shared" si="10"/>
        <v>345</v>
      </c>
      <c r="AC343" s="476">
        <f t="shared" si="11"/>
        <v>455</v>
      </c>
      <c r="AD343" s="474">
        <f t="shared" si="12"/>
        <v>567</v>
      </c>
      <c r="AE343" s="474">
        <f t="shared" si="13"/>
        <v>374</v>
      </c>
      <c r="AF343" s="474">
        <f t="shared" si="14"/>
        <v>455</v>
      </c>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2"/>
      <c r="BU343" s="102"/>
      <c r="BV343" s="102"/>
      <c r="BW343" s="102"/>
      <c r="BX343" s="102"/>
      <c r="BY343" s="102"/>
      <c r="BZ343" s="102"/>
      <c r="CA343" s="464"/>
      <c r="CB343" s="102"/>
      <c r="CC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474">
        <v>341.0</v>
      </c>
      <c r="AB344" s="474">
        <f t="shared" si="10"/>
        <v>346</v>
      </c>
      <c r="AC344" s="476">
        <f t="shared" si="11"/>
        <v>456</v>
      </c>
      <c r="AD344" s="474">
        <f t="shared" si="12"/>
        <v>569</v>
      </c>
      <c r="AE344" s="474">
        <f t="shared" si="13"/>
        <v>376</v>
      </c>
      <c r="AF344" s="474">
        <f t="shared" si="14"/>
        <v>456</v>
      </c>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2"/>
      <c r="BU344" s="102"/>
      <c r="BV344" s="102"/>
      <c r="BW344" s="102"/>
      <c r="BX344" s="102"/>
      <c r="BY344" s="102"/>
      <c r="BZ344" s="102"/>
      <c r="CA344" s="464"/>
      <c r="CB344" s="102"/>
      <c r="CC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474">
        <v>342.0</v>
      </c>
      <c r="AB345" s="474">
        <f t="shared" si="10"/>
        <v>347</v>
      </c>
      <c r="AC345" s="476">
        <f t="shared" si="11"/>
        <v>458</v>
      </c>
      <c r="AD345" s="474">
        <f t="shared" si="12"/>
        <v>571</v>
      </c>
      <c r="AE345" s="474">
        <f t="shared" si="13"/>
        <v>377</v>
      </c>
      <c r="AF345" s="474">
        <f t="shared" si="14"/>
        <v>458</v>
      </c>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2"/>
      <c r="BU345" s="102"/>
      <c r="BV345" s="102"/>
      <c r="BW345" s="102"/>
      <c r="BX345" s="102"/>
      <c r="BY345" s="102"/>
      <c r="BZ345" s="102"/>
      <c r="CA345" s="464"/>
      <c r="CB345" s="102"/>
      <c r="CC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474">
        <v>343.0</v>
      </c>
      <c r="AB346" s="474">
        <f t="shared" si="10"/>
        <v>348</v>
      </c>
      <c r="AC346" s="476">
        <f t="shared" si="11"/>
        <v>459</v>
      </c>
      <c r="AD346" s="474">
        <f t="shared" si="12"/>
        <v>572</v>
      </c>
      <c r="AE346" s="474">
        <f t="shared" si="13"/>
        <v>378</v>
      </c>
      <c r="AF346" s="474">
        <f t="shared" si="14"/>
        <v>459</v>
      </c>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2"/>
      <c r="BU346" s="102"/>
      <c r="BV346" s="102"/>
      <c r="BW346" s="102"/>
      <c r="BX346" s="102"/>
      <c r="BY346" s="102"/>
      <c r="BZ346" s="102"/>
      <c r="CA346" s="464"/>
      <c r="CB346" s="102"/>
      <c r="CC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474">
        <v>344.0</v>
      </c>
      <c r="AB347" s="474">
        <f t="shared" si="10"/>
        <v>349</v>
      </c>
      <c r="AC347" s="476">
        <f t="shared" si="11"/>
        <v>460</v>
      </c>
      <c r="AD347" s="474">
        <f t="shared" si="12"/>
        <v>574</v>
      </c>
      <c r="AE347" s="474">
        <f t="shared" si="13"/>
        <v>379</v>
      </c>
      <c r="AF347" s="474">
        <f t="shared" si="14"/>
        <v>460</v>
      </c>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464"/>
      <c r="CB347" s="102"/>
      <c r="CC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474">
        <v>345.0</v>
      </c>
      <c r="AB348" s="474">
        <f t="shared" si="10"/>
        <v>350</v>
      </c>
      <c r="AC348" s="476">
        <f t="shared" si="11"/>
        <v>462</v>
      </c>
      <c r="AD348" s="474">
        <f t="shared" si="12"/>
        <v>576</v>
      </c>
      <c r="AE348" s="474">
        <f t="shared" si="13"/>
        <v>380</v>
      </c>
      <c r="AF348" s="474">
        <f t="shared" si="14"/>
        <v>462</v>
      </c>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2"/>
      <c r="BU348" s="102"/>
      <c r="BV348" s="102"/>
      <c r="BW348" s="102"/>
      <c r="BX348" s="102"/>
      <c r="BY348" s="102"/>
      <c r="BZ348" s="102"/>
      <c r="CA348" s="464"/>
      <c r="CB348" s="102"/>
      <c r="CC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474">
        <v>346.0</v>
      </c>
      <c r="AB349" s="474">
        <f t="shared" si="10"/>
        <v>351</v>
      </c>
      <c r="AC349" s="476">
        <f t="shared" si="11"/>
        <v>463</v>
      </c>
      <c r="AD349" s="474">
        <f t="shared" si="12"/>
        <v>577</v>
      </c>
      <c r="AE349" s="474">
        <f t="shared" si="13"/>
        <v>381</v>
      </c>
      <c r="AF349" s="474">
        <f t="shared" si="14"/>
        <v>463</v>
      </c>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464"/>
      <c r="CB349" s="102"/>
      <c r="CC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474">
        <v>347.0</v>
      </c>
      <c r="AB350" s="474">
        <f t="shared" si="10"/>
        <v>352</v>
      </c>
      <c r="AC350" s="476">
        <f t="shared" si="11"/>
        <v>464</v>
      </c>
      <c r="AD350" s="474">
        <f t="shared" si="12"/>
        <v>579</v>
      </c>
      <c r="AE350" s="474">
        <f t="shared" si="13"/>
        <v>382</v>
      </c>
      <c r="AF350" s="474">
        <f t="shared" si="14"/>
        <v>464</v>
      </c>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2"/>
      <c r="BU350" s="102"/>
      <c r="BV350" s="102"/>
      <c r="BW350" s="102"/>
      <c r="BX350" s="102"/>
      <c r="BY350" s="102"/>
      <c r="BZ350" s="102"/>
      <c r="CA350" s="464"/>
      <c r="CB350" s="102"/>
      <c r="CC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474">
        <v>348.0</v>
      </c>
      <c r="AB351" s="474">
        <f t="shared" si="10"/>
        <v>353</v>
      </c>
      <c r="AC351" s="476">
        <f t="shared" si="11"/>
        <v>466</v>
      </c>
      <c r="AD351" s="474">
        <f t="shared" si="12"/>
        <v>581</v>
      </c>
      <c r="AE351" s="474">
        <f t="shared" si="13"/>
        <v>383</v>
      </c>
      <c r="AF351" s="474">
        <f t="shared" si="14"/>
        <v>466</v>
      </c>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2"/>
      <c r="BU351" s="102"/>
      <c r="BV351" s="102"/>
      <c r="BW351" s="102"/>
      <c r="BX351" s="102"/>
      <c r="BY351" s="102"/>
      <c r="BZ351" s="102"/>
      <c r="CA351" s="464"/>
      <c r="CB351" s="102"/>
      <c r="CC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474">
        <v>349.0</v>
      </c>
      <c r="AB352" s="474">
        <f t="shared" si="10"/>
        <v>354</v>
      </c>
      <c r="AC352" s="476">
        <f t="shared" si="11"/>
        <v>467</v>
      </c>
      <c r="AD352" s="474">
        <f t="shared" si="12"/>
        <v>582</v>
      </c>
      <c r="AE352" s="474">
        <f t="shared" si="13"/>
        <v>384</v>
      </c>
      <c r="AF352" s="474">
        <f t="shared" si="14"/>
        <v>467</v>
      </c>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2"/>
      <c r="BU352" s="102"/>
      <c r="BV352" s="102"/>
      <c r="BW352" s="102"/>
      <c r="BX352" s="102"/>
      <c r="BY352" s="102"/>
      <c r="BZ352" s="102"/>
      <c r="CA352" s="464"/>
      <c r="CB352" s="102"/>
      <c r="CC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474">
        <v>350.0</v>
      </c>
      <c r="AB353" s="474">
        <f t="shared" si="10"/>
        <v>355</v>
      </c>
      <c r="AC353" s="476">
        <f t="shared" si="11"/>
        <v>469</v>
      </c>
      <c r="AD353" s="474">
        <f t="shared" si="12"/>
        <v>584</v>
      </c>
      <c r="AE353" s="474">
        <f t="shared" si="13"/>
        <v>385</v>
      </c>
      <c r="AF353" s="474">
        <f t="shared" si="14"/>
        <v>469</v>
      </c>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2"/>
      <c r="BU353" s="102"/>
      <c r="BV353" s="102"/>
      <c r="BW353" s="102"/>
      <c r="BX353" s="102"/>
      <c r="BY353" s="102"/>
      <c r="BZ353" s="102"/>
      <c r="CA353" s="464"/>
      <c r="CB353" s="102"/>
      <c r="CC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474">
        <v>351.0</v>
      </c>
      <c r="AB354" s="474">
        <f t="shared" si="10"/>
        <v>356</v>
      </c>
      <c r="AC354" s="476">
        <f t="shared" si="11"/>
        <v>470</v>
      </c>
      <c r="AD354" s="474">
        <f t="shared" si="12"/>
        <v>586</v>
      </c>
      <c r="AE354" s="474">
        <f t="shared" si="13"/>
        <v>387</v>
      </c>
      <c r="AF354" s="474">
        <f t="shared" si="14"/>
        <v>470</v>
      </c>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2"/>
      <c r="BU354" s="102"/>
      <c r="BV354" s="102"/>
      <c r="BW354" s="102"/>
      <c r="BX354" s="102"/>
      <c r="BY354" s="102"/>
      <c r="BZ354" s="102"/>
      <c r="CA354" s="464"/>
      <c r="CB354" s="102"/>
      <c r="CC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474">
        <v>352.0</v>
      </c>
      <c r="AB355" s="474">
        <f t="shared" si="10"/>
        <v>357</v>
      </c>
      <c r="AC355" s="476">
        <f t="shared" si="11"/>
        <v>471</v>
      </c>
      <c r="AD355" s="474">
        <f t="shared" si="12"/>
        <v>587</v>
      </c>
      <c r="AE355" s="474">
        <f t="shared" si="13"/>
        <v>388</v>
      </c>
      <c r="AF355" s="474">
        <f t="shared" si="14"/>
        <v>471</v>
      </c>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2"/>
      <c r="BU355" s="102"/>
      <c r="BV355" s="102"/>
      <c r="BW355" s="102"/>
      <c r="BX355" s="102"/>
      <c r="BY355" s="102"/>
      <c r="BZ355" s="102"/>
      <c r="CA355" s="464"/>
      <c r="CB355" s="102"/>
      <c r="CC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474">
        <v>353.0</v>
      </c>
      <c r="AB356" s="474">
        <f t="shared" si="10"/>
        <v>358</v>
      </c>
      <c r="AC356" s="476">
        <f t="shared" si="11"/>
        <v>473</v>
      </c>
      <c r="AD356" s="474">
        <f t="shared" si="12"/>
        <v>589</v>
      </c>
      <c r="AE356" s="474">
        <f t="shared" si="13"/>
        <v>389</v>
      </c>
      <c r="AF356" s="474">
        <f t="shared" si="14"/>
        <v>473</v>
      </c>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2"/>
      <c r="BU356" s="102"/>
      <c r="BV356" s="102"/>
      <c r="BW356" s="102"/>
      <c r="BX356" s="102"/>
      <c r="BY356" s="102"/>
      <c r="BZ356" s="102"/>
      <c r="CA356" s="464"/>
      <c r="CB356" s="102"/>
      <c r="CC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474">
        <v>354.0</v>
      </c>
      <c r="AB357" s="474">
        <f t="shared" si="10"/>
        <v>359</v>
      </c>
      <c r="AC357" s="476">
        <f t="shared" si="11"/>
        <v>474</v>
      </c>
      <c r="AD357" s="474">
        <f t="shared" si="12"/>
        <v>591</v>
      </c>
      <c r="AE357" s="474">
        <f t="shared" si="13"/>
        <v>390</v>
      </c>
      <c r="AF357" s="474">
        <f t="shared" si="14"/>
        <v>474</v>
      </c>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2"/>
      <c r="BU357" s="102"/>
      <c r="BV357" s="102"/>
      <c r="BW357" s="102"/>
      <c r="BX357" s="102"/>
      <c r="BY357" s="102"/>
      <c r="BZ357" s="102"/>
      <c r="CA357" s="464"/>
      <c r="CB357" s="102"/>
      <c r="CC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474">
        <v>355.0</v>
      </c>
      <c r="AB358" s="474">
        <f t="shared" si="10"/>
        <v>360</v>
      </c>
      <c r="AC358" s="476">
        <f t="shared" si="11"/>
        <v>475</v>
      </c>
      <c r="AD358" s="474">
        <f t="shared" si="12"/>
        <v>592</v>
      </c>
      <c r="AE358" s="474">
        <f t="shared" si="13"/>
        <v>391</v>
      </c>
      <c r="AF358" s="474">
        <f t="shared" si="14"/>
        <v>475</v>
      </c>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c r="BZ358" s="102"/>
      <c r="CA358" s="464"/>
      <c r="CB358" s="102"/>
      <c r="CC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474">
        <v>356.0</v>
      </c>
      <c r="AB359" s="474">
        <f t="shared" si="10"/>
        <v>361</v>
      </c>
      <c r="AC359" s="476">
        <f t="shared" si="11"/>
        <v>477</v>
      </c>
      <c r="AD359" s="474">
        <f t="shared" si="12"/>
        <v>594</v>
      </c>
      <c r="AE359" s="474">
        <f t="shared" si="13"/>
        <v>392</v>
      </c>
      <c r="AF359" s="474">
        <f t="shared" si="14"/>
        <v>477</v>
      </c>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2"/>
      <c r="BU359" s="102"/>
      <c r="BV359" s="102"/>
      <c r="BW359" s="102"/>
      <c r="BX359" s="102"/>
      <c r="BY359" s="102"/>
      <c r="BZ359" s="102"/>
      <c r="CA359" s="464"/>
      <c r="CB359" s="102"/>
      <c r="CC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474">
        <v>357.0</v>
      </c>
      <c r="AB360" s="474">
        <f t="shared" si="10"/>
        <v>362</v>
      </c>
      <c r="AC360" s="476">
        <f t="shared" si="11"/>
        <v>478</v>
      </c>
      <c r="AD360" s="474">
        <f t="shared" si="12"/>
        <v>596</v>
      </c>
      <c r="AE360" s="474">
        <f t="shared" si="13"/>
        <v>393</v>
      </c>
      <c r="AF360" s="474">
        <f t="shared" si="14"/>
        <v>478</v>
      </c>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2"/>
      <c r="BU360" s="102"/>
      <c r="BV360" s="102"/>
      <c r="BW360" s="102"/>
      <c r="BX360" s="102"/>
      <c r="BY360" s="102"/>
      <c r="BZ360" s="102"/>
      <c r="CA360" s="464"/>
      <c r="CB360" s="102"/>
      <c r="CC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474">
        <v>358.0</v>
      </c>
      <c r="AB361" s="474">
        <f t="shared" si="10"/>
        <v>363</v>
      </c>
      <c r="AC361" s="476">
        <f t="shared" si="11"/>
        <v>479</v>
      </c>
      <c r="AD361" s="474">
        <f t="shared" si="12"/>
        <v>597</v>
      </c>
      <c r="AE361" s="474">
        <f t="shared" si="13"/>
        <v>394</v>
      </c>
      <c r="AF361" s="474">
        <f t="shared" si="14"/>
        <v>479</v>
      </c>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2"/>
      <c r="BU361" s="102"/>
      <c r="BV361" s="102"/>
      <c r="BW361" s="102"/>
      <c r="BX361" s="102"/>
      <c r="BY361" s="102"/>
      <c r="BZ361" s="102"/>
      <c r="CA361" s="464"/>
      <c r="CB361" s="102"/>
      <c r="CC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474">
        <v>359.0</v>
      </c>
      <c r="AB362" s="474">
        <f t="shared" si="10"/>
        <v>364</v>
      </c>
      <c r="AC362" s="476">
        <f t="shared" si="11"/>
        <v>481</v>
      </c>
      <c r="AD362" s="474">
        <f t="shared" si="12"/>
        <v>599</v>
      </c>
      <c r="AE362" s="474">
        <f t="shared" si="13"/>
        <v>395</v>
      </c>
      <c r="AF362" s="474">
        <f t="shared" si="14"/>
        <v>481</v>
      </c>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2"/>
      <c r="BU362" s="102"/>
      <c r="BV362" s="102"/>
      <c r="BW362" s="102"/>
      <c r="BX362" s="102"/>
      <c r="BY362" s="102"/>
      <c r="BZ362" s="102"/>
      <c r="CA362" s="464"/>
      <c r="CB362" s="102"/>
      <c r="CC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474">
        <v>360.0</v>
      </c>
      <c r="AB363" s="474">
        <f t="shared" si="10"/>
        <v>365</v>
      </c>
      <c r="AC363" s="476">
        <f t="shared" si="11"/>
        <v>482</v>
      </c>
      <c r="AD363" s="474">
        <f t="shared" si="12"/>
        <v>601</v>
      </c>
      <c r="AE363" s="474">
        <f t="shared" si="13"/>
        <v>396</v>
      </c>
      <c r="AF363" s="474">
        <f t="shared" si="14"/>
        <v>482</v>
      </c>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2"/>
      <c r="BU363" s="102"/>
      <c r="BV363" s="102"/>
      <c r="BW363" s="102"/>
      <c r="BX363" s="102"/>
      <c r="BY363" s="102"/>
      <c r="BZ363" s="102"/>
      <c r="CA363" s="464"/>
      <c r="CB363" s="102"/>
      <c r="CC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474">
        <v>361.0</v>
      </c>
      <c r="AB364" s="474">
        <f t="shared" si="10"/>
        <v>366</v>
      </c>
      <c r="AC364" s="476">
        <f t="shared" si="11"/>
        <v>483</v>
      </c>
      <c r="AD364" s="474">
        <f t="shared" si="12"/>
        <v>602</v>
      </c>
      <c r="AE364" s="474">
        <f t="shared" si="13"/>
        <v>398</v>
      </c>
      <c r="AF364" s="474">
        <f t="shared" si="14"/>
        <v>483</v>
      </c>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2"/>
      <c r="BU364" s="102"/>
      <c r="BV364" s="102"/>
      <c r="BW364" s="102"/>
      <c r="BX364" s="102"/>
      <c r="BY364" s="102"/>
      <c r="BZ364" s="102"/>
      <c r="CA364" s="464"/>
      <c r="CB364" s="102"/>
      <c r="CC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474">
        <v>362.0</v>
      </c>
      <c r="AB365" s="474">
        <f t="shared" si="10"/>
        <v>367</v>
      </c>
      <c r="AC365" s="476">
        <f t="shared" si="11"/>
        <v>485</v>
      </c>
      <c r="AD365" s="474">
        <f t="shared" si="12"/>
        <v>604</v>
      </c>
      <c r="AE365" s="474">
        <f t="shared" si="13"/>
        <v>399</v>
      </c>
      <c r="AF365" s="474">
        <f t="shared" si="14"/>
        <v>485</v>
      </c>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2"/>
      <c r="BU365" s="102"/>
      <c r="BV365" s="102"/>
      <c r="BW365" s="102"/>
      <c r="BX365" s="102"/>
      <c r="BY365" s="102"/>
      <c r="BZ365" s="102"/>
      <c r="CA365" s="464"/>
      <c r="CB365" s="102"/>
      <c r="CC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474">
        <v>363.0</v>
      </c>
      <c r="AB366" s="474">
        <f t="shared" si="10"/>
        <v>368</v>
      </c>
      <c r="AC366" s="476">
        <f t="shared" si="11"/>
        <v>486</v>
      </c>
      <c r="AD366" s="474">
        <f t="shared" si="12"/>
        <v>606</v>
      </c>
      <c r="AE366" s="474">
        <f t="shared" si="13"/>
        <v>400</v>
      </c>
      <c r="AF366" s="474">
        <f t="shared" si="14"/>
        <v>486</v>
      </c>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2"/>
      <c r="BU366" s="102"/>
      <c r="BV366" s="102"/>
      <c r="BW366" s="102"/>
      <c r="BX366" s="102"/>
      <c r="BY366" s="102"/>
      <c r="BZ366" s="102"/>
      <c r="CA366" s="464"/>
      <c r="CB366" s="102"/>
      <c r="CC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474">
        <v>364.0</v>
      </c>
      <c r="AB367" s="474">
        <f t="shared" si="10"/>
        <v>369</v>
      </c>
      <c r="AC367" s="476">
        <f t="shared" si="11"/>
        <v>487</v>
      </c>
      <c r="AD367" s="474">
        <f t="shared" si="12"/>
        <v>607</v>
      </c>
      <c r="AE367" s="474">
        <f t="shared" si="13"/>
        <v>401</v>
      </c>
      <c r="AF367" s="474">
        <f t="shared" si="14"/>
        <v>487</v>
      </c>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2"/>
      <c r="BU367" s="102"/>
      <c r="BV367" s="102"/>
      <c r="BW367" s="102"/>
      <c r="BX367" s="102"/>
      <c r="BY367" s="102"/>
      <c r="BZ367" s="102"/>
      <c r="CA367" s="464"/>
      <c r="CB367" s="102"/>
      <c r="CC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474">
        <v>365.0</v>
      </c>
      <c r="AB368" s="474">
        <f t="shared" si="10"/>
        <v>370</v>
      </c>
      <c r="AC368" s="476">
        <f t="shared" si="11"/>
        <v>489</v>
      </c>
      <c r="AD368" s="474">
        <f t="shared" si="12"/>
        <v>609</v>
      </c>
      <c r="AE368" s="474">
        <f t="shared" si="13"/>
        <v>402</v>
      </c>
      <c r="AF368" s="474">
        <f t="shared" si="14"/>
        <v>489</v>
      </c>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2"/>
      <c r="BU368" s="102"/>
      <c r="BV368" s="102"/>
      <c r="BW368" s="102"/>
      <c r="BX368" s="102"/>
      <c r="BY368" s="102"/>
      <c r="BZ368" s="102"/>
      <c r="CA368" s="464"/>
      <c r="CB368" s="102"/>
      <c r="CC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474">
        <v>366.0</v>
      </c>
      <c r="AB369" s="474">
        <f t="shared" si="10"/>
        <v>371</v>
      </c>
      <c r="AC369" s="476">
        <f t="shared" si="11"/>
        <v>490</v>
      </c>
      <c r="AD369" s="474">
        <f t="shared" si="12"/>
        <v>611</v>
      </c>
      <c r="AE369" s="474">
        <f t="shared" si="13"/>
        <v>403</v>
      </c>
      <c r="AF369" s="474">
        <f t="shared" si="14"/>
        <v>490</v>
      </c>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2"/>
      <c r="BU369" s="102"/>
      <c r="BV369" s="102"/>
      <c r="BW369" s="102"/>
      <c r="BX369" s="102"/>
      <c r="BY369" s="102"/>
      <c r="BZ369" s="102"/>
      <c r="CA369" s="464"/>
      <c r="CB369" s="102"/>
      <c r="CC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474">
        <v>367.0</v>
      </c>
      <c r="AB370" s="474">
        <f t="shared" si="10"/>
        <v>372</v>
      </c>
      <c r="AC370" s="476">
        <f t="shared" si="11"/>
        <v>491</v>
      </c>
      <c r="AD370" s="474">
        <f t="shared" si="12"/>
        <v>612</v>
      </c>
      <c r="AE370" s="474">
        <f t="shared" si="13"/>
        <v>404</v>
      </c>
      <c r="AF370" s="474">
        <f t="shared" si="14"/>
        <v>491</v>
      </c>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2"/>
      <c r="BU370" s="102"/>
      <c r="BV370" s="102"/>
      <c r="BW370" s="102"/>
      <c r="BX370" s="102"/>
      <c r="BY370" s="102"/>
      <c r="BZ370" s="102"/>
      <c r="CA370" s="464"/>
      <c r="CB370" s="102"/>
      <c r="CC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474">
        <v>368.0</v>
      </c>
      <c r="AB371" s="474">
        <f t="shared" si="10"/>
        <v>373</v>
      </c>
      <c r="AC371" s="476">
        <f t="shared" si="11"/>
        <v>493</v>
      </c>
      <c r="AD371" s="474">
        <f t="shared" si="12"/>
        <v>614</v>
      </c>
      <c r="AE371" s="474">
        <f t="shared" si="13"/>
        <v>405</v>
      </c>
      <c r="AF371" s="474">
        <f t="shared" si="14"/>
        <v>493</v>
      </c>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2"/>
      <c r="BU371" s="102"/>
      <c r="BV371" s="102"/>
      <c r="BW371" s="102"/>
      <c r="BX371" s="102"/>
      <c r="BY371" s="102"/>
      <c r="BZ371" s="102"/>
      <c r="CA371" s="464"/>
      <c r="CB371" s="102"/>
      <c r="CC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474">
        <v>369.0</v>
      </c>
      <c r="AB372" s="474">
        <f t="shared" si="10"/>
        <v>374</v>
      </c>
      <c r="AC372" s="476">
        <f t="shared" si="11"/>
        <v>494</v>
      </c>
      <c r="AD372" s="474">
        <f t="shared" si="12"/>
        <v>616</v>
      </c>
      <c r="AE372" s="474">
        <f t="shared" si="13"/>
        <v>406</v>
      </c>
      <c r="AF372" s="474">
        <f t="shared" si="14"/>
        <v>494</v>
      </c>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2"/>
      <c r="BU372" s="102"/>
      <c r="BV372" s="102"/>
      <c r="BW372" s="102"/>
      <c r="BX372" s="102"/>
      <c r="BY372" s="102"/>
      <c r="BZ372" s="102"/>
      <c r="CA372" s="464"/>
      <c r="CB372" s="102"/>
      <c r="CC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474">
        <v>370.0</v>
      </c>
      <c r="AB373" s="474">
        <f t="shared" si="10"/>
        <v>375</v>
      </c>
      <c r="AC373" s="476">
        <f t="shared" si="11"/>
        <v>495</v>
      </c>
      <c r="AD373" s="474">
        <f t="shared" si="12"/>
        <v>617</v>
      </c>
      <c r="AE373" s="474">
        <f t="shared" si="13"/>
        <v>407</v>
      </c>
      <c r="AF373" s="474">
        <f t="shared" si="14"/>
        <v>495</v>
      </c>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2"/>
      <c r="BU373" s="102"/>
      <c r="BV373" s="102"/>
      <c r="BW373" s="102"/>
      <c r="BX373" s="102"/>
      <c r="BY373" s="102"/>
      <c r="BZ373" s="102"/>
      <c r="CA373" s="464"/>
      <c r="CB373" s="102"/>
      <c r="CC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474">
        <v>371.0</v>
      </c>
      <c r="AB374" s="474">
        <f t="shared" si="10"/>
        <v>376</v>
      </c>
      <c r="AC374" s="476">
        <f t="shared" si="11"/>
        <v>497</v>
      </c>
      <c r="AD374" s="474">
        <f t="shared" si="12"/>
        <v>619</v>
      </c>
      <c r="AE374" s="474">
        <f t="shared" si="13"/>
        <v>409</v>
      </c>
      <c r="AF374" s="474">
        <f t="shared" si="14"/>
        <v>497</v>
      </c>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2"/>
      <c r="BU374" s="102"/>
      <c r="BV374" s="102"/>
      <c r="BW374" s="102"/>
      <c r="BX374" s="102"/>
      <c r="BY374" s="102"/>
      <c r="BZ374" s="102"/>
      <c r="CA374" s="464"/>
      <c r="CB374" s="102"/>
      <c r="CC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474">
        <v>372.0</v>
      </c>
      <c r="AB375" s="474">
        <f t="shared" si="10"/>
        <v>377</v>
      </c>
      <c r="AC375" s="476">
        <f t="shared" si="11"/>
        <v>498</v>
      </c>
      <c r="AD375" s="474">
        <f t="shared" si="12"/>
        <v>621</v>
      </c>
      <c r="AE375" s="474">
        <f t="shared" si="13"/>
        <v>410</v>
      </c>
      <c r="AF375" s="474">
        <f t="shared" si="14"/>
        <v>498</v>
      </c>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2"/>
      <c r="BU375" s="102"/>
      <c r="BV375" s="102"/>
      <c r="BW375" s="102"/>
      <c r="BX375" s="102"/>
      <c r="BY375" s="102"/>
      <c r="BZ375" s="102"/>
      <c r="CA375" s="464"/>
      <c r="CB375" s="102"/>
      <c r="CC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474">
        <v>373.0</v>
      </c>
      <c r="AB376" s="474">
        <f t="shared" si="10"/>
        <v>378</v>
      </c>
      <c r="AC376" s="476">
        <f t="shared" si="11"/>
        <v>499</v>
      </c>
      <c r="AD376" s="474">
        <f t="shared" si="12"/>
        <v>622</v>
      </c>
      <c r="AE376" s="474">
        <f t="shared" si="13"/>
        <v>411</v>
      </c>
      <c r="AF376" s="474">
        <f t="shared" si="14"/>
        <v>499</v>
      </c>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2"/>
      <c r="BU376" s="102"/>
      <c r="BV376" s="102"/>
      <c r="BW376" s="102"/>
      <c r="BX376" s="102"/>
      <c r="BY376" s="102"/>
      <c r="BZ376" s="102"/>
      <c r="CA376" s="464"/>
      <c r="CB376" s="102"/>
      <c r="CC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474">
        <v>374.0</v>
      </c>
      <c r="AB377" s="474">
        <f t="shared" si="10"/>
        <v>379</v>
      </c>
      <c r="AC377" s="476">
        <f t="shared" si="11"/>
        <v>501</v>
      </c>
      <c r="AD377" s="474">
        <f t="shared" si="12"/>
        <v>624</v>
      </c>
      <c r="AE377" s="474">
        <f t="shared" si="13"/>
        <v>412</v>
      </c>
      <c r="AF377" s="474">
        <f t="shared" si="14"/>
        <v>501</v>
      </c>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2"/>
      <c r="BU377" s="102"/>
      <c r="BV377" s="102"/>
      <c r="BW377" s="102"/>
      <c r="BX377" s="102"/>
      <c r="BY377" s="102"/>
      <c r="BZ377" s="102"/>
      <c r="CA377" s="464"/>
      <c r="CB377" s="102"/>
      <c r="CC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474">
        <v>375.0</v>
      </c>
      <c r="AB378" s="474">
        <f t="shared" si="10"/>
        <v>380</v>
      </c>
      <c r="AC378" s="476">
        <f t="shared" si="11"/>
        <v>502</v>
      </c>
      <c r="AD378" s="474">
        <f t="shared" si="12"/>
        <v>626</v>
      </c>
      <c r="AE378" s="474">
        <f t="shared" si="13"/>
        <v>413</v>
      </c>
      <c r="AF378" s="474">
        <f t="shared" si="14"/>
        <v>502</v>
      </c>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2"/>
      <c r="BU378" s="102"/>
      <c r="BV378" s="102"/>
      <c r="BW378" s="102"/>
      <c r="BX378" s="102"/>
      <c r="BY378" s="102"/>
      <c r="BZ378" s="102"/>
      <c r="CA378" s="464"/>
      <c r="CB378" s="102"/>
      <c r="CC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474">
        <v>376.0</v>
      </c>
      <c r="AB379" s="474">
        <f t="shared" si="10"/>
        <v>381</v>
      </c>
      <c r="AC379" s="476">
        <f t="shared" si="11"/>
        <v>503</v>
      </c>
      <c r="AD379" s="474">
        <f t="shared" si="12"/>
        <v>627</v>
      </c>
      <c r="AE379" s="474">
        <f t="shared" si="13"/>
        <v>414</v>
      </c>
      <c r="AF379" s="474">
        <f t="shared" si="14"/>
        <v>503</v>
      </c>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2"/>
      <c r="BU379" s="102"/>
      <c r="BV379" s="102"/>
      <c r="BW379" s="102"/>
      <c r="BX379" s="102"/>
      <c r="BY379" s="102"/>
      <c r="BZ379" s="102"/>
      <c r="CA379" s="464"/>
      <c r="CB379" s="102"/>
      <c r="CC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474">
        <v>377.0</v>
      </c>
      <c r="AB380" s="474">
        <f t="shared" si="10"/>
        <v>382</v>
      </c>
      <c r="AC380" s="476">
        <f t="shared" si="11"/>
        <v>505</v>
      </c>
      <c r="AD380" s="474">
        <f t="shared" si="12"/>
        <v>629</v>
      </c>
      <c r="AE380" s="474">
        <f t="shared" si="13"/>
        <v>415</v>
      </c>
      <c r="AF380" s="474">
        <f t="shared" si="14"/>
        <v>505</v>
      </c>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2"/>
      <c r="BU380" s="102"/>
      <c r="BV380" s="102"/>
      <c r="BW380" s="102"/>
      <c r="BX380" s="102"/>
      <c r="BY380" s="102"/>
      <c r="BZ380" s="102"/>
      <c r="CA380" s="464"/>
      <c r="CB380" s="102"/>
      <c r="CC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474">
        <v>378.0</v>
      </c>
      <c r="AB381" s="474">
        <f t="shared" si="10"/>
        <v>383</v>
      </c>
      <c r="AC381" s="476">
        <f t="shared" si="11"/>
        <v>506</v>
      </c>
      <c r="AD381" s="474">
        <f t="shared" si="12"/>
        <v>631</v>
      </c>
      <c r="AE381" s="474">
        <f t="shared" si="13"/>
        <v>416</v>
      </c>
      <c r="AF381" s="474">
        <f t="shared" si="14"/>
        <v>506</v>
      </c>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2"/>
      <c r="BU381" s="102"/>
      <c r="BV381" s="102"/>
      <c r="BW381" s="102"/>
      <c r="BX381" s="102"/>
      <c r="BY381" s="102"/>
      <c r="BZ381" s="102"/>
      <c r="CA381" s="464"/>
      <c r="CB381" s="102"/>
      <c r="CC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474">
        <v>379.0</v>
      </c>
      <c r="AB382" s="474">
        <f t="shared" si="10"/>
        <v>384</v>
      </c>
      <c r="AC382" s="476">
        <f t="shared" si="11"/>
        <v>507</v>
      </c>
      <c r="AD382" s="474">
        <f t="shared" si="12"/>
        <v>632</v>
      </c>
      <c r="AE382" s="474">
        <f t="shared" si="13"/>
        <v>417</v>
      </c>
      <c r="AF382" s="474">
        <f t="shared" si="14"/>
        <v>507</v>
      </c>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2"/>
      <c r="BU382" s="102"/>
      <c r="BV382" s="102"/>
      <c r="BW382" s="102"/>
      <c r="BX382" s="102"/>
      <c r="BY382" s="102"/>
      <c r="BZ382" s="102"/>
      <c r="CA382" s="464"/>
      <c r="CB382" s="102"/>
      <c r="CC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474">
        <v>380.0</v>
      </c>
      <c r="AB383" s="474">
        <f t="shared" si="10"/>
        <v>385</v>
      </c>
      <c r="AC383" s="476">
        <f t="shared" si="11"/>
        <v>509</v>
      </c>
      <c r="AD383" s="474">
        <f t="shared" si="12"/>
        <v>634</v>
      </c>
      <c r="AE383" s="474">
        <f t="shared" si="13"/>
        <v>418</v>
      </c>
      <c r="AF383" s="474">
        <f t="shared" si="14"/>
        <v>509</v>
      </c>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2"/>
      <c r="BU383" s="102"/>
      <c r="BV383" s="102"/>
      <c r="BW383" s="102"/>
      <c r="BX383" s="102"/>
      <c r="BY383" s="102"/>
      <c r="BZ383" s="102"/>
      <c r="CA383" s="464"/>
      <c r="CB383" s="102"/>
      <c r="CC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474">
        <v>381.0</v>
      </c>
      <c r="AB384" s="474">
        <f t="shared" si="10"/>
        <v>386</v>
      </c>
      <c r="AC384" s="476">
        <f t="shared" si="11"/>
        <v>510</v>
      </c>
      <c r="AD384" s="474">
        <f t="shared" si="12"/>
        <v>636</v>
      </c>
      <c r="AE384" s="474">
        <f t="shared" si="13"/>
        <v>420</v>
      </c>
      <c r="AF384" s="474">
        <f t="shared" si="14"/>
        <v>510</v>
      </c>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2"/>
      <c r="BU384" s="102"/>
      <c r="BV384" s="102"/>
      <c r="BW384" s="102"/>
      <c r="BX384" s="102"/>
      <c r="BY384" s="102"/>
      <c r="BZ384" s="102"/>
      <c r="CA384" s="464"/>
      <c r="CB384" s="102"/>
      <c r="CC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474">
        <v>382.0</v>
      </c>
      <c r="AB385" s="474">
        <f t="shared" si="10"/>
        <v>387</v>
      </c>
      <c r="AC385" s="476">
        <f t="shared" si="11"/>
        <v>511</v>
      </c>
      <c r="AD385" s="474">
        <f t="shared" si="12"/>
        <v>637</v>
      </c>
      <c r="AE385" s="474">
        <f t="shared" si="13"/>
        <v>421</v>
      </c>
      <c r="AF385" s="474">
        <f t="shared" si="14"/>
        <v>511</v>
      </c>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2"/>
      <c r="BU385" s="102"/>
      <c r="BV385" s="102"/>
      <c r="BW385" s="102"/>
      <c r="BX385" s="102"/>
      <c r="BY385" s="102"/>
      <c r="BZ385" s="102"/>
      <c r="CA385" s="464"/>
      <c r="CB385" s="102"/>
      <c r="CC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474">
        <v>383.0</v>
      </c>
      <c r="AB386" s="474">
        <f t="shared" si="10"/>
        <v>388</v>
      </c>
      <c r="AC386" s="476">
        <f t="shared" si="11"/>
        <v>513</v>
      </c>
      <c r="AD386" s="474">
        <f t="shared" si="12"/>
        <v>639</v>
      </c>
      <c r="AE386" s="474">
        <f t="shared" si="13"/>
        <v>422</v>
      </c>
      <c r="AF386" s="474">
        <f t="shared" si="14"/>
        <v>513</v>
      </c>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c r="BZ386" s="102"/>
      <c r="CA386" s="464"/>
      <c r="CB386" s="102"/>
      <c r="CC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474">
        <v>384.0</v>
      </c>
      <c r="AB387" s="474">
        <f t="shared" si="10"/>
        <v>389</v>
      </c>
      <c r="AC387" s="476">
        <f t="shared" si="11"/>
        <v>514</v>
      </c>
      <c r="AD387" s="474">
        <f t="shared" si="12"/>
        <v>641</v>
      </c>
      <c r="AE387" s="474">
        <f t="shared" si="13"/>
        <v>423</v>
      </c>
      <c r="AF387" s="474">
        <f t="shared" si="14"/>
        <v>514</v>
      </c>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c r="BZ387" s="102"/>
      <c r="CA387" s="464"/>
      <c r="CB387" s="102"/>
      <c r="CC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474">
        <v>385.0</v>
      </c>
      <c r="AB388" s="474">
        <f t="shared" si="10"/>
        <v>390</v>
      </c>
      <c r="AC388" s="476">
        <f t="shared" si="11"/>
        <v>515</v>
      </c>
      <c r="AD388" s="474">
        <f t="shared" si="12"/>
        <v>642</v>
      </c>
      <c r="AE388" s="474">
        <f t="shared" si="13"/>
        <v>424</v>
      </c>
      <c r="AF388" s="474">
        <f t="shared" si="14"/>
        <v>515</v>
      </c>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2"/>
      <c r="BU388" s="102"/>
      <c r="BV388" s="102"/>
      <c r="BW388" s="102"/>
      <c r="BX388" s="102"/>
      <c r="BY388" s="102"/>
      <c r="BZ388" s="102"/>
      <c r="CA388" s="464"/>
      <c r="CB388" s="102"/>
      <c r="CC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474">
        <v>386.0</v>
      </c>
      <c r="AB389" s="474">
        <f t="shared" si="10"/>
        <v>391</v>
      </c>
      <c r="AC389" s="476">
        <f t="shared" si="11"/>
        <v>517</v>
      </c>
      <c r="AD389" s="474">
        <f t="shared" si="12"/>
        <v>644</v>
      </c>
      <c r="AE389" s="474">
        <f t="shared" si="13"/>
        <v>425</v>
      </c>
      <c r="AF389" s="474">
        <f t="shared" si="14"/>
        <v>517</v>
      </c>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464"/>
      <c r="CB389" s="102"/>
      <c r="CC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474">
        <v>387.0</v>
      </c>
      <c r="AB390" s="474">
        <f t="shared" si="10"/>
        <v>392</v>
      </c>
      <c r="AC390" s="476">
        <f t="shared" si="11"/>
        <v>518</v>
      </c>
      <c r="AD390" s="474">
        <f t="shared" si="12"/>
        <v>646</v>
      </c>
      <c r="AE390" s="474">
        <f t="shared" si="13"/>
        <v>426</v>
      </c>
      <c r="AF390" s="474">
        <f t="shared" si="14"/>
        <v>518</v>
      </c>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2"/>
      <c r="BU390" s="102"/>
      <c r="BV390" s="102"/>
      <c r="BW390" s="102"/>
      <c r="BX390" s="102"/>
      <c r="BY390" s="102"/>
      <c r="BZ390" s="102"/>
      <c r="CA390" s="464"/>
      <c r="CB390" s="102"/>
      <c r="CC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474">
        <v>388.0</v>
      </c>
      <c r="AB391" s="474">
        <f t="shared" si="10"/>
        <v>393</v>
      </c>
      <c r="AC391" s="476">
        <f t="shared" si="11"/>
        <v>519</v>
      </c>
      <c r="AD391" s="474">
        <f t="shared" si="12"/>
        <v>647</v>
      </c>
      <c r="AE391" s="474">
        <f t="shared" si="13"/>
        <v>427</v>
      </c>
      <c r="AF391" s="474">
        <f t="shared" si="14"/>
        <v>519</v>
      </c>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c r="BZ391" s="102"/>
      <c r="CA391" s="464"/>
      <c r="CB391" s="102"/>
      <c r="CC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474">
        <v>389.0</v>
      </c>
      <c r="AB392" s="474">
        <f t="shared" si="10"/>
        <v>394</v>
      </c>
      <c r="AC392" s="476">
        <f t="shared" si="11"/>
        <v>521</v>
      </c>
      <c r="AD392" s="474">
        <f t="shared" si="12"/>
        <v>649</v>
      </c>
      <c r="AE392" s="474">
        <f t="shared" si="13"/>
        <v>428</v>
      </c>
      <c r="AF392" s="474">
        <f t="shared" si="14"/>
        <v>521</v>
      </c>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2"/>
      <c r="BU392" s="102"/>
      <c r="BV392" s="102"/>
      <c r="BW392" s="102"/>
      <c r="BX392" s="102"/>
      <c r="BY392" s="102"/>
      <c r="BZ392" s="102"/>
      <c r="CA392" s="464"/>
      <c r="CB392" s="102"/>
      <c r="CC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474">
        <v>390.0</v>
      </c>
      <c r="AB393" s="474">
        <f t="shared" si="10"/>
        <v>395</v>
      </c>
      <c r="AC393" s="476">
        <f t="shared" si="11"/>
        <v>522</v>
      </c>
      <c r="AD393" s="474">
        <f t="shared" si="12"/>
        <v>651</v>
      </c>
      <c r="AE393" s="474">
        <f t="shared" si="13"/>
        <v>429</v>
      </c>
      <c r="AF393" s="474">
        <f t="shared" si="14"/>
        <v>522</v>
      </c>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c r="BZ393" s="102"/>
      <c r="CA393" s="464"/>
      <c r="CB393" s="102"/>
      <c r="CC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474">
        <v>391.0</v>
      </c>
      <c r="AB394" s="474">
        <f t="shared" si="10"/>
        <v>396</v>
      </c>
      <c r="AC394" s="476">
        <f t="shared" si="11"/>
        <v>523</v>
      </c>
      <c r="AD394" s="474">
        <f t="shared" si="12"/>
        <v>652</v>
      </c>
      <c r="AE394" s="474">
        <f t="shared" si="13"/>
        <v>431</v>
      </c>
      <c r="AF394" s="474">
        <f t="shared" si="14"/>
        <v>523</v>
      </c>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c r="BZ394" s="102"/>
      <c r="CA394" s="464"/>
      <c r="CB394" s="102"/>
      <c r="CC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474">
        <v>392.0</v>
      </c>
      <c r="AB395" s="474">
        <f t="shared" si="10"/>
        <v>397</v>
      </c>
      <c r="AC395" s="476">
        <f t="shared" si="11"/>
        <v>525</v>
      </c>
      <c r="AD395" s="474">
        <f t="shared" si="12"/>
        <v>654</v>
      </c>
      <c r="AE395" s="474">
        <f t="shared" si="13"/>
        <v>432</v>
      </c>
      <c r="AF395" s="474">
        <f t="shared" si="14"/>
        <v>525</v>
      </c>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c r="BZ395" s="102"/>
      <c r="CA395" s="464"/>
      <c r="CB395" s="102"/>
      <c r="CC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474">
        <v>393.0</v>
      </c>
      <c r="AB396" s="474">
        <f t="shared" si="10"/>
        <v>398</v>
      </c>
      <c r="AC396" s="476">
        <f t="shared" si="11"/>
        <v>526</v>
      </c>
      <c r="AD396" s="474">
        <f t="shared" si="12"/>
        <v>656</v>
      </c>
      <c r="AE396" s="474">
        <f t="shared" si="13"/>
        <v>433</v>
      </c>
      <c r="AF396" s="474">
        <f t="shared" si="14"/>
        <v>526</v>
      </c>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c r="BZ396" s="102"/>
      <c r="CA396" s="464"/>
      <c r="CB396" s="102"/>
      <c r="CC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474">
        <v>394.0</v>
      </c>
      <c r="AB397" s="474">
        <f t="shared" si="10"/>
        <v>399</v>
      </c>
      <c r="AC397" s="476">
        <f t="shared" si="11"/>
        <v>527</v>
      </c>
      <c r="AD397" s="474">
        <f t="shared" si="12"/>
        <v>657</v>
      </c>
      <c r="AE397" s="474">
        <f t="shared" si="13"/>
        <v>434</v>
      </c>
      <c r="AF397" s="474">
        <f t="shared" si="14"/>
        <v>527</v>
      </c>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c r="BZ397" s="102"/>
      <c r="CA397" s="464"/>
      <c r="CB397" s="102"/>
      <c r="CC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474">
        <v>395.0</v>
      </c>
      <c r="AB398" s="474">
        <f t="shared" si="10"/>
        <v>400</v>
      </c>
      <c r="AC398" s="476">
        <f t="shared" si="11"/>
        <v>529</v>
      </c>
      <c r="AD398" s="474">
        <f t="shared" si="12"/>
        <v>659</v>
      </c>
      <c r="AE398" s="474">
        <f t="shared" si="13"/>
        <v>435</v>
      </c>
      <c r="AF398" s="474">
        <f t="shared" si="14"/>
        <v>529</v>
      </c>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c r="BZ398" s="102"/>
      <c r="CA398" s="464"/>
      <c r="CB398" s="102"/>
      <c r="CC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474">
        <v>396.0</v>
      </c>
      <c r="AB399" s="474">
        <f t="shared" si="10"/>
        <v>401</v>
      </c>
      <c r="AC399" s="476">
        <f t="shared" si="11"/>
        <v>530</v>
      </c>
      <c r="AD399" s="474">
        <f t="shared" si="12"/>
        <v>661</v>
      </c>
      <c r="AE399" s="474">
        <f t="shared" si="13"/>
        <v>436</v>
      </c>
      <c r="AF399" s="474">
        <f t="shared" si="14"/>
        <v>530</v>
      </c>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c r="BZ399" s="102"/>
      <c r="CA399" s="464"/>
      <c r="CB399" s="102"/>
      <c r="CC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474">
        <v>397.0</v>
      </c>
      <c r="AB400" s="474">
        <f t="shared" si="10"/>
        <v>402</v>
      </c>
      <c r="AC400" s="476">
        <f t="shared" si="11"/>
        <v>531</v>
      </c>
      <c r="AD400" s="474">
        <f t="shared" si="12"/>
        <v>662</v>
      </c>
      <c r="AE400" s="474">
        <f t="shared" si="13"/>
        <v>437</v>
      </c>
      <c r="AF400" s="474">
        <f t="shared" si="14"/>
        <v>531</v>
      </c>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2"/>
      <c r="BU400" s="102"/>
      <c r="BV400" s="102"/>
      <c r="BW400" s="102"/>
      <c r="BX400" s="102"/>
      <c r="BY400" s="102"/>
      <c r="BZ400" s="102"/>
      <c r="CA400" s="464"/>
      <c r="CB400" s="102"/>
      <c r="CC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474">
        <v>398.0</v>
      </c>
      <c r="AB401" s="474">
        <f t="shared" si="10"/>
        <v>403</v>
      </c>
      <c r="AC401" s="476">
        <f t="shared" si="11"/>
        <v>533</v>
      </c>
      <c r="AD401" s="474">
        <f t="shared" si="12"/>
        <v>664</v>
      </c>
      <c r="AE401" s="474">
        <f t="shared" si="13"/>
        <v>438</v>
      </c>
      <c r="AF401" s="474">
        <f t="shared" si="14"/>
        <v>533</v>
      </c>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2"/>
      <c r="BU401" s="102"/>
      <c r="BV401" s="102"/>
      <c r="BW401" s="102"/>
      <c r="BX401" s="102"/>
      <c r="BY401" s="102"/>
      <c r="BZ401" s="102"/>
      <c r="CA401" s="464"/>
      <c r="CB401" s="102"/>
      <c r="CC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474">
        <v>399.0</v>
      </c>
      <c r="AB402" s="474">
        <f t="shared" si="10"/>
        <v>404</v>
      </c>
      <c r="AC402" s="476">
        <f t="shared" si="11"/>
        <v>534</v>
      </c>
      <c r="AD402" s="474">
        <f t="shared" si="12"/>
        <v>666</v>
      </c>
      <c r="AE402" s="474">
        <f t="shared" si="13"/>
        <v>439</v>
      </c>
      <c r="AF402" s="474">
        <f t="shared" si="14"/>
        <v>534</v>
      </c>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464"/>
      <c r="CB402" s="102"/>
      <c r="CC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474">
        <v>400.0</v>
      </c>
      <c r="AB403" s="474">
        <f t="shared" si="10"/>
        <v>405</v>
      </c>
      <c r="AC403" s="476">
        <f t="shared" si="11"/>
        <v>536</v>
      </c>
      <c r="AD403" s="474">
        <f t="shared" si="12"/>
        <v>668</v>
      </c>
      <c r="AE403" s="474">
        <f t="shared" si="13"/>
        <v>440</v>
      </c>
      <c r="AF403" s="474">
        <f t="shared" si="14"/>
        <v>536</v>
      </c>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2"/>
      <c r="BU403" s="102"/>
      <c r="BV403" s="102"/>
      <c r="BW403" s="102"/>
      <c r="BX403" s="102"/>
      <c r="BY403" s="102"/>
      <c r="BZ403" s="102"/>
      <c r="CA403" s="464"/>
      <c r="CB403" s="102"/>
      <c r="CC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474">
        <v>401.0</v>
      </c>
      <c r="AB404" s="474">
        <f t="shared" si="10"/>
        <v>406</v>
      </c>
      <c r="AC404" s="476">
        <f t="shared" si="11"/>
        <v>537</v>
      </c>
      <c r="AD404" s="474">
        <f t="shared" si="12"/>
        <v>669</v>
      </c>
      <c r="AE404" s="474">
        <f t="shared" si="13"/>
        <v>442</v>
      </c>
      <c r="AF404" s="474">
        <f t="shared" si="14"/>
        <v>537</v>
      </c>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2"/>
      <c r="BU404" s="102"/>
      <c r="BV404" s="102"/>
      <c r="BW404" s="102"/>
      <c r="BX404" s="102"/>
      <c r="BY404" s="102"/>
      <c r="BZ404" s="102"/>
      <c r="CA404" s="464"/>
      <c r="CB404" s="102"/>
      <c r="CC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474">
        <v>402.0</v>
      </c>
      <c r="AB405" s="474">
        <f t="shared" si="10"/>
        <v>407</v>
      </c>
      <c r="AC405" s="476">
        <f t="shared" si="11"/>
        <v>538</v>
      </c>
      <c r="AD405" s="474">
        <f t="shared" si="12"/>
        <v>671</v>
      </c>
      <c r="AE405" s="474">
        <f t="shared" si="13"/>
        <v>443</v>
      </c>
      <c r="AF405" s="474">
        <f t="shared" si="14"/>
        <v>538</v>
      </c>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2"/>
      <c r="BU405" s="102"/>
      <c r="BV405" s="102"/>
      <c r="BW405" s="102"/>
      <c r="BX405" s="102"/>
      <c r="BY405" s="102"/>
      <c r="BZ405" s="102"/>
      <c r="CA405" s="464"/>
      <c r="CB405" s="102"/>
      <c r="CC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474">
        <v>403.0</v>
      </c>
      <c r="AB406" s="474">
        <f t="shared" si="10"/>
        <v>408</v>
      </c>
      <c r="AC406" s="476">
        <f t="shared" si="11"/>
        <v>540</v>
      </c>
      <c r="AD406" s="474">
        <f t="shared" si="12"/>
        <v>673</v>
      </c>
      <c r="AE406" s="474">
        <f t="shared" si="13"/>
        <v>444</v>
      </c>
      <c r="AF406" s="474">
        <f t="shared" si="14"/>
        <v>540</v>
      </c>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2"/>
      <c r="BU406" s="102"/>
      <c r="BV406" s="102"/>
      <c r="BW406" s="102"/>
      <c r="BX406" s="102"/>
      <c r="BY406" s="102"/>
      <c r="BZ406" s="102"/>
      <c r="CA406" s="464"/>
      <c r="CB406" s="102"/>
      <c r="CC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474">
        <v>404.0</v>
      </c>
      <c r="AB407" s="474">
        <f t="shared" si="10"/>
        <v>409</v>
      </c>
      <c r="AC407" s="476">
        <f t="shared" si="11"/>
        <v>541</v>
      </c>
      <c r="AD407" s="474">
        <f t="shared" si="12"/>
        <v>674</v>
      </c>
      <c r="AE407" s="474">
        <f t="shared" si="13"/>
        <v>445</v>
      </c>
      <c r="AF407" s="474">
        <f t="shared" si="14"/>
        <v>541</v>
      </c>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2"/>
      <c r="BU407" s="102"/>
      <c r="BV407" s="102"/>
      <c r="BW407" s="102"/>
      <c r="BX407" s="102"/>
      <c r="BY407" s="102"/>
      <c r="BZ407" s="102"/>
      <c r="CA407" s="464"/>
      <c r="CB407" s="102"/>
      <c r="CC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474">
        <v>405.0</v>
      </c>
      <c r="AB408" s="474">
        <f t="shared" si="10"/>
        <v>410</v>
      </c>
      <c r="AC408" s="476">
        <f t="shared" si="11"/>
        <v>542</v>
      </c>
      <c r="AD408" s="474">
        <f t="shared" si="12"/>
        <v>676</v>
      </c>
      <c r="AE408" s="474">
        <f t="shared" si="13"/>
        <v>446</v>
      </c>
      <c r="AF408" s="474">
        <f t="shared" si="14"/>
        <v>542</v>
      </c>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2"/>
      <c r="BU408" s="102"/>
      <c r="BV408" s="102"/>
      <c r="BW408" s="102"/>
      <c r="BX408" s="102"/>
      <c r="BY408" s="102"/>
      <c r="BZ408" s="102"/>
      <c r="CA408" s="464"/>
      <c r="CB408" s="102"/>
      <c r="CC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474">
        <v>406.0</v>
      </c>
      <c r="AB409" s="474">
        <f t="shared" si="10"/>
        <v>411</v>
      </c>
      <c r="AC409" s="476">
        <f t="shared" si="11"/>
        <v>544</v>
      </c>
      <c r="AD409" s="474">
        <f t="shared" si="12"/>
        <v>678</v>
      </c>
      <c r="AE409" s="474">
        <f t="shared" si="13"/>
        <v>447</v>
      </c>
      <c r="AF409" s="474">
        <f t="shared" si="14"/>
        <v>544</v>
      </c>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2"/>
      <c r="BU409" s="102"/>
      <c r="BV409" s="102"/>
      <c r="BW409" s="102"/>
      <c r="BX409" s="102"/>
      <c r="BY409" s="102"/>
      <c r="BZ409" s="102"/>
      <c r="CA409" s="464"/>
      <c r="CB409" s="102"/>
      <c r="CC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474">
        <v>407.0</v>
      </c>
      <c r="AB410" s="474">
        <f t="shared" si="10"/>
        <v>412</v>
      </c>
      <c r="AC410" s="476">
        <f t="shared" si="11"/>
        <v>545</v>
      </c>
      <c r="AD410" s="474">
        <f t="shared" si="12"/>
        <v>679</v>
      </c>
      <c r="AE410" s="474">
        <f t="shared" si="13"/>
        <v>448</v>
      </c>
      <c r="AF410" s="474">
        <f t="shared" si="14"/>
        <v>545</v>
      </c>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2"/>
      <c r="BU410" s="102"/>
      <c r="BV410" s="102"/>
      <c r="BW410" s="102"/>
      <c r="BX410" s="102"/>
      <c r="BY410" s="102"/>
      <c r="BZ410" s="102"/>
      <c r="CA410" s="464"/>
      <c r="CB410" s="102"/>
      <c r="CC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474">
        <v>408.0</v>
      </c>
      <c r="AB411" s="474">
        <f t="shared" si="10"/>
        <v>413</v>
      </c>
      <c r="AC411" s="476">
        <f t="shared" si="11"/>
        <v>546</v>
      </c>
      <c r="AD411" s="474">
        <f t="shared" si="12"/>
        <v>681</v>
      </c>
      <c r="AE411" s="474">
        <f t="shared" si="13"/>
        <v>449</v>
      </c>
      <c r="AF411" s="474">
        <f t="shared" si="14"/>
        <v>546</v>
      </c>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2"/>
      <c r="BU411" s="102"/>
      <c r="BV411" s="102"/>
      <c r="BW411" s="102"/>
      <c r="BX411" s="102"/>
      <c r="BY411" s="102"/>
      <c r="BZ411" s="102"/>
      <c r="CA411" s="464"/>
      <c r="CB411" s="102"/>
      <c r="CC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474">
        <v>409.0</v>
      </c>
      <c r="AB412" s="474">
        <f t="shared" si="10"/>
        <v>414</v>
      </c>
      <c r="AC412" s="476">
        <f t="shared" si="11"/>
        <v>548</v>
      </c>
      <c r="AD412" s="474">
        <f t="shared" si="12"/>
        <v>683</v>
      </c>
      <c r="AE412" s="474">
        <f t="shared" si="13"/>
        <v>450</v>
      </c>
      <c r="AF412" s="474">
        <f t="shared" si="14"/>
        <v>548</v>
      </c>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2"/>
      <c r="BU412" s="102"/>
      <c r="BV412" s="102"/>
      <c r="BW412" s="102"/>
      <c r="BX412" s="102"/>
      <c r="BY412" s="102"/>
      <c r="BZ412" s="102"/>
      <c r="CA412" s="464"/>
      <c r="CB412" s="102"/>
      <c r="CC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474">
        <v>410.0</v>
      </c>
      <c r="AB413" s="474">
        <f t="shared" si="10"/>
        <v>415</v>
      </c>
      <c r="AC413" s="476">
        <f t="shared" si="11"/>
        <v>549</v>
      </c>
      <c r="AD413" s="474">
        <f t="shared" si="12"/>
        <v>684</v>
      </c>
      <c r="AE413" s="474">
        <f t="shared" si="13"/>
        <v>451</v>
      </c>
      <c r="AF413" s="474">
        <f t="shared" si="14"/>
        <v>549</v>
      </c>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2"/>
      <c r="BU413" s="102"/>
      <c r="BV413" s="102"/>
      <c r="BW413" s="102"/>
      <c r="BX413" s="102"/>
      <c r="BY413" s="102"/>
      <c r="BZ413" s="102"/>
      <c r="CA413" s="464"/>
      <c r="CB413" s="102"/>
      <c r="CC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474">
        <v>411.0</v>
      </c>
      <c r="AB414" s="474">
        <f t="shared" si="10"/>
        <v>416</v>
      </c>
      <c r="AC414" s="476">
        <f t="shared" si="11"/>
        <v>550</v>
      </c>
      <c r="AD414" s="474">
        <f t="shared" si="12"/>
        <v>686</v>
      </c>
      <c r="AE414" s="474">
        <f t="shared" si="13"/>
        <v>453</v>
      </c>
      <c r="AF414" s="474">
        <f t="shared" si="14"/>
        <v>550</v>
      </c>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2"/>
      <c r="BU414" s="102"/>
      <c r="BV414" s="102"/>
      <c r="BW414" s="102"/>
      <c r="BX414" s="102"/>
      <c r="BY414" s="102"/>
      <c r="BZ414" s="102"/>
      <c r="CA414" s="464"/>
      <c r="CB414" s="102"/>
      <c r="CC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474">
        <v>412.0</v>
      </c>
      <c r="AB415" s="474">
        <f t="shared" si="10"/>
        <v>417</v>
      </c>
      <c r="AC415" s="476">
        <f t="shared" si="11"/>
        <v>552</v>
      </c>
      <c r="AD415" s="474">
        <f t="shared" si="12"/>
        <v>688</v>
      </c>
      <c r="AE415" s="474">
        <f t="shared" si="13"/>
        <v>454</v>
      </c>
      <c r="AF415" s="474">
        <f t="shared" si="14"/>
        <v>552</v>
      </c>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464"/>
      <c r="CB415" s="102"/>
      <c r="CC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474">
        <v>413.0</v>
      </c>
      <c r="AB416" s="474">
        <f t="shared" si="10"/>
        <v>418</v>
      </c>
      <c r="AC416" s="476">
        <f t="shared" si="11"/>
        <v>553</v>
      </c>
      <c r="AD416" s="474">
        <f t="shared" si="12"/>
        <v>689</v>
      </c>
      <c r="AE416" s="474">
        <f t="shared" si="13"/>
        <v>455</v>
      </c>
      <c r="AF416" s="474">
        <f t="shared" si="14"/>
        <v>553</v>
      </c>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2"/>
      <c r="BU416" s="102"/>
      <c r="BV416" s="102"/>
      <c r="BW416" s="102"/>
      <c r="BX416" s="102"/>
      <c r="BY416" s="102"/>
      <c r="BZ416" s="102"/>
      <c r="CA416" s="464"/>
      <c r="CB416" s="102"/>
      <c r="CC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474">
        <v>414.0</v>
      </c>
      <c r="AB417" s="474">
        <f t="shared" si="10"/>
        <v>419</v>
      </c>
      <c r="AC417" s="476">
        <f t="shared" si="11"/>
        <v>554</v>
      </c>
      <c r="AD417" s="474">
        <f t="shared" si="12"/>
        <v>691</v>
      </c>
      <c r="AE417" s="474">
        <f t="shared" si="13"/>
        <v>456</v>
      </c>
      <c r="AF417" s="474">
        <f t="shared" si="14"/>
        <v>554</v>
      </c>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2"/>
      <c r="BU417" s="102"/>
      <c r="BV417" s="102"/>
      <c r="BW417" s="102"/>
      <c r="BX417" s="102"/>
      <c r="BY417" s="102"/>
      <c r="BZ417" s="102"/>
      <c r="CA417" s="464"/>
      <c r="CB417" s="102"/>
      <c r="CC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474">
        <v>415.0</v>
      </c>
      <c r="AB418" s="474">
        <f t="shared" si="10"/>
        <v>420</v>
      </c>
      <c r="AC418" s="476">
        <f t="shared" si="11"/>
        <v>556</v>
      </c>
      <c r="AD418" s="474">
        <f t="shared" si="12"/>
        <v>693</v>
      </c>
      <c r="AE418" s="474">
        <f t="shared" si="13"/>
        <v>457</v>
      </c>
      <c r="AF418" s="474">
        <f t="shared" si="14"/>
        <v>556</v>
      </c>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2"/>
      <c r="BU418" s="102"/>
      <c r="BV418" s="102"/>
      <c r="BW418" s="102"/>
      <c r="BX418" s="102"/>
      <c r="BY418" s="102"/>
      <c r="BZ418" s="102"/>
      <c r="CA418" s="464"/>
      <c r="CB418" s="102"/>
      <c r="CC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474">
        <v>416.0</v>
      </c>
      <c r="AB419" s="474">
        <f t="shared" si="10"/>
        <v>421</v>
      </c>
      <c r="AC419" s="476">
        <f t="shared" si="11"/>
        <v>557</v>
      </c>
      <c r="AD419" s="474">
        <f t="shared" si="12"/>
        <v>694</v>
      </c>
      <c r="AE419" s="474">
        <f t="shared" si="13"/>
        <v>458</v>
      </c>
      <c r="AF419" s="474">
        <f t="shared" si="14"/>
        <v>557</v>
      </c>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2"/>
      <c r="BU419" s="102"/>
      <c r="BV419" s="102"/>
      <c r="BW419" s="102"/>
      <c r="BX419" s="102"/>
      <c r="BY419" s="102"/>
      <c r="BZ419" s="102"/>
      <c r="CA419" s="464"/>
      <c r="CB419" s="102"/>
      <c r="CC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474">
        <v>417.0</v>
      </c>
      <c r="AB420" s="474">
        <f t="shared" si="10"/>
        <v>422</v>
      </c>
      <c r="AC420" s="476">
        <f t="shared" si="11"/>
        <v>558</v>
      </c>
      <c r="AD420" s="474">
        <f t="shared" si="12"/>
        <v>696</v>
      </c>
      <c r="AE420" s="474">
        <f t="shared" si="13"/>
        <v>459</v>
      </c>
      <c r="AF420" s="474">
        <f t="shared" si="14"/>
        <v>558</v>
      </c>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2"/>
      <c r="BU420" s="102"/>
      <c r="BV420" s="102"/>
      <c r="BW420" s="102"/>
      <c r="BX420" s="102"/>
      <c r="BY420" s="102"/>
      <c r="BZ420" s="102"/>
      <c r="CA420" s="464"/>
      <c r="CB420" s="102"/>
      <c r="CC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474">
        <v>418.0</v>
      </c>
      <c r="AB421" s="474">
        <f t="shared" si="10"/>
        <v>423</v>
      </c>
      <c r="AC421" s="476">
        <f t="shared" si="11"/>
        <v>560</v>
      </c>
      <c r="AD421" s="474">
        <f t="shared" si="12"/>
        <v>698</v>
      </c>
      <c r="AE421" s="474">
        <f t="shared" si="13"/>
        <v>460</v>
      </c>
      <c r="AF421" s="474">
        <f t="shared" si="14"/>
        <v>560</v>
      </c>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2"/>
      <c r="BU421" s="102"/>
      <c r="BV421" s="102"/>
      <c r="BW421" s="102"/>
      <c r="BX421" s="102"/>
      <c r="BY421" s="102"/>
      <c r="BZ421" s="102"/>
      <c r="CA421" s="464"/>
      <c r="CB421" s="102"/>
      <c r="CC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474">
        <v>419.0</v>
      </c>
      <c r="AB422" s="474">
        <f t="shared" si="10"/>
        <v>424</v>
      </c>
      <c r="AC422" s="476">
        <f t="shared" si="11"/>
        <v>561</v>
      </c>
      <c r="AD422" s="474">
        <f t="shared" si="12"/>
        <v>699</v>
      </c>
      <c r="AE422" s="474">
        <f t="shared" si="13"/>
        <v>461</v>
      </c>
      <c r="AF422" s="474">
        <f t="shared" si="14"/>
        <v>561</v>
      </c>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2"/>
      <c r="BU422" s="102"/>
      <c r="BV422" s="102"/>
      <c r="BW422" s="102"/>
      <c r="BX422" s="102"/>
      <c r="BY422" s="102"/>
      <c r="BZ422" s="102"/>
      <c r="CA422" s="464"/>
      <c r="CB422" s="102"/>
      <c r="CC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474">
        <v>420.0</v>
      </c>
      <c r="AB423" s="474">
        <f t="shared" si="10"/>
        <v>425</v>
      </c>
      <c r="AC423" s="476">
        <f t="shared" si="11"/>
        <v>562</v>
      </c>
      <c r="AD423" s="474">
        <f t="shared" si="12"/>
        <v>701</v>
      </c>
      <c r="AE423" s="474">
        <f t="shared" si="13"/>
        <v>462</v>
      </c>
      <c r="AF423" s="474">
        <f t="shared" si="14"/>
        <v>562</v>
      </c>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2"/>
      <c r="BU423" s="102"/>
      <c r="BV423" s="102"/>
      <c r="BW423" s="102"/>
      <c r="BX423" s="102"/>
      <c r="BY423" s="102"/>
      <c r="BZ423" s="102"/>
      <c r="CA423" s="464"/>
      <c r="CB423" s="102"/>
      <c r="CC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474">
        <v>421.0</v>
      </c>
      <c r="AB424" s="474">
        <f t="shared" si="10"/>
        <v>426</v>
      </c>
      <c r="AC424" s="476">
        <f t="shared" si="11"/>
        <v>564</v>
      </c>
      <c r="AD424" s="474">
        <f t="shared" si="12"/>
        <v>703</v>
      </c>
      <c r="AE424" s="474">
        <f t="shared" si="13"/>
        <v>464</v>
      </c>
      <c r="AF424" s="474">
        <f t="shared" si="14"/>
        <v>564</v>
      </c>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2"/>
      <c r="BU424" s="102"/>
      <c r="BV424" s="102"/>
      <c r="BW424" s="102"/>
      <c r="BX424" s="102"/>
      <c r="BY424" s="102"/>
      <c r="BZ424" s="102"/>
      <c r="CA424" s="464"/>
      <c r="CB424" s="102"/>
      <c r="CC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474">
        <v>422.0</v>
      </c>
      <c r="AB425" s="474">
        <f t="shared" si="10"/>
        <v>427</v>
      </c>
      <c r="AC425" s="476">
        <f t="shared" si="11"/>
        <v>565</v>
      </c>
      <c r="AD425" s="474">
        <f t="shared" si="12"/>
        <v>704</v>
      </c>
      <c r="AE425" s="474">
        <f t="shared" si="13"/>
        <v>465</v>
      </c>
      <c r="AF425" s="474">
        <f t="shared" si="14"/>
        <v>565</v>
      </c>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2"/>
      <c r="BU425" s="102"/>
      <c r="BV425" s="102"/>
      <c r="BW425" s="102"/>
      <c r="BX425" s="102"/>
      <c r="BY425" s="102"/>
      <c r="BZ425" s="102"/>
      <c r="CA425" s="464"/>
      <c r="CB425" s="102"/>
      <c r="CC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474">
        <v>423.0</v>
      </c>
      <c r="AB426" s="474">
        <f t="shared" si="10"/>
        <v>428</v>
      </c>
      <c r="AC426" s="476">
        <f t="shared" si="11"/>
        <v>566</v>
      </c>
      <c r="AD426" s="474">
        <f t="shared" si="12"/>
        <v>706</v>
      </c>
      <c r="AE426" s="474">
        <f t="shared" si="13"/>
        <v>466</v>
      </c>
      <c r="AF426" s="474">
        <f t="shared" si="14"/>
        <v>566</v>
      </c>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2"/>
      <c r="BU426" s="102"/>
      <c r="BV426" s="102"/>
      <c r="BW426" s="102"/>
      <c r="BX426" s="102"/>
      <c r="BY426" s="102"/>
      <c r="BZ426" s="102"/>
      <c r="CA426" s="464"/>
      <c r="CB426" s="102"/>
      <c r="CC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474">
        <v>424.0</v>
      </c>
      <c r="AB427" s="474">
        <f t="shared" si="10"/>
        <v>429</v>
      </c>
      <c r="AC427" s="476">
        <f t="shared" si="11"/>
        <v>568</v>
      </c>
      <c r="AD427" s="474">
        <f t="shared" si="12"/>
        <v>708</v>
      </c>
      <c r="AE427" s="474">
        <f t="shared" si="13"/>
        <v>467</v>
      </c>
      <c r="AF427" s="474">
        <f t="shared" si="14"/>
        <v>568</v>
      </c>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2"/>
      <c r="BU427" s="102"/>
      <c r="BV427" s="102"/>
      <c r="BW427" s="102"/>
      <c r="BX427" s="102"/>
      <c r="BY427" s="102"/>
      <c r="BZ427" s="102"/>
      <c r="CA427" s="464"/>
      <c r="CB427" s="102"/>
      <c r="CC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474">
        <v>425.0</v>
      </c>
      <c r="AB428" s="474">
        <f t="shared" si="10"/>
        <v>430</v>
      </c>
      <c r="AC428" s="476">
        <f t="shared" si="11"/>
        <v>569</v>
      </c>
      <c r="AD428" s="474">
        <f t="shared" si="12"/>
        <v>709</v>
      </c>
      <c r="AE428" s="474">
        <f t="shared" si="13"/>
        <v>468</v>
      </c>
      <c r="AF428" s="474">
        <f t="shared" si="14"/>
        <v>569</v>
      </c>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464"/>
      <c r="CB428" s="102"/>
      <c r="CC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474">
        <v>426.0</v>
      </c>
      <c r="AB429" s="474">
        <f t="shared" si="10"/>
        <v>431</v>
      </c>
      <c r="AC429" s="476">
        <f t="shared" si="11"/>
        <v>570</v>
      </c>
      <c r="AD429" s="474">
        <f t="shared" si="12"/>
        <v>711</v>
      </c>
      <c r="AE429" s="474">
        <f t="shared" si="13"/>
        <v>469</v>
      </c>
      <c r="AF429" s="474">
        <f t="shared" si="14"/>
        <v>570</v>
      </c>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2"/>
      <c r="BU429" s="102"/>
      <c r="BV429" s="102"/>
      <c r="BW429" s="102"/>
      <c r="BX429" s="102"/>
      <c r="BY429" s="102"/>
      <c r="BZ429" s="102"/>
      <c r="CA429" s="464"/>
      <c r="CB429" s="102"/>
      <c r="CC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474">
        <v>427.0</v>
      </c>
      <c r="AB430" s="474">
        <f t="shared" si="10"/>
        <v>432</v>
      </c>
      <c r="AC430" s="476">
        <f t="shared" si="11"/>
        <v>572</v>
      </c>
      <c r="AD430" s="474">
        <f t="shared" si="12"/>
        <v>713</v>
      </c>
      <c r="AE430" s="474">
        <f t="shared" si="13"/>
        <v>470</v>
      </c>
      <c r="AF430" s="474">
        <f t="shared" si="14"/>
        <v>572</v>
      </c>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2"/>
      <c r="BU430" s="102"/>
      <c r="BV430" s="102"/>
      <c r="BW430" s="102"/>
      <c r="BX430" s="102"/>
      <c r="BY430" s="102"/>
      <c r="BZ430" s="102"/>
      <c r="CA430" s="464"/>
      <c r="CB430" s="102"/>
      <c r="CC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474">
        <v>428.0</v>
      </c>
      <c r="AB431" s="474">
        <f t="shared" si="10"/>
        <v>433</v>
      </c>
      <c r="AC431" s="476">
        <f t="shared" si="11"/>
        <v>573</v>
      </c>
      <c r="AD431" s="474">
        <f t="shared" si="12"/>
        <v>714</v>
      </c>
      <c r="AE431" s="474">
        <f t="shared" si="13"/>
        <v>471</v>
      </c>
      <c r="AF431" s="474">
        <f t="shared" si="14"/>
        <v>573</v>
      </c>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2"/>
      <c r="BU431" s="102"/>
      <c r="BV431" s="102"/>
      <c r="BW431" s="102"/>
      <c r="BX431" s="102"/>
      <c r="BY431" s="102"/>
      <c r="BZ431" s="102"/>
      <c r="CA431" s="464"/>
      <c r="CB431" s="102"/>
      <c r="CC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474">
        <v>429.0</v>
      </c>
      <c r="AB432" s="474">
        <f t="shared" si="10"/>
        <v>434</v>
      </c>
      <c r="AC432" s="476">
        <f t="shared" si="11"/>
        <v>574</v>
      </c>
      <c r="AD432" s="474">
        <f t="shared" si="12"/>
        <v>716</v>
      </c>
      <c r="AE432" s="474">
        <f t="shared" si="13"/>
        <v>472</v>
      </c>
      <c r="AF432" s="474">
        <f t="shared" si="14"/>
        <v>574</v>
      </c>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2"/>
      <c r="BU432" s="102"/>
      <c r="BV432" s="102"/>
      <c r="BW432" s="102"/>
      <c r="BX432" s="102"/>
      <c r="BY432" s="102"/>
      <c r="BZ432" s="102"/>
      <c r="CA432" s="464"/>
      <c r="CB432" s="102"/>
      <c r="CC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474">
        <v>430.0</v>
      </c>
      <c r="AB433" s="474">
        <f t="shared" si="10"/>
        <v>435</v>
      </c>
      <c r="AC433" s="476">
        <f t="shared" si="11"/>
        <v>576</v>
      </c>
      <c r="AD433" s="474">
        <f t="shared" si="12"/>
        <v>718</v>
      </c>
      <c r="AE433" s="474">
        <f t="shared" si="13"/>
        <v>473</v>
      </c>
      <c r="AF433" s="474">
        <f t="shared" si="14"/>
        <v>576</v>
      </c>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2"/>
      <c r="BU433" s="102"/>
      <c r="BV433" s="102"/>
      <c r="BW433" s="102"/>
      <c r="BX433" s="102"/>
      <c r="BY433" s="102"/>
      <c r="BZ433" s="102"/>
      <c r="CA433" s="464"/>
      <c r="CB433" s="102"/>
      <c r="CC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474">
        <v>431.0</v>
      </c>
      <c r="AB434" s="474">
        <f t="shared" si="10"/>
        <v>436</v>
      </c>
      <c r="AC434" s="476">
        <f t="shared" si="11"/>
        <v>577</v>
      </c>
      <c r="AD434" s="474">
        <f t="shared" si="12"/>
        <v>719</v>
      </c>
      <c r="AE434" s="474">
        <f t="shared" si="13"/>
        <v>475</v>
      </c>
      <c r="AF434" s="474">
        <f t="shared" si="14"/>
        <v>577</v>
      </c>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2"/>
      <c r="BU434" s="102"/>
      <c r="BV434" s="102"/>
      <c r="BW434" s="102"/>
      <c r="BX434" s="102"/>
      <c r="BY434" s="102"/>
      <c r="BZ434" s="102"/>
      <c r="CA434" s="464"/>
      <c r="CB434" s="102"/>
      <c r="CC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474">
        <v>432.0</v>
      </c>
      <c r="AB435" s="474">
        <f t="shared" si="10"/>
        <v>437</v>
      </c>
      <c r="AC435" s="476">
        <f t="shared" si="11"/>
        <v>578</v>
      </c>
      <c r="AD435" s="474">
        <f t="shared" si="12"/>
        <v>721</v>
      </c>
      <c r="AE435" s="474">
        <f t="shared" si="13"/>
        <v>476</v>
      </c>
      <c r="AF435" s="474">
        <f t="shared" si="14"/>
        <v>578</v>
      </c>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2"/>
      <c r="BU435" s="102"/>
      <c r="BV435" s="102"/>
      <c r="BW435" s="102"/>
      <c r="BX435" s="102"/>
      <c r="BY435" s="102"/>
      <c r="BZ435" s="102"/>
      <c r="CA435" s="464"/>
      <c r="CB435" s="102"/>
      <c r="CC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474">
        <v>433.0</v>
      </c>
      <c r="AB436" s="474">
        <f t="shared" si="10"/>
        <v>438</v>
      </c>
      <c r="AC436" s="476">
        <f t="shared" si="11"/>
        <v>580</v>
      </c>
      <c r="AD436" s="474">
        <f t="shared" si="12"/>
        <v>723</v>
      </c>
      <c r="AE436" s="474">
        <f t="shared" si="13"/>
        <v>477</v>
      </c>
      <c r="AF436" s="474">
        <f t="shared" si="14"/>
        <v>580</v>
      </c>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2"/>
      <c r="BU436" s="102"/>
      <c r="BV436" s="102"/>
      <c r="BW436" s="102"/>
      <c r="BX436" s="102"/>
      <c r="BY436" s="102"/>
      <c r="BZ436" s="102"/>
      <c r="CA436" s="464"/>
      <c r="CB436" s="102"/>
      <c r="CC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474">
        <v>434.0</v>
      </c>
      <c r="AB437" s="474">
        <f t="shared" si="10"/>
        <v>439</v>
      </c>
      <c r="AC437" s="476">
        <f t="shared" si="11"/>
        <v>581</v>
      </c>
      <c r="AD437" s="474">
        <f t="shared" si="12"/>
        <v>724</v>
      </c>
      <c r="AE437" s="474">
        <f t="shared" si="13"/>
        <v>478</v>
      </c>
      <c r="AF437" s="474">
        <f t="shared" si="14"/>
        <v>581</v>
      </c>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2"/>
      <c r="BU437" s="102"/>
      <c r="BV437" s="102"/>
      <c r="BW437" s="102"/>
      <c r="BX437" s="102"/>
      <c r="BY437" s="102"/>
      <c r="BZ437" s="102"/>
      <c r="CA437" s="464"/>
      <c r="CB437" s="102"/>
      <c r="CC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474">
        <v>435.0</v>
      </c>
      <c r="AB438" s="474">
        <f t="shared" si="10"/>
        <v>440</v>
      </c>
      <c r="AC438" s="476">
        <f t="shared" si="11"/>
        <v>582</v>
      </c>
      <c r="AD438" s="474">
        <f t="shared" si="12"/>
        <v>726</v>
      </c>
      <c r="AE438" s="474">
        <f t="shared" si="13"/>
        <v>479</v>
      </c>
      <c r="AF438" s="474">
        <f t="shared" si="14"/>
        <v>582</v>
      </c>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2"/>
      <c r="BU438" s="102"/>
      <c r="BV438" s="102"/>
      <c r="BW438" s="102"/>
      <c r="BX438" s="102"/>
      <c r="BY438" s="102"/>
      <c r="BZ438" s="102"/>
      <c r="CA438" s="464"/>
      <c r="CB438" s="102"/>
      <c r="CC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474">
        <v>436.0</v>
      </c>
      <c r="AB439" s="474">
        <f t="shared" si="10"/>
        <v>441</v>
      </c>
      <c r="AC439" s="476">
        <f t="shared" si="11"/>
        <v>584</v>
      </c>
      <c r="AD439" s="474">
        <f t="shared" si="12"/>
        <v>728</v>
      </c>
      <c r="AE439" s="474">
        <f t="shared" si="13"/>
        <v>480</v>
      </c>
      <c r="AF439" s="474">
        <f t="shared" si="14"/>
        <v>584</v>
      </c>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2"/>
      <c r="BU439" s="102"/>
      <c r="BV439" s="102"/>
      <c r="BW439" s="102"/>
      <c r="BX439" s="102"/>
      <c r="BY439" s="102"/>
      <c r="BZ439" s="102"/>
      <c r="CA439" s="464"/>
      <c r="CB439" s="102"/>
      <c r="CC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474">
        <v>437.0</v>
      </c>
      <c r="AB440" s="474">
        <f t="shared" si="10"/>
        <v>442</v>
      </c>
      <c r="AC440" s="476">
        <f t="shared" si="11"/>
        <v>585</v>
      </c>
      <c r="AD440" s="474">
        <f t="shared" si="12"/>
        <v>729</v>
      </c>
      <c r="AE440" s="474">
        <f t="shared" si="13"/>
        <v>481</v>
      </c>
      <c r="AF440" s="474">
        <f t="shared" si="14"/>
        <v>585</v>
      </c>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2"/>
      <c r="BU440" s="102"/>
      <c r="BV440" s="102"/>
      <c r="BW440" s="102"/>
      <c r="BX440" s="102"/>
      <c r="BY440" s="102"/>
      <c r="BZ440" s="102"/>
      <c r="CA440" s="464"/>
      <c r="CB440" s="102"/>
      <c r="CC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474">
        <v>438.0</v>
      </c>
      <c r="AB441" s="474">
        <f t="shared" si="10"/>
        <v>443</v>
      </c>
      <c r="AC441" s="476">
        <f t="shared" si="11"/>
        <v>586</v>
      </c>
      <c r="AD441" s="474">
        <f t="shared" si="12"/>
        <v>731</v>
      </c>
      <c r="AE441" s="474">
        <f t="shared" si="13"/>
        <v>482</v>
      </c>
      <c r="AF441" s="474">
        <f t="shared" si="14"/>
        <v>586</v>
      </c>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2"/>
      <c r="BU441" s="102"/>
      <c r="BV441" s="102"/>
      <c r="BW441" s="102"/>
      <c r="BX441" s="102"/>
      <c r="BY441" s="102"/>
      <c r="BZ441" s="102"/>
      <c r="CA441" s="464"/>
      <c r="CB441" s="102"/>
      <c r="CC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474">
        <v>439.0</v>
      </c>
      <c r="AB442" s="474">
        <f t="shared" si="10"/>
        <v>444</v>
      </c>
      <c r="AC442" s="476">
        <f t="shared" si="11"/>
        <v>588</v>
      </c>
      <c r="AD442" s="474">
        <f t="shared" si="12"/>
        <v>733</v>
      </c>
      <c r="AE442" s="474">
        <f t="shared" si="13"/>
        <v>483</v>
      </c>
      <c r="AF442" s="474">
        <f t="shared" si="14"/>
        <v>588</v>
      </c>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2"/>
      <c r="BU442" s="102"/>
      <c r="BV442" s="102"/>
      <c r="BW442" s="102"/>
      <c r="BX442" s="102"/>
      <c r="BY442" s="102"/>
      <c r="BZ442" s="102"/>
      <c r="CA442" s="464"/>
      <c r="CB442" s="102"/>
      <c r="CC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474">
        <v>440.0</v>
      </c>
      <c r="AB443" s="474">
        <f t="shared" si="10"/>
        <v>445</v>
      </c>
      <c r="AC443" s="476">
        <f t="shared" si="11"/>
        <v>589</v>
      </c>
      <c r="AD443" s="474">
        <f t="shared" si="12"/>
        <v>734</v>
      </c>
      <c r="AE443" s="474">
        <f t="shared" si="13"/>
        <v>484</v>
      </c>
      <c r="AF443" s="474">
        <f t="shared" si="14"/>
        <v>589</v>
      </c>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2"/>
      <c r="BU443" s="102"/>
      <c r="BV443" s="102"/>
      <c r="BW443" s="102"/>
      <c r="BX443" s="102"/>
      <c r="BY443" s="102"/>
      <c r="BZ443" s="102"/>
      <c r="CA443" s="464"/>
      <c r="CB443" s="102"/>
      <c r="CC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474">
        <v>441.0</v>
      </c>
      <c r="AB444" s="474">
        <f t="shared" si="10"/>
        <v>446</v>
      </c>
      <c r="AC444" s="476">
        <f t="shared" si="11"/>
        <v>590</v>
      </c>
      <c r="AD444" s="474">
        <f t="shared" si="12"/>
        <v>736</v>
      </c>
      <c r="AE444" s="474">
        <f t="shared" si="13"/>
        <v>486</v>
      </c>
      <c r="AF444" s="474">
        <f t="shared" si="14"/>
        <v>590</v>
      </c>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2"/>
      <c r="BU444" s="102"/>
      <c r="BV444" s="102"/>
      <c r="BW444" s="102"/>
      <c r="BX444" s="102"/>
      <c r="BY444" s="102"/>
      <c r="BZ444" s="102"/>
      <c r="CA444" s="464"/>
      <c r="CB444" s="102"/>
      <c r="CC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474">
        <v>442.0</v>
      </c>
      <c r="AB445" s="474">
        <f t="shared" si="10"/>
        <v>447</v>
      </c>
      <c r="AC445" s="476">
        <f t="shared" si="11"/>
        <v>592</v>
      </c>
      <c r="AD445" s="474">
        <f t="shared" si="12"/>
        <v>738</v>
      </c>
      <c r="AE445" s="474">
        <f t="shared" si="13"/>
        <v>487</v>
      </c>
      <c r="AF445" s="474">
        <f t="shared" si="14"/>
        <v>592</v>
      </c>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2"/>
      <c r="BU445" s="102"/>
      <c r="BV445" s="102"/>
      <c r="BW445" s="102"/>
      <c r="BX445" s="102"/>
      <c r="BY445" s="102"/>
      <c r="BZ445" s="102"/>
      <c r="CA445" s="464"/>
      <c r="CB445" s="102"/>
      <c r="CC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474">
        <v>443.0</v>
      </c>
      <c r="AB446" s="474">
        <f t="shared" si="10"/>
        <v>448</v>
      </c>
      <c r="AC446" s="476">
        <f t="shared" si="11"/>
        <v>593</v>
      </c>
      <c r="AD446" s="474">
        <f t="shared" si="12"/>
        <v>739</v>
      </c>
      <c r="AE446" s="474">
        <f t="shared" si="13"/>
        <v>488</v>
      </c>
      <c r="AF446" s="474">
        <f t="shared" si="14"/>
        <v>593</v>
      </c>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2"/>
      <c r="BU446" s="102"/>
      <c r="BV446" s="102"/>
      <c r="BW446" s="102"/>
      <c r="BX446" s="102"/>
      <c r="BY446" s="102"/>
      <c r="BZ446" s="102"/>
      <c r="CA446" s="464"/>
      <c r="CB446" s="102"/>
      <c r="CC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474">
        <v>444.0</v>
      </c>
      <c r="AB447" s="474">
        <f t="shared" si="10"/>
        <v>449</v>
      </c>
      <c r="AC447" s="476">
        <f t="shared" si="11"/>
        <v>594</v>
      </c>
      <c r="AD447" s="474">
        <f t="shared" si="12"/>
        <v>741</v>
      </c>
      <c r="AE447" s="474">
        <f t="shared" si="13"/>
        <v>489</v>
      </c>
      <c r="AF447" s="474">
        <f t="shared" si="14"/>
        <v>594</v>
      </c>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2"/>
      <c r="BU447" s="102"/>
      <c r="BV447" s="102"/>
      <c r="BW447" s="102"/>
      <c r="BX447" s="102"/>
      <c r="BY447" s="102"/>
      <c r="BZ447" s="102"/>
      <c r="CA447" s="464"/>
      <c r="CB447" s="102"/>
      <c r="CC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474">
        <v>445.0</v>
      </c>
      <c r="AB448" s="474">
        <f t="shared" si="10"/>
        <v>450</v>
      </c>
      <c r="AC448" s="476">
        <f t="shared" si="11"/>
        <v>596</v>
      </c>
      <c r="AD448" s="474">
        <f t="shared" si="12"/>
        <v>743</v>
      </c>
      <c r="AE448" s="474">
        <f t="shared" si="13"/>
        <v>490</v>
      </c>
      <c r="AF448" s="474">
        <f t="shared" si="14"/>
        <v>596</v>
      </c>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2"/>
      <c r="BU448" s="102"/>
      <c r="BV448" s="102"/>
      <c r="BW448" s="102"/>
      <c r="BX448" s="102"/>
      <c r="BY448" s="102"/>
      <c r="BZ448" s="102"/>
      <c r="CA448" s="464"/>
      <c r="CB448" s="102"/>
      <c r="CC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474">
        <v>446.0</v>
      </c>
      <c r="AB449" s="474">
        <f t="shared" si="10"/>
        <v>451</v>
      </c>
      <c r="AC449" s="476">
        <f t="shared" si="11"/>
        <v>597</v>
      </c>
      <c r="AD449" s="474">
        <f t="shared" si="12"/>
        <v>744</v>
      </c>
      <c r="AE449" s="474">
        <f t="shared" si="13"/>
        <v>491</v>
      </c>
      <c r="AF449" s="474">
        <f t="shared" si="14"/>
        <v>597</v>
      </c>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2"/>
      <c r="BU449" s="102"/>
      <c r="BV449" s="102"/>
      <c r="BW449" s="102"/>
      <c r="BX449" s="102"/>
      <c r="BY449" s="102"/>
      <c r="BZ449" s="102"/>
      <c r="CA449" s="464"/>
      <c r="CB449" s="102"/>
      <c r="CC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474">
        <v>447.0</v>
      </c>
      <c r="AB450" s="474">
        <f t="shared" si="10"/>
        <v>452</v>
      </c>
      <c r="AC450" s="476">
        <f t="shared" si="11"/>
        <v>598</v>
      </c>
      <c r="AD450" s="474">
        <f t="shared" si="12"/>
        <v>746</v>
      </c>
      <c r="AE450" s="474">
        <f t="shared" si="13"/>
        <v>492</v>
      </c>
      <c r="AF450" s="474">
        <f t="shared" si="14"/>
        <v>598</v>
      </c>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2"/>
      <c r="BU450" s="102"/>
      <c r="BV450" s="102"/>
      <c r="BW450" s="102"/>
      <c r="BX450" s="102"/>
      <c r="BY450" s="102"/>
      <c r="BZ450" s="102"/>
      <c r="CA450" s="464"/>
      <c r="CB450" s="102"/>
      <c r="CC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474">
        <v>448.0</v>
      </c>
      <c r="AB451" s="474">
        <f t="shared" si="10"/>
        <v>453</v>
      </c>
      <c r="AC451" s="476">
        <f t="shared" si="11"/>
        <v>600</v>
      </c>
      <c r="AD451" s="474">
        <f t="shared" si="12"/>
        <v>748</v>
      </c>
      <c r="AE451" s="474">
        <f t="shared" si="13"/>
        <v>493</v>
      </c>
      <c r="AF451" s="474">
        <f t="shared" si="14"/>
        <v>600</v>
      </c>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464"/>
      <c r="CB451" s="102"/>
      <c r="CC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474">
        <v>449.0</v>
      </c>
      <c r="AB452" s="474">
        <f t="shared" si="10"/>
        <v>454</v>
      </c>
      <c r="AC452" s="476">
        <f t="shared" si="11"/>
        <v>601</v>
      </c>
      <c r="AD452" s="474">
        <f t="shared" si="12"/>
        <v>749</v>
      </c>
      <c r="AE452" s="474">
        <f t="shared" si="13"/>
        <v>494</v>
      </c>
      <c r="AF452" s="474">
        <f t="shared" si="14"/>
        <v>601</v>
      </c>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464"/>
      <c r="CB452" s="102"/>
      <c r="CC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474">
        <v>450.0</v>
      </c>
      <c r="AB453" s="474">
        <f t="shared" si="10"/>
        <v>455</v>
      </c>
      <c r="AC453" s="476">
        <f t="shared" si="11"/>
        <v>603</v>
      </c>
      <c r="AD453" s="474">
        <f t="shared" si="12"/>
        <v>751</v>
      </c>
      <c r="AE453" s="474">
        <f t="shared" si="13"/>
        <v>495</v>
      </c>
      <c r="AF453" s="474">
        <f t="shared" si="14"/>
        <v>603</v>
      </c>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2"/>
      <c r="BU453" s="102"/>
      <c r="BV453" s="102"/>
      <c r="BW453" s="102"/>
      <c r="BX453" s="102"/>
      <c r="BY453" s="102"/>
      <c r="BZ453" s="102"/>
      <c r="CA453" s="464"/>
      <c r="CB453" s="102"/>
      <c r="CC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474">
        <v>451.0</v>
      </c>
      <c r="AB454" s="474">
        <f t="shared" si="10"/>
        <v>456</v>
      </c>
      <c r="AC454" s="476">
        <f t="shared" si="11"/>
        <v>604</v>
      </c>
      <c r="AD454" s="474">
        <f t="shared" si="12"/>
        <v>753</v>
      </c>
      <c r="AE454" s="474">
        <f t="shared" si="13"/>
        <v>497</v>
      </c>
      <c r="AF454" s="474">
        <f t="shared" si="14"/>
        <v>604</v>
      </c>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464"/>
      <c r="CB454" s="102"/>
      <c r="CC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474">
        <v>452.0</v>
      </c>
      <c r="AB455" s="474">
        <f t="shared" si="10"/>
        <v>457</v>
      </c>
      <c r="AC455" s="476">
        <f t="shared" si="11"/>
        <v>605</v>
      </c>
      <c r="AD455" s="474">
        <f t="shared" si="12"/>
        <v>754</v>
      </c>
      <c r="AE455" s="474">
        <f t="shared" si="13"/>
        <v>498</v>
      </c>
      <c r="AF455" s="474">
        <f t="shared" si="14"/>
        <v>605</v>
      </c>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464"/>
      <c r="CB455" s="102"/>
      <c r="CC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474">
        <v>453.0</v>
      </c>
      <c r="AB456" s="474">
        <f t="shared" si="10"/>
        <v>458</v>
      </c>
      <c r="AC456" s="476">
        <f t="shared" si="11"/>
        <v>607</v>
      </c>
      <c r="AD456" s="474">
        <f t="shared" si="12"/>
        <v>756</v>
      </c>
      <c r="AE456" s="474">
        <f t="shared" si="13"/>
        <v>499</v>
      </c>
      <c r="AF456" s="474">
        <f t="shared" si="14"/>
        <v>607</v>
      </c>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2"/>
      <c r="BU456" s="102"/>
      <c r="BV456" s="102"/>
      <c r="BW456" s="102"/>
      <c r="BX456" s="102"/>
      <c r="BY456" s="102"/>
      <c r="BZ456" s="102"/>
      <c r="CA456" s="464"/>
      <c r="CB456" s="102"/>
      <c r="CC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474">
        <v>454.0</v>
      </c>
      <c r="AB457" s="474">
        <f t="shared" si="10"/>
        <v>459</v>
      </c>
      <c r="AC457" s="476">
        <f t="shared" si="11"/>
        <v>608</v>
      </c>
      <c r="AD457" s="474">
        <f t="shared" si="12"/>
        <v>758</v>
      </c>
      <c r="AE457" s="474">
        <f t="shared" si="13"/>
        <v>500</v>
      </c>
      <c r="AF457" s="474">
        <f t="shared" si="14"/>
        <v>608</v>
      </c>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2"/>
      <c r="BU457" s="102"/>
      <c r="BV457" s="102"/>
      <c r="BW457" s="102"/>
      <c r="BX457" s="102"/>
      <c r="BY457" s="102"/>
      <c r="BZ457" s="102"/>
      <c r="CA457" s="464"/>
      <c r="CB457" s="102"/>
      <c r="CC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474">
        <v>455.0</v>
      </c>
      <c r="AB458" s="474">
        <f t="shared" si="10"/>
        <v>460</v>
      </c>
      <c r="AC458" s="476">
        <f t="shared" si="11"/>
        <v>609</v>
      </c>
      <c r="AD458" s="474">
        <f t="shared" si="12"/>
        <v>759</v>
      </c>
      <c r="AE458" s="474">
        <f t="shared" si="13"/>
        <v>501</v>
      </c>
      <c r="AF458" s="474">
        <f t="shared" si="14"/>
        <v>609</v>
      </c>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2"/>
      <c r="BU458" s="102"/>
      <c r="BV458" s="102"/>
      <c r="BW458" s="102"/>
      <c r="BX458" s="102"/>
      <c r="BY458" s="102"/>
      <c r="BZ458" s="102"/>
      <c r="CA458" s="464"/>
      <c r="CB458" s="102"/>
      <c r="CC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474">
        <v>456.0</v>
      </c>
      <c r="AB459" s="474">
        <f t="shared" si="10"/>
        <v>461</v>
      </c>
      <c r="AC459" s="476">
        <f t="shared" si="11"/>
        <v>611</v>
      </c>
      <c r="AD459" s="474">
        <f t="shared" si="12"/>
        <v>761</v>
      </c>
      <c r="AE459" s="474">
        <f t="shared" si="13"/>
        <v>502</v>
      </c>
      <c r="AF459" s="474">
        <f t="shared" si="14"/>
        <v>611</v>
      </c>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2"/>
      <c r="BU459" s="102"/>
      <c r="BV459" s="102"/>
      <c r="BW459" s="102"/>
      <c r="BX459" s="102"/>
      <c r="BY459" s="102"/>
      <c r="BZ459" s="102"/>
      <c r="CA459" s="464"/>
      <c r="CB459" s="102"/>
      <c r="CC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474">
        <v>457.0</v>
      </c>
      <c r="AB460" s="474">
        <f t="shared" si="10"/>
        <v>462</v>
      </c>
      <c r="AC460" s="476">
        <f t="shared" si="11"/>
        <v>612</v>
      </c>
      <c r="AD460" s="474">
        <f t="shared" si="12"/>
        <v>763</v>
      </c>
      <c r="AE460" s="474">
        <f t="shared" si="13"/>
        <v>503</v>
      </c>
      <c r="AF460" s="474">
        <f t="shared" si="14"/>
        <v>612</v>
      </c>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2"/>
      <c r="BU460" s="102"/>
      <c r="BV460" s="102"/>
      <c r="BW460" s="102"/>
      <c r="BX460" s="102"/>
      <c r="BY460" s="102"/>
      <c r="BZ460" s="102"/>
      <c r="CA460" s="464"/>
      <c r="CB460" s="102"/>
      <c r="CC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474">
        <v>458.0</v>
      </c>
      <c r="AB461" s="474">
        <f t="shared" si="10"/>
        <v>463</v>
      </c>
      <c r="AC461" s="476">
        <f t="shared" si="11"/>
        <v>613</v>
      </c>
      <c r="AD461" s="474">
        <f t="shared" si="12"/>
        <v>764</v>
      </c>
      <c r="AE461" s="474">
        <f t="shared" si="13"/>
        <v>504</v>
      </c>
      <c r="AF461" s="474">
        <f t="shared" si="14"/>
        <v>613</v>
      </c>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2"/>
      <c r="BU461" s="102"/>
      <c r="BV461" s="102"/>
      <c r="BW461" s="102"/>
      <c r="BX461" s="102"/>
      <c r="BY461" s="102"/>
      <c r="BZ461" s="102"/>
      <c r="CA461" s="464"/>
      <c r="CB461" s="102"/>
      <c r="CC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474">
        <v>459.0</v>
      </c>
      <c r="AB462" s="474">
        <f t="shared" si="10"/>
        <v>464</v>
      </c>
      <c r="AC462" s="476">
        <f t="shared" si="11"/>
        <v>615</v>
      </c>
      <c r="AD462" s="474">
        <f t="shared" si="12"/>
        <v>766</v>
      </c>
      <c r="AE462" s="474">
        <f t="shared" si="13"/>
        <v>505</v>
      </c>
      <c r="AF462" s="474">
        <f t="shared" si="14"/>
        <v>615</v>
      </c>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2"/>
      <c r="BU462" s="102"/>
      <c r="BV462" s="102"/>
      <c r="BW462" s="102"/>
      <c r="BX462" s="102"/>
      <c r="BY462" s="102"/>
      <c r="BZ462" s="102"/>
      <c r="CA462" s="464"/>
      <c r="CB462" s="102"/>
      <c r="CC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474">
        <v>460.0</v>
      </c>
      <c r="AB463" s="474">
        <f t="shared" si="10"/>
        <v>465</v>
      </c>
      <c r="AC463" s="476">
        <f t="shared" si="11"/>
        <v>616</v>
      </c>
      <c r="AD463" s="474">
        <f t="shared" si="12"/>
        <v>768</v>
      </c>
      <c r="AE463" s="474">
        <f t="shared" si="13"/>
        <v>506</v>
      </c>
      <c r="AF463" s="474">
        <f t="shared" si="14"/>
        <v>616</v>
      </c>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2"/>
      <c r="BU463" s="102"/>
      <c r="BV463" s="102"/>
      <c r="BW463" s="102"/>
      <c r="BX463" s="102"/>
      <c r="BY463" s="102"/>
      <c r="BZ463" s="102"/>
      <c r="CA463" s="464"/>
      <c r="CB463" s="102"/>
      <c r="CC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474">
        <v>461.0</v>
      </c>
      <c r="AB464" s="474">
        <f t="shared" si="10"/>
        <v>466</v>
      </c>
      <c r="AC464" s="476">
        <f t="shared" si="11"/>
        <v>617</v>
      </c>
      <c r="AD464" s="474">
        <f t="shared" si="12"/>
        <v>769</v>
      </c>
      <c r="AE464" s="474">
        <f t="shared" si="13"/>
        <v>508</v>
      </c>
      <c r="AF464" s="474">
        <f t="shared" si="14"/>
        <v>617</v>
      </c>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2"/>
      <c r="BU464" s="102"/>
      <c r="BV464" s="102"/>
      <c r="BW464" s="102"/>
      <c r="BX464" s="102"/>
      <c r="BY464" s="102"/>
      <c r="BZ464" s="102"/>
      <c r="CA464" s="464"/>
      <c r="CB464" s="102"/>
      <c r="CC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474">
        <v>462.0</v>
      </c>
      <c r="AB465" s="474">
        <f t="shared" si="10"/>
        <v>467</v>
      </c>
      <c r="AC465" s="476">
        <f t="shared" si="11"/>
        <v>619</v>
      </c>
      <c r="AD465" s="474">
        <f t="shared" si="12"/>
        <v>771</v>
      </c>
      <c r="AE465" s="474">
        <f t="shared" si="13"/>
        <v>509</v>
      </c>
      <c r="AF465" s="474">
        <f t="shared" si="14"/>
        <v>619</v>
      </c>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2"/>
      <c r="BU465" s="102"/>
      <c r="BV465" s="102"/>
      <c r="BW465" s="102"/>
      <c r="BX465" s="102"/>
      <c r="BY465" s="102"/>
      <c r="BZ465" s="102"/>
      <c r="CA465" s="464"/>
      <c r="CB465" s="102"/>
      <c r="CC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474">
        <v>463.0</v>
      </c>
      <c r="AB466" s="474">
        <f t="shared" si="10"/>
        <v>468</v>
      </c>
      <c r="AC466" s="476">
        <f t="shared" si="11"/>
        <v>620</v>
      </c>
      <c r="AD466" s="474">
        <f t="shared" si="12"/>
        <v>773</v>
      </c>
      <c r="AE466" s="474">
        <f t="shared" si="13"/>
        <v>510</v>
      </c>
      <c r="AF466" s="474">
        <f t="shared" si="14"/>
        <v>620</v>
      </c>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2"/>
      <c r="BU466" s="102"/>
      <c r="BV466" s="102"/>
      <c r="BW466" s="102"/>
      <c r="BX466" s="102"/>
      <c r="BY466" s="102"/>
      <c r="BZ466" s="102"/>
      <c r="CA466" s="464"/>
      <c r="CB466" s="102"/>
      <c r="CC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474">
        <v>464.0</v>
      </c>
      <c r="AB467" s="474">
        <f t="shared" si="10"/>
        <v>469</v>
      </c>
      <c r="AC467" s="476">
        <f t="shared" si="11"/>
        <v>621</v>
      </c>
      <c r="AD467" s="474">
        <f t="shared" si="12"/>
        <v>774</v>
      </c>
      <c r="AE467" s="474">
        <f t="shared" si="13"/>
        <v>511</v>
      </c>
      <c r="AF467" s="474">
        <f t="shared" si="14"/>
        <v>621</v>
      </c>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2"/>
      <c r="BU467" s="102"/>
      <c r="BV467" s="102"/>
      <c r="BW467" s="102"/>
      <c r="BX467" s="102"/>
      <c r="BY467" s="102"/>
      <c r="BZ467" s="102"/>
      <c r="CA467" s="464"/>
      <c r="CB467" s="102"/>
      <c r="CC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474">
        <v>465.0</v>
      </c>
      <c r="AB468" s="474">
        <f t="shared" si="10"/>
        <v>470</v>
      </c>
      <c r="AC468" s="476">
        <f t="shared" si="11"/>
        <v>623</v>
      </c>
      <c r="AD468" s="474">
        <f t="shared" si="12"/>
        <v>776</v>
      </c>
      <c r="AE468" s="474">
        <f t="shared" si="13"/>
        <v>512</v>
      </c>
      <c r="AF468" s="474">
        <f t="shared" si="14"/>
        <v>623</v>
      </c>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464"/>
      <c r="CB468" s="102"/>
      <c r="CC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474">
        <v>466.0</v>
      </c>
      <c r="AB469" s="474">
        <f t="shared" si="10"/>
        <v>471</v>
      </c>
      <c r="AC469" s="476">
        <f t="shared" si="11"/>
        <v>624</v>
      </c>
      <c r="AD469" s="474">
        <f t="shared" si="12"/>
        <v>778</v>
      </c>
      <c r="AE469" s="474">
        <f t="shared" si="13"/>
        <v>513</v>
      </c>
      <c r="AF469" s="474">
        <f t="shared" si="14"/>
        <v>624</v>
      </c>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2"/>
      <c r="BU469" s="102"/>
      <c r="BV469" s="102"/>
      <c r="BW469" s="102"/>
      <c r="BX469" s="102"/>
      <c r="BY469" s="102"/>
      <c r="BZ469" s="102"/>
      <c r="CA469" s="464"/>
      <c r="CB469" s="102"/>
      <c r="CC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474">
        <v>467.0</v>
      </c>
      <c r="AB470" s="474">
        <f t="shared" si="10"/>
        <v>472</v>
      </c>
      <c r="AC470" s="476">
        <f t="shared" si="11"/>
        <v>625</v>
      </c>
      <c r="AD470" s="474">
        <f t="shared" si="12"/>
        <v>779</v>
      </c>
      <c r="AE470" s="474">
        <f t="shared" si="13"/>
        <v>514</v>
      </c>
      <c r="AF470" s="474">
        <f t="shared" si="14"/>
        <v>625</v>
      </c>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2"/>
      <c r="BU470" s="102"/>
      <c r="BV470" s="102"/>
      <c r="BW470" s="102"/>
      <c r="BX470" s="102"/>
      <c r="BY470" s="102"/>
      <c r="BZ470" s="102"/>
      <c r="CA470" s="464"/>
      <c r="CB470" s="102"/>
      <c r="CC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474">
        <v>468.0</v>
      </c>
      <c r="AB471" s="474">
        <f t="shared" si="10"/>
        <v>473</v>
      </c>
      <c r="AC471" s="476">
        <f t="shared" si="11"/>
        <v>627</v>
      </c>
      <c r="AD471" s="474">
        <f t="shared" si="12"/>
        <v>781</v>
      </c>
      <c r="AE471" s="474">
        <f t="shared" si="13"/>
        <v>515</v>
      </c>
      <c r="AF471" s="474">
        <f t="shared" si="14"/>
        <v>627</v>
      </c>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2"/>
      <c r="BU471" s="102"/>
      <c r="BV471" s="102"/>
      <c r="BW471" s="102"/>
      <c r="BX471" s="102"/>
      <c r="BY471" s="102"/>
      <c r="BZ471" s="102"/>
      <c r="CA471" s="464"/>
      <c r="CB471" s="102"/>
      <c r="CC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474">
        <v>469.0</v>
      </c>
      <c r="AB472" s="474">
        <f t="shared" si="10"/>
        <v>474</v>
      </c>
      <c r="AC472" s="476">
        <f t="shared" si="11"/>
        <v>628</v>
      </c>
      <c r="AD472" s="474">
        <f t="shared" si="12"/>
        <v>783</v>
      </c>
      <c r="AE472" s="474">
        <f t="shared" si="13"/>
        <v>516</v>
      </c>
      <c r="AF472" s="474">
        <f t="shared" si="14"/>
        <v>628</v>
      </c>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2"/>
      <c r="BU472" s="102"/>
      <c r="BV472" s="102"/>
      <c r="BW472" s="102"/>
      <c r="BX472" s="102"/>
      <c r="BY472" s="102"/>
      <c r="BZ472" s="102"/>
      <c r="CA472" s="464"/>
      <c r="CB472" s="102"/>
      <c r="CC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474">
        <v>470.0</v>
      </c>
      <c r="AB473" s="474">
        <f t="shared" si="10"/>
        <v>475</v>
      </c>
      <c r="AC473" s="476">
        <f t="shared" si="11"/>
        <v>629</v>
      </c>
      <c r="AD473" s="474">
        <f t="shared" si="12"/>
        <v>784</v>
      </c>
      <c r="AE473" s="474">
        <f t="shared" si="13"/>
        <v>517</v>
      </c>
      <c r="AF473" s="474">
        <f t="shared" si="14"/>
        <v>629</v>
      </c>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2"/>
      <c r="BU473" s="102"/>
      <c r="BV473" s="102"/>
      <c r="BW473" s="102"/>
      <c r="BX473" s="102"/>
      <c r="BY473" s="102"/>
      <c r="BZ473" s="102"/>
      <c r="CA473" s="464"/>
      <c r="CB473" s="102"/>
      <c r="CC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474">
        <v>471.0</v>
      </c>
      <c r="AB474" s="474">
        <f t="shared" si="10"/>
        <v>476</v>
      </c>
      <c r="AC474" s="476">
        <f t="shared" si="11"/>
        <v>631</v>
      </c>
      <c r="AD474" s="474">
        <f t="shared" si="12"/>
        <v>786</v>
      </c>
      <c r="AE474" s="474">
        <f t="shared" si="13"/>
        <v>519</v>
      </c>
      <c r="AF474" s="474">
        <f t="shared" si="14"/>
        <v>631</v>
      </c>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2"/>
      <c r="BU474" s="102"/>
      <c r="BV474" s="102"/>
      <c r="BW474" s="102"/>
      <c r="BX474" s="102"/>
      <c r="BY474" s="102"/>
      <c r="BZ474" s="102"/>
      <c r="CA474" s="464"/>
      <c r="CB474" s="102"/>
      <c r="CC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474">
        <v>472.0</v>
      </c>
      <c r="AB475" s="474">
        <f t="shared" si="10"/>
        <v>477</v>
      </c>
      <c r="AC475" s="476">
        <f t="shared" si="11"/>
        <v>632</v>
      </c>
      <c r="AD475" s="474">
        <f t="shared" si="12"/>
        <v>788</v>
      </c>
      <c r="AE475" s="474">
        <f t="shared" si="13"/>
        <v>520</v>
      </c>
      <c r="AF475" s="474">
        <f t="shared" si="14"/>
        <v>632</v>
      </c>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2"/>
      <c r="BU475" s="102"/>
      <c r="BV475" s="102"/>
      <c r="BW475" s="102"/>
      <c r="BX475" s="102"/>
      <c r="BY475" s="102"/>
      <c r="BZ475" s="102"/>
      <c r="CA475" s="464"/>
      <c r="CB475" s="102"/>
      <c r="CC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474">
        <v>473.0</v>
      </c>
      <c r="AB476" s="474">
        <f t="shared" si="10"/>
        <v>478</v>
      </c>
      <c r="AC476" s="476">
        <f t="shared" si="11"/>
        <v>633</v>
      </c>
      <c r="AD476" s="474">
        <f t="shared" si="12"/>
        <v>789</v>
      </c>
      <c r="AE476" s="474">
        <f t="shared" si="13"/>
        <v>521</v>
      </c>
      <c r="AF476" s="474">
        <f t="shared" si="14"/>
        <v>633</v>
      </c>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2"/>
      <c r="BU476" s="102"/>
      <c r="BV476" s="102"/>
      <c r="BW476" s="102"/>
      <c r="BX476" s="102"/>
      <c r="BY476" s="102"/>
      <c r="BZ476" s="102"/>
      <c r="CA476" s="464"/>
      <c r="CB476" s="102"/>
      <c r="CC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474">
        <v>474.0</v>
      </c>
      <c r="AB477" s="474">
        <f t="shared" si="10"/>
        <v>479</v>
      </c>
      <c r="AC477" s="476">
        <f t="shared" si="11"/>
        <v>635</v>
      </c>
      <c r="AD477" s="474">
        <f t="shared" si="12"/>
        <v>791</v>
      </c>
      <c r="AE477" s="474">
        <f t="shared" si="13"/>
        <v>522</v>
      </c>
      <c r="AF477" s="474">
        <f t="shared" si="14"/>
        <v>635</v>
      </c>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2"/>
      <c r="BU477" s="102"/>
      <c r="BV477" s="102"/>
      <c r="BW477" s="102"/>
      <c r="BX477" s="102"/>
      <c r="BY477" s="102"/>
      <c r="BZ477" s="102"/>
      <c r="CA477" s="464"/>
      <c r="CB477" s="102"/>
      <c r="CC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474">
        <v>475.0</v>
      </c>
      <c r="AB478" s="474">
        <f t="shared" si="10"/>
        <v>480</v>
      </c>
      <c r="AC478" s="476">
        <f t="shared" si="11"/>
        <v>636</v>
      </c>
      <c r="AD478" s="474">
        <f t="shared" si="12"/>
        <v>793</v>
      </c>
      <c r="AE478" s="474">
        <f t="shared" si="13"/>
        <v>523</v>
      </c>
      <c r="AF478" s="474">
        <f t="shared" si="14"/>
        <v>636</v>
      </c>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2"/>
      <c r="BU478" s="102"/>
      <c r="BV478" s="102"/>
      <c r="BW478" s="102"/>
      <c r="BX478" s="102"/>
      <c r="BY478" s="102"/>
      <c r="BZ478" s="102"/>
      <c r="CA478" s="464"/>
      <c r="CB478" s="102"/>
      <c r="CC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474">
        <v>476.0</v>
      </c>
      <c r="AB479" s="474">
        <f t="shared" si="10"/>
        <v>481</v>
      </c>
      <c r="AC479" s="476">
        <f t="shared" si="11"/>
        <v>637</v>
      </c>
      <c r="AD479" s="474">
        <f t="shared" si="12"/>
        <v>794</v>
      </c>
      <c r="AE479" s="474">
        <f t="shared" si="13"/>
        <v>524</v>
      </c>
      <c r="AF479" s="474">
        <f t="shared" si="14"/>
        <v>637</v>
      </c>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2"/>
      <c r="BU479" s="102"/>
      <c r="BV479" s="102"/>
      <c r="BW479" s="102"/>
      <c r="BX479" s="102"/>
      <c r="BY479" s="102"/>
      <c r="BZ479" s="102"/>
      <c r="CA479" s="464"/>
      <c r="CB479" s="102"/>
      <c r="CC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474">
        <v>477.0</v>
      </c>
      <c r="AB480" s="474">
        <f t="shared" si="10"/>
        <v>482</v>
      </c>
      <c r="AC480" s="476">
        <f t="shared" si="11"/>
        <v>639</v>
      </c>
      <c r="AD480" s="474">
        <f t="shared" si="12"/>
        <v>796</v>
      </c>
      <c r="AE480" s="474">
        <f t="shared" si="13"/>
        <v>525</v>
      </c>
      <c r="AF480" s="474">
        <f t="shared" si="14"/>
        <v>639</v>
      </c>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2"/>
      <c r="BU480" s="102"/>
      <c r="BV480" s="102"/>
      <c r="BW480" s="102"/>
      <c r="BX480" s="102"/>
      <c r="BY480" s="102"/>
      <c r="BZ480" s="102"/>
      <c r="CA480" s="464"/>
      <c r="CB480" s="102"/>
      <c r="CC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474">
        <v>478.0</v>
      </c>
      <c r="AB481" s="474">
        <f t="shared" si="10"/>
        <v>483</v>
      </c>
      <c r="AC481" s="476">
        <f t="shared" si="11"/>
        <v>640</v>
      </c>
      <c r="AD481" s="474">
        <f t="shared" si="12"/>
        <v>798</v>
      </c>
      <c r="AE481" s="474">
        <f t="shared" si="13"/>
        <v>526</v>
      </c>
      <c r="AF481" s="474">
        <f t="shared" si="14"/>
        <v>640</v>
      </c>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2"/>
      <c r="BU481" s="102"/>
      <c r="BV481" s="102"/>
      <c r="BW481" s="102"/>
      <c r="BX481" s="102"/>
      <c r="BY481" s="102"/>
      <c r="BZ481" s="102"/>
      <c r="CA481" s="464"/>
      <c r="CB481" s="102"/>
      <c r="CC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474">
        <v>479.0</v>
      </c>
      <c r="AB482" s="474">
        <f t="shared" si="10"/>
        <v>484</v>
      </c>
      <c r="AC482" s="476">
        <f t="shared" si="11"/>
        <v>641</v>
      </c>
      <c r="AD482" s="474">
        <f t="shared" si="12"/>
        <v>799</v>
      </c>
      <c r="AE482" s="474">
        <f t="shared" si="13"/>
        <v>527</v>
      </c>
      <c r="AF482" s="474">
        <f t="shared" si="14"/>
        <v>641</v>
      </c>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2"/>
      <c r="BU482" s="102"/>
      <c r="BV482" s="102"/>
      <c r="BW482" s="102"/>
      <c r="BX482" s="102"/>
      <c r="BY482" s="102"/>
      <c r="BZ482" s="102"/>
      <c r="CA482" s="464"/>
      <c r="CB482" s="102"/>
      <c r="CC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474">
        <v>480.0</v>
      </c>
      <c r="AB483" s="474">
        <f t="shared" si="10"/>
        <v>485</v>
      </c>
      <c r="AC483" s="476">
        <f t="shared" si="11"/>
        <v>643</v>
      </c>
      <c r="AD483" s="474">
        <f t="shared" si="12"/>
        <v>801</v>
      </c>
      <c r="AE483" s="474">
        <f t="shared" si="13"/>
        <v>528</v>
      </c>
      <c r="AF483" s="474">
        <f t="shared" si="14"/>
        <v>643</v>
      </c>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2"/>
      <c r="BU483" s="102"/>
      <c r="BV483" s="102"/>
      <c r="BW483" s="102"/>
      <c r="BX483" s="102"/>
      <c r="BY483" s="102"/>
      <c r="BZ483" s="102"/>
      <c r="CA483" s="464"/>
      <c r="CB483" s="102"/>
      <c r="CC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474">
        <v>481.0</v>
      </c>
      <c r="AB484" s="474">
        <f t="shared" si="10"/>
        <v>486</v>
      </c>
      <c r="AC484" s="476">
        <f t="shared" si="11"/>
        <v>644</v>
      </c>
      <c r="AD484" s="474">
        <f t="shared" si="12"/>
        <v>803</v>
      </c>
      <c r="AE484" s="474">
        <f t="shared" si="13"/>
        <v>530</v>
      </c>
      <c r="AF484" s="474">
        <f t="shared" si="14"/>
        <v>644</v>
      </c>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2"/>
      <c r="BU484" s="102"/>
      <c r="BV484" s="102"/>
      <c r="BW484" s="102"/>
      <c r="BX484" s="102"/>
      <c r="BY484" s="102"/>
      <c r="BZ484" s="102"/>
      <c r="CA484" s="464"/>
      <c r="CB484" s="102"/>
      <c r="CC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474">
        <v>482.0</v>
      </c>
      <c r="AB485" s="474">
        <f t="shared" si="10"/>
        <v>487</v>
      </c>
      <c r="AC485" s="476">
        <f t="shared" si="11"/>
        <v>645</v>
      </c>
      <c r="AD485" s="474">
        <f t="shared" si="12"/>
        <v>804</v>
      </c>
      <c r="AE485" s="474">
        <f t="shared" si="13"/>
        <v>531</v>
      </c>
      <c r="AF485" s="474">
        <f t="shared" si="14"/>
        <v>645</v>
      </c>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2"/>
      <c r="BU485" s="102"/>
      <c r="BV485" s="102"/>
      <c r="BW485" s="102"/>
      <c r="BX485" s="102"/>
      <c r="BY485" s="102"/>
      <c r="BZ485" s="102"/>
      <c r="CA485" s="464"/>
      <c r="CB485" s="102"/>
      <c r="CC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474">
        <v>483.0</v>
      </c>
      <c r="AB486" s="474">
        <f t="shared" si="10"/>
        <v>488</v>
      </c>
      <c r="AC486" s="476">
        <f t="shared" si="11"/>
        <v>647</v>
      </c>
      <c r="AD486" s="474">
        <f t="shared" si="12"/>
        <v>806</v>
      </c>
      <c r="AE486" s="474">
        <f t="shared" si="13"/>
        <v>532</v>
      </c>
      <c r="AF486" s="474">
        <f t="shared" si="14"/>
        <v>647</v>
      </c>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2"/>
      <c r="BU486" s="102"/>
      <c r="BV486" s="102"/>
      <c r="BW486" s="102"/>
      <c r="BX486" s="102"/>
      <c r="BY486" s="102"/>
      <c r="BZ486" s="102"/>
      <c r="CA486" s="464"/>
      <c r="CB486" s="102"/>
      <c r="CC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474">
        <v>484.0</v>
      </c>
      <c r="AB487" s="474">
        <f t="shared" si="10"/>
        <v>489</v>
      </c>
      <c r="AC487" s="476">
        <f t="shared" si="11"/>
        <v>648</v>
      </c>
      <c r="AD487" s="474">
        <f t="shared" si="12"/>
        <v>808</v>
      </c>
      <c r="AE487" s="474">
        <f t="shared" si="13"/>
        <v>533</v>
      </c>
      <c r="AF487" s="474">
        <f t="shared" si="14"/>
        <v>648</v>
      </c>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2"/>
      <c r="BU487" s="102"/>
      <c r="BV487" s="102"/>
      <c r="BW487" s="102"/>
      <c r="BX487" s="102"/>
      <c r="BY487" s="102"/>
      <c r="BZ487" s="102"/>
      <c r="CA487" s="464"/>
      <c r="CB487" s="102"/>
      <c r="CC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474">
        <v>485.0</v>
      </c>
      <c r="AB488" s="474">
        <f t="shared" si="10"/>
        <v>490</v>
      </c>
      <c r="AC488" s="476">
        <f t="shared" si="11"/>
        <v>649</v>
      </c>
      <c r="AD488" s="474">
        <f t="shared" si="12"/>
        <v>809</v>
      </c>
      <c r="AE488" s="474">
        <f t="shared" si="13"/>
        <v>534</v>
      </c>
      <c r="AF488" s="474">
        <f t="shared" si="14"/>
        <v>649</v>
      </c>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2"/>
      <c r="BU488" s="102"/>
      <c r="BV488" s="102"/>
      <c r="BW488" s="102"/>
      <c r="BX488" s="102"/>
      <c r="BY488" s="102"/>
      <c r="BZ488" s="102"/>
      <c r="CA488" s="464"/>
      <c r="CB488" s="102"/>
      <c r="CC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474">
        <v>486.0</v>
      </c>
      <c r="AB489" s="474">
        <f t="shared" si="10"/>
        <v>491</v>
      </c>
      <c r="AC489" s="476">
        <f t="shared" si="11"/>
        <v>651</v>
      </c>
      <c r="AD489" s="474">
        <f t="shared" si="12"/>
        <v>811</v>
      </c>
      <c r="AE489" s="474">
        <f t="shared" si="13"/>
        <v>535</v>
      </c>
      <c r="AF489" s="474">
        <f t="shared" si="14"/>
        <v>651</v>
      </c>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2"/>
      <c r="BU489" s="102"/>
      <c r="BV489" s="102"/>
      <c r="BW489" s="102"/>
      <c r="BX489" s="102"/>
      <c r="BY489" s="102"/>
      <c r="BZ489" s="102"/>
      <c r="CA489" s="464"/>
      <c r="CB489" s="102"/>
      <c r="CC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474">
        <v>487.0</v>
      </c>
      <c r="AB490" s="474">
        <f t="shared" si="10"/>
        <v>492</v>
      </c>
      <c r="AC490" s="476">
        <f t="shared" si="11"/>
        <v>652</v>
      </c>
      <c r="AD490" s="474">
        <f t="shared" si="12"/>
        <v>813</v>
      </c>
      <c r="AE490" s="474">
        <f t="shared" si="13"/>
        <v>536</v>
      </c>
      <c r="AF490" s="474">
        <f t="shared" si="14"/>
        <v>652</v>
      </c>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2"/>
      <c r="BU490" s="102"/>
      <c r="BV490" s="102"/>
      <c r="BW490" s="102"/>
      <c r="BX490" s="102"/>
      <c r="BY490" s="102"/>
      <c r="BZ490" s="102"/>
      <c r="CA490" s="464"/>
      <c r="CB490" s="102"/>
      <c r="CC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474">
        <v>488.0</v>
      </c>
      <c r="AB491" s="474">
        <f t="shared" si="10"/>
        <v>493</v>
      </c>
      <c r="AC491" s="476">
        <f t="shared" si="11"/>
        <v>653</v>
      </c>
      <c r="AD491" s="474">
        <f t="shared" si="12"/>
        <v>814</v>
      </c>
      <c r="AE491" s="474">
        <f t="shared" si="13"/>
        <v>537</v>
      </c>
      <c r="AF491" s="474">
        <f t="shared" si="14"/>
        <v>653</v>
      </c>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2"/>
      <c r="BU491" s="102"/>
      <c r="BV491" s="102"/>
      <c r="BW491" s="102"/>
      <c r="BX491" s="102"/>
      <c r="BY491" s="102"/>
      <c r="BZ491" s="102"/>
      <c r="CA491" s="464"/>
      <c r="CB491" s="102"/>
      <c r="CC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474">
        <v>489.0</v>
      </c>
      <c r="AB492" s="474">
        <f t="shared" si="10"/>
        <v>494</v>
      </c>
      <c r="AC492" s="476">
        <f t="shared" si="11"/>
        <v>655</v>
      </c>
      <c r="AD492" s="474">
        <f t="shared" si="12"/>
        <v>816</v>
      </c>
      <c r="AE492" s="474">
        <f t="shared" si="13"/>
        <v>538</v>
      </c>
      <c r="AF492" s="474">
        <f t="shared" si="14"/>
        <v>655</v>
      </c>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2"/>
      <c r="BU492" s="102"/>
      <c r="BV492" s="102"/>
      <c r="BW492" s="102"/>
      <c r="BX492" s="102"/>
      <c r="BY492" s="102"/>
      <c r="BZ492" s="102"/>
      <c r="CA492" s="464"/>
      <c r="CB492" s="102"/>
      <c r="CC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474">
        <v>490.0</v>
      </c>
      <c r="AB493" s="474">
        <f t="shared" si="10"/>
        <v>495</v>
      </c>
      <c r="AC493" s="476">
        <f t="shared" si="11"/>
        <v>656</v>
      </c>
      <c r="AD493" s="474">
        <f t="shared" si="12"/>
        <v>818</v>
      </c>
      <c r="AE493" s="474">
        <f t="shared" si="13"/>
        <v>539</v>
      </c>
      <c r="AF493" s="474">
        <f t="shared" si="14"/>
        <v>656</v>
      </c>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2"/>
      <c r="BU493" s="102"/>
      <c r="BV493" s="102"/>
      <c r="BW493" s="102"/>
      <c r="BX493" s="102"/>
      <c r="BY493" s="102"/>
      <c r="BZ493" s="102"/>
      <c r="CA493" s="464"/>
      <c r="CB493" s="102"/>
      <c r="CC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474">
        <v>491.0</v>
      </c>
      <c r="AB494" s="474">
        <f t="shared" si="10"/>
        <v>496</v>
      </c>
      <c r="AC494" s="476">
        <f t="shared" si="11"/>
        <v>657</v>
      </c>
      <c r="AD494" s="474">
        <f t="shared" si="12"/>
        <v>819</v>
      </c>
      <c r="AE494" s="474">
        <f t="shared" si="13"/>
        <v>541</v>
      </c>
      <c r="AF494" s="474">
        <f t="shared" si="14"/>
        <v>657</v>
      </c>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2"/>
      <c r="BU494" s="102"/>
      <c r="BV494" s="102"/>
      <c r="BW494" s="102"/>
      <c r="BX494" s="102"/>
      <c r="BY494" s="102"/>
      <c r="BZ494" s="102"/>
      <c r="CA494" s="464"/>
      <c r="CB494" s="102"/>
      <c r="CC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474">
        <v>492.0</v>
      </c>
      <c r="AB495" s="474">
        <f t="shared" si="10"/>
        <v>497</v>
      </c>
      <c r="AC495" s="476">
        <f t="shared" si="11"/>
        <v>659</v>
      </c>
      <c r="AD495" s="474">
        <f t="shared" si="12"/>
        <v>821</v>
      </c>
      <c r="AE495" s="474">
        <f t="shared" si="13"/>
        <v>542</v>
      </c>
      <c r="AF495" s="474">
        <f t="shared" si="14"/>
        <v>659</v>
      </c>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2"/>
      <c r="BU495" s="102"/>
      <c r="BV495" s="102"/>
      <c r="BW495" s="102"/>
      <c r="BX495" s="102"/>
      <c r="BY495" s="102"/>
      <c r="BZ495" s="102"/>
      <c r="CA495" s="464"/>
      <c r="CB495" s="102"/>
      <c r="CC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474">
        <v>493.0</v>
      </c>
      <c r="AB496" s="474">
        <f t="shared" si="10"/>
        <v>498</v>
      </c>
      <c r="AC496" s="476">
        <f t="shared" si="11"/>
        <v>660</v>
      </c>
      <c r="AD496" s="474">
        <f t="shared" si="12"/>
        <v>823</v>
      </c>
      <c r="AE496" s="474">
        <f t="shared" si="13"/>
        <v>543</v>
      </c>
      <c r="AF496" s="474">
        <f t="shared" si="14"/>
        <v>660</v>
      </c>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2"/>
      <c r="BU496" s="102"/>
      <c r="BV496" s="102"/>
      <c r="BW496" s="102"/>
      <c r="BX496" s="102"/>
      <c r="BY496" s="102"/>
      <c r="BZ496" s="102"/>
      <c r="CA496" s="464"/>
      <c r="CB496" s="102"/>
      <c r="CC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474">
        <v>494.0</v>
      </c>
      <c r="AB497" s="474">
        <f t="shared" si="10"/>
        <v>499</v>
      </c>
      <c r="AC497" s="476">
        <f t="shared" si="11"/>
        <v>661</v>
      </c>
      <c r="AD497" s="474">
        <f t="shared" si="12"/>
        <v>824</v>
      </c>
      <c r="AE497" s="474">
        <f t="shared" si="13"/>
        <v>544</v>
      </c>
      <c r="AF497" s="474">
        <f t="shared" si="14"/>
        <v>661</v>
      </c>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2"/>
      <c r="BU497" s="102"/>
      <c r="BV497" s="102"/>
      <c r="BW497" s="102"/>
      <c r="BX497" s="102"/>
      <c r="BY497" s="102"/>
      <c r="BZ497" s="102"/>
      <c r="CA497" s="464"/>
      <c r="CB497" s="102"/>
      <c r="CC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474">
        <v>495.0</v>
      </c>
      <c r="AB498" s="474">
        <f t="shared" si="10"/>
        <v>500</v>
      </c>
      <c r="AC498" s="476">
        <f t="shared" si="11"/>
        <v>663</v>
      </c>
      <c r="AD498" s="474">
        <f t="shared" si="12"/>
        <v>826</v>
      </c>
      <c r="AE498" s="474">
        <f t="shared" si="13"/>
        <v>545</v>
      </c>
      <c r="AF498" s="474">
        <f t="shared" si="14"/>
        <v>663</v>
      </c>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2"/>
      <c r="BU498" s="102"/>
      <c r="BV498" s="102"/>
      <c r="BW498" s="102"/>
      <c r="BX498" s="102"/>
      <c r="BY498" s="102"/>
      <c r="BZ498" s="102"/>
      <c r="CA498" s="464"/>
      <c r="CB498" s="102"/>
      <c r="CC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474">
        <v>496.0</v>
      </c>
      <c r="AB499" s="474">
        <f t="shared" si="10"/>
        <v>501</v>
      </c>
      <c r="AC499" s="476">
        <f t="shared" si="11"/>
        <v>664</v>
      </c>
      <c r="AD499" s="474">
        <f t="shared" si="12"/>
        <v>828</v>
      </c>
      <c r="AE499" s="474">
        <f t="shared" si="13"/>
        <v>546</v>
      </c>
      <c r="AF499" s="474">
        <f t="shared" si="14"/>
        <v>664</v>
      </c>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2"/>
      <c r="BU499" s="102"/>
      <c r="BV499" s="102"/>
      <c r="BW499" s="102"/>
      <c r="BX499" s="102"/>
      <c r="BY499" s="102"/>
      <c r="BZ499" s="102"/>
      <c r="CA499" s="464"/>
      <c r="CB499" s="102"/>
      <c r="CC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474">
        <v>497.0</v>
      </c>
      <c r="AB500" s="474">
        <f t="shared" si="10"/>
        <v>502</v>
      </c>
      <c r="AC500" s="476">
        <f t="shared" si="11"/>
        <v>665</v>
      </c>
      <c r="AD500" s="474">
        <f t="shared" si="12"/>
        <v>829</v>
      </c>
      <c r="AE500" s="474">
        <f t="shared" si="13"/>
        <v>547</v>
      </c>
      <c r="AF500" s="474">
        <f t="shared" si="14"/>
        <v>665</v>
      </c>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2"/>
      <c r="BU500" s="102"/>
      <c r="BV500" s="102"/>
      <c r="BW500" s="102"/>
      <c r="BX500" s="102"/>
      <c r="BY500" s="102"/>
      <c r="BZ500" s="102"/>
      <c r="CA500" s="464"/>
      <c r="CB500" s="102"/>
      <c r="CC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474">
        <v>498.0</v>
      </c>
      <c r="AB501" s="474">
        <f t="shared" si="10"/>
        <v>503</v>
      </c>
      <c r="AC501" s="476">
        <f t="shared" si="11"/>
        <v>667</v>
      </c>
      <c r="AD501" s="474">
        <f t="shared" si="12"/>
        <v>831</v>
      </c>
      <c r="AE501" s="474">
        <f t="shared" si="13"/>
        <v>548</v>
      </c>
      <c r="AF501" s="474">
        <f t="shared" si="14"/>
        <v>667</v>
      </c>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2"/>
      <c r="BU501" s="102"/>
      <c r="BV501" s="102"/>
      <c r="BW501" s="102"/>
      <c r="BX501" s="102"/>
      <c r="BY501" s="102"/>
      <c r="BZ501" s="102"/>
      <c r="CA501" s="464"/>
      <c r="CB501" s="102"/>
      <c r="CC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474">
        <v>499.0</v>
      </c>
      <c r="AB502" s="474">
        <f t="shared" si="10"/>
        <v>504</v>
      </c>
      <c r="AC502" s="476">
        <f t="shared" si="11"/>
        <v>668</v>
      </c>
      <c r="AD502" s="474">
        <f t="shared" si="12"/>
        <v>833</v>
      </c>
      <c r="AE502" s="474">
        <f t="shared" si="13"/>
        <v>549</v>
      </c>
      <c r="AF502" s="474">
        <f t="shared" si="14"/>
        <v>668</v>
      </c>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2"/>
      <c r="BU502" s="102"/>
      <c r="BV502" s="102"/>
      <c r="BW502" s="102"/>
      <c r="BX502" s="102"/>
      <c r="BY502" s="102"/>
      <c r="BZ502" s="102"/>
      <c r="CA502" s="464"/>
      <c r="CB502" s="102"/>
      <c r="CC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474">
        <v>500.0</v>
      </c>
      <c r="AB503" s="474">
        <f t="shared" si="10"/>
        <v>505</v>
      </c>
      <c r="AC503" s="476">
        <f t="shared" si="11"/>
        <v>670</v>
      </c>
      <c r="AD503" s="474">
        <f t="shared" si="12"/>
        <v>835</v>
      </c>
      <c r="AE503" s="474">
        <f t="shared" si="13"/>
        <v>550</v>
      </c>
      <c r="AF503" s="474">
        <f t="shared" si="14"/>
        <v>670</v>
      </c>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2"/>
      <c r="BU503" s="102"/>
      <c r="BV503" s="102"/>
      <c r="BW503" s="102"/>
      <c r="BX503" s="102"/>
      <c r="BY503" s="102"/>
      <c r="BZ503" s="102"/>
      <c r="CA503" s="464"/>
      <c r="CB503" s="102"/>
      <c r="CC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474">
        <v>501.0</v>
      </c>
      <c r="AB504" s="474">
        <f t="shared" si="10"/>
        <v>506</v>
      </c>
      <c r="AC504" s="476">
        <f t="shared" si="11"/>
        <v>671</v>
      </c>
      <c r="AD504" s="474">
        <f t="shared" si="12"/>
        <v>836</v>
      </c>
      <c r="AE504" s="474">
        <f t="shared" si="13"/>
        <v>552</v>
      </c>
      <c r="AF504" s="474">
        <f t="shared" si="14"/>
        <v>671</v>
      </c>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2"/>
      <c r="BU504" s="102"/>
      <c r="BV504" s="102"/>
      <c r="BW504" s="102"/>
      <c r="BX504" s="102"/>
      <c r="BY504" s="102"/>
      <c r="BZ504" s="102"/>
      <c r="CA504" s="464"/>
      <c r="CB504" s="102"/>
      <c r="CC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474">
        <v>502.0</v>
      </c>
      <c r="AB505" s="474">
        <f t="shared" si="10"/>
        <v>507</v>
      </c>
      <c r="AC505" s="476">
        <f t="shared" si="11"/>
        <v>672</v>
      </c>
      <c r="AD505" s="474">
        <f t="shared" si="12"/>
        <v>838</v>
      </c>
      <c r="AE505" s="474">
        <f t="shared" si="13"/>
        <v>553</v>
      </c>
      <c r="AF505" s="474">
        <f t="shared" si="14"/>
        <v>672</v>
      </c>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2"/>
      <c r="BU505" s="102"/>
      <c r="BV505" s="102"/>
      <c r="BW505" s="102"/>
      <c r="BX505" s="102"/>
      <c r="BY505" s="102"/>
      <c r="BZ505" s="102"/>
      <c r="CA505" s="464"/>
      <c r="CB505" s="102"/>
      <c r="CC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474">
        <v>503.0</v>
      </c>
      <c r="AB506" s="474">
        <f t="shared" si="10"/>
        <v>508</v>
      </c>
      <c r="AC506" s="476">
        <f t="shared" si="11"/>
        <v>674</v>
      </c>
      <c r="AD506" s="474">
        <f t="shared" si="12"/>
        <v>840</v>
      </c>
      <c r="AE506" s="474">
        <f t="shared" si="13"/>
        <v>554</v>
      </c>
      <c r="AF506" s="474">
        <f t="shared" si="14"/>
        <v>674</v>
      </c>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2"/>
      <c r="BU506" s="102"/>
      <c r="BV506" s="102"/>
      <c r="BW506" s="102"/>
      <c r="BX506" s="102"/>
      <c r="BY506" s="102"/>
      <c r="BZ506" s="102"/>
      <c r="CA506" s="464"/>
      <c r="CB506" s="102"/>
      <c r="CC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474">
        <v>504.0</v>
      </c>
      <c r="AB507" s="474">
        <f t="shared" si="10"/>
        <v>509</v>
      </c>
      <c r="AC507" s="476">
        <f t="shared" si="11"/>
        <v>675</v>
      </c>
      <c r="AD507" s="474">
        <f t="shared" si="12"/>
        <v>841</v>
      </c>
      <c r="AE507" s="474">
        <f t="shared" si="13"/>
        <v>555</v>
      </c>
      <c r="AF507" s="474">
        <f t="shared" si="14"/>
        <v>675</v>
      </c>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2"/>
      <c r="BU507" s="102"/>
      <c r="BV507" s="102"/>
      <c r="BW507" s="102"/>
      <c r="BX507" s="102"/>
      <c r="BY507" s="102"/>
      <c r="BZ507" s="102"/>
      <c r="CA507" s="464"/>
      <c r="CB507" s="102"/>
      <c r="CC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474">
        <v>505.0</v>
      </c>
      <c r="AB508" s="474">
        <f t="shared" si="10"/>
        <v>510</v>
      </c>
      <c r="AC508" s="476">
        <f t="shared" si="11"/>
        <v>676</v>
      </c>
      <c r="AD508" s="474">
        <f t="shared" si="12"/>
        <v>843</v>
      </c>
      <c r="AE508" s="474">
        <f t="shared" si="13"/>
        <v>556</v>
      </c>
      <c r="AF508" s="474">
        <f t="shared" si="14"/>
        <v>676</v>
      </c>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2"/>
      <c r="BU508" s="102"/>
      <c r="BV508" s="102"/>
      <c r="BW508" s="102"/>
      <c r="BX508" s="102"/>
      <c r="BY508" s="102"/>
      <c r="BZ508" s="102"/>
      <c r="CA508" s="464"/>
      <c r="CB508" s="102"/>
      <c r="CC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474">
        <v>506.0</v>
      </c>
      <c r="AB509" s="474">
        <f t="shared" si="10"/>
        <v>511</v>
      </c>
      <c r="AC509" s="476">
        <f t="shared" si="11"/>
        <v>678</v>
      </c>
      <c r="AD509" s="474">
        <f t="shared" si="12"/>
        <v>845</v>
      </c>
      <c r="AE509" s="474">
        <f t="shared" si="13"/>
        <v>557</v>
      </c>
      <c r="AF509" s="474">
        <f t="shared" si="14"/>
        <v>678</v>
      </c>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2"/>
      <c r="BU509" s="102"/>
      <c r="BV509" s="102"/>
      <c r="BW509" s="102"/>
      <c r="BX509" s="102"/>
      <c r="BY509" s="102"/>
      <c r="BZ509" s="102"/>
      <c r="CA509" s="464"/>
      <c r="CB509" s="102"/>
      <c r="CC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474">
        <v>507.0</v>
      </c>
      <c r="AB510" s="474">
        <f t="shared" si="10"/>
        <v>512</v>
      </c>
      <c r="AC510" s="476">
        <f t="shared" si="11"/>
        <v>679</v>
      </c>
      <c r="AD510" s="474">
        <f t="shared" si="12"/>
        <v>846</v>
      </c>
      <c r="AE510" s="474">
        <f t="shared" si="13"/>
        <v>558</v>
      </c>
      <c r="AF510" s="474">
        <f t="shared" si="14"/>
        <v>679</v>
      </c>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2"/>
      <c r="BU510" s="102"/>
      <c r="BV510" s="102"/>
      <c r="BW510" s="102"/>
      <c r="BX510" s="102"/>
      <c r="BY510" s="102"/>
      <c r="BZ510" s="102"/>
      <c r="CA510" s="464"/>
      <c r="CB510" s="102"/>
      <c r="CC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474">
        <v>508.0</v>
      </c>
      <c r="AB511" s="474">
        <f t="shared" si="10"/>
        <v>513</v>
      </c>
      <c r="AC511" s="476">
        <f t="shared" si="11"/>
        <v>680</v>
      </c>
      <c r="AD511" s="474">
        <f t="shared" si="12"/>
        <v>848</v>
      </c>
      <c r="AE511" s="474">
        <f t="shared" si="13"/>
        <v>559</v>
      </c>
      <c r="AF511" s="474">
        <f t="shared" si="14"/>
        <v>680</v>
      </c>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2"/>
      <c r="BU511" s="102"/>
      <c r="BV511" s="102"/>
      <c r="BW511" s="102"/>
      <c r="BX511" s="102"/>
      <c r="BY511" s="102"/>
      <c r="BZ511" s="102"/>
      <c r="CA511" s="464"/>
      <c r="CB511" s="102"/>
      <c r="CC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474">
        <v>509.0</v>
      </c>
      <c r="AB512" s="474">
        <f t="shared" si="10"/>
        <v>514</v>
      </c>
      <c r="AC512" s="476">
        <f t="shared" si="11"/>
        <v>682</v>
      </c>
      <c r="AD512" s="474">
        <f t="shared" si="12"/>
        <v>850</v>
      </c>
      <c r="AE512" s="474">
        <f t="shared" si="13"/>
        <v>560</v>
      </c>
      <c r="AF512" s="474">
        <f t="shared" si="14"/>
        <v>682</v>
      </c>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2"/>
      <c r="BU512" s="102"/>
      <c r="BV512" s="102"/>
      <c r="BW512" s="102"/>
      <c r="BX512" s="102"/>
      <c r="BY512" s="102"/>
      <c r="BZ512" s="102"/>
      <c r="CA512" s="464"/>
      <c r="CB512" s="102"/>
      <c r="CC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474">
        <v>510.0</v>
      </c>
      <c r="AB513" s="474">
        <f t="shared" si="10"/>
        <v>515</v>
      </c>
      <c r="AC513" s="476">
        <f t="shared" si="11"/>
        <v>683</v>
      </c>
      <c r="AD513" s="474">
        <f t="shared" si="12"/>
        <v>851</v>
      </c>
      <c r="AE513" s="474">
        <f t="shared" si="13"/>
        <v>561</v>
      </c>
      <c r="AF513" s="474">
        <f t="shared" si="14"/>
        <v>683</v>
      </c>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2"/>
      <c r="BU513" s="102"/>
      <c r="BV513" s="102"/>
      <c r="BW513" s="102"/>
      <c r="BX513" s="102"/>
      <c r="BY513" s="102"/>
      <c r="BZ513" s="102"/>
      <c r="CA513" s="464"/>
      <c r="CB513" s="102"/>
      <c r="CC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474">
        <v>511.0</v>
      </c>
      <c r="AB514" s="474">
        <f t="shared" si="10"/>
        <v>516</v>
      </c>
      <c r="AC514" s="476">
        <f t="shared" si="11"/>
        <v>684</v>
      </c>
      <c r="AD514" s="474">
        <f t="shared" si="12"/>
        <v>853</v>
      </c>
      <c r="AE514" s="474">
        <f t="shared" si="13"/>
        <v>563</v>
      </c>
      <c r="AF514" s="474">
        <f t="shared" si="14"/>
        <v>684</v>
      </c>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2"/>
      <c r="BU514" s="102"/>
      <c r="BV514" s="102"/>
      <c r="BW514" s="102"/>
      <c r="BX514" s="102"/>
      <c r="BY514" s="102"/>
      <c r="BZ514" s="102"/>
      <c r="CA514" s="464"/>
      <c r="CB514" s="102"/>
      <c r="CC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474">
        <v>512.0</v>
      </c>
      <c r="AB515" s="474">
        <f t="shared" si="10"/>
        <v>517</v>
      </c>
      <c r="AC515" s="476">
        <f t="shared" si="11"/>
        <v>686</v>
      </c>
      <c r="AD515" s="474">
        <f t="shared" si="12"/>
        <v>855</v>
      </c>
      <c r="AE515" s="474">
        <f t="shared" si="13"/>
        <v>564</v>
      </c>
      <c r="AF515" s="474">
        <f t="shared" si="14"/>
        <v>686</v>
      </c>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2"/>
      <c r="BU515" s="102"/>
      <c r="BV515" s="102"/>
      <c r="BW515" s="102"/>
      <c r="BX515" s="102"/>
      <c r="BY515" s="102"/>
      <c r="BZ515" s="102"/>
      <c r="CA515" s="464"/>
      <c r="CB515" s="102"/>
      <c r="CC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474">
        <v>513.0</v>
      </c>
      <c r="AB516" s="474">
        <f t="shared" si="10"/>
        <v>518</v>
      </c>
      <c r="AC516" s="476">
        <f t="shared" si="11"/>
        <v>687</v>
      </c>
      <c r="AD516" s="474">
        <f t="shared" si="12"/>
        <v>856</v>
      </c>
      <c r="AE516" s="474">
        <f t="shared" si="13"/>
        <v>565</v>
      </c>
      <c r="AF516" s="474">
        <f t="shared" si="14"/>
        <v>687</v>
      </c>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2"/>
      <c r="BU516" s="102"/>
      <c r="BV516" s="102"/>
      <c r="BW516" s="102"/>
      <c r="BX516" s="102"/>
      <c r="BY516" s="102"/>
      <c r="BZ516" s="102"/>
      <c r="CA516" s="464"/>
      <c r="CB516" s="102"/>
      <c r="CC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474">
        <v>514.0</v>
      </c>
      <c r="AB517" s="474">
        <f t="shared" si="10"/>
        <v>519</v>
      </c>
      <c r="AC517" s="476">
        <f t="shared" si="11"/>
        <v>688</v>
      </c>
      <c r="AD517" s="474">
        <f t="shared" si="12"/>
        <v>858</v>
      </c>
      <c r="AE517" s="474">
        <f t="shared" si="13"/>
        <v>566</v>
      </c>
      <c r="AF517" s="474">
        <f t="shared" si="14"/>
        <v>688</v>
      </c>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102"/>
      <c r="BQ517" s="102"/>
      <c r="BR517" s="102"/>
      <c r="BS517" s="102"/>
      <c r="BT517" s="102"/>
      <c r="BU517" s="102"/>
      <c r="BV517" s="102"/>
      <c r="BW517" s="102"/>
      <c r="BX517" s="102"/>
      <c r="BY517" s="102"/>
      <c r="BZ517" s="102"/>
      <c r="CA517" s="464"/>
      <c r="CB517" s="102"/>
      <c r="CC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474">
        <v>515.0</v>
      </c>
      <c r="AB518" s="474">
        <f t="shared" si="10"/>
        <v>520</v>
      </c>
      <c r="AC518" s="476">
        <f t="shared" si="11"/>
        <v>690</v>
      </c>
      <c r="AD518" s="474">
        <f t="shared" si="12"/>
        <v>860</v>
      </c>
      <c r="AE518" s="474">
        <f t="shared" si="13"/>
        <v>567</v>
      </c>
      <c r="AF518" s="474">
        <f t="shared" si="14"/>
        <v>690</v>
      </c>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c r="BC518" s="102"/>
      <c r="BD518" s="102"/>
      <c r="BE518" s="102"/>
      <c r="BF518" s="102"/>
      <c r="BG518" s="102"/>
      <c r="BH518" s="102"/>
      <c r="BI518" s="102"/>
      <c r="BJ518" s="102"/>
      <c r="BK518" s="102"/>
      <c r="BL518" s="102"/>
      <c r="BM518" s="102"/>
      <c r="BN518" s="102"/>
      <c r="BO518" s="102"/>
      <c r="BP518" s="102"/>
      <c r="BQ518" s="102"/>
      <c r="BR518" s="102"/>
      <c r="BS518" s="102"/>
      <c r="BT518" s="102"/>
      <c r="BU518" s="102"/>
      <c r="BV518" s="102"/>
      <c r="BW518" s="102"/>
      <c r="BX518" s="102"/>
      <c r="BY518" s="102"/>
      <c r="BZ518" s="102"/>
      <c r="CA518" s="464"/>
      <c r="CB518" s="102"/>
      <c r="CC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474">
        <v>516.0</v>
      </c>
      <c r="AB519" s="474">
        <f t="shared" si="10"/>
        <v>521</v>
      </c>
      <c r="AC519" s="476">
        <f t="shared" si="11"/>
        <v>691</v>
      </c>
      <c r="AD519" s="474">
        <f t="shared" si="12"/>
        <v>861</v>
      </c>
      <c r="AE519" s="474">
        <f t="shared" si="13"/>
        <v>568</v>
      </c>
      <c r="AF519" s="474">
        <f t="shared" si="14"/>
        <v>691</v>
      </c>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c r="BC519" s="102"/>
      <c r="BD519" s="102"/>
      <c r="BE519" s="102"/>
      <c r="BF519" s="102"/>
      <c r="BG519" s="102"/>
      <c r="BH519" s="102"/>
      <c r="BI519" s="102"/>
      <c r="BJ519" s="102"/>
      <c r="BK519" s="102"/>
      <c r="BL519" s="102"/>
      <c r="BM519" s="102"/>
      <c r="BN519" s="102"/>
      <c r="BO519" s="102"/>
      <c r="BP519" s="102"/>
      <c r="BQ519" s="102"/>
      <c r="BR519" s="102"/>
      <c r="BS519" s="102"/>
      <c r="BT519" s="102"/>
      <c r="BU519" s="102"/>
      <c r="BV519" s="102"/>
      <c r="BW519" s="102"/>
      <c r="BX519" s="102"/>
      <c r="BY519" s="102"/>
      <c r="BZ519" s="102"/>
      <c r="CA519" s="464"/>
      <c r="CB519" s="102"/>
      <c r="CC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474">
        <v>517.0</v>
      </c>
      <c r="AB520" s="474">
        <f t="shared" si="10"/>
        <v>522</v>
      </c>
      <c r="AC520" s="476">
        <f t="shared" si="11"/>
        <v>692</v>
      </c>
      <c r="AD520" s="474">
        <f t="shared" si="12"/>
        <v>863</v>
      </c>
      <c r="AE520" s="474">
        <f t="shared" si="13"/>
        <v>569</v>
      </c>
      <c r="AF520" s="474">
        <f t="shared" si="14"/>
        <v>692</v>
      </c>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c r="BC520" s="102"/>
      <c r="BD520" s="102"/>
      <c r="BE520" s="102"/>
      <c r="BF520" s="102"/>
      <c r="BG520" s="102"/>
      <c r="BH520" s="102"/>
      <c r="BI520" s="102"/>
      <c r="BJ520" s="102"/>
      <c r="BK520" s="102"/>
      <c r="BL520" s="102"/>
      <c r="BM520" s="102"/>
      <c r="BN520" s="102"/>
      <c r="BO520" s="102"/>
      <c r="BP520" s="102"/>
      <c r="BQ520" s="102"/>
      <c r="BR520" s="102"/>
      <c r="BS520" s="102"/>
      <c r="BT520" s="102"/>
      <c r="BU520" s="102"/>
      <c r="BV520" s="102"/>
      <c r="BW520" s="102"/>
      <c r="BX520" s="102"/>
      <c r="BY520" s="102"/>
      <c r="BZ520" s="102"/>
      <c r="CA520" s="464"/>
      <c r="CB520" s="102"/>
      <c r="CC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474">
        <v>518.0</v>
      </c>
      <c r="AB521" s="474">
        <f t="shared" si="10"/>
        <v>523</v>
      </c>
      <c r="AC521" s="476">
        <f t="shared" si="11"/>
        <v>694</v>
      </c>
      <c r="AD521" s="474">
        <f t="shared" si="12"/>
        <v>865</v>
      </c>
      <c r="AE521" s="474">
        <f t="shared" si="13"/>
        <v>570</v>
      </c>
      <c r="AF521" s="474">
        <f t="shared" si="14"/>
        <v>694</v>
      </c>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c r="BC521" s="102"/>
      <c r="BD521" s="102"/>
      <c r="BE521" s="102"/>
      <c r="BF521" s="102"/>
      <c r="BG521" s="102"/>
      <c r="BH521" s="102"/>
      <c r="BI521" s="102"/>
      <c r="BJ521" s="102"/>
      <c r="BK521" s="102"/>
      <c r="BL521" s="102"/>
      <c r="BM521" s="102"/>
      <c r="BN521" s="102"/>
      <c r="BO521" s="102"/>
      <c r="BP521" s="102"/>
      <c r="BQ521" s="102"/>
      <c r="BR521" s="102"/>
      <c r="BS521" s="102"/>
      <c r="BT521" s="102"/>
      <c r="BU521" s="102"/>
      <c r="BV521" s="102"/>
      <c r="BW521" s="102"/>
      <c r="BX521" s="102"/>
      <c r="BY521" s="102"/>
      <c r="BZ521" s="102"/>
      <c r="CA521" s="464"/>
      <c r="CB521" s="102"/>
      <c r="CC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474">
        <v>519.0</v>
      </c>
      <c r="AB522" s="474">
        <f t="shared" si="10"/>
        <v>524</v>
      </c>
      <c r="AC522" s="476">
        <f t="shared" si="11"/>
        <v>695</v>
      </c>
      <c r="AD522" s="474">
        <f t="shared" si="12"/>
        <v>866</v>
      </c>
      <c r="AE522" s="474">
        <f t="shared" si="13"/>
        <v>571</v>
      </c>
      <c r="AF522" s="474">
        <f t="shared" si="14"/>
        <v>695</v>
      </c>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c r="BC522" s="102"/>
      <c r="BD522" s="102"/>
      <c r="BE522" s="102"/>
      <c r="BF522" s="102"/>
      <c r="BG522" s="102"/>
      <c r="BH522" s="102"/>
      <c r="BI522" s="102"/>
      <c r="BJ522" s="102"/>
      <c r="BK522" s="102"/>
      <c r="BL522" s="102"/>
      <c r="BM522" s="102"/>
      <c r="BN522" s="102"/>
      <c r="BO522" s="102"/>
      <c r="BP522" s="102"/>
      <c r="BQ522" s="102"/>
      <c r="BR522" s="102"/>
      <c r="BS522" s="102"/>
      <c r="BT522" s="102"/>
      <c r="BU522" s="102"/>
      <c r="BV522" s="102"/>
      <c r="BW522" s="102"/>
      <c r="BX522" s="102"/>
      <c r="BY522" s="102"/>
      <c r="BZ522" s="102"/>
      <c r="CA522" s="464"/>
      <c r="CB522" s="102"/>
      <c r="CC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474">
        <v>520.0</v>
      </c>
      <c r="AB523" s="474">
        <f t="shared" si="10"/>
        <v>525</v>
      </c>
      <c r="AC523" s="476">
        <f t="shared" si="11"/>
        <v>696</v>
      </c>
      <c r="AD523" s="474">
        <f t="shared" si="12"/>
        <v>868</v>
      </c>
      <c r="AE523" s="474">
        <f t="shared" si="13"/>
        <v>572</v>
      </c>
      <c r="AF523" s="474">
        <f t="shared" si="14"/>
        <v>696</v>
      </c>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c r="BC523" s="102"/>
      <c r="BD523" s="102"/>
      <c r="BE523" s="102"/>
      <c r="BF523" s="102"/>
      <c r="BG523" s="102"/>
      <c r="BH523" s="102"/>
      <c r="BI523" s="102"/>
      <c r="BJ523" s="102"/>
      <c r="BK523" s="102"/>
      <c r="BL523" s="102"/>
      <c r="BM523" s="102"/>
      <c r="BN523" s="102"/>
      <c r="BO523" s="102"/>
      <c r="BP523" s="102"/>
      <c r="BQ523" s="102"/>
      <c r="BR523" s="102"/>
      <c r="BS523" s="102"/>
      <c r="BT523" s="102"/>
      <c r="BU523" s="102"/>
      <c r="BV523" s="102"/>
      <c r="BW523" s="102"/>
      <c r="BX523" s="102"/>
      <c r="BY523" s="102"/>
      <c r="BZ523" s="102"/>
      <c r="CA523" s="464"/>
      <c r="CB523" s="102"/>
      <c r="CC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474">
        <v>521.0</v>
      </c>
      <c r="AB524" s="474">
        <f t="shared" si="10"/>
        <v>526</v>
      </c>
      <c r="AC524" s="476">
        <f t="shared" si="11"/>
        <v>698</v>
      </c>
      <c r="AD524" s="474">
        <f t="shared" si="12"/>
        <v>870</v>
      </c>
      <c r="AE524" s="474">
        <f t="shared" si="13"/>
        <v>574</v>
      </c>
      <c r="AF524" s="474">
        <f t="shared" si="14"/>
        <v>698</v>
      </c>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c r="BC524" s="102"/>
      <c r="BD524" s="102"/>
      <c r="BE524" s="102"/>
      <c r="BF524" s="102"/>
      <c r="BG524" s="102"/>
      <c r="BH524" s="102"/>
      <c r="BI524" s="102"/>
      <c r="BJ524" s="102"/>
      <c r="BK524" s="102"/>
      <c r="BL524" s="102"/>
      <c r="BM524" s="102"/>
      <c r="BN524" s="102"/>
      <c r="BO524" s="102"/>
      <c r="BP524" s="102"/>
      <c r="BQ524" s="102"/>
      <c r="BR524" s="102"/>
      <c r="BS524" s="102"/>
      <c r="BT524" s="102"/>
      <c r="BU524" s="102"/>
      <c r="BV524" s="102"/>
      <c r="BW524" s="102"/>
      <c r="BX524" s="102"/>
      <c r="BY524" s="102"/>
      <c r="BZ524" s="102"/>
      <c r="CA524" s="464"/>
      <c r="CB524" s="102"/>
      <c r="CC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474">
        <v>522.0</v>
      </c>
      <c r="AB525" s="474">
        <f t="shared" si="10"/>
        <v>527</v>
      </c>
      <c r="AC525" s="476">
        <f t="shared" si="11"/>
        <v>699</v>
      </c>
      <c r="AD525" s="474">
        <f t="shared" si="12"/>
        <v>871</v>
      </c>
      <c r="AE525" s="474">
        <f t="shared" si="13"/>
        <v>575</v>
      </c>
      <c r="AF525" s="474">
        <f t="shared" si="14"/>
        <v>699</v>
      </c>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c r="BC525" s="102"/>
      <c r="BD525" s="102"/>
      <c r="BE525" s="102"/>
      <c r="BF525" s="102"/>
      <c r="BG525" s="102"/>
      <c r="BH525" s="102"/>
      <c r="BI525" s="102"/>
      <c r="BJ525" s="102"/>
      <c r="BK525" s="102"/>
      <c r="BL525" s="102"/>
      <c r="BM525" s="102"/>
      <c r="BN525" s="102"/>
      <c r="BO525" s="102"/>
      <c r="BP525" s="102"/>
      <c r="BQ525" s="102"/>
      <c r="BR525" s="102"/>
      <c r="BS525" s="102"/>
      <c r="BT525" s="102"/>
      <c r="BU525" s="102"/>
      <c r="BV525" s="102"/>
      <c r="BW525" s="102"/>
      <c r="BX525" s="102"/>
      <c r="BY525" s="102"/>
      <c r="BZ525" s="102"/>
      <c r="CA525" s="464"/>
      <c r="CB525" s="102"/>
      <c r="CC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474">
        <v>523.0</v>
      </c>
      <c r="AB526" s="474">
        <f t="shared" si="10"/>
        <v>528</v>
      </c>
      <c r="AC526" s="476">
        <f t="shared" si="11"/>
        <v>700</v>
      </c>
      <c r="AD526" s="474">
        <f t="shared" si="12"/>
        <v>873</v>
      </c>
      <c r="AE526" s="474">
        <f t="shared" si="13"/>
        <v>576</v>
      </c>
      <c r="AF526" s="474">
        <f t="shared" si="14"/>
        <v>700</v>
      </c>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c r="BC526" s="102"/>
      <c r="BD526" s="102"/>
      <c r="BE526" s="102"/>
      <c r="BF526" s="102"/>
      <c r="BG526" s="102"/>
      <c r="BH526" s="102"/>
      <c r="BI526" s="102"/>
      <c r="BJ526" s="102"/>
      <c r="BK526" s="102"/>
      <c r="BL526" s="102"/>
      <c r="BM526" s="102"/>
      <c r="BN526" s="102"/>
      <c r="BO526" s="102"/>
      <c r="BP526" s="102"/>
      <c r="BQ526" s="102"/>
      <c r="BR526" s="102"/>
      <c r="BS526" s="102"/>
      <c r="BT526" s="102"/>
      <c r="BU526" s="102"/>
      <c r="BV526" s="102"/>
      <c r="BW526" s="102"/>
      <c r="BX526" s="102"/>
      <c r="BY526" s="102"/>
      <c r="BZ526" s="102"/>
      <c r="CA526" s="464"/>
      <c r="CB526" s="102"/>
      <c r="CC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474">
        <v>524.0</v>
      </c>
      <c r="AB527" s="474">
        <f t="shared" si="10"/>
        <v>529</v>
      </c>
      <c r="AC527" s="476">
        <f t="shared" si="11"/>
        <v>702</v>
      </c>
      <c r="AD527" s="474">
        <f t="shared" si="12"/>
        <v>875</v>
      </c>
      <c r="AE527" s="474">
        <f t="shared" si="13"/>
        <v>577</v>
      </c>
      <c r="AF527" s="474">
        <f t="shared" si="14"/>
        <v>702</v>
      </c>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c r="BC527" s="102"/>
      <c r="BD527" s="102"/>
      <c r="BE527" s="102"/>
      <c r="BF527" s="102"/>
      <c r="BG527" s="102"/>
      <c r="BH527" s="102"/>
      <c r="BI527" s="102"/>
      <c r="BJ527" s="102"/>
      <c r="BK527" s="102"/>
      <c r="BL527" s="102"/>
      <c r="BM527" s="102"/>
      <c r="BN527" s="102"/>
      <c r="BO527" s="102"/>
      <c r="BP527" s="102"/>
      <c r="BQ527" s="102"/>
      <c r="BR527" s="102"/>
      <c r="BS527" s="102"/>
      <c r="BT527" s="102"/>
      <c r="BU527" s="102"/>
      <c r="BV527" s="102"/>
      <c r="BW527" s="102"/>
      <c r="BX527" s="102"/>
      <c r="BY527" s="102"/>
      <c r="BZ527" s="102"/>
      <c r="CA527" s="464"/>
      <c r="CB527" s="102"/>
      <c r="CC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474">
        <v>525.0</v>
      </c>
      <c r="AB528" s="474">
        <f t="shared" si="10"/>
        <v>530</v>
      </c>
      <c r="AC528" s="476">
        <f t="shared" si="11"/>
        <v>703</v>
      </c>
      <c r="AD528" s="474">
        <f t="shared" si="12"/>
        <v>876</v>
      </c>
      <c r="AE528" s="474">
        <f t="shared" si="13"/>
        <v>578</v>
      </c>
      <c r="AF528" s="474">
        <f t="shared" si="14"/>
        <v>703</v>
      </c>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c r="BC528" s="102"/>
      <c r="BD528" s="102"/>
      <c r="BE528" s="102"/>
      <c r="BF528" s="102"/>
      <c r="BG528" s="102"/>
      <c r="BH528" s="102"/>
      <c r="BI528" s="102"/>
      <c r="BJ528" s="102"/>
      <c r="BK528" s="102"/>
      <c r="BL528" s="102"/>
      <c r="BM528" s="102"/>
      <c r="BN528" s="102"/>
      <c r="BO528" s="102"/>
      <c r="BP528" s="102"/>
      <c r="BQ528" s="102"/>
      <c r="BR528" s="102"/>
      <c r="BS528" s="102"/>
      <c r="BT528" s="102"/>
      <c r="BU528" s="102"/>
      <c r="BV528" s="102"/>
      <c r="BW528" s="102"/>
      <c r="BX528" s="102"/>
      <c r="BY528" s="102"/>
      <c r="BZ528" s="102"/>
      <c r="CA528" s="464"/>
      <c r="CB528" s="102"/>
      <c r="CC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474">
        <v>526.0</v>
      </c>
      <c r="AB529" s="474">
        <f t="shared" si="10"/>
        <v>531</v>
      </c>
      <c r="AC529" s="476">
        <f t="shared" si="11"/>
        <v>704</v>
      </c>
      <c r="AD529" s="474">
        <f t="shared" si="12"/>
        <v>878</v>
      </c>
      <c r="AE529" s="474">
        <f t="shared" si="13"/>
        <v>579</v>
      </c>
      <c r="AF529" s="474">
        <f t="shared" si="14"/>
        <v>704</v>
      </c>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c r="BC529" s="102"/>
      <c r="BD529" s="102"/>
      <c r="BE529" s="102"/>
      <c r="BF529" s="102"/>
      <c r="BG529" s="102"/>
      <c r="BH529" s="102"/>
      <c r="BI529" s="102"/>
      <c r="BJ529" s="102"/>
      <c r="BK529" s="102"/>
      <c r="BL529" s="102"/>
      <c r="BM529" s="102"/>
      <c r="BN529" s="102"/>
      <c r="BO529" s="102"/>
      <c r="BP529" s="102"/>
      <c r="BQ529" s="102"/>
      <c r="BR529" s="102"/>
      <c r="BS529" s="102"/>
      <c r="BT529" s="102"/>
      <c r="BU529" s="102"/>
      <c r="BV529" s="102"/>
      <c r="BW529" s="102"/>
      <c r="BX529" s="102"/>
      <c r="BY529" s="102"/>
      <c r="BZ529" s="102"/>
      <c r="CA529" s="464"/>
      <c r="CB529" s="102"/>
      <c r="CC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474">
        <v>527.0</v>
      </c>
      <c r="AB530" s="474">
        <f t="shared" si="10"/>
        <v>532</v>
      </c>
      <c r="AC530" s="476">
        <f t="shared" si="11"/>
        <v>706</v>
      </c>
      <c r="AD530" s="474">
        <f t="shared" si="12"/>
        <v>880</v>
      </c>
      <c r="AE530" s="474">
        <f t="shared" si="13"/>
        <v>580</v>
      </c>
      <c r="AF530" s="474">
        <f t="shared" si="14"/>
        <v>706</v>
      </c>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c r="BC530" s="102"/>
      <c r="BD530" s="102"/>
      <c r="BE530" s="102"/>
      <c r="BF530" s="102"/>
      <c r="BG530" s="102"/>
      <c r="BH530" s="102"/>
      <c r="BI530" s="102"/>
      <c r="BJ530" s="102"/>
      <c r="BK530" s="102"/>
      <c r="BL530" s="102"/>
      <c r="BM530" s="102"/>
      <c r="BN530" s="102"/>
      <c r="BO530" s="102"/>
      <c r="BP530" s="102"/>
      <c r="BQ530" s="102"/>
      <c r="BR530" s="102"/>
      <c r="BS530" s="102"/>
      <c r="BT530" s="102"/>
      <c r="BU530" s="102"/>
      <c r="BV530" s="102"/>
      <c r="BW530" s="102"/>
      <c r="BX530" s="102"/>
      <c r="BY530" s="102"/>
      <c r="BZ530" s="102"/>
      <c r="CA530" s="464"/>
      <c r="CB530" s="102"/>
      <c r="CC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474">
        <v>528.0</v>
      </c>
      <c r="AB531" s="474">
        <f t="shared" si="10"/>
        <v>533</v>
      </c>
      <c r="AC531" s="476">
        <f t="shared" si="11"/>
        <v>707</v>
      </c>
      <c r="AD531" s="474">
        <f t="shared" si="12"/>
        <v>881</v>
      </c>
      <c r="AE531" s="474">
        <f t="shared" si="13"/>
        <v>581</v>
      </c>
      <c r="AF531" s="474">
        <f t="shared" si="14"/>
        <v>707</v>
      </c>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c r="BC531" s="102"/>
      <c r="BD531" s="102"/>
      <c r="BE531" s="102"/>
      <c r="BF531" s="102"/>
      <c r="BG531" s="102"/>
      <c r="BH531" s="102"/>
      <c r="BI531" s="102"/>
      <c r="BJ531" s="102"/>
      <c r="BK531" s="102"/>
      <c r="BL531" s="102"/>
      <c r="BM531" s="102"/>
      <c r="BN531" s="102"/>
      <c r="BO531" s="102"/>
      <c r="BP531" s="102"/>
      <c r="BQ531" s="102"/>
      <c r="BR531" s="102"/>
      <c r="BS531" s="102"/>
      <c r="BT531" s="102"/>
      <c r="BU531" s="102"/>
      <c r="BV531" s="102"/>
      <c r="BW531" s="102"/>
      <c r="BX531" s="102"/>
      <c r="BY531" s="102"/>
      <c r="BZ531" s="102"/>
      <c r="CA531" s="464"/>
      <c r="CB531" s="102"/>
      <c r="CC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474">
        <v>529.0</v>
      </c>
      <c r="AB532" s="474">
        <f t="shared" si="10"/>
        <v>534</v>
      </c>
      <c r="AC532" s="476">
        <f t="shared" si="11"/>
        <v>708</v>
      </c>
      <c r="AD532" s="474">
        <f t="shared" si="12"/>
        <v>883</v>
      </c>
      <c r="AE532" s="474">
        <f t="shared" si="13"/>
        <v>582</v>
      </c>
      <c r="AF532" s="474">
        <f t="shared" si="14"/>
        <v>708</v>
      </c>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c r="BC532" s="102"/>
      <c r="BD532" s="102"/>
      <c r="BE532" s="102"/>
      <c r="BF532" s="102"/>
      <c r="BG532" s="102"/>
      <c r="BH532" s="102"/>
      <c r="BI532" s="102"/>
      <c r="BJ532" s="102"/>
      <c r="BK532" s="102"/>
      <c r="BL532" s="102"/>
      <c r="BM532" s="102"/>
      <c r="BN532" s="102"/>
      <c r="BO532" s="102"/>
      <c r="BP532" s="102"/>
      <c r="BQ532" s="102"/>
      <c r="BR532" s="102"/>
      <c r="BS532" s="102"/>
      <c r="BT532" s="102"/>
      <c r="BU532" s="102"/>
      <c r="BV532" s="102"/>
      <c r="BW532" s="102"/>
      <c r="BX532" s="102"/>
      <c r="BY532" s="102"/>
      <c r="BZ532" s="102"/>
      <c r="CA532" s="464"/>
      <c r="CB532" s="102"/>
      <c r="CC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474">
        <v>530.0</v>
      </c>
      <c r="AB533" s="474">
        <f t="shared" si="10"/>
        <v>535</v>
      </c>
      <c r="AC533" s="476">
        <f t="shared" si="11"/>
        <v>710</v>
      </c>
      <c r="AD533" s="474">
        <f t="shared" si="12"/>
        <v>885</v>
      </c>
      <c r="AE533" s="474">
        <f t="shared" si="13"/>
        <v>583</v>
      </c>
      <c r="AF533" s="474">
        <f t="shared" si="14"/>
        <v>710</v>
      </c>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c r="BC533" s="102"/>
      <c r="BD533" s="102"/>
      <c r="BE533" s="102"/>
      <c r="BF533" s="102"/>
      <c r="BG533" s="102"/>
      <c r="BH533" s="102"/>
      <c r="BI533" s="102"/>
      <c r="BJ533" s="102"/>
      <c r="BK533" s="102"/>
      <c r="BL533" s="102"/>
      <c r="BM533" s="102"/>
      <c r="BN533" s="102"/>
      <c r="BO533" s="102"/>
      <c r="BP533" s="102"/>
      <c r="BQ533" s="102"/>
      <c r="BR533" s="102"/>
      <c r="BS533" s="102"/>
      <c r="BT533" s="102"/>
      <c r="BU533" s="102"/>
      <c r="BV533" s="102"/>
      <c r="BW533" s="102"/>
      <c r="BX533" s="102"/>
      <c r="BY533" s="102"/>
      <c r="BZ533" s="102"/>
      <c r="CA533" s="464"/>
      <c r="CB533" s="102"/>
      <c r="CC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474">
        <v>531.0</v>
      </c>
      <c r="AB534" s="474">
        <f t="shared" si="10"/>
        <v>536</v>
      </c>
      <c r="AC534" s="476">
        <f t="shared" si="11"/>
        <v>711</v>
      </c>
      <c r="AD534" s="474">
        <f t="shared" si="12"/>
        <v>886</v>
      </c>
      <c r="AE534" s="474">
        <f t="shared" si="13"/>
        <v>585</v>
      </c>
      <c r="AF534" s="474">
        <f t="shared" si="14"/>
        <v>711</v>
      </c>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c r="BC534" s="102"/>
      <c r="BD534" s="102"/>
      <c r="BE534" s="102"/>
      <c r="BF534" s="102"/>
      <c r="BG534" s="102"/>
      <c r="BH534" s="102"/>
      <c r="BI534" s="102"/>
      <c r="BJ534" s="102"/>
      <c r="BK534" s="102"/>
      <c r="BL534" s="102"/>
      <c r="BM534" s="102"/>
      <c r="BN534" s="102"/>
      <c r="BO534" s="102"/>
      <c r="BP534" s="102"/>
      <c r="BQ534" s="102"/>
      <c r="BR534" s="102"/>
      <c r="BS534" s="102"/>
      <c r="BT534" s="102"/>
      <c r="BU534" s="102"/>
      <c r="BV534" s="102"/>
      <c r="BW534" s="102"/>
      <c r="BX534" s="102"/>
      <c r="BY534" s="102"/>
      <c r="BZ534" s="102"/>
      <c r="CA534" s="464"/>
      <c r="CB534" s="102"/>
      <c r="CC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474">
        <v>532.0</v>
      </c>
      <c r="AB535" s="474">
        <f t="shared" si="10"/>
        <v>537</v>
      </c>
      <c r="AC535" s="476">
        <f t="shared" si="11"/>
        <v>712</v>
      </c>
      <c r="AD535" s="474">
        <f t="shared" si="12"/>
        <v>888</v>
      </c>
      <c r="AE535" s="474">
        <f t="shared" si="13"/>
        <v>586</v>
      </c>
      <c r="AF535" s="474">
        <f t="shared" si="14"/>
        <v>712</v>
      </c>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c r="BC535" s="102"/>
      <c r="BD535" s="102"/>
      <c r="BE535" s="102"/>
      <c r="BF535" s="102"/>
      <c r="BG535" s="102"/>
      <c r="BH535" s="102"/>
      <c r="BI535" s="102"/>
      <c r="BJ535" s="102"/>
      <c r="BK535" s="102"/>
      <c r="BL535" s="102"/>
      <c r="BM535" s="102"/>
      <c r="BN535" s="102"/>
      <c r="BO535" s="102"/>
      <c r="BP535" s="102"/>
      <c r="BQ535" s="102"/>
      <c r="BR535" s="102"/>
      <c r="BS535" s="102"/>
      <c r="BT535" s="102"/>
      <c r="BU535" s="102"/>
      <c r="BV535" s="102"/>
      <c r="BW535" s="102"/>
      <c r="BX535" s="102"/>
      <c r="BY535" s="102"/>
      <c r="BZ535" s="102"/>
      <c r="CA535" s="464"/>
      <c r="CB535" s="102"/>
      <c r="CC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474">
        <v>533.0</v>
      </c>
      <c r="AB536" s="474">
        <f t="shared" si="10"/>
        <v>538</v>
      </c>
      <c r="AC536" s="476">
        <f t="shared" si="11"/>
        <v>714</v>
      </c>
      <c r="AD536" s="474">
        <f t="shared" si="12"/>
        <v>890</v>
      </c>
      <c r="AE536" s="474">
        <f t="shared" si="13"/>
        <v>587</v>
      </c>
      <c r="AF536" s="474">
        <f t="shared" si="14"/>
        <v>714</v>
      </c>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c r="BC536" s="102"/>
      <c r="BD536" s="102"/>
      <c r="BE536" s="102"/>
      <c r="BF536" s="102"/>
      <c r="BG536" s="102"/>
      <c r="BH536" s="102"/>
      <c r="BI536" s="102"/>
      <c r="BJ536" s="102"/>
      <c r="BK536" s="102"/>
      <c r="BL536" s="102"/>
      <c r="BM536" s="102"/>
      <c r="BN536" s="102"/>
      <c r="BO536" s="102"/>
      <c r="BP536" s="102"/>
      <c r="BQ536" s="102"/>
      <c r="BR536" s="102"/>
      <c r="BS536" s="102"/>
      <c r="BT536" s="102"/>
      <c r="BU536" s="102"/>
      <c r="BV536" s="102"/>
      <c r="BW536" s="102"/>
      <c r="BX536" s="102"/>
      <c r="BY536" s="102"/>
      <c r="BZ536" s="102"/>
      <c r="CA536" s="464"/>
      <c r="CB536" s="102"/>
      <c r="CC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474">
        <v>534.0</v>
      </c>
      <c r="AB537" s="474">
        <f t="shared" si="10"/>
        <v>539</v>
      </c>
      <c r="AC537" s="476">
        <f t="shared" si="11"/>
        <v>715</v>
      </c>
      <c r="AD537" s="474">
        <f t="shared" si="12"/>
        <v>891</v>
      </c>
      <c r="AE537" s="474">
        <f t="shared" si="13"/>
        <v>588</v>
      </c>
      <c r="AF537" s="474">
        <f t="shared" si="14"/>
        <v>715</v>
      </c>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c r="BC537" s="102"/>
      <c r="BD537" s="102"/>
      <c r="BE537" s="102"/>
      <c r="BF537" s="102"/>
      <c r="BG537" s="102"/>
      <c r="BH537" s="102"/>
      <c r="BI537" s="102"/>
      <c r="BJ537" s="102"/>
      <c r="BK537" s="102"/>
      <c r="BL537" s="102"/>
      <c r="BM537" s="102"/>
      <c r="BN537" s="102"/>
      <c r="BO537" s="102"/>
      <c r="BP537" s="102"/>
      <c r="BQ537" s="102"/>
      <c r="BR537" s="102"/>
      <c r="BS537" s="102"/>
      <c r="BT537" s="102"/>
      <c r="BU537" s="102"/>
      <c r="BV537" s="102"/>
      <c r="BW537" s="102"/>
      <c r="BX537" s="102"/>
      <c r="BY537" s="102"/>
      <c r="BZ537" s="102"/>
      <c r="CA537" s="464"/>
      <c r="CB537" s="102"/>
      <c r="CC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474">
        <v>535.0</v>
      </c>
      <c r="AB538" s="474">
        <f t="shared" si="10"/>
        <v>540</v>
      </c>
      <c r="AC538" s="476">
        <f t="shared" si="11"/>
        <v>716</v>
      </c>
      <c r="AD538" s="474">
        <f t="shared" si="12"/>
        <v>893</v>
      </c>
      <c r="AE538" s="474">
        <f t="shared" si="13"/>
        <v>589</v>
      </c>
      <c r="AF538" s="474">
        <f t="shared" si="14"/>
        <v>716</v>
      </c>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c r="BC538" s="102"/>
      <c r="BD538" s="102"/>
      <c r="BE538" s="102"/>
      <c r="BF538" s="102"/>
      <c r="BG538" s="102"/>
      <c r="BH538" s="102"/>
      <c r="BI538" s="102"/>
      <c r="BJ538" s="102"/>
      <c r="BK538" s="102"/>
      <c r="BL538" s="102"/>
      <c r="BM538" s="102"/>
      <c r="BN538" s="102"/>
      <c r="BO538" s="102"/>
      <c r="BP538" s="102"/>
      <c r="BQ538" s="102"/>
      <c r="BR538" s="102"/>
      <c r="BS538" s="102"/>
      <c r="BT538" s="102"/>
      <c r="BU538" s="102"/>
      <c r="BV538" s="102"/>
      <c r="BW538" s="102"/>
      <c r="BX538" s="102"/>
      <c r="BY538" s="102"/>
      <c r="BZ538" s="102"/>
      <c r="CA538" s="464"/>
      <c r="CB538" s="102"/>
      <c r="CC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474">
        <v>536.0</v>
      </c>
      <c r="AB539" s="474">
        <f t="shared" si="10"/>
        <v>541</v>
      </c>
      <c r="AC539" s="476">
        <f t="shared" si="11"/>
        <v>718</v>
      </c>
      <c r="AD539" s="474">
        <f t="shared" si="12"/>
        <v>895</v>
      </c>
      <c r="AE539" s="474">
        <f t="shared" si="13"/>
        <v>590</v>
      </c>
      <c r="AF539" s="474">
        <f t="shared" si="14"/>
        <v>718</v>
      </c>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c r="BC539" s="102"/>
      <c r="BD539" s="102"/>
      <c r="BE539" s="102"/>
      <c r="BF539" s="102"/>
      <c r="BG539" s="102"/>
      <c r="BH539" s="102"/>
      <c r="BI539" s="102"/>
      <c r="BJ539" s="102"/>
      <c r="BK539" s="102"/>
      <c r="BL539" s="102"/>
      <c r="BM539" s="102"/>
      <c r="BN539" s="102"/>
      <c r="BO539" s="102"/>
      <c r="BP539" s="102"/>
      <c r="BQ539" s="102"/>
      <c r="BR539" s="102"/>
      <c r="BS539" s="102"/>
      <c r="BT539" s="102"/>
      <c r="BU539" s="102"/>
      <c r="BV539" s="102"/>
      <c r="BW539" s="102"/>
      <c r="BX539" s="102"/>
      <c r="BY539" s="102"/>
      <c r="BZ539" s="102"/>
      <c r="CA539" s="464"/>
      <c r="CB539" s="102"/>
      <c r="CC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474">
        <v>537.0</v>
      </c>
      <c r="AB540" s="474">
        <f t="shared" si="10"/>
        <v>542</v>
      </c>
      <c r="AC540" s="476">
        <f t="shared" si="11"/>
        <v>719</v>
      </c>
      <c r="AD540" s="474">
        <f t="shared" si="12"/>
        <v>896</v>
      </c>
      <c r="AE540" s="474">
        <f t="shared" si="13"/>
        <v>591</v>
      </c>
      <c r="AF540" s="474">
        <f t="shared" si="14"/>
        <v>719</v>
      </c>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c r="BC540" s="102"/>
      <c r="BD540" s="102"/>
      <c r="BE540" s="102"/>
      <c r="BF540" s="102"/>
      <c r="BG540" s="102"/>
      <c r="BH540" s="102"/>
      <c r="BI540" s="102"/>
      <c r="BJ540" s="102"/>
      <c r="BK540" s="102"/>
      <c r="BL540" s="102"/>
      <c r="BM540" s="102"/>
      <c r="BN540" s="102"/>
      <c r="BO540" s="102"/>
      <c r="BP540" s="102"/>
      <c r="BQ540" s="102"/>
      <c r="BR540" s="102"/>
      <c r="BS540" s="102"/>
      <c r="BT540" s="102"/>
      <c r="BU540" s="102"/>
      <c r="BV540" s="102"/>
      <c r="BW540" s="102"/>
      <c r="BX540" s="102"/>
      <c r="BY540" s="102"/>
      <c r="BZ540" s="102"/>
      <c r="CA540" s="464"/>
      <c r="CB540" s="102"/>
      <c r="CC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474">
        <v>538.0</v>
      </c>
      <c r="AB541" s="474">
        <f t="shared" si="10"/>
        <v>543</v>
      </c>
      <c r="AC541" s="476">
        <f t="shared" si="11"/>
        <v>720</v>
      </c>
      <c r="AD541" s="474">
        <f t="shared" si="12"/>
        <v>898</v>
      </c>
      <c r="AE541" s="474">
        <f t="shared" si="13"/>
        <v>592</v>
      </c>
      <c r="AF541" s="474">
        <f t="shared" si="14"/>
        <v>720</v>
      </c>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c r="BC541" s="102"/>
      <c r="BD541" s="102"/>
      <c r="BE541" s="102"/>
      <c r="BF541" s="102"/>
      <c r="BG541" s="102"/>
      <c r="BH541" s="102"/>
      <c r="BI541" s="102"/>
      <c r="BJ541" s="102"/>
      <c r="BK541" s="102"/>
      <c r="BL541" s="102"/>
      <c r="BM541" s="102"/>
      <c r="BN541" s="102"/>
      <c r="BO541" s="102"/>
      <c r="BP541" s="102"/>
      <c r="BQ541" s="102"/>
      <c r="BR541" s="102"/>
      <c r="BS541" s="102"/>
      <c r="BT541" s="102"/>
      <c r="BU541" s="102"/>
      <c r="BV541" s="102"/>
      <c r="BW541" s="102"/>
      <c r="BX541" s="102"/>
      <c r="BY541" s="102"/>
      <c r="BZ541" s="102"/>
      <c r="CA541" s="464"/>
      <c r="CB541" s="102"/>
      <c r="CC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474">
        <v>539.0</v>
      </c>
      <c r="AB542" s="474">
        <f t="shared" si="10"/>
        <v>544</v>
      </c>
      <c r="AC542" s="476">
        <f t="shared" si="11"/>
        <v>722</v>
      </c>
      <c r="AD542" s="474">
        <f t="shared" si="12"/>
        <v>900</v>
      </c>
      <c r="AE542" s="474">
        <f t="shared" si="13"/>
        <v>593</v>
      </c>
      <c r="AF542" s="474">
        <f t="shared" si="14"/>
        <v>722</v>
      </c>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c r="BC542" s="102"/>
      <c r="BD542" s="102"/>
      <c r="BE542" s="102"/>
      <c r="BF542" s="102"/>
      <c r="BG542" s="102"/>
      <c r="BH542" s="102"/>
      <c r="BI542" s="102"/>
      <c r="BJ542" s="102"/>
      <c r="BK542" s="102"/>
      <c r="BL542" s="102"/>
      <c r="BM542" s="102"/>
      <c r="BN542" s="102"/>
      <c r="BO542" s="102"/>
      <c r="BP542" s="102"/>
      <c r="BQ542" s="102"/>
      <c r="BR542" s="102"/>
      <c r="BS542" s="102"/>
      <c r="BT542" s="102"/>
      <c r="BU542" s="102"/>
      <c r="BV542" s="102"/>
      <c r="BW542" s="102"/>
      <c r="BX542" s="102"/>
      <c r="BY542" s="102"/>
      <c r="BZ542" s="102"/>
      <c r="CA542" s="464"/>
      <c r="CB542" s="102"/>
      <c r="CC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474">
        <v>540.0</v>
      </c>
      <c r="AB543" s="474">
        <f t="shared" si="10"/>
        <v>545</v>
      </c>
      <c r="AC543" s="476">
        <f t="shared" si="11"/>
        <v>723</v>
      </c>
      <c r="AD543" s="474">
        <f t="shared" si="12"/>
        <v>901</v>
      </c>
      <c r="AE543" s="474">
        <f t="shared" si="13"/>
        <v>594</v>
      </c>
      <c r="AF543" s="474">
        <f t="shared" si="14"/>
        <v>723</v>
      </c>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c r="BC543" s="102"/>
      <c r="BD543" s="102"/>
      <c r="BE543" s="102"/>
      <c r="BF543" s="102"/>
      <c r="BG543" s="102"/>
      <c r="BH543" s="102"/>
      <c r="BI543" s="102"/>
      <c r="BJ543" s="102"/>
      <c r="BK543" s="102"/>
      <c r="BL543" s="102"/>
      <c r="BM543" s="102"/>
      <c r="BN543" s="102"/>
      <c r="BO543" s="102"/>
      <c r="BP543" s="102"/>
      <c r="BQ543" s="102"/>
      <c r="BR543" s="102"/>
      <c r="BS543" s="102"/>
      <c r="BT543" s="102"/>
      <c r="BU543" s="102"/>
      <c r="BV543" s="102"/>
      <c r="BW543" s="102"/>
      <c r="BX543" s="102"/>
      <c r="BY543" s="102"/>
      <c r="BZ543" s="102"/>
      <c r="CA543" s="464"/>
      <c r="CB543" s="102"/>
      <c r="CC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474">
        <v>541.0</v>
      </c>
      <c r="AB544" s="474">
        <f t="shared" si="10"/>
        <v>546</v>
      </c>
      <c r="AC544" s="476">
        <f t="shared" si="11"/>
        <v>724</v>
      </c>
      <c r="AD544" s="474">
        <f t="shared" si="12"/>
        <v>903</v>
      </c>
      <c r="AE544" s="474">
        <f t="shared" si="13"/>
        <v>596</v>
      </c>
      <c r="AF544" s="474">
        <f t="shared" si="14"/>
        <v>724</v>
      </c>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c r="BC544" s="102"/>
      <c r="BD544" s="102"/>
      <c r="BE544" s="102"/>
      <c r="BF544" s="102"/>
      <c r="BG544" s="102"/>
      <c r="BH544" s="102"/>
      <c r="BI544" s="102"/>
      <c r="BJ544" s="102"/>
      <c r="BK544" s="102"/>
      <c r="BL544" s="102"/>
      <c r="BM544" s="102"/>
      <c r="BN544" s="102"/>
      <c r="BO544" s="102"/>
      <c r="BP544" s="102"/>
      <c r="BQ544" s="102"/>
      <c r="BR544" s="102"/>
      <c r="BS544" s="102"/>
      <c r="BT544" s="102"/>
      <c r="BU544" s="102"/>
      <c r="BV544" s="102"/>
      <c r="BW544" s="102"/>
      <c r="BX544" s="102"/>
      <c r="BY544" s="102"/>
      <c r="BZ544" s="102"/>
      <c r="CA544" s="464"/>
      <c r="CB544" s="102"/>
      <c r="CC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474">
        <v>542.0</v>
      </c>
      <c r="AB545" s="474">
        <f t="shared" si="10"/>
        <v>547</v>
      </c>
      <c r="AC545" s="476">
        <f t="shared" si="11"/>
        <v>726</v>
      </c>
      <c r="AD545" s="474">
        <f t="shared" si="12"/>
        <v>905</v>
      </c>
      <c r="AE545" s="474">
        <f t="shared" si="13"/>
        <v>597</v>
      </c>
      <c r="AF545" s="474">
        <f t="shared" si="14"/>
        <v>726</v>
      </c>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c r="BC545" s="102"/>
      <c r="BD545" s="102"/>
      <c r="BE545" s="102"/>
      <c r="BF545" s="102"/>
      <c r="BG545" s="102"/>
      <c r="BH545" s="102"/>
      <c r="BI545" s="102"/>
      <c r="BJ545" s="102"/>
      <c r="BK545" s="102"/>
      <c r="BL545" s="102"/>
      <c r="BM545" s="102"/>
      <c r="BN545" s="102"/>
      <c r="BO545" s="102"/>
      <c r="BP545" s="102"/>
      <c r="BQ545" s="102"/>
      <c r="BR545" s="102"/>
      <c r="BS545" s="102"/>
      <c r="BT545" s="102"/>
      <c r="BU545" s="102"/>
      <c r="BV545" s="102"/>
      <c r="BW545" s="102"/>
      <c r="BX545" s="102"/>
      <c r="BY545" s="102"/>
      <c r="BZ545" s="102"/>
      <c r="CA545" s="464"/>
      <c r="CB545" s="102"/>
      <c r="CC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474">
        <v>543.0</v>
      </c>
      <c r="AB546" s="474">
        <f t="shared" si="10"/>
        <v>548</v>
      </c>
      <c r="AC546" s="476">
        <f t="shared" si="11"/>
        <v>727</v>
      </c>
      <c r="AD546" s="474">
        <f t="shared" si="12"/>
        <v>906</v>
      </c>
      <c r="AE546" s="474">
        <f t="shared" si="13"/>
        <v>598</v>
      </c>
      <c r="AF546" s="474">
        <f t="shared" si="14"/>
        <v>727</v>
      </c>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c r="BC546" s="102"/>
      <c r="BD546" s="102"/>
      <c r="BE546" s="102"/>
      <c r="BF546" s="102"/>
      <c r="BG546" s="102"/>
      <c r="BH546" s="102"/>
      <c r="BI546" s="102"/>
      <c r="BJ546" s="102"/>
      <c r="BK546" s="102"/>
      <c r="BL546" s="102"/>
      <c r="BM546" s="102"/>
      <c r="BN546" s="102"/>
      <c r="BO546" s="102"/>
      <c r="BP546" s="102"/>
      <c r="BQ546" s="102"/>
      <c r="BR546" s="102"/>
      <c r="BS546" s="102"/>
      <c r="BT546" s="102"/>
      <c r="BU546" s="102"/>
      <c r="BV546" s="102"/>
      <c r="BW546" s="102"/>
      <c r="BX546" s="102"/>
      <c r="BY546" s="102"/>
      <c r="BZ546" s="102"/>
      <c r="CA546" s="464"/>
      <c r="CB546" s="102"/>
      <c r="CC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474">
        <v>544.0</v>
      </c>
      <c r="AB547" s="474">
        <f t="shared" si="10"/>
        <v>549</v>
      </c>
      <c r="AC547" s="476">
        <f t="shared" si="11"/>
        <v>728</v>
      </c>
      <c r="AD547" s="474">
        <f t="shared" si="12"/>
        <v>908</v>
      </c>
      <c r="AE547" s="474">
        <f t="shared" si="13"/>
        <v>599</v>
      </c>
      <c r="AF547" s="474">
        <f t="shared" si="14"/>
        <v>728</v>
      </c>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c r="BC547" s="102"/>
      <c r="BD547" s="102"/>
      <c r="BE547" s="102"/>
      <c r="BF547" s="102"/>
      <c r="BG547" s="102"/>
      <c r="BH547" s="102"/>
      <c r="BI547" s="102"/>
      <c r="BJ547" s="102"/>
      <c r="BK547" s="102"/>
      <c r="BL547" s="102"/>
      <c r="BM547" s="102"/>
      <c r="BN547" s="102"/>
      <c r="BO547" s="102"/>
      <c r="BP547" s="102"/>
      <c r="BQ547" s="102"/>
      <c r="BR547" s="102"/>
      <c r="BS547" s="102"/>
      <c r="BT547" s="102"/>
      <c r="BU547" s="102"/>
      <c r="BV547" s="102"/>
      <c r="BW547" s="102"/>
      <c r="BX547" s="102"/>
      <c r="BY547" s="102"/>
      <c r="BZ547" s="102"/>
      <c r="CA547" s="464"/>
      <c r="CB547" s="102"/>
      <c r="CC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474">
        <v>545.0</v>
      </c>
      <c r="AB548" s="474">
        <f t="shared" si="10"/>
        <v>550</v>
      </c>
      <c r="AC548" s="476">
        <f t="shared" si="11"/>
        <v>730</v>
      </c>
      <c r="AD548" s="474">
        <f t="shared" si="12"/>
        <v>910</v>
      </c>
      <c r="AE548" s="474">
        <f t="shared" si="13"/>
        <v>600</v>
      </c>
      <c r="AF548" s="474">
        <f t="shared" si="14"/>
        <v>730</v>
      </c>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c r="BC548" s="102"/>
      <c r="BD548" s="102"/>
      <c r="BE548" s="102"/>
      <c r="BF548" s="102"/>
      <c r="BG548" s="102"/>
      <c r="BH548" s="102"/>
      <c r="BI548" s="102"/>
      <c r="BJ548" s="102"/>
      <c r="BK548" s="102"/>
      <c r="BL548" s="102"/>
      <c r="BM548" s="102"/>
      <c r="BN548" s="102"/>
      <c r="BO548" s="102"/>
      <c r="BP548" s="102"/>
      <c r="BQ548" s="102"/>
      <c r="BR548" s="102"/>
      <c r="BS548" s="102"/>
      <c r="BT548" s="102"/>
      <c r="BU548" s="102"/>
      <c r="BV548" s="102"/>
      <c r="BW548" s="102"/>
      <c r="BX548" s="102"/>
      <c r="BY548" s="102"/>
      <c r="BZ548" s="102"/>
      <c r="CA548" s="464"/>
      <c r="CB548" s="102"/>
      <c r="CC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474">
        <v>546.0</v>
      </c>
      <c r="AB549" s="474">
        <f t="shared" si="10"/>
        <v>551</v>
      </c>
      <c r="AC549" s="476">
        <f t="shared" si="11"/>
        <v>731</v>
      </c>
      <c r="AD549" s="474">
        <f t="shared" si="12"/>
        <v>911</v>
      </c>
      <c r="AE549" s="474">
        <f t="shared" si="13"/>
        <v>601</v>
      </c>
      <c r="AF549" s="474">
        <f t="shared" si="14"/>
        <v>731</v>
      </c>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c r="BC549" s="102"/>
      <c r="BD549" s="102"/>
      <c r="BE549" s="102"/>
      <c r="BF549" s="102"/>
      <c r="BG549" s="102"/>
      <c r="BH549" s="102"/>
      <c r="BI549" s="102"/>
      <c r="BJ549" s="102"/>
      <c r="BK549" s="102"/>
      <c r="BL549" s="102"/>
      <c r="BM549" s="102"/>
      <c r="BN549" s="102"/>
      <c r="BO549" s="102"/>
      <c r="BP549" s="102"/>
      <c r="BQ549" s="102"/>
      <c r="BR549" s="102"/>
      <c r="BS549" s="102"/>
      <c r="BT549" s="102"/>
      <c r="BU549" s="102"/>
      <c r="BV549" s="102"/>
      <c r="BW549" s="102"/>
      <c r="BX549" s="102"/>
      <c r="BY549" s="102"/>
      <c r="BZ549" s="102"/>
      <c r="CA549" s="464"/>
      <c r="CB549" s="102"/>
      <c r="CC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474">
        <v>547.0</v>
      </c>
      <c r="AB550" s="474">
        <f t="shared" si="10"/>
        <v>552</v>
      </c>
      <c r="AC550" s="476">
        <f t="shared" si="11"/>
        <v>732</v>
      </c>
      <c r="AD550" s="474">
        <f t="shared" si="12"/>
        <v>913</v>
      </c>
      <c r="AE550" s="474">
        <f t="shared" si="13"/>
        <v>602</v>
      </c>
      <c r="AF550" s="474">
        <f t="shared" si="14"/>
        <v>732</v>
      </c>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464"/>
      <c r="CB550" s="102"/>
      <c r="CC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474">
        <v>548.0</v>
      </c>
      <c r="AB551" s="474">
        <f t="shared" si="10"/>
        <v>553</v>
      </c>
      <c r="AC551" s="476">
        <f t="shared" si="11"/>
        <v>734</v>
      </c>
      <c r="AD551" s="474">
        <f t="shared" si="12"/>
        <v>915</v>
      </c>
      <c r="AE551" s="474">
        <f t="shared" si="13"/>
        <v>603</v>
      </c>
      <c r="AF551" s="474">
        <f t="shared" si="14"/>
        <v>734</v>
      </c>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c r="BC551" s="102"/>
      <c r="BD551" s="102"/>
      <c r="BE551" s="102"/>
      <c r="BF551" s="102"/>
      <c r="BG551" s="102"/>
      <c r="BH551" s="102"/>
      <c r="BI551" s="102"/>
      <c r="BJ551" s="102"/>
      <c r="BK551" s="102"/>
      <c r="BL551" s="102"/>
      <c r="BM551" s="102"/>
      <c r="BN551" s="102"/>
      <c r="BO551" s="102"/>
      <c r="BP551" s="102"/>
      <c r="BQ551" s="102"/>
      <c r="BR551" s="102"/>
      <c r="BS551" s="102"/>
      <c r="BT551" s="102"/>
      <c r="BU551" s="102"/>
      <c r="BV551" s="102"/>
      <c r="BW551" s="102"/>
      <c r="BX551" s="102"/>
      <c r="BY551" s="102"/>
      <c r="BZ551" s="102"/>
      <c r="CA551" s="464"/>
      <c r="CB551" s="102"/>
      <c r="CC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474">
        <v>549.0</v>
      </c>
      <c r="AB552" s="474">
        <f t="shared" si="10"/>
        <v>554</v>
      </c>
      <c r="AC552" s="476">
        <f t="shared" si="11"/>
        <v>735</v>
      </c>
      <c r="AD552" s="474">
        <f t="shared" si="12"/>
        <v>916</v>
      </c>
      <c r="AE552" s="474">
        <f t="shared" si="13"/>
        <v>604</v>
      </c>
      <c r="AF552" s="474">
        <f t="shared" si="14"/>
        <v>735</v>
      </c>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c r="BC552" s="102"/>
      <c r="BD552" s="102"/>
      <c r="BE552" s="102"/>
      <c r="BF552" s="102"/>
      <c r="BG552" s="102"/>
      <c r="BH552" s="102"/>
      <c r="BI552" s="102"/>
      <c r="BJ552" s="102"/>
      <c r="BK552" s="102"/>
      <c r="BL552" s="102"/>
      <c r="BM552" s="102"/>
      <c r="BN552" s="102"/>
      <c r="BO552" s="102"/>
      <c r="BP552" s="102"/>
      <c r="BQ552" s="102"/>
      <c r="BR552" s="102"/>
      <c r="BS552" s="102"/>
      <c r="BT552" s="102"/>
      <c r="BU552" s="102"/>
      <c r="BV552" s="102"/>
      <c r="BW552" s="102"/>
      <c r="BX552" s="102"/>
      <c r="BY552" s="102"/>
      <c r="BZ552" s="102"/>
      <c r="CA552" s="464"/>
      <c r="CB552" s="102"/>
      <c r="CC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474">
        <v>550.0</v>
      </c>
      <c r="AB553" s="474">
        <f t="shared" si="10"/>
        <v>555</v>
      </c>
      <c r="AC553" s="476">
        <f t="shared" si="11"/>
        <v>737</v>
      </c>
      <c r="AD553" s="474">
        <f t="shared" si="12"/>
        <v>918</v>
      </c>
      <c r="AE553" s="474">
        <f t="shared" si="13"/>
        <v>605</v>
      </c>
      <c r="AF553" s="474">
        <f t="shared" si="14"/>
        <v>737</v>
      </c>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c r="BC553" s="102"/>
      <c r="BD553" s="102"/>
      <c r="BE553" s="102"/>
      <c r="BF553" s="102"/>
      <c r="BG553" s="102"/>
      <c r="BH553" s="102"/>
      <c r="BI553" s="102"/>
      <c r="BJ553" s="102"/>
      <c r="BK553" s="102"/>
      <c r="BL553" s="102"/>
      <c r="BM553" s="102"/>
      <c r="BN553" s="102"/>
      <c r="BO553" s="102"/>
      <c r="BP553" s="102"/>
      <c r="BQ553" s="102"/>
      <c r="BR553" s="102"/>
      <c r="BS553" s="102"/>
      <c r="BT553" s="102"/>
      <c r="BU553" s="102"/>
      <c r="BV553" s="102"/>
      <c r="BW553" s="102"/>
      <c r="BX553" s="102"/>
      <c r="BY553" s="102"/>
      <c r="BZ553" s="102"/>
      <c r="CA553" s="464"/>
      <c r="CB553" s="102"/>
      <c r="CC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474">
        <v>551.0</v>
      </c>
      <c r="AB554" s="474">
        <f t="shared" si="10"/>
        <v>556</v>
      </c>
      <c r="AC554" s="476">
        <f t="shared" si="11"/>
        <v>738</v>
      </c>
      <c r="AD554" s="474">
        <f t="shared" si="12"/>
        <v>920</v>
      </c>
      <c r="AE554" s="474">
        <f t="shared" si="13"/>
        <v>607</v>
      </c>
      <c r="AF554" s="474">
        <f t="shared" si="14"/>
        <v>738</v>
      </c>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102"/>
      <c r="BK554" s="102"/>
      <c r="BL554" s="102"/>
      <c r="BM554" s="102"/>
      <c r="BN554" s="102"/>
      <c r="BO554" s="102"/>
      <c r="BP554" s="102"/>
      <c r="BQ554" s="102"/>
      <c r="BR554" s="102"/>
      <c r="BS554" s="102"/>
      <c r="BT554" s="102"/>
      <c r="BU554" s="102"/>
      <c r="BV554" s="102"/>
      <c r="BW554" s="102"/>
      <c r="BX554" s="102"/>
      <c r="BY554" s="102"/>
      <c r="BZ554" s="102"/>
      <c r="CA554" s="464"/>
      <c r="CB554" s="102"/>
      <c r="CC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474">
        <v>552.0</v>
      </c>
      <c r="AB555" s="474">
        <f t="shared" si="10"/>
        <v>557</v>
      </c>
      <c r="AC555" s="476">
        <f t="shared" si="11"/>
        <v>739</v>
      </c>
      <c r="AD555" s="474">
        <f t="shared" si="12"/>
        <v>921</v>
      </c>
      <c r="AE555" s="474">
        <f t="shared" si="13"/>
        <v>608</v>
      </c>
      <c r="AF555" s="474">
        <f t="shared" si="14"/>
        <v>739</v>
      </c>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c r="BC555" s="102"/>
      <c r="BD555" s="102"/>
      <c r="BE555" s="102"/>
      <c r="BF555" s="102"/>
      <c r="BG555" s="102"/>
      <c r="BH555" s="102"/>
      <c r="BI555" s="102"/>
      <c r="BJ555" s="102"/>
      <c r="BK555" s="102"/>
      <c r="BL555" s="102"/>
      <c r="BM555" s="102"/>
      <c r="BN555" s="102"/>
      <c r="BO555" s="102"/>
      <c r="BP555" s="102"/>
      <c r="BQ555" s="102"/>
      <c r="BR555" s="102"/>
      <c r="BS555" s="102"/>
      <c r="BT555" s="102"/>
      <c r="BU555" s="102"/>
      <c r="BV555" s="102"/>
      <c r="BW555" s="102"/>
      <c r="BX555" s="102"/>
      <c r="BY555" s="102"/>
      <c r="BZ555" s="102"/>
      <c r="CA555" s="464"/>
      <c r="CB555" s="102"/>
      <c r="CC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474">
        <v>553.0</v>
      </c>
      <c r="AB556" s="474">
        <f t="shared" si="10"/>
        <v>558</v>
      </c>
      <c r="AC556" s="476">
        <f t="shared" si="11"/>
        <v>741</v>
      </c>
      <c r="AD556" s="474">
        <f t="shared" si="12"/>
        <v>923</v>
      </c>
      <c r="AE556" s="474">
        <f t="shared" si="13"/>
        <v>609</v>
      </c>
      <c r="AF556" s="474">
        <f t="shared" si="14"/>
        <v>741</v>
      </c>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c r="BC556" s="102"/>
      <c r="BD556" s="102"/>
      <c r="BE556" s="102"/>
      <c r="BF556" s="102"/>
      <c r="BG556" s="102"/>
      <c r="BH556" s="102"/>
      <c r="BI556" s="102"/>
      <c r="BJ556" s="102"/>
      <c r="BK556" s="102"/>
      <c r="BL556" s="102"/>
      <c r="BM556" s="102"/>
      <c r="BN556" s="102"/>
      <c r="BO556" s="102"/>
      <c r="BP556" s="102"/>
      <c r="BQ556" s="102"/>
      <c r="BR556" s="102"/>
      <c r="BS556" s="102"/>
      <c r="BT556" s="102"/>
      <c r="BU556" s="102"/>
      <c r="BV556" s="102"/>
      <c r="BW556" s="102"/>
      <c r="BX556" s="102"/>
      <c r="BY556" s="102"/>
      <c r="BZ556" s="102"/>
      <c r="CA556" s="464"/>
      <c r="CB556" s="102"/>
      <c r="CC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474">
        <v>554.0</v>
      </c>
      <c r="AB557" s="474">
        <f t="shared" si="10"/>
        <v>559</v>
      </c>
      <c r="AC557" s="476">
        <f t="shared" si="11"/>
        <v>742</v>
      </c>
      <c r="AD557" s="474">
        <f t="shared" si="12"/>
        <v>925</v>
      </c>
      <c r="AE557" s="474">
        <f t="shared" si="13"/>
        <v>610</v>
      </c>
      <c r="AF557" s="474">
        <f t="shared" si="14"/>
        <v>742</v>
      </c>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c r="BC557" s="102"/>
      <c r="BD557" s="102"/>
      <c r="BE557" s="102"/>
      <c r="BF557" s="102"/>
      <c r="BG557" s="102"/>
      <c r="BH557" s="102"/>
      <c r="BI557" s="102"/>
      <c r="BJ557" s="102"/>
      <c r="BK557" s="102"/>
      <c r="BL557" s="102"/>
      <c r="BM557" s="102"/>
      <c r="BN557" s="102"/>
      <c r="BO557" s="102"/>
      <c r="BP557" s="102"/>
      <c r="BQ557" s="102"/>
      <c r="BR557" s="102"/>
      <c r="BS557" s="102"/>
      <c r="BT557" s="102"/>
      <c r="BU557" s="102"/>
      <c r="BV557" s="102"/>
      <c r="BW557" s="102"/>
      <c r="BX557" s="102"/>
      <c r="BY557" s="102"/>
      <c r="BZ557" s="102"/>
      <c r="CA557" s="464"/>
      <c r="CB557" s="102"/>
      <c r="CC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474">
        <v>555.0</v>
      </c>
      <c r="AB558" s="474">
        <f t="shared" si="10"/>
        <v>560</v>
      </c>
      <c r="AC558" s="476">
        <f t="shared" si="11"/>
        <v>743</v>
      </c>
      <c r="AD558" s="474">
        <f t="shared" si="12"/>
        <v>926</v>
      </c>
      <c r="AE558" s="474">
        <f t="shared" si="13"/>
        <v>611</v>
      </c>
      <c r="AF558" s="474">
        <f t="shared" si="14"/>
        <v>743</v>
      </c>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c r="BC558" s="102"/>
      <c r="BD558" s="102"/>
      <c r="BE558" s="102"/>
      <c r="BF558" s="102"/>
      <c r="BG558" s="102"/>
      <c r="BH558" s="102"/>
      <c r="BI558" s="102"/>
      <c r="BJ558" s="102"/>
      <c r="BK558" s="102"/>
      <c r="BL558" s="102"/>
      <c r="BM558" s="102"/>
      <c r="BN558" s="102"/>
      <c r="BO558" s="102"/>
      <c r="BP558" s="102"/>
      <c r="BQ558" s="102"/>
      <c r="BR558" s="102"/>
      <c r="BS558" s="102"/>
      <c r="BT558" s="102"/>
      <c r="BU558" s="102"/>
      <c r="BV558" s="102"/>
      <c r="BW558" s="102"/>
      <c r="BX558" s="102"/>
      <c r="BY558" s="102"/>
      <c r="BZ558" s="102"/>
      <c r="CA558" s="464"/>
      <c r="CB558" s="102"/>
      <c r="CC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474">
        <v>556.0</v>
      </c>
      <c r="AB559" s="474">
        <f t="shared" si="10"/>
        <v>561</v>
      </c>
      <c r="AC559" s="476">
        <f t="shared" si="11"/>
        <v>745</v>
      </c>
      <c r="AD559" s="474">
        <f t="shared" si="12"/>
        <v>928</v>
      </c>
      <c r="AE559" s="474">
        <f t="shared" si="13"/>
        <v>612</v>
      </c>
      <c r="AF559" s="474">
        <f t="shared" si="14"/>
        <v>745</v>
      </c>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c r="BC559" s="102"/>
      <c r="BD559" s="102"/>
      <c r="BE559" s="102"/>
      <c r="BF559" s="102"/>
      <c r="BG559" s="102"/>
      <c r="BH559" s="102"/>
      <c r="BI559" s="102"/>
      <c r="BJ559" s="102"/>
      <c r="BK559" s="102"/>
      <c r="BL559" s="102"/>
      <c r="BM559" s="102"/>
      <c r="BN559" s="102"/>
      <c r="BO559" s="102"/>
      <c r="BP559" s="102"/>
      <c r="BQ559" s="102"/>
      <c r="BR559" s="102"/>
      <c r="BS559" s="102"/>
      <c r="BT559" s="102"/>
      <c r="BU559" s="102"/>
      <c r="BV559" s="102"/>
      <c r="BW559" s="102"/>
      <c r="BX559" s="102"/>
      <c r="BY559" s="102"/>
      <c r="BZ559" s="102"/>
      <c r="CA559" s="464"/>
      <c r="CB559" s="102"/>
      <c r="CC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474">
        <v>557.0</v>
      </c>
      <c r="AB560" s="474">
        <f t="shared" si="10"/>
        <v>562</v>
      </c>
      <c r="AC560" s="476">
        <f t="shared" si="11"/>
        <v>746</v>
      </c>
      <c r="AD560" s="474">
        <f t="shared" si="12"/>
        <v>930</v>
      </c>
      <c r="AE560" s="474">
        <f t="shared" si="13"/>
        <v>613</v>
      </c>
      <c r="AF560" s="474">
        <f t="shared" si="14"/>
        <v>746</v>
      </c>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c r="BC560" s="102"/>
      <c r="BD560" s="102"/>
      <c r="BE560" s="102"/>
      <c r="BF560" s="102"/>
      <c r="BG560" s="102"/>
      <c r="BH560" s="102"/>
      <c r="BI560" s="102"/>
      <c r="BJ560" s="102"/>
      <c r="BK560" s="102"/>
      <c r="BL560" s="102"/>
      <c r="BM560" s="102"/>
      <c r="BN560" s="102"/>
      <c r="BO560" s="102"/>
      <c r="BP560" s="102"/>
      <c r="BQ560" s="102"/>
      <c r="BR560" s="102"/>
      <c r="BS560" s="102"/>
      <c r="BT560" s="102"/>
      <c r="BU560" s="102"/>
      <c r="BV560" s="102"/>
      <c r="BW560" s="102"/>
      <c r="BX560" s="102"/>
      <c r="BY560" s="102"/>
      <c r="BZ560" s="102"/>
      <c r="CA560" s="464"/>
      <c r="CB560" s="102"/>
      <c r="CC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474">
        <v>558.0</v>
      </c>
      <c r="AB561" s="474">
        <f t="shared" si="10"/>
        <v>563</v>
      </c>
      <c r="AC561" s="476">
        <f t="shared" si="11"/>
        <v>747</v>
      </c>
      <c r="AD561" s="474">
        <f t="shared" si="12"/>
        <v>931</v>
      </c>
      <c r="AE561" s="474">
        <f t="shared" si="13"/>
        <v>614</v>
      </c>
      <c r="AF561" s="474">
        <f t="shared" si="14"/>
        <v>747</v>
      </c>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c r="BC561" s="102"/>
      <c r="BD561" s="102"/>
      <c r="BE561" s="102"/>
      <c r="BF561" s="102"/>
      <c r="BG561" s="102"/>
      <c r="BH561" s="102"/>
      <c r="BI561" s="102"/>
      <c r="BJ561" s="102"/>
      <c r="BK561" s="102"/>
      <c r="BL561" s="102"/>
      <c r="BM561" s="102"/>
      <c r="BN561" s="102"/>
      <c r="BO561" s="102"/>
      <c r="BP561" s="102"/>
      <c r="BQ561" s="102"/>
      <c r="BR561" s="102"/>
      <c r="BS561" s="102"/>
      <c r="BT561" s="102"/>
      <c r="BU561" s="102"/>
      <c r="BV561" s="102"/>
      <c r="BW561" s="102"/>
      <c r="BX561" s="102"/>
      <c r="BY561" s="102"/>
      <c r="BZ561" s="102"/>
      <c r="CA561" s="464"/>
      <c r="CB561" s="102"/>
      <c r="CC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474">
        <v>559.0</v>
      </c>
      <c r="AB562" s="474">
        <f t="shared" si="10"/>
        <v>564</v>
      </c>
      <c r="AC562" s="476">
        <f t="shared" si="11"/>
        <v>749</v>
      </c>
      <c r="AD562" s="474">
        <f t="shared" si="12"/>
        <v>933</v>
      </c>
      <c r="AE562" s="474">
        <f t="shared" si="13"/>
        <v>615</v>
      </c>
      <c r="AF562" s="474">
        <f t="shared" si="14"/>
        <v>749</v>
      </c>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c r="BC562" s="102"/>
      <c r="BD562" s="102"/>
      <c r="BE562" s="102"/>
      <c r="BF562" s="102"/>
      <c r="BG562" s="102"/>
      <c r="BH562" s="102"/>
      <c r="BI562" s="102"/>
      <c r="BJ562" s="102"/>
      <c r="BK562" s="102"/>
      <c r="BL562" s="102"/>
      <c r="BM562" s="102"/>
      <c r="BN562" s="102"/>
      <c r="BO562" s="102"/>
      <c r="BP562" s="102"/>
      <c r="BQ562" s="102"/>
      <c r="BR562" s="102"/>
      <c r="BS562" s="102"/>
      <c r="BT562" s="102"/>
      <c r="BU562" s="102"/>
      <c r="BV562" s="102"/>
      <c r="BW562" s="102"/>
      <c r="BX562" s="102"/>
      <c r="BY562" s="102"/>
      <c r="BZ562" s="102"/>
      <c r="CA562" s="464"/>
      <c r="CB562" s="102"/>
      <c r="CC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474">
        <v>560.0</v>
      </c>
      <c r="AB563" s="474">
        <f t="shared" si="10"/>
        <v>565</v>
      </c>
      <c r="AC563" s="476">
        <f t="shared" si="11"/>
        <v>750</v>
      </c>
      <c r="AD563" s="474">
        <f t="shared" si="12"/>
        <v>935</v>
      </c>
      <c r="AE563" s="474">
        <f t="shared" si="13"/>
        <v>616</v>
      </c>
      <c r="AF563" s="474">
        <f t="shared" si="14"/>
        <v>750</v>
      </c>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c r="BC563" s="102"/>
      <c r="BD563" s="102"/>
      <c r="BE563" s="102"/>
      <c r="BF563" s="102"/>
      <c r="BG563" s="102"/>
      <c r="BH563" s="102"/>
      <c r="BI563" s="102"/>
      <c r="BJ563" s="102"/>
      <c r="BK563" s="102"/>
      <c r="BL563" s="102"/>
      <c r="BM563" s="102"/>
      <c r="BN563" s="102"/>
      <c r="BO563" s="102"/>
      <c r="BP563" s="102"/>
      <c r="BQ563" s="102"/>
      <c r="BR563" s="102"/>
      <c r="BS563" s="102"/>
      <c r="BT563" s="102"/>
      <c r="BU563" s="102"/>
      <c r="BV563" s="102"/>
      <c r="BW563" s="102"/>
      <c r="BX563" s="102"/>
      <c r="BY563" s="102"/>
      <c r="BZ563" s="102"/>
      <c r="CA563" s="464"/>
      <c r="CB563" s="102"/>
      <c r="CC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474">
        <v>561.0</v>
      </c>
      <c r="AB564" s="474">
        <f t="shared" si="10"/>
        <v>566</v>
      </c>
      <c r="AC564" s="476">
        <f t="shared" si="11"/>
        <v>751</v>
      </c>
      <c r="AD564" s="474">
        <f t="shared" si="12"/>
        <v>936</v>
      </c>
      <c r="AE564" s="474">
        <f t="shared" si="13"/>
        <v>618</v>
      </c>
      <c r="AF564" s="474">
        <f t="shared" si="14"/>
        <v>751</v>
      </c>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c r="BC564" s="102"/>
      <c r="BD564" s="102"/>
      <c r="BE564" s="102"/>
      <c r="BF564" s="102"/>
      <c r="BG564" s="102"/>
      <c r="BH564" s="102"/>
      <c r="BI564" s="102"/>
      <c r="BJ564" s="102"/>
      <c r="BK564" s="102"/>
      <c r="BL564" s="102"/>
      <c r="BM564" s="102"/>
      <c r="BN564" s="102"/>
      <c r="BO564" s="102"/>
      <c r="BP564" s="102"/>
      <c r="BQ564" s="102"/>
      <c r="BR564" s="102"/>
      <c r="BS564" s="102"/>
      <c r="BT564" s="102"/>
      <c r="BU564" s="102"/>
      <c r="BV564" s="102"/>
      <c r="BW564" s="102"/>
      <c r="BX564" s="102"/>
      <c r="BY564" s="102"/>
      <c r="BZ564" s="102"/>
      <c r="CA564" s="464"/>
      <c r="CB564" s="102"/>
      <c r="CC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474">
        <v>562.0</v>
      </c>
      <c r="AB565" s="474">
        <f t="shared" si="10"/>
        <v>567</v>
      </c>
      <c r="AC565" s="476">
        <f t="shared" si="11"/>
        <v>753</v>
      </c>
      <c r="AD565" s="474">
        <f t="shared" si="12"/>
        <v>938</v>
      </c>
      <c r="AE565" s="474">
        <f t="shared" si="13"/>
        <v>619</v>
      </c>
      <c r="AF565" s="474">
        <f t="shared" si="14"/>
        <v>753</v>
      </c>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c r="BC565" s="102"/>
      <c r="BD565" s="102"/>
      <c r="BE565" s="102"/>
      <c r="BF565" s="102"/>
      <c r="BG565" s="102"/>
      <c r="BH565" s="102"/>
      <c r="BI565" s="102"/>
      <c r="BJ565" s="102"/>
      <c r="BK565" s="102"/>
      <c r="BL565" s="102"/>
      <c r="BM565" s="102"/>
      <c r="BN565" s="102"/>
      <c r="BO565" s="102"/>
      <c r="BP565" s="102"/>
      <c r="BQ565" s="102"/>
      <c r="BR565" s="102"/>
      <c r="BS565" s="102"/>
      <c r="BT565" s="102"/>
      <c r="BU565" s="102"/>
      <c r="BV565" s="102"/>
      <c r="BW565" s="102"/>
      <c r="BX565" s="102"/>
      <c r="BY565" s="102"/>
      <c r="BZ565" s="102"/>
      <c r="CA565" s="464"/>
      <c r="CB565" s="102"/>
      <c r="CC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474">
        <v>563.0</v>
      </c>
      <c r="AB566" s="474">
        <f t="shared" si="10"/>
        <v>568</v>
      </c>
      <c r="AC566" s="476">
        <f t="shared" si="11"/>
        <v>754</v>
      </c>
      <c r="AD566" s="474">
        <f t="shared" si="12"/>
        <v>940</v>
      </c>
      <c r="AE566" s="474">
        <f t="shared" si="13"/>
        <v>620</v>
      </c>
      <c r="AF566" s="474">
        <f t="shared" si="14"/>
        <v>754</v>
      </c>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c r="BC566" s="102"/>
      <c r="BD566" s="102"/>
      <c r="BE566" s="102"/>
      <c r="BF566" s="102"/>
      <c r="BG566" s="102"/>
      <c r="BH566" s="102"/>
      <c r="BI566" s="102"/>
      <c r="BJ566" s="102"/>
      <c r="BK566" s="102"/>
      <c r="BL566" s="102"/>
      <c r="BM566" s="102"/>
      <c r="BN566" s="102"/>
      <c r="BO566" s="102"/>
      <c r="BP566" s="102"/>
      <c r="BQ566" s="102"/>
      <c r="BR566" s="102"/>
      <c r="BS566" s="102"/>
      <c r="BT566" s="102"/>
      <c r="BU566" s="102"/>
      <c r="BV566" s="102"/>
      <c r="BW566" s="102"/>
      <c r="BX566" s="102"/>
      <c r="BY566" s="102"/>
      <c r="BZ566" s="102"/>
      <c r="CA566" s="464"/>
      <c r="CB566" s="102"/>
      <c r="CC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474">
        <v>564.0</v>
      </c>
      <c r="AB567" s="474">
        <f t="shared" si="10"/>
        <v>569</v>
      </c>
      <c r="AC567" s="476">
        <f t="shared" si="11"/>
        <v>755</v>
      </c>
      <c r="AD567" s="474">
        <f t="shared" si="12"/>
        <v>941</v>
      </c>
      <c r="AE567" s="474">
        <f t="shared" si="13"/>
        <v>621</v>
      </c>
      <c r="AF567" s="474">
        <f t="shared" si="14"/>
        <v>755</v>
      </c>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c r="BC567" s="102"/>
      <c r="BD567" s="102"/>
      <c r="BE567" s="102"/>
      <c r="BF567" s="102"/>
      <c r="BG567" s="102"/>
      <c r="BH567" s="102"/>
      <c r="BI567" s="102"/>
      <c r="BJ567" s="102"/>
      <c r="BK567" s="102"/>
      <c r="BL567" s="102"/>
      <c r="BM567" s="102"/>
      <c r="BN567" s="102"/>
      <c r="BO567" s="102"/>
      <c r="BP567" s="102"/>
      <c r="BQ567" s="102"/>
      <c r="BR567" s="102"/>
      <c r="BS567" s="102"/>
      <c r="BT567" s="102"/>
      <c r="BU567" s="102"/>
      <c r="BV567" s="102"/>
      <c r="BW567" s="102"/>
      <c r="BX567" s="102"/>
      <c r="BY567" s="102"/>
      <c r="BZ567" s="102"/>
      <c r="CA567" s="464"/>
      <c r="CB567" s="102"/>
      <c r="CC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474">
        <v>565.0</v>
      </c>
      <c r="AB568" s="474">
        <f t="shared" si="10"/>
        <v>570</v>
      </c>
      <c r="AC568" s="476">
        <f t="shared" si="11"/>
        <v>757</v>
      </c>
      <c r="AD568" s="474">
        <f t="shared" si="12"/>
        <v>943</v>
      </c>
      <c r="AE568" s="474">
        <f t="shared" si="13"/>
        <v>622</v>
      </c>
      <c r="AF568" s="474">
        <f t="shared" si="14"/>
        <v>757</v>
      </c>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c r="BC568" s="102"/>
      <c r="BD568" s="102"/>
      <c r="BE568" s="102"/>
      <c r="BF568" s="102"/>
      <c r="BG568" s="102"/>
      <c r="BH568" s="102"/>
      <c r="BI568" s="102"/>
      <c r="BJ568" s="102"/>
      <c r="BK568" s="102"/>
      <c r="BL568" s="102"/>
      <c r="BM568" s="102"/>
      <c r="BN568" s="102"/>
      <c r="BO568" s="102"/>
      <c r="BP568" s="102"/>
      <c r="BQ568" s="102"/>
      <c r="BR568" s="102"/>
      <c r="BS568" s="102"/>
      <c r="BT568" s="102"/>
      <c r="BU568" s="102"/>
      <c r="BV568" s="102"/>
      <c r="BW568" s="102"/>
      <c r="BX568" s="102"/>
      <c r="BY568" s="102"/>
      <c r="BZ568" s="102"/>
      <c r="CA568" s="464"/>
      <c r="CB568" s="102"/>
      <c r="CC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474">
        <v>566.0</v>
      </c>
      <c r="AB569" s="474">
        <f t="shared" si="10"/>
        <v>571</v>
      </c>
      <c r="AC569" s="476">
        <f t="shared" si="11"/>
        <v>758</v>
      </c>
      <c r="AD569" s="474">
        <f t="shared" si="12"/>
        <v>945</v>
      </c>
      <c r="AE569" s="474">
        <f t="shared" si="13"/>
        <v>623</v>
      </c>
      <c r="AF569" s="474">
        <f t="shared" si="14"/>
        <v>758</v>
      </c>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c r="BC569" s="102"/>
      <c r="BD569" s="102"/>
      <c r="BE569" s="102"/>
      <c r="BF569" s="102"/>
      <c r="BG569" s="102"/>
      <c r="BH569" s="102"/>
      <c r="BI569" s="102"/>
      <c r="BJ569" s="102"/>
      <c r="BK569" s="102"/>
      <c r="BL569" s="102"/>
      <c r="BM569" s="102"/>
      <c r="BN569" s="102"/>
      <c r="BO569" s="102"/>
      <c r="BP569" s="102"/>
      <c r="BQ569" s="102"/>
      <c r="BR569" s="102"/>
      <c r="BS569" s="102"/>
      <c r="BT569" s="102"/>
      <c r="BU569" s="102"/>
      <c r="BV569" s="102"/>
      <c r="BW569" s="102"/>
      <c r="BX569" s="102"/>
      <c r="BY569" s="102"/>
      <c r="BZ569" s="102"/>
      <c r="CA569" s="464"/>
      <c r="CB569" s="102"/>
      <c r="CC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474">
        <v>567.0</v>
      </c>
      <c r="AB570" s="474">
        <f t="shared" si="10"/>
        <v>572</v>
      </c>
      <c r="AC570" s="476">
        <f t="shared" si="11"/>
        <v>759</v>
      </c>
      <c r="AD570" s="474">
        <f t="shared" si="12"/>
        <v>946</v>
      </c>
      <c r="AE570" s="474">
        <f t="shared" si="13"/>
        <v>624</v>
      </c>
      <c r="AF570" s="474">
        <f t="shared" si="14"/>
        <v>759</v>
      </c>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c r="BC570" s="102"/>
      <c r="BD570" s="102"/>
      <c r="BE570" s="102"/>
      <c r="BF570" s="102"/>
      <c r="BG570" s="102"/>
      <c r="BH570" s="102"/>
      <c r="BI570" s="102"/>
      <c r="BJ570" s="102"/>
      <c r="BK570" s="102"/>
      <c r="BL570" s="102"/>
      <c r="BM570" s="102"/>
      <c r="BN570" s="102"/>
      <c r="BO570" s="102"/>
      <c r="BP570" s="102"/>
      <c r="BQ570" s="102"/>
      <c r="BR570" s="102"/>
      <c r="BS570" s="102"/>
      <c r="BT570" s="102"/>
      <c r="BU570" s="102"/>
      <c r="BV570" s="102"/>
      <c r="BW570" s="102"/>
      <c r="BX570" s="102"/>
      <c r="BY570" s="102"/>
      <c r="BZ570" s="102"/>
      <c r="CA570" s="464"/>
      <c r="CB570" s="102"/>
      <c r="CC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474">
        <v>568.0</v>
      </c>
      <c r="AB571" s="474">
        <f t="shared" si="10"/>
        <v>573</v>
      </c>
      <c r="AC571" s="476">
        <f t="shared" si="11"/>
        <v>761</v>
      </c>
      <c r="AD571" s="474">
        <f t="shared" si="12"/>
        <v>948</v>
      </c>
      <c r="AE571" s="474">
        <f t="shared" si="13"/>
        <v>625</v>
      </c>
      <c r="AF571" s="474">
        <f t="shared" si="14"/>
        <v>761</v>
      </c>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c r="BC571" s="102"/>
      <c r="BD571" s="102"/>
      <c r="BE571" s="102"/>
      <c r="BF571" s="102"/>
      <c r="BG571" s="102"/>
      <c r="BH571" s="102"/>
      <c r="BI571" s="102"/>
      <c r="BJ571" s="102"/>
      <c r="BK571" s="102"/>
      <c r="BL571" s="102"/>
      <c r="BM571" s="102"/>
      <c r="BN571" s="102"/>
      <c r="BO571" s="102"/>
      <c r="BP571" s="102"/>
      <c r="BQ571" s="102"/>
      <c r="BR571" s="102"/>
      <c r="BS571" s="102"/>
      <c r="BT571" s="102"/>
      <c r="BU571" s="102"/>
      <c r="BV571" s="102"/>
      <c r="BW571" s="102"/>
      <c r="BX571" s="102"/>
      <c r="BY571" s="102"/>
      <c r="BZ571" s="102"/>
      <c r="CA571" s="464"/>
      <c r="CB571" s="102"/>
      <c r="CC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474">
        <v>569.0</v>
      </c>
      <c r="AB572" s="474">
        <f t="shared" si="10"/>
        <v>574</v>
      </c>
      <c r="AC572" s="476">
        <f t="shared" si="11"/>
        <v>762</v>
      </c>
      <c r="AD572" s="474">
        <f t="shared" si="12"/>
        <v>950</v>
      </c>
      <c r="AE572" s="474">
        <f t="shared" si="13"/>
        <v>626</v>
      </c>
      <c r="AF572" s="474">
        <f t="shared" si="14"/>
        <v>762</v>
      </c>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c r="BC572" s="102"/>
      <c r="BD572" s="102"/>
      <c r="BE572" s="102"/>
      <c r="BF572" s="102"/>
      <c r="BG572" s="102"/>
      <c r="BH572" s="102"/>
      <c r="BI572" s="102"/>
      <c r="BJ572" s="102"/>
      <c r="BK572" s="102"/>
      <c r="BL572" s="102"/>
      <c r="BM572" s="102"/>
      <c r="BN572" s="102"/>
      <c r="BO572" s="102"/>
      <c r="BP572" s="102"/>
      <c r="BQ572" s="102"/>
      <c r="BR572" s="102"/>
      <c r="BS572" s="102"/>
      <c r="BT572" s="102"/>
      <c r="BU572" s="102"/>
      <c r="BV572" s="102"/>
      <c r="BW572" s="102"/>
      <c r="BX572" s="102"/>
      <c r="BY572" s="102"/>
      <c r="BZ572" s="102"/>
      <c r="CA572" s="464"/>
      <c r="CB572" s="102"/>
      <c r="CC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474">
        <v>570.0</v>
      </c>
      <c r="AB573" s="474">
        <f t="shared" si="10"/>
        <v>575</v>
      </c>
      <c r="AC573" s="476">
        <f t="shared" si="11"/>
        <v>763</v>
      </c>
      <c r="AD573" s="474">
        <f t="shared" si="12"/>
        <v>951</v>
      </c>
      <c r="AE573" s="474">
        <f t="shared" si="13"/>
        <v>627</v>
      </c>
      <c r="AF573" s="474">
        <f t="shared" si="14"/>
        <v>763</v>
      </c>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c r="BC573" s="102"/>
      <c r="BD573" s="102"/>
      <c r="BE573" s="102"/>
      <c r="BF573" s="102"/>
      <c r="BG573" s="102"/>
      <c r="BH573" s="102"/>
      <c r="BI573" s="102"/>
      <c r="BJ573" s="102"/>
      <c r="BK573" s="102"/>
      <c r="BL573" s="102"/>
      <c r="BM573" s="102"/>
      <c r="BN573" s="102"/>
      <c r="BO573" s="102"/>
      <c r="BP573" s="102"/>
      <c r="BQ573" s="102"/>
      <c r="BR573" s="102"/>
      <c r="BS573" s="102"/>
      <c r="BT573" s="102"/>
      <c r="BU573" s="102"/>
      <c r="BV573" s="102"/>
      <c r="BW573" s="102"/>
      <c r="BX573" s="102"/>
      <c r="BY573" s="102"/>
      <c r="BZ573" s="102"/>
      <c r="CA573" s="464"/>
      <c r="CB573" s="102"/>
      <c r="CC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474">
        <v>571.0</v>
      </c>
      <c r="AB574" s="474">
        <f t="shared" si="10"/>
        <v>576</v>
      </c>
      <c r="AC574" s="476">
        <f t="shared" si="11"/>
        <v>765</v>
      </c>
      <c r="AD574" s="474">
        <f t="shared" si="12"/>
        <v>953</v>
      </c>
      <c r="AE574" s="474">
        <f t="shared" si="13"/>
        <v>629</v>
      </c>
      <c r="AF574" s="474">
        <f t="shared" si="14"/>
        <v>765</v>
      </c>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c r="BC574" s="102"/>
      <c r="BD574" s="102"/>
      <c r="BE574" s="102"/>
      <c r="BF574" s="102"/>
      <c r="BG574" s="102"/>
      <c r="BH574" s="102"/>
      <c r="BI574" s="102"/>
      <c r="BJ574" s="102"/>
      <c r="BK574" s="102"/>
      <c r="BL574" s="102"/>
      <c r="BM574" s="102"/>
      <c r="BN574" s="102"/>
      <c r="BO574" s="102"/>
      <c r="BP574" s="102"/>
      <c r="BQ574" s="102"/>
      <c r="BR574" s="102"/>
      <c r="BS574" s="102"/>
      <c r="BT574" s="102"/>
      <c r="BU574" s="102"/>
      <c r="BV574" s="102"/>
      <c r="BW574" s="102"/>
      <c r="BX574" s="102"/>
      <c r="BY574" s="102"/>
      <c r="BZ574" s="102"/>
      <c r="CA574" s="464"/>
      <c r="CB574" s="102"/>
      <c r="CC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474">
        <v>572.0</v>
      </c>
      <c r="AB575" s="474">
        <f t="shared" si="10"/>
        <v>577</v>
      </c>
      <c r="AC575" s="476">
        <f t="shared" si="11"/>
        <v>766</v>
      </c>
      <c r="AD575" s="474">
        <f t="shared" si="12"/>
        <v>955</v>
      </c>
      <c r="AE575" s="474">
        <f t="shared" si="13"/>
        <v>630</v>
      </c>
      <c r="AF575" s="474">
        <f t="shared" si="14"/>
        <v>766</v>
      </c>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c r="BC575" s="102"/>
      <c r="BD575" s="102"/>
      <c r="BE575" s="102"/>
      <c r="BF575" s="102"/>
      <c r="BG575" s="102"/>
      <c r="BH575" s="102"/>
      <c r="BI575" s="102"/>
      <c r="BJ575" s="102"/>
      <c r="BK575" s="102"/>
      <c r="BL575" s="102"/>
      <c r="BM575" s="102"/>
      <c r="BN575" s="102"/>
      <c r="BO575" s="102"/>
      <c r="BP575" s="102"/>
      <c r="BQ575" s="102"/>
      <c r="BR575" s="102"/>
      <c r="BS575" s="102"/>
      <c r="BT575" s="102"/>
      <c r="BU575" s="102"/>
      <c r="BV575" s="102"/>
      <c r="BW575" s="102"/>
      <c r="BX575" s="102"/>
      <c r="BY575" s="102"/>
      <c r="BZ575" s="102"/>
      <c r="CA575" s="464"/>
      <c r="CB575" s="102"/>
      <c r="CC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474">
        <v>573.0</v>
      </c>
      <c r="AB576" s="474">
        <f t="shared" si="10"/>
        <v>578</v>
      </c>
      <c r="AC576" s="476">
        <f t="shared" si="11"/>
        <v>767</v>
      </c>
      <c r="AD576" s="474">
        <f t="shared" si="12"/>
        <v>956</v>
      </c>
      <c r="AE576" s="474">
        <f t="shared" si="13"/>
        <v>631</v>
      </c>
      <c r="AF576" s="474">
        <f t="shared" si="14"/>
        <v>767</v>
      </c>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c r="BC576" s="102"/>
      <c r="BD576" s="102"/>
      <c r="BE576" s="102"/>
      <c r="BF576" s="102"/>
      <c r="BG576" s="102"/>
      <c r="BH576" s="102"/>
      <c r="BI576" s="102"/>
      <c r="BJ576" s="102"/>
      <c r="BK576" s="102"/>
      <c r="BL576" s="102"/>
      <c r="BM576" s="102"/>
      <c r="BN576" s="102"/>
      <c r="BO576" s="102"/>
      <c r="BP576" s="102"/>
      <c r="BQ576" s="102"/>
      <c r="BR576" s="102"/>
      <c r="BS576" s="102"/>
      <c r="BT576" s="102"/>
      <c r="BU576" s="102"/>
      <c r="BV576" s="102"/>
      <c r="BW576" s="102"/>
      <c r="BX576" s="102"/>
      <c r="BY576" s="102"/>
      <c r="BZ576" s="102"/>
      <c r="CA576" s="464"/>
      <c r="CB576" s="102"/>
      <c r="CC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474">
        <v>574.0</v>
      </c>
      <c r="AB577" s="474">
        <f t="shared" si="10"/>
        <v>579</v>
      </c>
      <c r="AC577" s="476">
        <f t="shared" si="11"/>
        <v>769</v>
      </c>
      <c r="AD577" s="474">
        <f t="shared" si="12"/>
        <v>958</v>
      </c>
      <c r="AE577" s="474">
        <f t="shared" si="13"/>
        <v>632</v>
      </c>
      <c r="AF577" s="474">
        <f t="shared" si="14"/>
        <v>769</v>
      </c>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c r="BC577" s="102"/>
      <c r="BD577" s="102"/>
      <c r="BE577" s="102"/>
      <c r="BF577" s="102"/>
      <c r="BG577" s="102"/>
      <c r="BH577" s="102"/>
      <c r="BI577" s="102"/>
      <c r="BJ577" s="102"/>
      <c r="BK577" s="102"/>
      <c r="BL577" s="102"/>
      <c r="BM577" s="102"/>
      <c r="BN577" s="102"/>
      <c r="BO577" s="102"/>
      <c r="BP577" s="102"/>
      <c r="BQ577" s="102"/>
      <c r="BR577" s="102"/>
      <c r="BS577" s="102"/>
      <c r="BT577" s="102"/>
      <c r="BU577" s="102"/>
      <c r="BV577" s="102"/>
      <c r="BW577" s="102"/>
      <c r="BX577" s="102"/>
      <c r="BY577" s="102"/>
      <c r="BZ577" s="102"/>
      <c r="CA577" s="464"/>
      <c r="CB577" s="102"/>
      <c r="CC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474">
        <v>575.0</v>
      </c>
      <c r="AB578" s="474">
        <f t="shared" si="10"/>
        <v>580</v>
      </c>
      <c r="AC578" s="476">
        <f t="shared" si="11"/>
        <v>770</v>
      </c>
      <c r="AD578" s="474">
        <f t="shared" si="12"/>
        <v>960</v>
      </c>
      <c r="AE578" s="474">
        <f t="shared" si="13"/>
        <v>633</v>
      </c>
      <c r="AF578" s="474">
        <f t="shared" si="14"/>
        <v>770</v>
      </c>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c r="BC578" s="102"/>
      <c r="BD578" s="102"/>
      <c r="BE578" s="102"/>
      <c r="BF578" s="102"/>
      <c r="BG578" s="102"/>
      <c r="BH578" s="102"/>
      <c r="BI578" s="102"/>
      <c r="BJ578" s="102"/>
      <c r="BK578" s="102"/>
      <c r="BL578" s="102"/>
      <c r="BM578" s="102"/>
      <c r="BN578" s="102"/>
      <c r="BO578" s="102"/>
      <c r="BP578" s="102"/>
      <c r="BQ578" s="102"/>
      <c r="BR578" s="102"/>
      <c r="BS578" s="102"/>
      <c r="BT578" s="102"/>
      <c r="BU578" s="102"/>
      <c r="BV578" s="102"/>
      <c r="BW578" s="102"/>
      <c r="BX578" s="102"/>
      <c r="BY578" s="102"/>
      <c r="BZ578" s="102"/>
      <c r="CA578" s="464"/>
      <c r="CB578" s="102"/>
      <c r="CC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474">
        <v>576.0</v>
      </c>
      <c r="AB579" s="474">
        <f t="shared" si="10"/>
        <v>581</v>
      </c>
      <c r="AC579" s="476">
        <f t="shared" si="11"/>
        <v>771</v>
      </c>
      <c r="AD579" s="474">
        <f t="shared" si="12"/>
        <v>961</v>
      </c>
      <c r="AE579" s="474">
        <f t="shared" si="13"/>
        <v>634</v>
      </c>
      <c r="AF579" s="474">
        <f t="shared" si="14"/>
        <v>771</v>
      </c>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c r="BC579" s="102"/>
      <c r="BD579" s="102"/>
      <c r="BE579" s="102"/>
      <c r="BF579" s="102"/>
      <c r="BG579" s="102"/>
      <c r="BH579" s="102"/>
      <c r="BI579" s="102"/>
      <c r="BJ579" s="102"/>
      <c r="BK579" s="102"/>
      <c r="BL579" s="102"/>
      <c r="BM579" s="102"/>
      <c r="BN579" s="102"/>
      <c r="BO579" s="102"/>
      <c r="BP579" s="102"/>
      <c r="BQ579" s="102"/>
      <c r="BR579" s="102"/>
      <c r="BS579" s="102"/>
      <c r="BT579" s="102"/>
      <c r="BU579" s="102"/>
      <c r="BV579" s="102"/>
      <c r="BW579" s="102"/>
      <c r="BX579" s="102"/>
      <c r="BY579" s="102"/>
      <c r="BZ579" s="102"/>
      <c r="CA579" s="464"/>
      <c r="CB579" s="102"/>
      <c r="CC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474">
        <v>577.0</v>
      </c>
      <c r="AB580" s="474">
        <f t="shared" si="10"/>
        <v>582</v>
      </c>
      <c r="AC580" s="476">
        <f t="shared" si="11"/>
        <v>773</v>
      </c>
      <c r="AD580" s="474">
        <f t="shared" si="12"/>
        <v>963</v>
      </c>
      <c r="AE580" s="474">
        <f t="shared" si="13"/>
        <v>635</v>
      </c>
      <c r="AF580" s="474">
        <f t="shared" si="14"/>
        <v>773</v>
      </c>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c r="BC580" s="102"/>
      <c r="BD580" s="102"/>
      <c r="BE580" s="102"/>
      <c r="BF580" s="102"/>
      <c r="BG580" s="102"/>
      <c r="BH580" s="102"/>
      <c r="BI580" s="102"/>
      <c r="BJ580" s="102"/>
      <c r="BK580" s="102"/>
      <c r="BL580" s="102"/>
      <c r="BM580" s="102"/>
      <c r="BN580" s="102"/>
      <c r="BO580" s="102"/>
      <c r="BP580" s="102"/>
      <c r="BQ580" s="102"/>
      <c r="BR580" s="102"/>
      <c r="BS580" s="102"/>
      <c r="BT580" s="102"/>
      <c r="BU580" s="102"/>
      <c r="BV580" s="102"/>
      <c r="BW580" s="102"/>
      <c r="BX580" s="102"/>
      <c r="BY580" s="102"/>
      <c r="BZ580" s="102"/>
      <c r="CA580" s="464"/>
      <c r="CB580" s="102"/>
      <c r="CC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474">
        <v>578.0</v>
      </c>
      <c r="AB581" s="474">
        <f t="shared" si="10"/>
        <v>583</v>
      </c>
      <c r="AC581" s="476">
        <f t="shared" si="11"/>
        <v>774</v>
      </c>
      <c r="AD581" s="474">
        <f t="shared" si="12"/>
        <v>965</v>
      </c>
      <c r="AE581" s="474">
        <f t="shared" si="13"/>
        <v>636</v>
      </c>
      <c r="AF581" s="474">
        <f t="shared" si="14"/>
        <v>774</v>
      </c>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c r="BC581" s="102"/>
      <c r="BD581" s="102"/>
      <c r="BE581" s="102"/>
      <c r="BF581" s="102"/>
      <c r="BG581" s="102"/>
      <c r="BH581" s="102"/>
      <c r="BI581" s="102"/>
      <c r="BJ581" s="102"/>
      <c r="BK581" s="102"/>
      <c r="BL581" s="102"/>
      <c r="BM581" s="102"/>
      <c r="BN581" s="102"/>
      <c r="BO581" s="102"/>
      <c r="BP581" s="102"/>
      <c r="BQ581" s="102"/>
      <c r="BR581" s="102"/>
      <c r="BS581" s="102"/>
      <c r="BT581" s="102"/>
      <c r="BU581" s="102"/>
      <c r="BV581" s="102"/>
      <c r="BW581" s="102"/>
      <c r="BX581" s="102"/>
      <c r="BY581" s="102"/>
      <c r="BZ581" s="102"/>
      <c r="CA581" s="464"/>
      <c r="CB581" s="102"/>
      <c r="CC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474">
        <v>579.0</v>
      </c>
      <c r="AB582" s="474">
        <f t="shared" si="10"/>
        <v>584</v>
      </c>
      <c r="AC582" s="476">
        <f t="shared" si="11"/>
        <v>775</v>
      </c>
      <c r="AD582" s="474">
        <f t="shared" si="12"/>
        <v>966</v>
      </c>
      <c r="AE582" s="474">
        <f t="shared" si="13"/>
        <v>637</v>
      </c>
      <c r="AF582" s="474">
        <f t="shared" si="14"/>
        <v>775</v>
      </c>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c r="BC582" s="102"/>
      <c r="BD582" s="102"/>
      <c r="BE582" s="102"/>
      <c r="BF582" s="102"/>
      <c r="BG582" s="102"/>
      <c r="BH582" s="102"/>
      <c r="BI582" s="102"/>
      <c r="BJ582" s="102"/>
      <c r="BK582" s="102"/>
      <c r="BL582" s="102"/>
      <c r="BM582" s="102"/>
      <c r="BN582" s="102"/>
      <c r="BO582" s="102"/>
      <c r="BP582" s="102"/>
      <c r="BQ582" s="102"/>
      <c r="BR582" s="102"/>
      <c r="BS582" s="102"/>
      <c r="BT582" s="102"/>
      <c r="BU582" s="102"/>
      <c r="BV582" s="102"/>
      <c r="BW582" s="102"/>
      <c r="BX582" s="102"/>
      <c r="BY582" s="102"/>
      <c r="BZ582" s="102"/>
      <c r="CA582" s="464"/>
      <c r="CB582" s="102"/>
      <c r="CC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474">
        <v>580.0</v>
      </c>
      <c r="AB583" s="474">
        <f t="shared" si="10"/>
        <v>585</v>
      </c>
      <c r="AC583" s="476">
        <f t="shared" si="11"/>
        <v>777</v>
      </c>
      <c r="AD583" s="474">
        <f t="shared" si="12"/>
        <v>968</v>
      </c>
      <c r="AE583" s="474">
        <f t="shared" si="13"/>
        <v>638</v>
      </c>
      <c r="AF583" s="474">
        <f t="shared" si="14"/>
        <v>777</v>
      </c>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c r="BC583" s="102"/>
      <c r="BD583" s="102"/>
      <c r="BE583" s="102"/>
      <c r="BF583" s="102"/>
      <c r="BG583" s="102"/>
      <c r="BH583" s="102"/>
      <c r="BI583" s="102"/>
      <c r="BJ583" s="102"/>
      <c r="BK583" s="102"/>
      <c r="BL583" s="102"/>
      <c r="BM583" s="102"/>
      <c r="BN583" s="102"/>
      <c r="BO583" s="102"/>
      <c r="BP583" s="102"/>
      <c r="BQ583" s="102"/>
      <c r="BR583" s="102"/>
      <c r="BS583" s="102"/>
      <c r="BT583" s="102"/>
      <c r="BU583" s="102"/>
      <c r="BV583" s="102"/>
      <c r="BW583" s="102"/>
      <c r="BX583" s="102"/>
      <c r="BY583" s="102"/>
      <c r="BZ583" s="102"/>
      <c r="CA583" s="464"/>
      <c r="CB583" s="102"/>
      <c r="CC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474">
        <v>581.0</v>
      </c>
      <c r="AB584" s="474">
        <f t="shared" si="10"/>
        <v>586</v>
      </c>
      <c r="AC584" s="476">
        <f t="shared" si="11"/>
        <v>778</v>
      </c>
      <c r="AD584" s="474">
        <f t="shared" si="12"/>
        <v>970</v>
      </c>
      <c r="AE584" s="474">
        <f t="shared" si="13"/>
        <v>640</v>
      </c>
      <c r="AF584" s="474">
        <f t="shared" si="14"/>
        <v>778</v>
      </c>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c r="BC584" s="102"/>
      <c r="BD584" s="102"/>
      <c r="BE584" s="102"/>
      <c r="BF584" s="102"/>
      <c r="BG584" s="102"/>
      <c r="BH584" s="102"/>
      <c r="BI584" s="102"/>
      <c r="BJ584" s="102"/>
      <c r="BK584" s="102"/>
      <c r="BL584" s="102"/>
      <c r="BM584" s="102"/>
      <c r="BN584" s="102"/>
      <c r="BO584" s="102"/>
      <c r="BP584" s="102"/>
      <c r="BQ584" s="102"/>
      <c r="BR584" s="102"/>
      <c r="BS584" s="102"/>
      <c r="BT584" s="102"/>
      <c r="BU584" s="102"/>
      <c r="BV584" s="102"/>
      <c r="BW584" s="102"/>
      <c r="BX584" s="102"/>
      <c r="BY584" s="102"/>
      <c r="BZ584" s="102"/>
      <c r="CA584" s="464"/>
      <c r="CB584" s="102"/>
      <c r="CC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474">
        <v>582.0</v>
      </c>
      <c r="AB585" s="474">
        <f t="shared" si="10"/>
        <v>587</v>
      </c>
      <c r="AC585" s="476">
        <f t="shared" si="11"/>
        <v>779</v>
      </c>
      <c r="AD585" s="474">
        <f t="shared" si="12"/>
        <v>971</v>
      </c>
      <c r="AE585" s="474">
        <f t="shared" si="13"/>
        <v>641</v>
      </c>
      <c r="AF585" s="474">
        <f t="shared" si="14"/>
        <v>779</v>
      </c>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c r="BC585" s="102"/>
      <c r="BD585" s="102"/>
      <c r="BE585" s="102"/>
      <c r="BF585" s="102"/>
      <c r="BG585" s="102"/>
      <c r="BH585" s="102"/>
      <c r="BI585" s="102"/>
      <c r="BJ585" s="102"/>
      <c r="BK585" s="102"/>
      <c r="BL585" s="102"/>
      <c r="BM585" s="102"/>
      <c r="BN585" s="102"/>
      <c r="BO585" s="102"/>
      <c r="BP585" s="102"/>
      <c r="BQ585" s="102"/>
      <c r="BR585" s="102"/>
      <c r="BS585" s="102"/>
      <c r="BT585" s="102"/>
      <c r="BU585" s="102"/>
      <c r="BV585" s="102"/>
      <c r="BW585" s="102"/>
      <c r="BX585" s="102"/>
      <c r="BY585" s="102"/>
      <c r="BZ585" s="102"/>
      <c r="CA585" s="464"/>
      <c r="CB585" s="102"/>
      <c r="CC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474">
        <v>583.0</v>
      </c>
      <c r="AB586" s="474">
        <f t="shared" si="10"/>
        <v>588</v>
      </c>
      <c r="AC586" s="476">
        <f t="shared" si="11"/>
        <v>781</v>
      </c>
      <c r="AD586" s="474">
        <f t="shared" si="12"/>
        <v>973</v>
      </c>
      <c r="AE586" s="474">
        <f t="shared" si="13"/>
        <v>642</v>
      </c>
      <c r="AF586" s="474">
        <f t="shared" si="14"/>
        <v>781</v>
      </c>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c r="BC586" s="102"/>
      <c r="BD586" s="102"/>
      <c r="BE586" s="102"/>
      <c r="BF586" s="102"/>
      <c r="BG586" s="102"/>
      <c r="BH586" s="102"/>
      <c r="BI586" s="102"/>
      <c r="BJ586" s="102"/>
      <c r="BK586" s="102"/>
      <c r="BL586" s="102"/>
      <c r="BM586" s="102"/>
      <c r="BN586" s="102"/>
      <c r="BO586" s="102"/>
      <c r="BP586" s="102"/>
      <c r="BQ586" s="102"/>
      <c r="BR586" s="102"/>
      <c r="BS586" s="102"/>
      <c r="BT586" s="102"/>
      <c r="BU586" s="102"/>
      <c r="BV586" s="102"/>
      <c r="BW586" s="102"/>
      <c r="BX586" s="102"/>
      <c r="BY586" s="102"/>
      <c r="BZ586" s="102"/>
      <c r="CA586" s="464"/>
      <c r="CB586" s="102"/>
      <c r="CC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474">
        <v>584.0</v>
      </c>
      <c r="AB587" s="474">
        <f t="shared" si="10"/>
        <v>589</v>
      </c>
      <c r="AC587" s="476">
        <f t="shared" si="11"/>
        <v>782</v>
      </c>
      <c r="AD587" s="474">
        <f t="shared" si="12"/>
        <v>975</v>
      </c>
      <c r="AE587" s="474">
        <f t="shared" si="13"/>
        <v>643</v>
      </c>
      <c r="AF587" s="474">
        <f t="shared" si="14"/>
        <v>782</v>
      </c>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c r="BC587" s="102"/>
      <c r="BD587" s="102"/>
      <c r="BE587" s="102"/>
      <c r="BF587" s="102"/>
      <c r="BG587" s="102"/>
      <c r="BH587" s="102"/>
      <c r="BI587" s="102"/>
      <c r="BJ587" s="102"/>
      <c r="BK587" s="102"/>
      <c r="BL587" s="102"/>
      <c r="BM587" s="102"/>
      <c r="BN587" s="102"/>
      <c r="BO587" s="102"/>
      <c r="BP587" s="102"/>
      <c r="BQ587" s="102"/>
      <c r="BR587" s="102"/>
      <c r="BS587" s="102"/>
      <c r="BT587" s="102"/>
      <c r="BU587" s="102"/>
      <c r="BV587" s="102"/>
      <c r="BW587" s="102"/>
      <c r="BX587" s="102"/>
      <c r="BY587" s="102"/>
      <c r="BZ587" s="102"/>
      <c r="CA587" s="464"/>
      <c r="CB587" s="102"/>
      <c r="CC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474">
        <v>585.0</v>
      </c>
      <c r="AB588" s="474">
        <f t="shared" si="10"/>
        <v>590</v>
      </c>
      <c r="AC588" s="476">
        <f t="shared" si="11"/>
        <v>783</v>
      </c>
      <c r="AD588" s="474">
        <f t="shared" si="12"/>
        <v>976</v>
      </c>
      <c r="AE588" s="474">
        <f t="shared" si="13"/>
        <v>644</v>
      </c>
      <c r="AF588" s="474">
        <f t="shared" si="14"/>
        <v>783</v>
      </c>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c r="BC588" s="102"/>
      <c r="BD588" s="102"/>
      <c r="BE588" s="102"/>
      <c r="BF588" s="102"/>
      <c r="BG588" s="102"/>
      <c r="BH588" s="102"/>
      <c r="BI588" s="102"/>
      <c r="BJ588" s="102"/>
      <c r="BK588" s="102"/>
      <c r="BL588" s="102"/>
      <c r="BM588" s="102"/>
      <c r="BN588" s="102"/>
      <c r="BO588" s="102"/>
      <c r="BP588" s="102"/>
      <c r="BQ588" s="102"/>
      <c r="BR588" s="102"/>
      <c r="BS588" s="102"/>
      <c r="BT588" s="102"/>
      <c r="BU588" s="102"/>
      <c r="BV588" s="102"/>
      <c r="BW588" s="102"/>
      <c r="BX588" s="102"/>
      <c r="BY588" s="102"/>
      <c r="BZ588" s="102"/>
      <c r="CA588" s="464"/>
      <c r="CB588" s="102"/>
      <c r="CC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474">
        <v>586.0</v>
      </c>
      <c r="AB589" s="474">
        <f t="shared" si="10"/>
        <v>591</v>
      </c>
      <c r="AC589" s="476">
        <f t="shared" si="11"/>
        <v>785</v>
      </c>
      <c r="AD589" s="474">
        <f t="shared" si="12"/>
        <v>978</v>
      </c>
      <c r="AE589" s="474">
        <f t="shared" si="13"/>
        <v>645</v>
      </c>
      <c r="AF589" s="474">
        <f t="shared" si="14"/>
        <v>785</v>
      </c>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c r="BC589" s="102"/>
      <c r="BD589" s="102"/>
      <c r="BE589" s="102"/>
      <c r="BF589" s="102"/>
      <c r="BG589" s="102"/>
      <c r="BH589" s="102"/>
      <c r="BI589" s="102"/>
      <c r="BJ589" s="102"/>
      <c r="BK589" s="102"/>
      <c r="BL589" s="102"/>
      <c r="BM589" s="102"/>
      <c r="BN589" s="102"/>
      <c r="BO589" s="102"/>
      <c r="BP589" s="102"/>
      <c r="BQ589" s="102"/>
      <c r="BR589" s="102"/>
      <c r="BS589" s="102"/>
      <c r="BT589" s="102"/>
      <c r="BU589" s="102"/>
      <c r="BV589" s="102"/>
      <c r="BW589" s="102"/>
      <c r="BX589" s="102"/>
      <c r="BY589" s="102"/>
      <c r="BZ589" s="102"/>
      <c r="CA589" s="464"/>
      <c r="CB589" s="102"/>
      <c r="CC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474">
        <v>587.0</v>
      </c>
      <c r="AB590" s="474">
        <f t="shared" si="10"/>
        <v>592</v>
      </c>
      <c r="AC590" s="476">
        <f t="shared" si="11"/>
        <v>786</v>
      </c>
      <c r="AD590" s="474">
        <f t="shared" si="12"/>
        <v>980</v>
      </c>
      <c r="AE590" s="474">
        <f t="shared" si="13"/>
        <v>646</v>
      </c>
      <c r="AF590" s="474">
        <f t="shared" si="14"/>
        <v>786</v>
      </c>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c r="BC590" s="102"/>
      <c r="BD590" s="102"/>
      <c r="BE590" s="102"/>
      <c r="BF590" s="102"/>
      <c r="BG590" s="102"/>
      <c r="BH590" s="102"/>
      <c r="BI590" s="102"/>
      <c r="BJ590" s="102"/>
      <c r="BK590" s="102"/>
      <c r="BL590" s="102"/>
      <c r="BM590" s="102"/>
      <c r="BN590" s="102"/>
      <c r="BO590" s="102"/>
      <c r="BP590" s="102"/>
      <c r="BQ590" s="102"/>
      <c r="BR590" s="102"/>
      <c r="BS590" s="102"/>
      <c r="BT590" s="102"/>
      <c r="BU590" s="102"/>
      <c r="BV590" s="102"/>
      <c r="BW590" s="102"/>
      <c r="BX590" s="102"/>
      <c r="BY590" s="102"/>
      <c r="BZ590" s="102"/>
      <c r="CA590" s="464"/>
      <c r="CB590" s="102"/>
      <c r="CC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474">
        <v>588.0</v>
      </c>
      <c r="AB591" s="474">
        <f t="shared" si="10"/>
        <v>593</v>
      </c>
      <c r="AC591" s="476">
        <f t="shared" si="11"/>
        <v>787</v>
      </c>
      <c r="AD591" s="474">
        <f t="shared" si="12"/>
        <v>981</v>
      </c>
      <c r="AE591" s="474">
        <f t="shared" si="13"/>
        <v>647</v>
      </c>
      <c r="AF591" s="474">
        <f t="shared" si="14"/>
        <v>787</v>
      </c>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c r="BC591" s="102"/>
      <c r="BD591" s="102"/>
      <c r="BE591" s="102"/>
      <c r="BF591" s="102"/>
      <c r="BG591" s="102"/>
      <c r="BH591" s="102"/>
      <c r="BI591" s="102"/>
      <c r="BJ591" s="102"/>
      <c r="BK591" s="102"/>
      <c r="BL591" s="102"/>
      <c r="BM591" s="102"/>
      <c r="BN591" s="102"/>
      <c r="BO591" s="102"/>
      <c r="BP591" s="102"/>
      <c r="BQ591" s="102"/>
      <c r="BR591" s="102"/>
      <c r="BS591" s="102"/>
      <c r="BT591" s="102"/>
      <c r="BU591" s="102"/>
      <c r="BV591" s="102"/>
      <c r="BW591" s="102"/>
      <c r="BX591" s="102"/>
      <c r="BY591" s="102"/>
      <c r="BZ591" s="102"/>
      <c r="CA591" s="464"/>
      <c r="CB591" s="102"/>
      <c r="CC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474">
        <v>589.0</v>
      </c>
      <c r="AB592" s="474">
        <f t="shared" si="10"/>
        <v>594</v>
      </c>
      <c r="AC592" s="476">
        <f t="shared" si="11"/>
        <v>789</v>
      </c>
      <c r="AD592" s="474">
        <f t="shared" si="12"/>
        <v>983</v>
      </c>
      <c r="AE592" s="474">
        <f t="shared" si="13"/>
        <v>648</v>
      </c>
      <c r="AF592" s="474">
        <f t="shared" si="14"/>
        <v>789</v>
      </c>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c r="BC592" s="102"/>
      <c r="BD592" s="102"/>
      <c r="BE592" s="102"/>
      <c r="BF592" s="102"/>
      <c r="BG592" s="102"/>
      <c r="BH592" s="102"/>
      <c r="BI592" s="102"/>
      <c r="BJ592" s="102"/>
      <c r="BK592" s="102"/>
      <c r="BL592" s="102"/>
      <c r="BM592" s="102"/>
      <c r="BN592" s="102"/>
      <c r="BO592" s="102"/>
      <c r="BP592" s="102"/>
      <c r="BQ592" s="102"/>
      <c r="BR592" s="102"/>
      <c r="BS592" s="102"/>
      <c r="BT592" s="102"/>
      <c r="BU592" s="102"/>
      <c r="BV592" s="102"/>
      <c r="BW592" s="102"/>
      <c r="BX592" s="102"/>
      <c r="BY592" s="102"/>
      <c r="BZ592" s="102"/>
      <c r="CA592" s="464"/>
      <c r="CB592" s="102"/>
      <c r="CC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474">
        <v>590.0</v>
      </c>
      <c r="AB593" s="474">
        <f t="shared" si="10"/>
        <v>595</v>
      </c>
      <c r="AC593" s="476">
        <f t="shared" si="11"/>
        <v>790</v>
      </c>
      <c r="AD593" s="474">
        <f t="shared" si="12"/>
        <v>985</v>
      </c>
      <c r="AE593" s="474">
        <f t="shared" si="13"/>
        <v>649</v>
      </c>
      <c r="AF593" s="474">
        <f t="shared" si="14"/>
        <v>790</v>
      </c>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c r="BC593" s="102"/>
      <c r="BD593" s="102"/>
      <c r="BE593" s="102"/>
      <c r="BF593" s="102"/>
      <c r="BG593" s="102"/>
      <c r="BH593" s="102"/>
      <c r="BI593" s="102"/>
      <c r="BJ593" s="102"/>
      <c r="BK593" s="102"/>
      <c r="BL593" s="102"/>
      <c r="BM593" s="102"/>
      <c r="BN593" s="102"/>
      <c r="BO593" s="102"/>
      <c r="BP593" s="102"/>
      <c r="BQ593" s="102"/>
      <c r="BR593" s="102"/>
      <c r="BS593" s="102"/>
      <c r="BT593" s="102"/>
      <c r="BU593" s="102"/>
      <c r="BV593" s="102"/>
      <c r="BW593" s="102"/>
      <c r="BX593" s="102"/>
      <c r="BY593" s="102"/>
      <c r="BZ593" s="102"/>
      <c r="CA593" s="464"/>
      <c r="CB593" s="102"/>
      <c r="CC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474">
        <v>591.0</v>
      </c>
      <c r="AB594" s="474">
        <f t="shared" si="10"/>
        <v>596</v>
      </c>
      <c r="AC594" s="476">
        <f t="shared" si="11"/>
        <v>791</v>
      </c>
      <c r="AD594" s="474">
        <f t="shared" si="12"/>
        <v>986</v>
      </c>
      <c r="AE594" s="474">
        <f t="shared" si="13"/>
        <v>651</v>
      </c>
      <c r="AF594" s="474">
        <f t="shared" si="14"/>
        <v>791</v>
      </c>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c r="BC594" s="102"/>
      <c r="BD594" s="102"/>
      <c r="BE594" s="102"/>
      <c r="BF594" s="102"/>
      <c r="BG594" s="102"/>
      <c r="BH594" s="102"/>
      <c r="BI594" s="102"/>
      <c r="BJ594" s="102"/>
      <c r="BK594" s="102"/>
      <c r="BL594" s="102"/>
      <c r="BM594" s="102"/>
      <c r="BN594" s="102"/>
      <c r="BO594" s="102"/>
      <c r="BP594" s="102"/>
      <c r="BQ594" s="102"/>
      <c r="BR594" s="102"/>
      <c r="BS594" s="102"/>
      <c r="BT594" s="102"/>
      <c r="BU594" s="102"/>
      <c r="BV594" s="102"/>
      <c r="BW594" s="102"/>
      <c r="BX594" s="102"/>
      <c r="BY594" s="102"/>
      <c r="BZ594" s="102"/>
      <c r="CA594" s="464"/>
      <c r="CB594" s="102"/>
      <c r="CC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474">
        <v>592.0</v>
      </c>
      <c r="AB595" s="474">
        <f t="shared" si="10"/>
        <v>597</v>
      </c>
      <c r="AC595" s="476">
        <f t="shared" si="11"/>
        <v>793</v>
      </c>
      <c r="AD595" s="474">
        <f t="shared" si="12"/>
        <v>988</v>
      </c>
      <c r="AE595" s="474">
        <f t="shared" si="13"/>
        <v>652</v>
      </c>
      <c r="AF595" s="474">
        <f t="shared" si="14"/>
        <v>793</v>
      </c>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c r="BC595" s="102"/>
      <c r="BD595" s="102"/>
      <c r="BE595" s="102"/>
      <c r="BF595" s="102"/>
      <c r="BG595" s="102"/>
      <c r="BH595" s="102"/>
      <c r="BI595" s="102"/>
      <c r="BJ595" s="102"/>
      <c r="BK595" s="102"/>
      <c r="BL595" s="102"/>
      <c r="BM595" s="102"/>
      <c r="BN595" s="102"/>
      <c r="BO595" s="102"/>
      <c r="BP595" s="102"/>
      <c r="BQ595" s="102"/>
      <c r="BR595" s="102"/>
      <c r="BS595" s="102"/>
      <c r="BT595" s="102"/>
      <c r="BU595" s="102"/>
      <c r="BV595" s="102"/>
      <c r="BW595" s="102"/>
      <c r="BX595" s="102"/>
      <c r="BY595" s="102"/>
      <c r="BZ595" s="102"/>
      <c r="CA595" s="464"/>
      <c r="CB595" s="102"/>
      <c r="CC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474">
        <v>593.0</v>
      </c>
      <c r="AB596" s="474">
        <f t="shared" si="10"/>
        <v>598</v>
      </c>
      <c r="AC596" s="476">
        <f t="shared" si="11"/>
        <v>794</v>
      </c>
      <c r="AD596" s="474">
        <f t="shared" si="12"/>
        <v>990</v>
      </c>
      <c r="AE596" s="474">
        <f t="shared" si="13"/>
        <v>653</v>
      </c>
      <c r="AF596" s="474">
        <f t="shared" si="14"/>
        <v>794</v>
      </c>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c r="BC596" s="102"/>
      <c r="BD596" s="102"/>
      <c r="BE596" s="102"/>
      <c r="BF596" s="102"/>
      <c r="BG596" s="102"/>
      <c r="BH596" s="102"/>
      <c r="BI596" s="102"/>
      <c r="BJ596" s="102"/>
      <c r="BK596" s="102"/>
      <c r="BL596" s="102"/>
      <c r="BM596" s="102"/>
      <c r="BN596" s="102"/>
      <c r="BO596" s="102"/>
      <c r="BP596" s="102"/>
      <c r="BQ596" s="102"/>
      <c r="BR596" s="102"/>
      <c r="BS596" s="102"/>
      <c r="BT596" s="102"/>
      <c r="BU596" s="102"/>
      <c r="BV596" s="102"/>
      <c r="BW596" s="102"/>
      <c r="BX596" s="102"/>
      <c r="BY596" s="102"/>
      <c r="BZ596" s="102"/>
      <c r="CA596" s="464"/>
      <c r="CB596" s="102"/>
      <c r="CC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474">
        <v>594.0</v>
      </c>
      <c r="AB597" s="474">
        <f t="shared" si="10"/>
        <v>599</v>
      </c>
      <c r="AC597" s="476">
        <f t="shared" si="11"/>
        <v>795</v>
      </c>
      <c r="AD597" s="474">
        <f t="shared" si="12"/>
        <v>991</v>
      </c>
      <c r="AE597" s="474">
        <f t="shared" si="13"/>
        <v>654</v>
      </c>
      <c r="AF597" s="474">
        <f t="shared" si="14"/>
        <v>795</v>
      </c>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c r="BC597" s="102"/>
      <c r="BD597" s="102"/>
      <c r="BE597" s="102"/>
      <c r="BF597" s="102"/>
      <c r="BG597" s="102"/>
      <c r="BH597" s="102"/>
      <c r="BI597" s="102"/>
      <c r="BJ597" s="102"/>
      <c r="BK597" s="102"/>
      <c r="BL597" s="102"/>
      <c r="BM597" s="102"/>
      <c r="BN597" s="102"/>
      <c r="BO597" s="102"/>
      <c r="BP597" s="102"/>
      <c r="BQ597" s="102"/>
      <c r="BR597" s="102"/>
      <c r="BS597" s="102"/>
      <c r="BT597" s="102"/>
      <c r="BU597" s="102"/>
      <c r="BV597" s="102"/>
      <c r="BW597" s="102"/>
      <c r="BX597" s="102"/>
      <c r="BY597" s="102"/>
      <c r="BZ597" s="102"/>
      <c r="CA597" s="464"/>
      <c r="CB597" s="102"/>
      <c r="CC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474">
        <v>595.0</v>
      </c>
      <c r="AB598" s="474">
        <f t="shared" si="10"/>
        <v>600</v>
      </c>
      <c r="AC598" s="476">
        <f t="shared" si="11"/>
        <v>797</v>
      </c>
      <c r="AD598" s="474">
        <f t="shared" si="12"/>
        <v>993</v>
      </c>
      <c r="AE598" s="474">
        <f t="shared" si="13"/>
        <v>655</v>
      </c>
      <c r="AF598" s="474">
        <f t="shared" si="14"/>
        <v>797</v>
      </c>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c r="BC598" s="102"/>
      <c r="BD598" s="102"/>
      <c r="BE598" s="102"/>
      <c r="BF598" s="102"/>
      <c r="BG598" s="102"/>
      <c r="BH598" s="102"/>
      <c r="BI598" s="102"/>
      <c r="BJ598" s="102"/>
      <c r="BK598" s="102"/>
      <c r="BL598" s="102"/>
      <c r="BM598" s="102"/>
      <c r="BN598" s="102"/>
      <c r="BO598" s="102"/>
      <c r="BP598" s="102"/>
      <c r="BQ598" s="102"/>
      <c r="BR598" s="102"/>
      <c r="BS598" s="102"/>
      <c r="BT598" s="102"/>
      <c r="BU598" s="102"/>
      <c r="BV598" s="102"/>
      <c r="BW598" s="102"/>
      <c r="BX598" s="102"/>
      <c r="BY598" s="102"/>
      <c r="BZ598" s="102"/>
      <c r="CA598" s="464"/>
      <c r="CB598" s="102"/>
      <c r="CC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474">
        <v>596.0</v>
      </c>
      <c r="AB599" s="474">
        <f t="shared" si="10"/>
        <v>601</v>
      </c>
      <c r="AC599" s="476">
        <f t="shared" si="11"/>
        <v>798</v>
      </c>
      <c r="AD599" s="474">
        <f t="shared" si="12"/>
        <v>995</v>
      </c>
      <c r="AE599" s="474">
        <f t="shared" si="13"/>
        <v>656</v>
      </c>
      <c r="AF599" s="474">
        <f t="shared" si="14"/>
        <v>798</v>
      </c>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c r="BC599" s="102"/>
      <c r="BD599" s="102"/>
      <c r="BE599" s="102"/>
      <c r="BF599" s="102"/>
      <c r="BG599" s="102"/>
      <c r="BH599" s="102"/>
      <c r="BI599" s="102"/>
      <c r="BJ599" s="102"/>
      <c r="BK599" s="102"/>
      <c r="BL599" s="102"/>
      <c r="BM599" s="102"/>
      <c r="BN599" s="102"/>
      <c r="BO599" s="102"/>
      <c r="BP599" s="102"/>
      <c r="BQ599" s="102"/>
      <c r="BR599" s="102"/>
      <c r="BS599" s="102"/>
      <c r="BT599" s="102"/>
      <c r="BU599" s="102"/>
      <c r="BV599" s="102"/>
      <c r="BW599" s="102"/>
      <c r="BX599" s="102"/>
      <c r="BY599" s="102"/>
      <c r="BZ599" s="102"/>
      <c r="CA599" s="464"/>
      <c r="CB599" s="102"/>
      <c r="CC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474">
        <v>597.0</v>
      </c>
      <c r="AB600" s="474">
        <f t="shared" si="10"/>
        <v>602</v>
      </c>
      <c r="AC600" s="476">
        <f t="shared" si="11"/>
        <v>799</v>
      </c>
      <c r="AD600" s="474">
        <f t="shared" si="12"/>
        <v>996</v>
      </c>
      <c r="AE600" s="474">
        <f t="shared" si="13"/>
        <v>657</v>
      </c>
      <c r="AF600" s="474">
        <f t="shared" si="14"/>
        <v>799</v>
      </c>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c r="BC600" s="102"/>
      <c r="BD600" s="102"/>
      <c r="BE600" s="102"/>
      <c r="BF600" s="102"/>
      <c r="BG600" s="102"/>
      <c r="BH600" s="102"/>
      <c r="BI600" s="102"/>
      <c r="BJ600" s="102"/>
      <c r="BK600" s="102"/>
      <c r="BL600" s="102"/>
      <c r="BM600" s="102"/>
      <c r="BN600" s="102"/>
      <c r="BO600" s="102"/>
      <c r="BP600" s="102"/>
      <c r="BQ600" s="102"/>
      <c r="BR600" s="102"/>
      <c r="BS600" s="102"/>
      <c r="BT600" s="102"/>
      <c r="BU600" s="102"/>
      <c r="BV600" s="102"/>
      <c r="BW600" s="102"/>
      <c r="BX600" s="102"/>
      <c r="BY600" s="102"/>
      <c r="BZ600" s="102"/>
      <c r="CA600" s="464"/>
      <c r="CB600" s="102"/>
      <c r="CC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474">
        <v>598.0</v>
      </c>
      <c r="AB601" s="474">
        <f t="shared" si="10"/>
        <v>603</v>
      </c>
      <c r="AC601" s="476">
        <f t="shared" si="11"/>
        <v>801</v>
      </c>
      <c r="AD601" s="474">
        <f t="shared" si="12"/>
        <v>998</v>
      </c>
      <c r="AE601" s="474">
        <f t="shared" si="13"/>
        <v>658</v>
      </c>
      <c r="AF601" s="474">
        <f t="shared" si="14"/>
        <v>801</v>
      </c>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c r="BC601" s="102"/>
      <c r="BD601" s="102"/>
      <c r="BE601" s="102"/>
      <c r="BF601" s="102"/>
      <c r="BG601" s="102"/>
      <c r="BH601" s="102"/>
      <c r="BI601" s="102"/>
      <c r="BJ601" s="102"/>
      <c r="BK601" s="102"/>
      <c r="BL601" s="102"/>
      <c r="BM601" s="102"/>
      <c r="BN601" s="102"/>
      <c r="BO601" s="102"/>
      <c r="BP601" s="102"/>
      <c r="BQ601" s="102"/>
      <c r="BR601" s="102"/>
      <c r="BS601" s="102"/>
      <c r="BT601" s="102"/>
      <c r="BU601" s="102"/>
      <c r="BV601" s="102"/>
      <c r="BW601" s="102"/>
      <c r="BX601" s="102"/>
      <c r="BY601" s="102"/>
      <c r="BZ601" s="102"/>
      <c r="CA601" s="464"/>
      <c r="CB601" s="102"/>
      <c r="CC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474">
        <v>599.0</v>
      </c>
      <c r="AB602" s="474">
        <f t="shared" si="10"/>
        <v>604</v>
      </c>
      <c r="AC602" s="476">
        <f t="shared" si="11"/>
        <v>802</v>
      </c>
      <c r="AD602" s="474">
        <f t="shared" si="12"/>
        <v>1000</v>
      </c>
      <c r="AE602" s="474">
        <f t="shared" si="13"/>
        <v>659</v>
      </c>
      <c r="AF602" s="474">
        <f t="shared" si="14"/>
        <v>802</v>
      </c>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c r="BC602" s="102"/>
      <c r="BD602" s="102"/>
      <c r="BE602" s="102"/>
      <c r="BF602" s="102"/>
      <c r="BG602" s="102"/>
      <c r="BH602" s="102"/>
      <c r="BI602" s="102"/>
      <c r="BJ602" s="102"/>
      <c r="BK602" s="102"/>
      <c r="BL602" s="102"/>
      <c r="BM602" s="102"/>
      <c r="BN602" s="102"/>
      <c r="BO602" s="102"/>
      <c r="BP602" s="102"/>
      <c r="BQ602" s="102"/>
      <c r="BR602" s="102"/>
      <c r="BS602" s="102"/>
      <c r="BT602" s="102"/>
      <c r="BU602" s="102"/>
      <c r="BV602" s="102"/>
      <c r="BW602" s="102"/>
      <c r="BX602" s="102"/>
      <c r="BY602" s="102"/>
      <c r="BZ602" s="102"/>
      <c r="CA602" s="464"/>
      <c r="CB602" s="102"/>
      <c r="CC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474">
        <v>600.0</v>
      </c>
      <c r="AB603" s="474">
        <f t="shared" si="10"/>
        <v>605</v>
      </c>
      <c r="AC603" s="476">
        <f t="shared" si="11"/>
        <v>804</v>
      </c>
      <c r="AD603" s="474">
        <f t="shared" si="12"/>
        <v>1002</v>
      </c>
      <c r="AE603" s="474">
        <f t="shared" si="13"/>
        <v>660</v>
      </c>
      <c r="AF603" s="474">
        <f t="shared" si="14"/>
        <v>804</v>
      </c>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c r="BC603" s="102"/>
      <c r="BD603" s="102"/>
      <c r="BE603" s="102"/>
      <c r="BF603" s="102"/>
      <c r="BG603" s="102"/>
      <c r="BH603" s="102"/>
      <c r="BI603" s="102"/>
      <c r="BJ603" s="102"/>
      <c r="BK603" s="102"/>
      <c r="BL603" s="102"/>
      <c r="BM603" s="102"/>
      <c r="BN603" s="102"/>
      <c r="BO603" s="102"/>
      <c r="BP603" s="102"/>
      <c r="BQ603" s="102"/>
      <c r="BR603" s="102"/>
      <c r="BS603" s="102"/>
      <c r="BT603" s="102"/>
      <c r="BU603" s="102"/>
      <c r="BV603" s="102"/>
      <c r="BW603" s="102"/>
      <c r="BX603" s="102"/>
      <c r="BY603" s="102"/>
      <c r="BZ603" s="102"/>
      <c r="CA603" s="464"/>
      <c r="CB603" s="102"/>
      <c r="CC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474">
        <v>601.0</v>
      </c>
      <c r="AB604" s="474">
        <f t="shared" si="10"/>
        <v>606</v>
      </c>
      <c r="AC604" s="476">
        <f t="shared" si="11"/>
        <v>805</v>
      </c>
      <c r="AD604" s="474">
        <f t="shared" si="12"/>
        <v>1003</v>
      </c>
      <c r="AE604" s="474">
        <f t="shared" si="13"/>
        <v>662</v>
      </c>
      <c r="AF604" s="474">
        <f t="shared" si="14"/>
        <v>805</v>
      </c>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c r="BC604" s="102"/>
      <c r="BD604" s="102"/>
      <c r="BE604" s="102"/>
      <c r="BF604" s="102"/>
      <c r="BG604" s="102"/>
      <c r="BH604" s="102"/>
      <c r="BI604" s="102"/>
      <c r="BJ604" s="102"/>
      <c r="BK604" s="102"/>
      <c r="BL604" s="102"/>
      <c r="BM604" s="102"/>
      <c r="BN604" s="102"/>
      <c r="BO604" s="102"/>
      <c r="BP604" s="102"/>
      <c r="BQ604" s="102"/>
      <c r="BR604" s="102"/>
      <c r="BS604" s="102"/>
      <c r="BT604" s="102"/>
      <c r="BU604" s="102"/>
      <c r="BV604" s="102"/>
      <c r="BW604" s="102"/>
      <c r="BX604" s="102"/>
      <c r="BY604" s="102"/>
      <c r="BZ604" s="102"/>
      <c r="CA604" s="464"/>
      <c r="CB604" s="102"/>
      <c r="CC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474">
        <v>602.0</v>
      </c>
      <c r="AB605" s="474">
        <f t="shared" si="10"/>
        <v>607</v>
      </c>
      <c r="AC605" s="476">
        <f t="shared" si="11"/>
        <v>806</v>
      </c>
      <c r="AD605" s="474">
        <f t="shared" si="12"/>
        <v>1005</v>
      </c>
      <c r="AE605" s="474">
        <f t="shared" si="13"/>
        <v>663</v>
      </c>
      <c r="AF605" s="474">
        <f t="shared" si="14"/>
        <v>806</v>
      </c>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c r="BC605" s="102"/>
      <c r="BD605" s="102"/>
      <c r="BE605" s="102"/>
      <c r="BF605" s="102"/>
      <c r="BG605" s="102"/>
      <c r="BH605" s="102"/>
      <c r="BI605" s="102"/>
      <c r="BJ605" s="102"/>
      <c r="BK605" s="102"/>
      <c r="BL605" s="102"/>
      <c r="BM605" s="102"/>
      <c r="BN605" s="102"/>
      <c r="BO605" s="102"/>
      <c r="BP605" s="102"/>
      <c r="BQ605" s="102"/>
      <c r="BR605" s="102"/>
      <c r="BS605" s="102"/>
      <c r="BT605" s="102"/>
      <c r="BU605" s="102"/>
      <c r="BV605" s="102"/>
      <c r="BW605" s="102"/>
      <c r="BX605" s="102"/>
      <c r="BY605" s="102"/>
      <c r="BZ605" s="102"/>
      <c r="CA605" s="464"/>
      <c r="CB605" s="102"/>
      <c r="CC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474">
        <v>603.0</v>
      </c>
      <c r="AB606" s="474">
        <f t="shared" si="10"/>
        <v>608</v>
      </c>
      <c r="AC606" s="476">
        <f t="shared" si="11"/>
        <v>808</v>
      </c>
      <c r="AD606" s="474">
        <f t="shared" si="12"/>
        <v>1007</v>
      </c>
      <c r="AE606" s="474">
        <f t="shared" si="13"/>
        <v>664</v>
      </c>
      <c r="AF606" s="474">
        <f t="shared" si="14"/>
        <v>808</v>
      </c>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c r="BC606" s="102"/>
      <c r="BD606" s="102"/>
      <c r="BE606" s="102"/>
      <c r="BF606" s="102"/>
      <c r="BG606" s="102"/>
      <c r="BH606" s="102"/>
      <c r="BI606" s="102"/>
      <c r="BJ606" s="102"/>
      <c r="BK606" s="102"/>
      <c r="BL606" s="102"/>
      <c r="BM606" s="102"/>
      <c r="BN606" s="102"/>
      <c r="BO606" s="102"/>
      <c r="BP606" s="102"/>
      <c r="BQ606" s="102"/>
      <c r="BR606" s="102"/>
      <c r="BS606" s="102"/>
      <c r="BT606" s="102"/>
      <c r="BU606" s="102"/>
      <c r="BV606" s="102"/>
      <c r="BW606" s="102"/>
      <c r="BX606" s="102"/>
      <c r="BY606" s="102"/>
      <c r="BZ606" s="102"/>
      <c r="CA606" s="464"/>
      <c r="CB606" s="102"/>
      <c r="CC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474">
        <v>604.0</v>
      </c>
      <c r="AB607" s="474">
        <f t="shared" si="10"/>
        <v>609</v>
      </c>
      <c r="AC607" s="476">
        <f t="shared" si="11"/>
        <v>809</v>
      </c>
      <c r="AD607" s="474">
        <f t="shared" si="12"/>
        <v>1008</v>
      </c>
      <c r="AE607" s="474">
        <f t="shared" si="13"/>
        <v>665</v>
      </c>
      <c r="AF607" s="474">
        <f t="shared" si="14"/>
        <v>809</v>
      </c>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c r="BC607" s="102"/>
      <c r="BD607" s="102"/>
      <c r="BE607" s="102"/>
      <c r="BF607" s="102"/>
      <c r="BG607" s="102"/>
      <c r="BH607" s="102"/>
      <c r="BI607" s="102"/>
      <c r="BJ607" s="102"/>
      <c r="BK607" s="102"/>
      <c r="BL607" s="102"/>
      <c r="BM607" s="102"/>
      <c r="BN607" s="102"/>
      <c r="BO607" s="102"/>
      <c r="BP607" s="102"/>
      <c r="BQ607" s="102"/>
      <c r="BR607" s="102"/>
      <c r="BS607" s="102"/>
      <c r="BT607" s="102"/>
      <c r="BU607" s="102"/>
      <c r="BV607" s="102"/>
      <c r="BW607" s="102"/>
      <c r="BX607" s="102"/>
      <c r="BY607" s="102"/>
      <c r="BZ607" s="102"/>
      <c r="CA607" s="464"/>
      <c r="CB607" s="102"/>
      <c r="CC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474">
        <v>605.0</v>
      </c>
      <c r="AB608" s="474">
        <f t="shared" si="10"/>
        <v>610</v>
      </c>
      <c r="AC608" s="476">
        <f t="shared" si="11"/>
        <v>810</v>
      </c>
      <c r="AD608" s="474">
        <f t="shared" si="12"/>
        <v>1010</v>
      </c>
      <c r="AE608" s="474">
        <f t="shared" si="13"/>
        <v>666</v>
      </c>
      <c r="AF608" s="474">
        <f t="shared" si="14"/>
        <v>810</v>
      </c>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c r="BC608" s="102"/>
      <c r="BD608" s="102"/>
      <c r="BE608" s="102"/>
      <c r="BF608" s="102"/>
      <c r="BG608" s="102"/>
      <c r="BH608" s="102"/>
      <c r="BI608" s="102"/>
      <c r="BJ608" s="102"/>
      <c r="BK608" s="102"/>
      <c r="BL608" s="102"/>
      <c r="BM608" s="102"/>
      <c r="BN608" s="102"/>
      <c r="BO608" s="102"/>
      <c r="BP608" s="102"/>
      <c r="BQ608" s="102"/>
      <c r="BR608" s="102"/>
      <c r="BS608" s="102"/>
      <c r="BT608" s="102"/>
      <c r="BU608" s="102"/>
      <c r="BV608" s="102"/>
      <c r="BW608" s="102"/>
      <c r="BX608" s="102"/>
      <c r="BY608" s="102"/>
      <c r="BZ608" s="102"/>
      <c r="CA608" s="464"/>
      <c r="CB608" s="102"/>
      <c r="CC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474">
        <v>606.0</v>
      </c>
      <c r="AB609" s="474">
        <f t="shared" si="10"/>
        <v>611</v>
      </c>
      <c r="AC609" s="476">
        <f t="shared" si="11"/>
        <v>812</v>
      </c>
      <c r="AD609" s="474">
        <f t="shared" si="12"/>
        <v>1012</v>
      </c>
      <c r="AE609" s="474">
        <f t="shared" si="13"/>
        <v>667</v>
      </c>
      <c r="AF609" s="474">
        <f t="shared" si="14"/>
        <v>812</v>
      </c>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c r="BC609" s="102"/>
      <c r="BD609" s="102"/>
      <c r="BE609" s="102"/>
      <c r="BF609" s="102"/>
      <c r="BG609" s="102"/>
      <c r="BH609" s="102"/>
      <c r="BI609" s="102"/>
      <c r="BJ609" s="102"/>
      <c r="BK609" s="102"/>
      <c r="BL609" s="102"/>
      <c r="BM609" s="102"/>
      <c r="BN609" s="102"/>
      <c r="BO609" s="102"/>
      <c r="BP609" s="102"/>
      <c r="BQ609" s="102"/>
      <c r="BR609" s="102"/>
      <c r="BS609" s="102"/>
      <c r="BT609" s="102"/>
      <c r="BU609" s="102"/>
      <c r="BV609" s="102"/>
      <c r="BW609" s="102"/>
      <c r="BX609" s="102"/>
      <c r="BY609" s="102"/>
      <c r="BZ609" s="102"/>
      <c r="CA609" s="464"/>
      <c r="CB609" s="102"/>
      <c r="CC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474">
        <v>607.0</v>
      </c>
      <c r="AB610" s="474">
        <f t="shared" si="10"/>
        <v>612</v>
      </c>
      <c r="AC610" s="476">
        <f t="shared" si="11"/>
        <v>813</v>
      </c>
      <c r="AD610" s="474">
        <f t="shared" si="12"/>
        <v>1013</v>
      </c>
      <c r="AE610" s="474">
        <f t="shared" si="13"/>
        <v>668</v>
      </c>
      <c r="AF610" s="474">
        <f t="shared" si="14"/>
        <v>813</v>
      </c>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c r="BC610" s="102"/>
      <c r="BD610" s="102"/>
      <c r="BE610" s="102"/>
      <c r="BF610" s="102"/>
      <c r="BG610" s="102"/>
      <c r="BH610" s="102"/>
      <c r="BI610" s="102"/>
      <c r="BJ610" s="102"/>
      <c r="BK610" s="102"/>
      <c r="BL610" s="102"/>
      <c r="BM610" s="102"/>
      <c r="BN610" s="102"/>
      <c r="BO610" s="102"/>
      <c r="BP610" s="102"/>
      <c r="BQ610" s="102"/>
      <c r="BR610" s="102"/>
      <c r="BS610" s="102"/>
      <c r="BT610" s="102"/>
      <c r="BU610" s="102"/>
      <c r="BV610" s="102"/>
      <c r="BW610" s="102"/>
      <c r="BX610" s="102"/>
      <c r="BY610" s="102"/>
      <c r="BZ610" s="102"/>
      <c r="CA610" s="464"/>
      <c r="CB610" s="102"/>
      <c r="CC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474">
        <v>608.0</v>
      </c>
      <c r="AB611" s="474">
        <f t="shared" si="10"/>
        <v>613</v>
      </c>
      <c r="AC611" s="476">
        <f t="shared" si="11"/>
        <v>814</v>
      </c>
      <c r="AD611" s="474">
        <f t="shared" si="12"/>
        <v>1015</v>
      </c>
      <c r="AE611" s="474">
        <f t="shared" si="13"/>
        <v>669</v>
      </c>
      <c r="AF611" s="474">
        <f t="shared" si="14"/>
        <v>814</v>
      </c>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c r="BC611" s="102"/>
      <c r="BD611" s="102"/>
      <c r="BE611" s="102"/>
      <c r="BF611" s="102"/>
      <c r="BG611" s="102"/>
      <c r="BH611" s="102"/>
      <c r="BI611" s="102"/>
      <c r="BJ611" s="102"/>
      <c r="BK611" s="102"/>
      <c r="BL611" s="102"/>
      <c r="BM611" s="102"/>
      <c r="BN611" s="102"/>
      <c r="BO611" s="102"/>
      <c r="BP611" s="102"/>
      <c r="BQ611" s="102"/>
      <c r="BR611" s="102"/>
      <c r="BS611" s="102"/>
      <c r="BT611" s="102"/>
      <c r="BU611" s="102"/>
      <c r="BV611" s="102"/>
      <c r="BW611" s="102"/>
      <c r="BX611" s="102"/>
      <c r="BY611" s="102"/>
      <c r="BZ611" s="102"/>
      <c r="CA611" s="464"/>
      <c r="CB611" s="102"/>
      <c r="CC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474">
        <v>609.0</v>
      </c>
      <c r="AB612" s="474">
        <f t="shared" si="10"/>
        <v>614</v>
      </c>
      <c r="AC612" s="476">
        <f t="shared" si="11"/>
        <v>816</v>
      </c>
      <c r="AD612" s="474">
        <f t="shared" si="12"/>
        <v>1017</v>
      </c>
      <c r="AE612" s="474">
        <f t="shared" si="13"/>
        <v>670</v>
      </c>
      <c r="AF612" s="474">
        <f t="shared" si="14"/>
        <v>816</v>
      </c>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c r="BC612" s="102"/>
      <c r="BD612" s="102"/>
      <c r="BE612" s="102"/>
      <c r="BF612" s="102"/>
      <c r="BG612" s="102"/>
      <c r="BH612" s="102"/>
      <c r="BI612" s="102"/>
      <c r="BJ612" s="102"/>
      <c r="BK612" s="102"/>
      <c r="BL612" s="102"/>
      <c r="BM612" s="102"/>
      <c r="BN612" s="102"/>
      <c r="BO612" s="102"/>
      <c r="BP612" s="102"/>
      <c r="BQ612" s="102"/>
      <c r="BR612" s="102"/>
      <c r="BS612" s="102"/>
      <c r="BT612" s="102"/>
      <c r="BU612" s="102"/>
      <c r="BV612" s="102"/>
      <c r="BW612" s="102"/>
      <c r="BX612" s="102"/>
      <c r="BY612" s="102"/>
      <c r="BZ612" s="102"/>
      <c r="CA612" s="464"/>
      <c r="CB612" s="102"/>
      <c r="CC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474">
        <v>610.0</v>
      </c>
      <c r="AB613" s="474">
        <f t="shared" si="10"/>
        <v>615</v>
      </c>
      <c r="AC613" s="476">
        <f t="shared" si="11"/>
        <v>817</v>
      </c>
      <c r="AD613" s="474">
        <f t="shared" si="12"/>
        <v>1018</v>
      </c>
      <c r="AE613" s="474">
        <f t="shared" si="13"/>
        <v>671</v>
      </c>
      <c r="AF613" s="474">
        <f t="shared" si="14"/>
        <v>817</v>
      </c>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c r="BC613" s="102"/>
      <c r="BD613" s="102"/>
      <c r="BE613" s="102"/>
      <c r="BF613" s="102"/>
      <c r="BG613" s="102"/>
      <c r="BH613" s="102"/>
      <c r="BI613" s="102"/>
      <c r="BJ613" s="102"/>
      <c r="BK613" s="102"/>
      <c r="BL613" s="102"/>
      <c r="BM613" s="102"/>
      <c r="BN613" s="102"/>
      <c r="BO613" s="102"/>
      <c r="BP613" s="102"/>
      <c r="BQ613" s="102"/>
      <c r="BR613" s="102"/>
      <c r="BS613" s="102"/>
      <c r="BT613" s="102"/>
      <c r="BU613" s="102"/>
      <c r="BV613" s="102"/>
      <c r="BW613" s="102"/>
      <c r="BX613" s="102"/>
      <c r="BY613" s="102"/>
      <c r="BZ613" s="102"/>
      <c r="CA613" s="464"/>
      <c r="CB613" s="102"/>
      <c r="CC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474">
        <v>611.0</v>
      </c>
      <c r="AB614" s="474">
        <f t="shared" si="10"/>
        <v>616</v>
      </c>
      <c r="AC614" s="476">
        <f t="shared" si="11"/>
        <v>818</v>
      </c>
      <c r="AD614" s="474">
        <f t="shared" si="12"/>
        <v>1020</v>
      </c>
      <c r="AE614" s="474">
        <f t="shared" si="13"/>
        <v>673</v>
      </c>
      <c r="AF614" s="474">
        <f t="shared" si="14"/>
        <v>818</v>
      </c>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c r="BC614" s="102"/>
      <c r="BD614" s="102"/>
      <c r="BE614" s="102"/>
      <c r="BF614" s="102"/>
      <c r="BG614" s="102"/>
      <c r="BH614" s="102"/>
      <c r="BI614" s="102"/>
      <c r="BJ614" s="102"/>
      <c r="BK614" s="102"/>
      <c r="BL614" s="102"/>
      <c r="BM614" s="102"/>
      <c r="BN614" s="102"/>
      <c r="BO614" s="102"/>
      <c r="BP614" s="102"/>
      <c r="BQ614" s="102"/>
      <c r="BR614" s="102"/>
      <c r="BS614" s="102"/>
      <c r="BT614" s="102"/>
      <c r="BU614" s="102"/>
      <c r="BV614" s="102"/>
      <c r="BW614" s="102"/>
      <c r="BX614" s="102"/>
      <c r="BY614" s="102"/>
      <c r="BZ614" s="102"/>
      <c r="CA614" s="464"/>
      <c r="CB614" s="102"/>
      <c r="CC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474">
        <v>612.0</v>
      </c>
      <c r="AB615" s="474">
        <f t="shared" si="10"/>
        <v>617</v>
      </c>
      <c r="AC615" s="476">
        <f t="shared" si="11"/>
        <v>820</v>
      </c>
      <c r="AD615" s="474">
        <f t="shared" si="12"/>
        <v>1022</v>
      </c>
      <c r="AE615" s="474">
        <f t="shared" si="13"/>
        <v>674</v>
      </c>
      <c r="AF615" s="474">
        <f t="shared" si="14"/>
        <v>820</v>
      </c>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c r="BC615" s="102"/>
      <c r="BD615" s="102"/>
      <c r="BE615" s="102"/>
      <c r="BF615" s="102"/>
      <c r="BG615" s="102"/>
      <c r="BH615" s="102"/>
      <c r="BI615" s="102"/>
      <c r="BJ615" s="102"/>
      <c r="BK615" s="102"/>
      <c r="BL615" s="102"/>
      <c r="BM615" s="102"/>
      <c r="BN615" s="102"/>
      <c r="BO615" s="102"/>
      <c r="BP615" s="102"/>
      <c r="BQ615" s="102"/>
      <c r="BR615" s="102"/>
      <c r="BS615" s="102"/>
      <c r="BT615" s="102"/>
      <c r="BU615" s="102"/>
      <c r="BV615" s="102"/>
      <c r="BW615" s="102"/>
      <c r="BX615" s="102"/>
      <c r="BY615" s="102"/>
      <c r="BZ615" s="102"/>
      <c r="CA615" s="464"/>
      <c r="CB615" s="102"/>
      <c r="CC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474">
        <v>613.0</v>
      </c>
      <c r="AB616" s="474">
        <f t="shared" si="10"/>
        <v>618</v>
      </c>
      <c r="AC616" s="476">
        <f t="shared" si="11"/>
        <v>821</v>
      </c>
      <c r="AD616" s="474">
        <f t="shared" si="12"/>
        <v>1023</v>
      </c>
      <c r="AE616" s="474">
        <f t="shared" si="13"/>
        <v>675</v>
      </c>
      <c r="AF616" s="474">
        <f t="shared" si="14"/>
        <v>821</v>
      </c>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c r="BC616" s="102"/>
      <c r="BD616" s="102"/>
      <c r="BE616" s="102"/>
      <c r="BF616" s="102"/>
      <c r="BG616" s="102"/>
      <c r="BH616" s="102"/>
      <c r="BI616" s="102"/>
      <c r="BJ616" s="102"/>
      <c r="BK616" s="102"/>
      <c r="BL616" s="102"/>
      <c r="BM616" s="102"/>
      <c r="BN616" s="102"/>
      <c r="BO616" s="102"/>
      <c r="BP616" s="102"/>
      <c r="BQ616" s="102"/>
      <c r="BR616" s="102"/>
      <c r="BS616" s="102"/>
      <c r="BT616" s="102"/>
      <c r="BU616" s="102"/>
      <c r="BV616" s="102"/>
      <c r="BW616" s="102"/>
      <c r="BX616" s="102"/>
      <c r="BY616" s="102"/>
      <c r="BZ616" s="102"/>
      <c r="CA616" s="464"/>
      <c r="CB616" s="102"/>
      <c r="CC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474">
        <v>614.0</v>
      </c>
      <c r="AB617" s="474">
        <f t="shared" si="10"/>
        <v>619</v>
      </c>
      <c r="AC617" s="476">
        <f t="shared" si="11"/>
        <v>822</v>
      </c>
      <c r="AD617" s="474">
        <f t="shared" si="12"/>
        <v>1025</v>
      </c>
      <c r="AE617" s="474">
        <f t="shared" si="13"/>
        <v>676</v>
      </c>
      <c r="AF617" s="474">
        <f t="shared" si="14"/>
        <v>822</v>
      </c>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c r="BC617" s="102"/>
      <c r="BD617" s="102"/>
      <c r="BE617" s="102"/>
      <c r="BF617" s="102"/>
      <c r="BG617" s="102"/>
      <c r="BH617" s="102"/>
      <c r="BI617" s="102"/>
      <c r="BJ617" s="102"/>
      <c r="BK617" s="102"/>
      <c r="BL617" s="102"/>
      <c r="BM617" s="102"/>
      <c r="BN617" s="102"/>
      <c r="BO617" s="102"/>
      <c r="BP617" s="102"/>
      <c r="BQ617" s="102"/>
      <c r="BR617" s="102"/>
      <c r="BS617" s="102"/>
      <c r="BT617" s="102"/>
      <c r="BU617" s="102"/>
      <c r="BV617" s="102"/>
      <c r="BW617" s="102"/>
      <c r="BX617" s="102"/>
      <c r="BY617" s="102"/>
      <c r="BZ617" s="102"/>
      <c r="CA617" s="464"/>
      <c r="CB617" s="102"/>
      <c r="CC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474">
        <v>615.0</v>
      </c>
      <c r="AB618" s="474">
        <f t="shared" si="10"/>
        <v>620</v>
      </c>
      <c r="AC618" s="476">
        <f t="shared" si="11"/>
        <v>824</v>
      </c>
      <c r="AD618" s="474">
        <f t="shared" si="12"/>
        <v>1027</v>
      </c>
      <c r="AE618" s="474">
        <f t="shared" si="13"/>
        <v>677</v>
      </c>
      <c r="AF618" s="474">
        <f t="shared" si="14"/>
        <v>824</v>
      </c>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c r="BC618" s="102"/>
      <c r="BD618" s="102"/>
      <c r="BE618" s="102"/>
      <c r="BF618" s="102"/>
      <c r="BG618" s="102"/>
      <c r="BH618" s="102"/>
      <c r="BI618" s="102"/>
      <c r="BJ618" s="102"/>
      <c r="BK618" s="102"/>
      <c r="BL618" s="102"/>
      <c r="BM618" s="102"/>
      <c r="BN618" s="102"/>
      <c r="BO618" s="102"/>
      <c r="BP618" s="102"/>
      <c r="BQ618" s="102"/>
      <c r="BR618" s="102"/>
      <c r="BS618" s="102"/>
      <c r="BT618" s="102"/>
      <c r="BU618" s="102"/>
      <c r="BV618" s="102"/>
      <c r="BW618" s="102"/>
      <c r="BX618" s="102"/>
      <c r="BY618" s="102"/>
      <c r="BZ618" s="102"/>
      <c r="CA618" s="464"/>
      <c r="CB618" s="102"/>
      <c r="CC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474">
        <v>616.0</v>
      </c>
      <c r="AB619" s="474">
        <f t="shared" si="10"/>
        <v>621</v>
      </c>
      <c r="AC619" s="476">
        <f t="shared" si="11"/>
        <v>825</v>
      </c>
      <c r="AD619" s="474">
        <f t="shared" si="12"/>
        <v>1028</v>
      </c>
      <c r="AE619" s="474">
        <f t="shared" si="13"/>
        <v>678</v>
      </c>
      <c r="AF619" s="474">
        <f t="shared" si="14"/>
        <v>825</v>
      </c>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c r="BC619" s="102"/>
      <c r="BD619" s="102"/>
      <c r="BE619" s="102"/>
      <c r="BF619" s="102"/>
      <c r="BG619" s="102"/>
      <c r="BH619" s="102"/>
      <c r="BI619" s="102"/>
      <c r="BJ619" s="102"/>
      <c r="BK619" s="102"/>
      <c r="BL619" s="102"/>
      <c r="BM619" s="102"/>
      <c r="BN619" s="102"/>
      <c r="BO619" s="102"/>
      <c r="BP619" s="102"/>
      <c r="BQ619" s="102"/>
      <c r="BR619" s="102"/>
      <c r="BS619" s="102"/>
      <c r="BT619" s="102"/>
      <c r="BU619" s="102"/>
      <c r="BV619" s="102"/>
      <c r="BW619" s="102"/>
      <c r="BX619" s="102"/>
      <c r="BY619" s="102"/>
      <c r="BZ619" s="102"/>
      <c r="CA619" s="464"/>
      <c r="CB619" s="102"/>
      <c r="CC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474">
        <v>617.0</v>
      </c>
      <c r="AB620" s="474">
        <f t="shared" si="10"/>
        <v>622</v>
      </c>
      <c r="AC620" s="476">
        <f t="shared" si="11"/>
        <v>826</v>
      </c>
      <c r="AD620" s="474">
        <f t="shared" si="12"/>
        <v>1030</v>
      </c>
      <c r="AE620" s="474">
        <f t="shared" si="13"/>
        <v>679</v>
      </c>
      <c r="AF620" s="474">
        <f t="shared" si="14"/>
        <v>826</v>
      </c>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c r="BC620" s="102"/>
      <c r="BD620" s="102"/>
      <c r="BE620" s="102"/>
      <c r="BF620" s="102"/>
      <c r="BG620" s="102"/>
      <c r="BH620" s="102"/>
      <c r="BI620" s="102"/>
      <c r="BJ620" s="102"/>
      <c r="BK620" s="102"/>
      <c r="BL620" s="102"/>
      <c r="BM620" s="102"/>
      <c r="BN620" s="102"/>
      <c r="BO620" s="102"/>
      <c r="BP620" s="102"/>
      <c r="BQ620" s="102"/>
      <c r="BR620" s="102"/>
      <c r="BS620" s="102"/>
      <c r="BT620" s="102"/>
      <c r="BU620" s="102"/>
      <c r="BV620" s="102"/>
      <c r="BW620" s="102"/>
      <c r="BX620" s="102"/>
      <c r="BY620" s="102"/>
      <c r="BZ620" s="102"/>
      <c r="CA620" s="464"/>
      <c r="CB620" s="102"/>
      <c r="CC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474">
        <v>618.0</v>
      </c>
      <c r="AB621" s="474">
        <f t="shared" si="10"/>
        <v>623</v>
      </c>
      <c r="AC621" s="476">
        <f t="shared" si="11"/>
        <v>828</v>
      </c>
      <c r="AD621" s="474">
        <f t="shared" si="12"/>
        <v>1032</v>
      </c>
      <c r="AE621" s="474">
        <f t="shared" si="13"/>
        <v>680</v>
      </c>
      <c r="AF621" s="474">
        <f t="shared" si="14"/>
        <v>828</v>
      </c>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c r="BC621" s="102"/>
      <c r="BD621" s="102"/>
      <c r="BE621" s="102"/>
      <c r="BF621" s="102"/>
      <c r="BG621" s="102"/>
      <c r="BH621" s="102"/>
      <c r="BI621" s="102"/>
      <c r="BJ621" s="102"/>
      <c r="BK621" s="102"/>
      <c r="BL621" s="102"/>
      <c r="BM621" s="102"/>
      <c r="BN621" s="102"/>
      <c r="BO621" s="102"/>
      <c r="BP621" s="102"/>
      <c r="BQ621" s="102"/>
      <c r="BR621" s="102"/>
      <c r="BS621" s="102"/>
      <c r="BT621" s="102"/>
      <c r="BU621" s="102"/>
      <c r="BV621" s="102"/>
      <c r="BW621" s="102"/>
      <c r="BX621" s="102"/>
      <c r="BY621" s="102"/>
      <c r="BZ621" s="102"/>
      <c r="CA621" s="464"/>
      <c r="CB621" s="102"/>
      <c r="CC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474">
        <v>619.0</v>
      </c>
      <c r="AB622" s="474">
        <f t="shared" si="10"/>
        <v>624</v>
      </c>
      <c r="AC622" s="476">
        <f t="shared" si="11"/>
        <v>829</v>
      </c>
      <c r="AD622" s="474">
        <f t="shared" si="12"/>
        <v>1033</v>
      </c>
      <c r="AE622" s="474">
        <f t="shared" si="13"/>
        <v>681</v>
      </c>
      <c r="AF622" s="474">
        <f t="shared" si="14"/>
        <v>829</v>
      </c>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c r="BC622" s="102"/>
      <c r="BD622" s="102"/>
      <c r="BE622" s="102"/>
      <c r="BF622" s="102"/>
      <c r="BG622" s="102"/>
      <c r="BH622" s="102"/>
      <c r="BI622" s="102"/>
      <c r="BJ622" s="102"/>
      <c r="BK622" s="102"/>
      <c r="BL622" s="102"/>
      <c r="BM622" s="102"/>
      <c r="BN622" s="102"/>
      <c r="BO622" s="102"/>
      <c r="BP622" s="102"/>
      <c r="BQ622" s="102"/>
      <c r="BR622" s="102"/>
      <c r="BS622" s="102"/>
      <c r="BT622" s="102"/>
      <c r="BU622" s="102"/>
      <c r="BV622" s="102"/>
      <c r="BW622" s="102"/>
      <c r="BX622" s="102"/>
      <c r="BY622" s="102"/>
      <c r="BZ622" s="102"/>
      <c r="CA622" s="464"/>
      <c r="CB622" s="102"/>
      <c r="CC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474">
        <v>620.0</v>
      </c>
      <c r="AB623" s="474">
        <f t="shared" si="10"/>
        <v>625</v>
      </c>
      <c r="AC623" s="476">
        <f t="shared" si="11"/>
        <v>830</v>
      </c>
      <c r="AD623" s="474">
        <f t="shared" si="12"/>
        <v>1035</v>
      </c>
      <c r="AE623" s="474">
        <f t="shared" si="13"/>
        <v>682</v>
      </c>
      <c r="AF623" s="474">
        <f t="shared" si="14"/>
        <v>830</v>
      </c>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c r="BC623" s="102"/>
      <c r="BD623" s="102"/>
      <c r="BE623" s="102"/>
      <c r="BF623" s="102"/>
      <c r="BG623" s="102"/>
      <c r="BH623" s="102"/>
      <c r="BI623" s="102"/>
      <c r="BJ623" s="102"/>
      <c r="BK623" s="102"/>
      <c r="BL623" s="102"/>
      <c r="BM623" s="102"/>
      <c r="BN623" s="102"/>
      <c r="BO623" s="102"/>
      <c r="BP623" s="102"/>
      <c r="BQ623" s="102"/>
      <c r="BR623" s="102"/>
      <c r="BS623" s="102"/>
      <c r="BT623" s="102"/>
      <c r="BU623" s="102"/>
      <c r="BV623" s="102"/>
      <c r="BW623" s="102"/>
      <c r="BX623" s="102"/>
      <c r="BY623" s="102"/>
      <c r="BZ623" s="102"/>
      <c r="CA623" s="464"/>
      <c r="CB623" s="102"/>
      <c r="CC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474">
        <v>621.0</v>
      </c>
      <c r="AB624" s="474">
        <f t="shared" si="10"/>
        <v>626</v>
      </c>
      <c r="AC624" s="476">
        <f t="shared" si="11"/>
        <v>832</v>
      </c>
      <c r="AD624" s="474">
        <f t="shared" si="12"/>
        <v>1037</v>
      </c>
      <c r="AE624" s="474">
        <f t="shared" si="13"/>
        <v>684</v>
      </c>
      <c r="AF624" s="474">
        <f t="shared" si="14"/>
        <v>832</v>
      </c>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c r="BC624" s="102"/>
      <c r="BD624" s="102"/>
      <c r="BE624" s="102"/>
      <c r="BF624" s="102"/>
      <c r="BG624" s="102"/>
      <c r="BH624" s="102"/>
      <c r="BI624" s="102"/>
      <c r="BJ624" s="102"/>
      <c r="BK624" s="102"/>
      <c r="BL624" s="102"/>
      <c r="BM624" s="102"/>
      <c r="BN624" s="102"/>
      <c r="BO624" s="102"/>
      <c r="BP624" s="102"/>
      <c r="BQ624" s="102"/>
      <c r="BR624" s="102"/>
      <c r="BS624" s="102"/>
      <c r="BT624" s="102"/>
      <c r="BU624" s="102"/>
      <c r="BV624" s="102"/>
      <c r="BW624" s="102"/>
      <c r="BX624" s="102"/>
      <c r="BY624" s="102"/>
      <c r="BZ624" s="102"/>
      <c r="CA624" s="464"/>
      <c r="CB624" s="102"/>
      <c r="CC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474">
        <v>622.0</v>
      </c>
      <c r="AB625" s="474">
        <f t="shared" si="10"/>
        <v>627</v>
      </c>
      <c r="AC625" s="476">
        <f t="shared" si="11"/>
        <v>833</v>
      </c>
      <c r="AD625" s="474">
        <f t="shared" si="12"/>
        <v>1038</v>
      </c>
      <c r="AE625" s="474">
        <f t="shared" si="13"/>
        <v>685</v>
      </c>
      <c r="AF625" s="474">
        <f t="shared" si="14"/>
        <v>833</v>
      </c>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c r="BC625" s="102"/>
      <c r="BD625" s="102"/>
      <c r="BE625" s="102"/>
      <c r="BF625" s="102"/>
      <c r="BG625" s="102"/>
      <c r="BH625" s="102"/>
      <c r="BI625" s="102"/>
      <c r="BJ625" s="102"/>
      <c r="BK625" s="102"/>
      <c r="BL625" s="102"/>
      <c r="BM625" s="102"/>
      <c r="BN625" s="102"/>
      <c r="BO625" s="102"/>
      <c r="BP625" s="102"/>
      <c r="BQ625" s="102"/>
      <c r="BR625" s="102"/>
      <c r="BS625" s="102"/>
      <c r="BT625" s="102"/>
      <c r="BU625" s="102"/>
      <c r="BV625" s="102"/>
      <c r="BW625" s="102"/>
      <c r="BX625" s="102"/>
      <c r="BY625" s="102"/>
      <c r="BZ625" s="102"/>
      <c r="CA625" s="464"/>
      <c r="CB625" s="102"/>
      <c r="CC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474">
        <v>623.0</v>
      </c>
      <c r="AB626" s="474">
        <f t="shared" si="10"/>
        <v>628</v>
      </c>
      <c r="AC626" s="476">
        <f t="shared" si="11"/>
        <v>834</v>
      </c>
      <c r="AD626" s="474">
        <f t="shared" si="12"/>
        <v>1040</v>
      </c>
      <c r="AE626" s="474">
        <f t="shared" si="13"/>
        <v>686</v>
      </c>
      <c r="AF626" s="474">
        <f t="shared" si="14"/>
        <v>834</v>
      </c>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c r="BC626" s="102"/>
      <c r="BD626" s="102"/>
      <c r="BE626" s="102"/>
      <c r="BF626" s="102"/>
      <c r="BG626" s="102"/>
      <c r="BH626" s="102"/>
      <c r="BI626" s="102"/>
      <c r="BJ626" s="102"/>
      <c r="BK626" s="102"/>
      <c r="BL626" s="102"/>
      <c r="BM626" s="102"/>
      <c r="BN626" s="102"/>
      <c r="BO626" s="102"/>
      <c r="BP626" s="102"/>
      <c r="BQ626" s="102"/>
      <c r="BR626" s="102"/>
      <c r="BS626" s="102"/>
      <c r="BT626" s="102"/>
      <c r="BU626" s="102"/>
      <c r="BV626" s="102"/>
      <c r="BW626" s="102"/>
      <c r="BX626" s="102"/>
      <c r="BY626" s="102"/>
      <c r="BZ626" s="102"/>
      <c r="CA626" s="464"/>
      <c r="CB626" s="102"/>
      <c r="CC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474">
        <v>624.0</v>
      </c>
      <c r="AB627" s="474">
        <f t="shared" si="10"/>
        <v>629</v>
      </c>
      <c r="AC627" s="476">
        <f t="shared" si="11"/>
        <v>836</v>
      </c>
      <c r="AD627" s="474">
        <f t="shared" si="12"/>
        <v>1042</v>
      </c>
      <c r="AE627" s="474">
        <f t="shared" si="13"/>
        <v>687</v>
      </c>
      <c r="AF627" s="474">
        <f t="shared" si="14"/>
        <v>836</v>
      </c>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c r="BC627" s="102"/>
      <c r="BD627" s="102"/>
      <c r="BE627" s="102"/>
      <c r="BF627" s="102"/>
      <c r="BG627" s="102"/>
      <c r="BH627" s="102"/>
      <c r="BI627" s="102"/>
      <c r="BJ627" s="102"/>
      <c r="BK627" s="102"/>
      <c r="BL627" s="102"/>
      <c r="BM627" s="102"/>
      <c r="BN627" s="102"/>
      <c r="BO627" s="102"/>
      <c r="BP627" s="102"/>
      <c r="BQ627" s="102"/>
      <c r="BR627" s="102"/>
      <c r="BS627" s="102"/>
      <c r="BT627" s="102"/>
      <c r="BU627" s="102"/>
      <c r="BV627" s="102"/>
      <c r="BW627" s="102"/>
      <c r="BX627" s="102"/>
      <c r="BY627" s="102"/>
      <c r="BZ627" s="102"/>
      <c r="CA627" s="464"/>
      <c r="CB627" s="102"/>
      <c r="CC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474">
        <v>625.0</v>
      </c>
      <c r="AB628" s="474">
        <f t="shared" si="10"/>
        <v>630</v>
      </c>
      <c r="AC628" s="476">
        <f t="shared" si="11"/>
        <v>837</v>
      </c>
      <c r="AD628" s="474">
        <f t="shared" si="12"/>
        <v>1043</v>
      </c>
      <c r="AE628" s="474">
        <f t="shared" si="13"/>
        <v>688</v>
      </c>
      <c r="AF628" s="474">
        <f t="shared" si="14"/>
        <v>837</v>
      </c>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c r="BC628" s="102"/>
      <c r="BD628" s="102"/>
      <c r="BE628" s="102"/>
      <c r="BF628" s="102"/>
      <c r="BG628" s="102"/>
      <c r="BH628" s="102"/>
      <c r="BI628" s="102"/>
      <c r="BJ628" s="102"/>
      <c r="BK628" s="102"/>
      <c r="BL628" s="102"/>
      <c r="BM628" s="102"/>
      <c r="BN628" s="102"/>
      <c r="BO628" s="102"/>
      <c r="BP628" s="102"/>
      <c r="BQ628" s="102"/>
      <c r="BR628" s="102"/>
      <c r="BS628" s="102"/>
      <c r="BT628" s="102"/>
      <c r="BU628" s="102"/>
      <c r="BV628" s="102"/>
      <c r="BW628" s="102"/>
      <c r="BX628" s="102"/>
      <c r="BY628" s="102"/>
      <c r="BZ628" s="102"/>
      <c r="CA628" s="464"/>
      <c r="CB628" s="102"/>
      <c r="CC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474">
        <v>626.0</v>
      </c>
      <c r="AB629" s="474">
        <f t="shared" si="10"/>
        <v>631</v>
      </c>
      <c r="AC629" s="476">
        <f t="shared" si="11"/>
        <v>838</v>
      </c>
      <c r="AD629" s="474">
        <f t="shared" si="12"/>
        <v>1045</v>
      </c>
      <c r="AE629" s="474">
        <f t="shared" si="13"/>
        <v>689</v>
      </c>
      <c r="AF629" s="474">
        <f t="shared" si="14"/>
        <v>838</v>
      </c>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c r="BC629" s="102"/>
      <c r="BD629" s="102"/>
      <c r="BE629" s="102"/>
      <c r="BF629" s="102"/>
      <c r="BG629" s="102"/>
      <c r="BH629" s="102"/>
      <c r="BI629" s="102"/>
      <c r="BJ629" s="102"/>
      <c r="BK629" s="102"/>
      <c r="BL629" s="102"/>
      <c r="BM629" s="102"/>
      <c r="BN629" s="102"/>
      <c r="BO629" s="102"/>
      <c r="BP629" s="102"/>
      <c r="BQ629" s="102"/>
      <c r="BR629" s="102"/>
      <c r="BS629" s="102"/>
      <c r="BT629" s="102"/>
      <c r="BU629" s="102"/>
      <c r="BV629" s="102"/>
      <c r="BW629" s="102"/>
      <c r="BX629" s="102"/>
      <c r="BY629" s="102"/>
      <c r="BZ629" s="102"/>
      <c r="CA629" s="464"/>
      <c r="CB629" s="102"/>
      <c r="CC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474">
        <v>627.0</v>
      </c>
      <c r="AB630" s="474">
        <f t="shared" si="10"/>
        <v>632</v>
      </c>
      <c r="AC630" s="476">
        <f t="shared" si="11"/>
        <v>840</v>
      </c>
      <c r="AD630" s="474">
        <f t="shared" si="12"/>
        <v>1047</v>
      </c>
      <c r="AE630" s="474">
        <f t="shared" si="13"/>
        <v>690</v>
      </c>
      <c r="AF630" s="474">
        <f t="shared" si="14"/>
        <v>840</v>
      </c>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c r="BC630" s="102"/>
      <c r="BD630" s="102"/>
      <c r="BE630" s="102"/>
      <c r="BF630" s="102"/>
      <c r="BG630" s="102"/>
      <c r="BH630" s="102"/>
      <c r="BI630" s="102"/>
      <c r="BJ630" s="102"/>
      <c r="BK630" s="102"/>
      <c r="BL630" s="102"/>
      <c r="BM630" s="102"/>
      <c r="BN630" s="102"/>
      <c r="BO630" s="102"/>
      <c r="BP630" s="102"/>
      <c r="BQ630" s="102"/>
      <c r="BR630" s="102"/>
      <c r="BS630" s="102"/>
      <c r="BT630" s="102"/>
      <c r="BU630" s="102"/>
      <c r="BV630" s="102"/>
      <c r="BW630" s="102"/>
      <c r="BX630" s="102"/>
      <c r="BY630" s="102"/>
      <c r="BZ630" s="102"/>
      <c r="CA630" s="464"/>
      <c r="CB630" s="102"/>
      <c r="CC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474">
        <v>628.0</v>
      </c>
      <c r="AB631" s="474">
        <f t="shared" si="10"/>
        <v>633</v>
      </c>
      <c r="AC631" s="476">
        <f t="shared" si="11"/>
        <v>841</v>
      </c>
      <c r="AD631" s="474">
        <f t="shared" si="12"/>
        <v>1048</v>
      </c>
      <c r="AE631" s="474">
        <f t="shared" si="13"/>
        <v>691</v>
      </c>
      <c r="AF631" s="474">
        <f t="shared" si="14"/>
        <v>841</v>
      </c>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c r="BC631" s="102"/>
      <c r="BD631" s="102"/>
      <c r="BE631" s="102"/>
      <c r="BF631" s="102"/>
      <c r="BG631" s="102"/>
      <c r="BH631" s="102"/>
      <c r="BI631" s="102"/>
      <c r="BJ631" s="102"/>
      <c r="BK631" s="102"/>
      <c r="BL631" s="102"/>
      <c r="BM631" s="102"/>
      <c r="BN631" s="102"/>
      <c r="BO631" s="102"/>
      <c r="BP631" s="102"/>
      <c r="BQ631" s="102"/>
      <c r="BR631" s="102"/>
      <c r="BS631" s="102"/>
      <c r="BT631" s="102"/>
      <c r="BU631" s="102"/>
      <c r="BV631" s="102"/>
      <c r="BW631" s="102"/>
      <c r="BX631" s="102"/>
      <c r="BY631" s="102"/>
      <c r="BZ631" s="102"/>
      <c r="CA631" s="464"/>
      <c r="CB631" s="102"/>
      <c r="CC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474">
        <v>629.0</v>
      </c>
      <c r="AB632" s="474">
        <f t="shared" si="10"/>
        <v>634</v>
      </c>
      <c r="AC632" s="476">
        <f t="shared" si="11"/>
        <v>842</v>
      </c>
      <c r="AD632" s="474">
        <f t="shared" si="12"/>
        <v>1050</v>
      </c>
      <c r="AE632" s="474">
        <f t="shared" si="13"/>
        <v>692</v>
      </c>
      <c r="AF632" s="474">
        <f t="shared" si="14"/>
        <v>842</v>
      </c>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c r="BC632" s="102"/>
      <c r="BD632" s="102"/>
      <c r="BE632" s="102"/>
      <c r="BF632" s="102"/>
      <c r="BG632" s="102"/>
      <c r="BH632" s="102"/>
      <c r="BI632" s="102"/>
      <c r="BJ632" s="102"/>
      <c r="BK632" s="102"/>
      <c r="BL632" s="102"/>
      <c r="BM632" s="102"/>
      <c r="BN632" s="102"/>
      <c r="BO632" s="102"/>
      <c r="BP632" s="102"/>
      <c r="BQ632" s="102"/>
      <c r="BR632" s="102"/>
      <c r="BS632" s="102"/>
      <c r="BT632" s="102"/>
      <c r="BU632" s="102"/>
      <c r="BV632" s="102"/>
      <c r="BW632" s="102"/>
      <c r="BX632" s="102"/>
      <c r="BY632" s="102"/>
      <c r="BZ632" s="102"/>
      <c r="CA632" s="464"/>
      <c r="CB632" s="102"/>
      <c r="CC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474">
        <v>630.0</v>
      </c>
      <c r="AB633" s="474">
        <f t="shared" si="10"/>
        <v>635</v>
      </c>
      <c r="AC633" s="476">
        <f t="shared" si="11"/>
        <v>844</v>
      </c>
      <c r="AD633" s="474">
        <f t="shared" si="12"/>
        <v>1052</v>
      </c>
      <c r="AE633" s="474">
        <f t="shared" si="13"/>
        <v>693</v>
      </c>
      <c r="AF633" s="474">
        <f t="shared" si="14"/>
        <v>844</v>
      </c>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c r="BC633" s="102"/>
      <c r="BD633" s="102"/>
      <c r="BE633" s="102"/>
      <c r="BF633" s="102"/>
      <c r="BG633" s="102"/>
      <c r="BH633" s="102"/>
      <c r="BI633" s="102"/>
      <c r="BJ633" s="102"/>
      <c r="BK633" s="102"/>
      <c r="BL633" s="102"/>
      <c r="BM633" s="102"/>
      <c r="BN633" s="102"/>
      <c r="BO633" s="102"/>
      <c r="BP633" s="102"/>
      <c r="BQ633" s="102"/>
      <c r="BR633" s="102"/>
      <c r="BS633" s="102"/>
      <c r="BT633" s="102"/>
      <c r="BU633" s="102"/>
      <c r="BV633" s="102"/>
      <c r="BW633" s="102"/>
      <c r="BX633" s="102"/>
      <c r="BY633" s="102"/>
      <c r="BZ633" s="102"/>
      <c r="CA633" s="464"/>
      <c r="CB633" s="102"/>
      <c r="CC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474">
        <v>631.0</v>
      </c>
      <c r="AB634" s="474">
        <f t="shared" si="10"/>
        <v>636</v>
      </c>
      <c r="AC634" s="476">
        <f t="shared" si="11"/>
        <v>845</v>
      </c>
      <c r="AD634" s="474">
        <f t="shared" si="12"/>
        <v>1053</v>
      </c>
      <c r="AE634" s="474">
        <f t="shared" si="13"/>
        <v>695</v>
      </c>
      <c r="AF634" s="474">
        <f t="shared" si="14"/>
        <v>845</v>
      </c>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c r="BC634" s="102"/>
      <c r="BD634" s="102"/>
      <c r="BE634" s="102"/>
      <c r="BF634" s="102"/>
      <c r="BG634" s="102"/>
      <c r="BH634" s="102"/>
      <c r="BI634" s="102"/>
      <c r="BJ634" s="102"/>
      <c r="BK634" s="102"/>
      <c r="BL634" s="102"/>
      <c r="BM634" s="102"/>
      <c r="BN634" s="102"/>
      <c r="BO634" s="102"/>
      <c r="BP634" s="102"/>
      <c r="BQ634" s="102"/>
      <c r="BR634" s="102"/>
      <c r="BS634" s="102"/>
      <c r="BT634" s="102"/>
      <c r="BU634" s="102"/>
      <c r="BV634" s="102"/>
      <c r="BW634" s="102"/>
      <c r="BX634" s="102"/>
      <c r="BY634" s="102"/>
      <c r="BZ634" s="102"/>
      <c r="CA634" s="464"/>
      <c r="CB634" s="102"/>
      <c r="CC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474">
        <v>632.0</v>
      </c>
      <c r="AB635" s="474">
        <f t="shared" si="10"/>
        <v>637</v>
      </c>
      <c r="AC635" s="476">
        <f t="shared" si="11"/>
        <v>846</v>
      </c>
      <c r="AD635" s="474">
        <f t="shared" si="12"/>
        <v>1055</v>
      </c>
      <c r="AE635" s="474">
        <f t="shared" si="13"/>
        <v>696</v>
      </c>
      <c r="AF635" s="474">
        <f t="shared" si="14"/>
        <v>846</v>
      </c>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c r="BC635" s="102"/>
      <c r="BD635" s="102"/>
      <c r="BE635" s="102"/>
      <c r="BF635" s="102"/>
      <c r="BG635" s="102"/>
      <c r="BH635" s="102"/>
      <c r="BI635" s="102"/>
      <c r="BJ635" s="102"/>
      <c r="BK635" s="102"/>
      <c r="BL635" s="102"/>
      <c r="BM635" s="102"/>
      <c r="BN635" s="102"/>
      <c r="BO635" s="102"/>
      <c r="BP635" s="102"/>
      <c r="BQ635" s="102"/>
      <c r="BR635" s="102"/>
      <c r="BS635" s="102"/>
      <c r="BT635" s="102"/>
      <c r="BU635" s="102"/>
      <c r="BV635" s="102"/>
      <c r="BW635" s="102"/>
      <c r="BX635" s="102"/>
      <c r="BY635" s="102"/>
      <c r="BZ635" s="102"/>
      <c r="CA635" s="464"/>
      <c r="CB635" s="102"/>
      <c r="CC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474">
        <v>633.0</v>
      </c>
      <c r="AB636" s="474">
        <f t="shared" si="10"/>
        <v>638</v>
      </c>
      <c r="AC636" s="476">
        <f t="shared" si="11"/>
        <v>848</v>
      </c>
      <c r="AD636" s="474">
        <f t="shared" si="12"/>
        <v>1057</v>
      </c>
      <c r="AE636" s="474">
        <f t="shared" si="13"/>
        <v>697</v>
      </c>
      <c r="AF636" s="474">
        <f t="shared" si="14"/>
        <v>848</v>
      </c>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c r="BC636" s="102"/>
      <c r="BD636" s="102"/>
      <c r="BE636" s="102"/>
      <c r="BF636" s="102"/>
      <c r="BG636" s="102"/>
      <c r="BH636" s="102"/>
      <c r="BI636" s="102"/>
      <c r="BJ636" s="102"/>
      <c r="BK636" s="102"/>
      <c r="BL636" s="102"/>
      <c r="BM636" s="102"/>
      <c r="BN636" s="102"/>
      <c r="BO636" s="102"/>
      <c r="BP636" s="102"/>
      <c r="BQ636" s="102"/>
      <c r="BR636" s="102"/>
      <c r="BS636" s="102"/>
      <c r="BT636" s="102"/>
      <c r="BU636" s="102"/>
      <c r="BV636" s="102"/>
      <c r="BW636" s="102"/>
      <c r="BX636" s="102"/>
      <c r="BY636" s="102"/>
      <c r="BZ636" s="102"/>
      <c r="CA636" s="464"/>
      <c r="CB636" s="102"/>
      <c r="CC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474">
        <v>634.0</v>
      </c>
      <c r="AB637" s="474">
        <f t="shared" si="10"/>
        <v>639</v>
      </c>
      <c r="AC637" s="476">
        <f t="shared" si="11"/>
        <v>849</v>
      </c>
      <c r="AD637" s="474">
        <f t="shared" si="12"/>
        <v>1058</v>
      </c>
      <c r="AE637" s="474">
        <f t="shared" si="13"/>
        <v>698</v>
      </c>
      <c r="AF637" s="474">
        <f t="shared" si="14"/>
        <v>849</v>
      </c>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c r="BC637" s="102"/>
      <c r="BD637" s="102"/>
      <c r="BE637" s="102"/>
      <c r="BF637" s="102"/>
      <c r="BG637" s="102"/>
      <c r="BH637" s="102"/>
      <c r="BI637" s="102"/>
      <c r="BJ637" s="102"/>
      <c r="BK637" s="102"/>
      <c r="BL637" s="102"/>
      <c r="BM637" s="102"/>
      <c r="BN637" s="102"/>
      <c r="BO637" s="102"/>
      <c r="BP637" s="102"/>
      <c r="BQ637" s="102"/>
      <c r="BR637" s="102"/>
      <c r="BS637" s="102"/>
      <c r="BT637" s="102"/>
      <c r="BU637" s="102"/>
      <c r="BV637" s="102"/>
      <c r="BW637" s="102"/>
      <c r="BX637" s="102"/>
      <c r="BY637" s="102"/>
      <c r="BZ637" s="102"/>
      <c r="CA637" s="464"/>
      <c r="CB637" s="102"/>
      <c r="CC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474">
        <v>635.0</v>
      </c>
      <c r="AB638" s="474">
        <f t="shared" si="10"/>
        <v>640</v>
      </c>
      <c r="AC638" s="476">
        <f t="shared" si="11"/>
        <v>850</v>
      </c>
      <c r="AD638" s="474">
        <f t="shared" si="12"/>
        <v>1060</v>
      </c>
      <c r="AE638" s="474">
        <f t="shared" si="13"/>
        <v>699</v>
      </c>
      <c r="AF638" s="474">
        <f t="shared" si="14"/>
        <v>850</v>
      </c>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c r="BC638" s="102"/>
      <c r="BD638" s="102"/>
      <c r="BE638" s="102"/>
      <c r="BF638" s="102"/>
      <c r="BG638" s="102"/>
      <c r="BH638" s="102"/>
      <c r="BI638" s="102"/>
      <c r="BJ638" s="102"/>
      <c r="BK638" s="102"/>
      <c r="BL638" s="102"/>
      <c r="BM638" s="102"/>
      <c r="BN638" s="102"/>
      <c r="BO638" s="102"/>
      <c r="BP638" s="102"/>
      <c r="BQ638" s="102"/>
      <c r="BR638" s="102"/>
      <c r="BS638" s="102"/>
      <c r="BT638" s="102"/>
      <c r="BU638" s="102"/>
      <c r="BV638" s="102"/>
      <c r="BW638" s="102"/>
      <c r="BX638" s="102"/>
      <c r="BY638" s="102"/>
      <c r="BZ638" s="102"/>
      <c r="CA638" s="464"/>
      <c r="CB638" s="102"/>
      <c r="CC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474">
        <v>636.0</v>
      </c>
      <c r="AB639" s="474">
        <f t="shared" si="10"/>
        <v>641</v>
      </c>
      <c r="AC639" s="476">
        <f t="shared" si="11"/>
        <v>852</v>
      </c>
      <c r="AD639" s="474">
        <f t="shared" si="12"/>
        <v>1062</v>
      </c>
      <c r="AE639" s="474">
        <f t="shared" si="13"/>
        <v>700</v>
      </c>
      <c r="AF639" s="474">
        <f t="shared" si="14"/>
        <v>852</v>
      </c>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c r="BC639" s="102"/>
      <c r="BD639" s="102"/>
      <c r="BE639" s="102"/>
      <c r="BF639" s="102"/>
      <c r="BG639" s="102"/>
      <c r="BH639" s="102"/>
      <c r="BI639" s="102"/>
      <c r="BJ639" s="102"/>
      <c r="BK639" s="102"/>
      <c r="BL639" s="102"/>
      <c r="BM639" s="102"/>
      <c r="BN639" s="102"/>
      <c r="BO639" s="102"/>
      <c r="BP639" s="102"/>
      <c r="BQ639" s="102"/>
      <c r="BR639" s="102"/>
      <c r="BS639" s="102"/>
      <c r="BT639" s="102"/>
      <c r="BU639" s="102"/>
      <c r="BV639" s="102"/>
      <c r="BW639" s="102"/>
      <c r="BX639" s="102"/>
      <c r="BY639" s="102"/>
      <c r="BZ639" s="102"/>
      <c r="CA639" s="464"/>
      <c r="CB639" s="102"/>
      <c r="CC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474">
        <v>637.0</v>
      </c>
      <c r="AB640" s="474">
        <f t="shared" si="10"/>
        <v>642</v>
      </c>
      <c r="AC640" s="476">
        <f t="shared" si="11"/>
        <v>853</v>
      </c>
      <c r="AD640" s="474">
        <f t="shared" si="12"/>
        <v>1063</v>
      </c>
      <c r="AE640" s="474">
        <f t="shared" si="13"/>
        <v>701</v>
      </c>
      <c r="AF640" s="474">
        <f t="shared" si="14"/>
        <v>853</v>
      </c>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c r="BC640" s="102"/>
      <c r="BD640" s="102"/>
      <c r="BE640" s="102"/>
      <c r="BF640" s="102"/>
      <c r="BG640" s="102"/>
      <c r="BH640" s="102"/>
      <c r="BI640" s="102"/>
      <c r="BJ640" s="102"/>
      <c r="BK640" s="102"/>
      <c r="BL640" s="102"/>
      <c r="BM640" s="102"/>
      <c r="BN640" s="102"/>
      <c r="BO640" s="102"/>
      <c r="BP640" s="102"/>
      <c r="BQ640" s="102"/>
      <c r="BR640" s="102"/>
      <c r="BS640" s="102"/>
      <c r="BT640" s="102"/>
      <c r="BU640" s="102"/>
      <c r="BV640" s="102"/>
      <c r="BW640" s="102"/>
      <c r="BX640" s="102"/>
      <c r="BY640" s="102"/>
      <c r="BZ640" s="102"/>
      <c r="CA640" s="464"/>
      <c r="CB640" s="102"/>
      <c r="CC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474">
        <v>638.0</v>
      </c>
      <c r="AB641" s="474">
        <f t="shared" si="10"/>
        <v>643</v>
      </c>
      <c r="AC641" s="476">
        <f t="shared" si="11"/>
        <v>854</v>
      </c>
      <c r="AD641" s="474">
        <f t="shared" si="12"/>
        <v>1065</v>
      </c>
      <c r="AE641" s="474">
        <f t="shared" si="13"/>
        <v>702</v>
      </c>
      <c r="AF641" s="474">
        <f t="shared" si="14"/>
        <v>854</v>
      </c>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c r="BC641" s="102"/>
      <c r="BD641" s="102"/>
      <c r="BE641" s="102"/>
      <c r="BF641" s="102"/>
      <c r="BG641" s="102"/>
      <c r="BH641" s="102"/>
      <c r="BI641" s="102"/>
      <c r="BJ641" s="102"/>
      <c r="BK641" s="102"/>
      <c r="BL641" s="102"/>
      <c r="BM641" s="102"/>
      <c r="BN641" s="102"/>
      <c r="BO641" s="102"/>
      <c r="BP641" s="102"/>
      <c r="BQ641" s="102"/>
      <c r="BR641" s="102"/>
      <c r="BS641" s="102"/>
      <c r="BT641" s="102"/>
      <c r="BU641" s="102"/>
      <c r="BV641" s="102"/>
      <c r="BW641" s="102"/>
      <c r="BX641" s="102"/>
      <c r="BY641" s="102"/>
      <c r="BZ641" s="102"/>
      <c r="CA641" s="464"/>
      <c r="CB641" s="102"/>
      <c r="CC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474">
        <v>639.0</v>
      </c>
      <c r="AB642" s="474">
        <f t="shared" si="10"/>
        <v>644</v>
      </c>
      <c r="AC642" s="476">
        <f t="shared" si="11"/>
        <v>856</v>
      </c>
      <c r="AD642" s="474">
        <f t="shared" si="12"/>
        <v>1067</v>
      </c>
      <c r="AE642" s="474">
        <f t="shared" si="13"/>
        <v>703</v>
      </c>
      <c r="AF642" s="474">
        <f t="shared" si="14"/>
        <v>856</v>
      </c>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c r="BC642" s="102"/>
      <c r="BD642" s="102"/>
      <c r="BE642" s="102"/>
      <c r="BF642" s="102"/>
      <c r="BG642" s="102"/>
      <c r="BH642" s="102"/>
      <c r="BI642" s="102"/>
      <c r="BJ642" s="102"/>
      <c r="BK642" s="102"/>
      <c r="BL642" s="102"/>
      <c r="BM642" s="102"/>
      <c r="BN642" s="102"/>
      <c r="BO642" s="102"/>
      <c r="BP642" s="102"/>
      <c r="BQ642" s="102"/>
      <c r="BR642" s="102"/>
      <c r="BS642" s="102"/>
      <c r="BT642" s="102"/>
      <c r="BU642" s="102"/>
      <c r="BV642" s="102"/>
      <c r="BW642" s="102"/>
      <c r="BX642" s="102"/>
      <c r="BY642" s="102"/>
      <c r="BZ642" s="102"/>
      <c r="CA642" s="464"/>
      <c r="CB642" s="102"/>
      <c r="CC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474">
        <v>640.0</v>
      </c>
      <c r="AB643" s="474">
        <f t="shared" si="10"/>
        <v>645</v>
      </c>
      <c r="AC643" s="476">
        <f t="shared" si="11"/>
        <v>857</v>
      </c>
      <c r="AD643" s="474">
        <f t="shared" si="12"/>
        <v>1068</v>
      </c>
      <c r="AE643" s="474">
        <f t="shared" si="13"/>
        <v>704</v>
      </c>
      <c r="AF643" s="474">
        <f t="shared" si="14"/>
        <v>857</v>
      </c>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c r="BC643" s="102"/>
      <c r="BD643" s="102"/>
      <c r="BE643" s="102"/>
      <c r="BF643" s="102"/>
      <c r="BG643" s="102"/>
      <c r="BH643" s="102"/>
      <c r="BI643" s="102"/>
      <c r="BJ643" s="102"/>
      <c r="BK643" s="102"/>
      <c r="BL643" s="102"/>
      <c r="BM643" s="102"/>
      <c r="BN643" s="102"/>
      <c r="BO643" s="102"/>
      <c r="BP643" s="102"/>
      <c r="BQ643" s="102"/>
      <c r="BR643" s="102"/>
      <c r="BS643" s="102"/>
      <c r="BT643" s="102"/>
      <c r="BU643" s="102"/>
      <c r="BV643" s="102"/>
      <c r="BW643" s="102"/>
      <c r="BX643" s="102"/>
      <c r="BY643" s="102"/>
      <c r="BZ643" s="102"/>
      <c r="CA643" s="464"/>
      <c r="CB643" s="102"/>
      <c r="CC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474">
        <v>641.0</v>
      </c>
      <c r="AB644" s="474">
        <f t="shared" si="10"/>
        <v>646</v>
      </c>
      <c r="AC644" s="476">
        <f t="shared" si="11"/>
        <v>858</v>
      </c>
      <c r="AD644" s="474">
        <f t="shared" si="12"/>
        <v>1070</v>
      </c>
      <c r="AE644" s="474">
        <f t="shared" si="13"/>
        <v>706</v>
      </c>
      <c r="AF644" s="474">
        <f t="shared" si="14"/>
        <v>858</v>
      </c>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c r="BC644" s="102"/>
      <c r="BD644" s="102"/>
      <c r="BE644" s="102"/>
      <c r="BF644" s="102"/>
      <c r="BG644" s="102"/>
      <c r="BH644" s="102"/>
      <c r="BI644" s="102"/>
      <c r="BJ644" s="102"/>
      <c r="BK644" s="102"/>
      <c r="BL644" s="102"/>
      <c r="BM644" s="102"/>
      <c r="BN644" s="102"/>
      <c r="BO644" s="102"/>
      <c r="BP644" s="102"/>
      <c r="BQ644" s="102"/>
      <c r="BR644" s="102"/>
      <c r="BS644" s="102"/>
      <c r="BT644" s="102"/>
      <c r="BU644" s="102"/>
      <c r="BV644" s="102"/>
      <c r="BW644" s="102"/>
      <c r="BX644" s="102"/>
      <c r="BY644" s="102"/>
      <c r="BZ644" s="102"/>
      <c r="CA644" s="464"/>
      <c r="CB644" s="102"/>
      <c r="CC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474">
        <v>642.0</v>
      </c>
      <c r="AB645" s="474">
        <f t="shared" si="10"/>
        <v>647</v>
      </c>
      <c r="AC645" s="476">
        <f t="shared" si="11"/>
        <v>860</v>
      </c>
      <c r="AD645" s="474">
        <f t="shared" si="12"/>
        <v>1072</v>
      </c>
      <c r="AE645" s="474">
        <f t="shared" si="13"/>
        <v>707</v>
      </c>
      <c r="AF645" s="474">
        <f t="shared" si="14"/>
        <v>860</v>
      </c>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c r="BC645" s="102"/>
      <c r="BD645" s="102"/>
      <c r="BE645" s="102"/>
      <c r="BF645" s="102"/>
      <c r="BG645" s="102"/>
      <c r="BH645" s="102"/>
      <c r="BI645" s="102"/>
      <c r="BJ645" s="102"/>
      <c r="BK645" s="102"/>
      <c r="BL645" s="102"/>
      <c r="BM645" s="102"/>
      <c r="BN645" s="102"/>
      <c r="BO645" s="102"/>
      <c r="BP645" s="102"/>
      <c r="BQ645" s="102"/>
      <c r="BR645" s="102"/>
      <c r="BS645" s="102"/>
      <c r="BT645" s="102"/>
      <c r="BU645" s="102"/>
      <c r="BV645" s="102"/>
      <c r="BW645" s="102"/>
      <c r="BX645" s="102"/>
      <c r="BY645" s="102"/>
      <c r="BZ645" s="102"/>
      <c r="CA645" s="464"/>
      <c r="CB645" s="102"/>
      <c r="CC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474">
        <v>643.0</v>
      </c>
      <c r="AB646" s="474">
        <f t="shared" si="10"/>
        <v>648</v>
      </c>
      <c r="AC646" s="476">
        <f t="shared" si="11"/>
        <v>861</v>
      </c>
      <c r="AD646" s="474">
        <f t="shared" si="12"/>
        <v>1073</v>
      </c>
      <c r="AE646" s="474">
        <f t="shared" si="13"/>
        <v>708</v>
      </c>
      <c r="AF646" s="474">
        <f t="shared" si="14"/>
        <v>861</v>
      </c>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c r="BC646" s="102"/>
      <c r="BD646" s="102"/>
      <c r="BE646" s="102"/>
      <c r="BF646" s="102"/>
      <c r="BG646" s="102"/>
      <c r="BH646" s="102"/>
      <c r="BI646" s="102"/>
      <c r="BJ646" s="102"/>
      <c r="BK646" s="102"/>
      <c r="BL646" s="102"/>
      <c r="BM646" s="102"/>
      <c r="BN646" s="102"/>
      <c r="BO646" s="102"/>
      <c r="BP646" s="102"/>
      <c r="BQ646" s="102"/>
      <c r="BR646" s="102"/>
      <c r="BS646" s="102"/>
      <c r="BT646" s="102"/>
      <c r="BU646" s="102"/>
      <c r="BV646" s="102"/>
      <c r="BW646" s="102"/>
      <c r="BX646" s="102"/>
      <c r="BY646" s="102"/>
      <c r="BZ646" s="102"/>
      <c r="CA646" s="464"/>
      <c r="CB646" s="102"/>
      <c r="CC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474">
        <v>644.0</v>
      </c>
      <c r="AB647" s="474">
        <f t="shared" si="10"/>
        <v>649</v>
      </c>
      <c r="AC647" s="476">
        <f t="shared" si="11"/>
        <v>862</v>
      </c>
      <c r="AD647" s="474">
        <f t="shared" si="12"/>
        <v>1075</v>
      </c>
      <c r="AE647" s="474">
        <f t="shared" si="13"/>
        <v>709</v>
      </c>
      <c r="AF647" s="474">
        <f t="shared" si="14"/>
        <v>862</v>
      </c>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c r="BC647" s="102"/>
      <c r="BD647" s="102"/>
      <c r="BE647" s="102"/>
      <c r="BF647" s="102"/>
      <c r="BG647" s="102"/>
      <c r="BH647" s="102"/>
      <c r="BI647" s="102"/>
      <c r="BJ647" s="102"/>
      <c r="BK647" s="102"/>
      <c r="BL647" s="102"/>
      <c r="BM647" s="102"/>
      <c r="BN647" s="102"/>
      <c r="BO647" s="102"/>
      <c r="BP647" s="102"/>
      <c r="BQ647" s="102"/>
      <c r="BR647" s="102"/>
      <c r="BS647" s="102"/>
      <c r="BT647" s="102"/>
      <c r="BU647" s="102"/>
      <c r="BV647" s="102"/>
      <c r="BW647" s="102"/>
      <c r="BX647" s="102"/>
      <c r="BY647" s="102"/>
      <c r="BZ647" s="102"/>
      <c r="CA647" s="464"/>
      <c r="CB647" s="102"/>
      <c r="CC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474">
        <v>645.0</v>
      </c>
      <c r="AB648" s="474">
        <f t="shared" si="10"/>
        <v>650</v>
      </c>
      <c r="AC648" s="476">
        <f t="shared" si="11"/>
        <v>864</v>
      </c>
      <c r="AD648" s="474">
        <f t="shared" si="12"/>
        <v>1077</v>
      </c>
      <c r="AE648" s="474">
        <f t="shared" si="13"/>
        <v>710</v>
      </c>
      <c r="AF648" s="474">
        <f t="shared" si="14"/>
        <v>864</v>
      </c>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c r="BC648" s="102"/>
      <c r="BD648" s="102"/>
      <c r="BE648" s="102"/>
      <c r="BF648" s="102"/>
      <c r="BG648" s="102"/>
      <c r="BH648" s="102"/>
      <c r="BI648" s="102"/>
      <c r="BJ648" s="102"/>
      <c r="BK648" s="102"/>
      <c r="BL648" s="102"/>
      <c r="BM648" s="102"/>
      <c r="BN648" s="102"/>
      <c r="BO648" s="102"/>
      <c r="BP648" s="102"/>
      <c r="BQ648" s="102"/>
      <c r="BR648" s="102"/>
      <c r="BS648" s="102"/>
      <c r="BT648" s="102"/>
      <c r="BU648" s="102"/>
      <c r="BV648" s="102"/>
      <c r="BW648" s="102"/>
      <c r="BX648" s="102"/>
      <c r="BY648" s="102"/>
      <c r="BZ648" s="102"/>
      <c r="CA648" s="464"/>
      <c r="CB648" s="102"/>
      <c r="CC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474">
        <v>646.0</v>
      </c>
      <c r="AB649" s="474">
        <f t="shared" si="10"/>
        <v>651</v>
      </c>
      <c r="AC649" s="476">
        <f t="shared" si="11"/>
        <v>865</v>
      </c>
      <c r="AD649" s="474">
        <f t="shared" si="12"/>
        <v>1078</v>
      </c>
      <c r="AE649" s="474">
        <f t="shared" si="13"/>
        <v>711</v>
      </c>
      <c r="AF649" s="474">
        <f t="shared" si="14"/>
        <v>865</v>
      </c>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c r="BC649" s="102"/>
      <c r="BD649" s="102"/>
      <c r="BE649" s="102"/>
      <c r="BF649" s="102"/>
      <c r="BG649" s="102"/>
      <c r="BH649" s="102"/>
      <c r="BI649" s="102"/>
      <c r="BJ649" s="102"/>
      <c r="BK649" s="102"/>
      <c r="BL649" s="102"/>
      <c r="BM649" s="102"/>
      <c r="BN649" s="102"/>
      <c r="BO649" s="102"/>
      <c r="BP649" s="102"/>
      <c r="BQ649" s="102"/>
      <c r="BR649" s="102"/>
      <c r="BS649" s="102"/>
      <c r="BT649" s="102"/>
      <c r="BU649" s="102"/>
      <c r="BV649" s="102"/>
      <c r="BW649" s="102"/>
      <c r="BX649" s="102"/>
      <c r="BY649" s="102"/>
      <c r="BZ649" s="102"/>
      <c r="CA649" s="464"/>
      <c r="CB649" s="102"/>
      <c r="CC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474">
        <v>647.0</v>
      </c>
      <c r="AB650" s="474">
        <f t="shared" si="10"/>
        <v>652</v>
      </c>
      <c r="AC650" s="476">
        <f t="shared" si="11"/>
        <v>866</v>
      </c>
      <c r="AD650" s="474">
        <f t="shared" si="12"/>
        <v>1080</v>
      </c>
      <c r="AE650" s="474">
        <f t="shared" si="13"/>
        <v>712</v>
      </c>
      <c r="AF650" s="474">
        <f t="shared" si="14"/>
        <v>866</v>
      </c>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c r="BC650" s="102"/>
      <c r="BD650" s="102"/>
      <c r="BE650" s="102"/>
      <c r="BF650" s="102"/>
      <c r="BG650" s="102"/>
      <c r="BH650" s="102"/>
      <c r="BI650" s="102"/>
      <c r="BJ650" s="102"/>
      <c r="BK650" s="102"/>
      <c r="BL650" s="102"/>
      <c r="BM650" s="102"/>
      <c r="BN650" s="102"/>
      <c r="BO650" s="102"/>
      <c r="BP650" s="102"/>
      <c r="BQ650" s="102"/>
      <c r="BR650" s="102"/>
      <c r="BS650" s="102"/>
      <c r="BT650" s="102"/>
      <c r="BU650" s="102"/>
      <c r="BV650" s="102"/>
      <c r="BW650" s="102"/>
      <c r="BX650" s="102"/>
      <c r="BY650" s="102"/>
      <c r="BZ650" s="102"/>
      <c r="CA650" s="464"/>
      <c r="CB650" s="102"/>
      <c r="CC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474">
        <v>648.0</v>
      </c>
      <c r="AB651" s="474">
        <f t="shared" si="10"/>
        <v>653</v>
      </c>
      <c r="AC651" s="476">
        <f t="shared" si="11"/>
        <v>868</v>
      </c>
      <c r="AD651" s="474">
        <f t="shared" si="12"/>
        <v>1082</v>
      </c>
      <c r="AE651" s="474">
        <f t="shared" si="13"/>
        <v>713</v>
      </c>
      <c r="AF651" s="474">
        <f t="shared" si="14"/>
        <v>868</v>
      </c>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c r="BC651" s="102"/>
      <c r="BD651" s="102"/>
      <c r="BE651" s="102"/>
      <c r="BF651" s="102"/>
      <c r="BG651" s="102"/>
      <c r="BH651" s="102"/>
      <c r="BI651" s="102"/>
      <c r="BJ651" s="102"/>
      <c r="BK651" s="102"/>
      <c r="BL651" s="102"/>
      <c r="BM651" s="102"/>
      <c r="BN651" s="102"/>
      <c r="BO651" s="102"/>
      <c r="BP651" s="102"/>
      <c r="BQ651" s="102"/>
      <c r="BR651" s="102"/>
      <c r="BS651" s="102"/>
      <c r="BT651" s="102"/>
      <c r="BU651" s="102"/>
      <c r="BV651" s="102"/>
      <c r="BW651" s="102"/>
      <c r="BX651" s="102"/>
      <c r="BY651" s="102"/>
      <c r="BZ651" s="102"/>
      <c r="CA651" s="464"/>
      <c r="CB651" s="102"/>
      <c r="CC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474">
        <v>649.0</v>
      </c>
      <c r="AB652" s="474">
        <f t="shared" si="10"/>
        <v>654</v>
      </c>
      <c r="AC652" s="476">
        <f t="shared" si="11"/>
        <v>869</v>
      </c>
      <c r="AD652" s="474">
        <f t="shared" si="12"/>
        <v>1083</v>
      </c>
      <c r="AE652" s="474">
        <f t="shared" si="13"/>
        <v>714</v>
      </c>
      <c r="AF652" s="474">
        <f t="shared" si="14"/>
        <v>869</v>
      </c>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c r="BC652" s="102"/>
      <c r="BD652" s="102"/>
      <c r="BE652" s="102"/>
      <c r="BF652" s="102"/>
      <c r="BG652" s="102"/>
      <c r="BH652" s="102"/>
      <c r="BI652" s="102"/>
      <c r="BJ652" s="102"/>
      <c r="BK652" s="102"/>
      <c r="BL652" s="102"/>
      <c r="BM652" s="102"/>
      <c r="BN652" s="102"/>
      <c r="BO652" s="102"/>
      <c r="BP652" s="102"/>
      <c r="BQ652" s="102"/>
      <c r="BR652" s="102"/>
      <c r="BS652" s="102"/>
      <c r="BT652" s="102"/>
      <c r="BU652" s="102"/>
      <c r="BV652" s="102"/>
      <c r="BW652" s="102"/>
      <c r="BX652" s="102"/>
      <c r="BY652" s="102"/>
      <c r="BZ652" s="102"/>
      <c r="CA652" s="464"/>
      <c r="CB652" s="102"/>
      <c r="CC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474">
        <v>650.0</v>
      </c>
      <c r="AB653" s="474">
        <f t="shared" si="10"/>
        <v>655</v>
      </c>
      <c r="AC653" s="476">
        <f t="shared" si="11"/>
        <v>871</v>
      </c>
      <c r="AD653" s="474">
        <f t="shared" si="12"/>
        <v>1085</v>
      </c>
      <c r="AE653" s="474">
        <f t="shared" si="13"/>
        <v>715</v>
      </c>
      <c r="AF653" s="474">
        <f t="shared" si="14"/>
        <v>871</v>
      </c>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c r="BC653" s="102"/>
      <c r="BD653" s="102"/>
      <c r="BE653" s="102"/>
      <c r="BF653" s="102"/>
      <c r="BG653" s="102"/>
      <c r="BH653" s="102"/>
      <c r="BI653" s="102"/>
      <c r="BJ653" s="102"/>
      <c r="BK653" s="102"/>
      <c r="BL653" s="102"/>
      <c r="BM653" s="102"/>
      <c r="BN653" s="102"/>
      <c r="BO653" s="102"/>
      <c r="BP653" s="102"/>
      <c r="BQ653" s="102"/>
      <c r="BR653" s="102"/>
      <c r="BS653" s="102"/>
      <c r="BT653" s="102"/>
      <c r="BU653" s="102"/>
      <c r="BV653" s="102"/>
      <c r="BW653" s="102"/>
      <c r="BX653" s="102"/>
      <c r="BY653" s="102"/>
      <c r="BZ653" s="102"/>
      <c r="CA653" s="464"/>
      <c r="CB653" s="102"/>
      <c r="CC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474">
        <v>651.0</v>
      </c>
      <c r="AB654" s="474">
        <f t="shared" si="10"/>
        <v>656</v>
      </c>
      <c r="AC654" s="476">
        <f t="shared" si="11"/>
        <v>872</v>
      </c>
      <c r="AD654" s="474">
        <f t="shared" si="12"/>
        <v>1087</v>
      </c>
      <c r="AE654" s="474">
        <f t="shared" si="13"/>
        <v>717</v>
      </c>
      <c r="AF654" s="474">
        <f t="shared" si="14"/>
        <v>872</v>
      </c>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c r="BC654" s="102"/>
      <c r="BD654" s="102"/>
      <c r="BE654" s="102"/>
      <c r="BF654" s="102"/>
      <c r="BG654" s="102"/>
      <c r="BH654" s="102"/>
      <c r="BI654" s="102"/>
      <c r="BJ654" s="102"/>
      <c r="BK654" s="102"/>
      <c r="BL654" s="102"/>
      <c r="BM654" s="102"/>
      <c r="BN654" s="102"/>
      <c r="BO654" s="102"/>
      <c r="BP654" s="102"/>
      <c r="BQ654" s="102"/>
      <c r="BR654" s="102"/>
      <c r="BS654" s="102"/>
      <c r="BT654" s="102"/>
      <c r="BU654" s="102"/>
      <c r="BV654" s="102"/>
      <c r="BW654" s="102"/>
      <c r="BX654" s="102"/>
      <c r="BY654" s="102"/>
      <c r="BZ654" s="102"/>
      <c r="CA654" s="464"/>
      <c r="CB654" s="102"/>
      <c r="CC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474">
        <v>652.0</v>
      </c>
      <c r="AB655" s="474">
        <f t="shared" si="10"/>
        <v>657</v>
      </c>
      <c r="AC655" s="476">
        <f t="shared" si="11"/>
        <v>873</v>
      </c>
      <c r="AD655" s="474">
        <f t="shared" si="12"/>
        <v>1088</v>
      </c>
      <c r="AE655" s="474">
        <f t="shared" si="13"/>
        <v>718</v>
      </c>
      <c r="AF655" s="474">
        <f t="shared" si="14"/>
        <v>873</v>
      </c>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c r="BC655" s="102"/>
      <c r="BD655" s="102"/>
      <c r="BE655" s="102"/>
      <c r="BF655" s="102"/>
      <c r="BG655" s="102"/>
      <c r="BH655" s="102"/>
      <c r="BI655" s="102"/>
      <c r="BJ655" s="102"/>
      <c r="BK655" s="102"/>
      <c r="BL655" s="102"/>
      <c r="BM655" s="102"/>
      <c r="BN655" s="102"/>
      <c r="BO655" s="102"/>
      <c r="BP655" s="102"/>
      <c r="BQ655" s="102"/>
      <c r="BR655" s="102"/>
      <c r="BS655" s="102"/>
      <c r="BT655" s="102"/>
      <c r="BU655" s="102"/>
      <c r="BV655" s="102"/>
      <c r="BW655" s="102"/>
      <c r="BX655" s="102"/>
      <c r="BY655" s="102"/>
      <c r="BZ655" s="102"/>
      <c r="CA655" s="464"/>
      <c r="CB655" s="102"/>
      <c r="CC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474">
        <v>653.0</v>
      </c>
      <c r="AB656" s="474">
        <f t="shared" si="10"/>
        <v>658</v>
      </c>
      <c r="AC656" s="476">
        <f t="shared" si="11"/>
        <v>875</v>
      </c>
      <c r="AD656" s="474">
        <f t="shared" si="12"/>
        <v>1090</v>
      </c>
      <c r="AE656" s="474">
        <f t="shared" si="13"/>
        <v>719</v>
      </c>
      <c r="AF656" s="474">
        <f t="shared" si="14"/>
        <v>875</v>
      </c>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464"/>
      <c r="CB656" s="102"/>
      <c r="CC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474">
        <v>654.0</v>
      </c>
      <c r="AB657" s="474">
        <f t="shared" si="10"/>
        <v>659</v>
      </c>
      <c r="AC657" s="476">
        <f t="shared" si="11"/>
        <v>876</v>
      </c>
      <c r="AD657" s="474">
        <f t="shared" si="12"/>
        <v>1092</v>
      </c>
      <c r="AE657" s="474">
        <f t="shared" si="13"/>
        <v>720</v>
      </c>
      <c r="AF657" s="474">
        <f t="shared" si="14"/>
        <v>876</v>
      </c>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c r="BC657" s="102"/>
      <c r="BD657" s="102"/>
      <c r="BE657" s="102"/>
      <c r="BF657" s="102"/>
      <c r="BG657" s="102"/>
      <c r="BH657" s="102"/>
      <c r="BI657" s="102"/>
      <c r="BJ657" s="102"/>
      <c r="BK657" s="102"/>
      <c r="BL657" s="102"/>
      <c r="BM657" s="102"/>
      <c r="BN657" s="102"/>
      <c r="BO657" s="102"/>
      <c r="BP657" s="102"/>
      <c r="BQ657" s="102"/>
      <c r="BR657" s="102"/>
      <c r="BS657" s="102"/>
      <c r="BT657" s="102"/>
      <c r="BU657" s="102"/>
      <c r="BV657" s="102"/>
      <c r="BW657" s="102"/>
      <c r="BX657" s="102"/>
      <c r="BY657" s="102"/>
      <c r="BZ657" s="102"/>
      <c r="CA657" s="464"/>
      <c r="CB657" s="102"/>
      <c r="CC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474">
        <v>655.0</v>
      </c>
      <c r="AB658" s="474">
        <f t="shared" si="10"/>
        <v>660</v>
      </c>
      <c r="AC658" s="476">
        <f t="shared" si="11"/>
        <v>877</v>
      </c>
      <c r="AD658" s="474">
        <f t="shared" si="12"/>
        <v>1093</v>
      </c>
      <c r="AE658" s="474">
        <f t="shared" si="13"/>
        <v>721</v>
      </c>
      <c r="AF658" s="474">
        <f t="shared" si="14"/>
        <v>877</v>
      </c>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c r="BC658" s="102"/>
      <c r="BD658" s="102"/>
      <c r="BE658" s="102"/>
      <c r="BF658" s="102"/>
      <c r="BG658" s="102"/>
      <c r="BH658" s="102"/>
      <c r="BI658" s="102"/>
      <c r="BJ658" s="102"/>
      <c r="BK658" s="102"/>
      <c r="BL658" s="102"/>
      <c r="BM658" s="102"/>
      <c r="BN658" s="102"/>
      <c r="BO658" s="102"/>
      <c r="BP658" s="102"/>
      <c r="BQ658" s="102"/>
      <c r="BR658" s="102"/>
      <c r="BS658" s="102"/>
      <c r="BT658" s="102"/>
      <c r="BU658" s="102"/>
      <c r="BV658" s="102"/>
      <c r="BW658" s="102"/>
      <c r="BX658" s="102"/>
      <c r="BY658" s="102"/>
      <c r="BZ658" s="102"/>
      <c r="CA658" s="464"/>
      <c r="CB658" s="102"/>
      <c r="CC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474">
        <v>656.0</v>
      </c>
      <c r="AB659" s="474">
        <f t="shared" si="10"/>
        <v>661</v>
      </c>
      <c r="AC659" s="476">
        <f t="shared" si="11"/>
        <v>879</v>
      </c>
      <c r="AD659" s="474">
        <f t="shared" si="12"/>
        <v>1095</v>
      </c>
      <c r="AE659" s="474">
        <f t="shared" si="13"/>
        <v>722</v>
      </c>
      <c r="AF659" s="474">
        <f t="shared" si="14"/>
        <v>879</v>
      </c>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c r="BC659" s="102"/>
      <c r="BD659" s="102"/>
      <c r="BE659" s="102"/>
      <c r="BF659" s="102"/>
      <c r="BG659" s="102"/>
      <c r="BH659" s="102"/>
      <c r="BI659" s="102"/>
      <c r="BJ659" s="102"/>
      <c r="BK659" s="102"/>
      <c r="BL659" s="102"/>
      <c r="BM659" s="102"/>
      <c r="BN659" s="102"/>
      <c r="BO659" s="102"/>
      <c r="BP659" s="102"/>
      <c r="BQ659" s="102"/>
      <c r="BR659" s="102"/>
      <c r="BS659" s="102"/>
      <c r="BT659" s="102"/>
      <c r="BU659" s="102"/>
      <c r="BV659" s="102"/>
      <c r="BW659" s="102"/>
      <c r="BX659" s="102"/>
      <c r="BY659" s="102"/>
      <c r="BZ659" s="102"/>
      <c r="CA659" s="464"/>
      <c r="CB659" s="102"/>
      <c r="CC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474">
        <v>657.0</v>
      </c>
      <c r="AB660" s="474">
        <f t="shared" si="10"/>
        <v>662</v>
      </c>
      <c r="AC660" s="476">
        <f t="shared" si="11"/>
        <v>880</v>
      </c>
      <c r="AD660" s="474">
        <f t="shared" si="12"/>
        <v>1097</v>
      </c>
      <c r="AE660" s="474">
        <f t="shared" si="13"/>
        <v>723</v>
      </c>
      <c r="AF660" s="474">
        <f t="shared" si="14"/>
        <v>880</v>
      </c>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c r="BC660" s="102"/>
      <c r="BD660" s="102"/>
      <c r="BE660" s="102"/>
      <c r="BF660" s="102"/>
      <c r="BG660" s="102"/>
      <c r="BH660" s="102"/>
      <c r="BI660" s="102"/>
      <c r="BJ660" s="102"/>
      <c r="BK660" s="102"/>
      <c r="BL660" s="102"/>
      <c r="BM660" s="102"/>
      <c r="BN660" s="102"/>
      <c r="BO660" s="102"/>
      <c r="BP660" s="102"/>
      <c r="BQ660" s="102"/>
      <c r="BR660" s="102"/>
      <c r="BS660" s="102"/>
      <c r="BT660" s="102"/>
      <c r="BU660" s="102"/>
      <c r="BV660" s="102"/>
      <c r="BW660" s="102"/>
      <c r="BX660" s="102"/>
      <c r="BY660" s="102"/>
      <c r="BZ660" s="102"/>
      <c r="CA660" s="464"/>
      <c r="CB660" s="102"/>
      <c r="CC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474">
        <v>658.0</v>
      </c>
      <c r="AB661" s="474">
        <f t="shared" si="10"/>
        <v>663</v>
      </c>
      <c r="AC661" s="476">
        <f t="shared" si="11"/>
        <v>881</v>
      </c>
      <c r="AD661" s="474">
        <f t="shared" si="12"/>
        <v>1098</v>
      </c>
      <c r="AE661" s="474">
        <f t="shared" si="13"/>
        <v>724</v>
      </c>
      <c r="AF661" s="474">
        <f t="shared" si="14"/>
        <v>881</v>
      </c>
      <c r="AG661" s="102"/>
      <c r="AH661" s="102"/>
      <c r="AI661" s="102"/>
      <c r="AJ661" s="102"/>
      <c r="AK661" s="102"/>
      <c r="AL661" s="102"/>
      <c r="AM661" s="102"/>
      <c r="AN661" s="102"/>
      <c r="AO661" s="102"/>
      <c r="AP661" s="102"/>
      <c r="AQ661" s="102"/>
      <c r="AR661" s="102"/>
      <c r="AS661" s="102"/>
      <c r="AT661" s="102"/>
      <c r="AU661" s="102"/>
      <c r="AV661" s="102"/>
      <c r="AW661" s="102"/>
      <c r="AX661" s="102"/>
      <c r="AY661" s="102"/>
      <c r="AZ661" s="102"/>
      <c r="BA661" s="102"/>
      <c r="BB661" s="102"/>
      <c r="BC661" s="102"/>
      <c r="BD661" s="102"/>
      <c r="BE661" s="102"/>
      <c r="BF661" s="102"/>
      <c r="BG661" s="102"/>
      <c r="BH661" s="102"/>
      <c r="BI661" s="102"/>
      <c r="BJ661" s="102"/>
      <c r="BK661" s="102"/>
      <c r="BL661" s="102"/>
      <c r="BM661" s="102"/>
      <c r="BN661" s="102"/>
      <c r="BO661" s="102"/>
      <c r="BP661" s="102"/>
      <c r="BQ661" s="102"/>
      <c r="BR661" s="102"/>
      <c r="BS661" s="102"/>
      <c r="BT661" s="102"/>
      <c r="BU661" s="102"/>
      <c r="BV661" s="102"/>
      <c r="BW661" s="102"/>
      <c r="BX661" s="102"/>
      <c r="BY661" s="102"/>
      <c r="BZ661" s="102"/>
      <c r="CA661" s="464"/>
      <c r="CB661" s="102"/>
      <c r="CC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474">
        <v>659.0</v>
      </c>
      <c r="AB662" s="474">
        <f t="shared" si="10"/>
        <v>664</v>
      </c>
      <c r="AC662" s="476">
        <f t="shared" si="11"/>
        <v>883</v>
      </c>
      <c r="AD662" s="474">
        <f t="shared" si="12"/>
        <v>1100</v>
      </c>
      <c r="AE662" s="474">
        <f t="shared" si="13"/>
        <v>725</v>
      </c>
      <c r="AF662" s="474">
        <f t="shared" si="14"/>
        <v>883</v>
      </c>
      <c r="AG662" s="102"/>
      <c r="AH662" s="102"/>
      <c r="AI662" s="102"/>
      <c r="AJ662" s="102"/>
      <c r="AK662" s="102"/>
      <c r="AL662" s="102"/>
      <c r="AM662" s="102"/>
      <c r="AN662" s="102"/>
      <c r="AO662" s="102"/>
      <c r="AP662" s="102"/>
      <c r="AQ662" s="102"/>
      <c r="AR662" s="102"/>
      <c r="AS662" s="102"/>
      <c r="AT662" s="102"/>
      <c r="AU662" s="102"/>
      <c r="AV662" s="102"/>
      <c r="AW662" s="102"/>
      <c r="AX662" s="102"/>
      <c r="AY662" s="102"/>
      <c r="AZ662" s="102"/>
      <c r="BA662" s="102"/>
      <c r="BB662" s="102"/>
      <c r="BC662" s="102"/>
      <c r="BD662" s="102"/>
      <c r="BE662" s="102"/>
      <c r="BF662" s="102"/>
      <c r="BG662" s="102"/>
      <c r="BH662" s="102"/>
      <c r="BI662" s="102"/>
      <c r="BJ662" s="102"/>
      <c r="BK662" s="102"/>
      <c r="BL662" s="102"/>
      <c r="BM662" s="102"/>
      <c r="BN662" s="102"/>
      <c r="BO662" s="102"/>
      <c r="BP662" s="102"/>
      <c r="BQ662" s="102"/>
      <c r="BR662" s="102"/>
      <c r="BS662" s="102"/>
      <c r="BT662" s="102"/>
      <c r="BU662" s="102"/>
      <c r="BV662" s="102"/>
      <c r="BW662" s="102"/>
      <c r="BX662" s="102"/>
      <c r="BY662" s="102"/>
      <c r="BZ662" s="102"/>
      <c r="CA662" s="464"/>
      <c r="CB662" s="102"/>
      <c r="CC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474">
        <v>660.0</v>
      </c>
      <c r="AB663" s="474">
        <f t="shared" si="10"/>
        <v>665</v>
      </c>
      <c r="AC663" s="476">
        <f t="shared" si="11"/>
        <v>884</v>
      </c>
      <c r="AD663" s="474">
        <f t="shared" si="12"/>
        <v>1102</v>
      </c>
      <c r="AE663" s="474">
        <f t="shared" si="13"/>
        <v>726</v>
      </c>
      <c r="AF663" s="474">
        <f t="shared" si="14"/>
        <v>884</v>
      </c>
      <c r="AG663" s="102"/>
      <c r="AH663" s="102"/>
      <c r="AI663" s="102"/>
      <c r="AJ663" s="102"/>
      <c r="AK663" s="102"/>
      <c r="AL663" s="102"/>
      <c r="AM663" s="102"/>
      <c r="AN663" s="102"/>
      <c r="AO663" s="102"/>
      <c r="AP663" s="102"/>
      <c r="AQ663" s="102"/>
      <c r="AR663" s="102"/>
      <c r="AS663" s="102"/>
      <c r="AT663" s="102"/>
      <c r="AU663" s="102"/>
      <c r="AV663" s="102"/>
      <c r="AW663" s="102"/>
      <c r="AX663" s="102"/>
      <c r="AY663" s="102"/>
      <c r="AZ663" s="102"/>
      <c r="BA663" s="102"/>
      <c r="BB663" s="102"/>
      <c r="BC663" s="102"/>
      <c r="BD663" s="102"/>
      <c r="BE663" s="102"/>
      <c r="BF663" s="102"/>
      <c r="BG663" s="102"/>
      <c r="BH663" s="102"/>
      <c r="BI663" s="102"/>
      <c r="BJ663" s="102"/>
      <c r="BK663" s="102"/>
      <c r="BL663" s="102"/>
      <c r="BM663" s="102"/>
      <c r="BN663" s="102"/>
      <c r="BO663" s="102"/>
      <c r="BP663" s="102"/>
      <c r="BQ663" s="102"/>
      <c r="BR663" s="102"/>
      <c r="BS663" s="102"/>
      <c r="BT663" s="102"/>
      <c r="BU663" s="102"/>
      <c r="BV663" s="102"/>
      <c r="BW663" s="102"/>
      <c r="BX663" s="102"/>
      <c r="BY663" s="102"/>
      <c r="BZ663" s="102"/>
      <c r="CA663" s="464"/>
      <c r="CB663" s="102"/>
      <c r="CC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474">
        <v>661.0</v>
      </c>
      <c r="AB664" s="474">
        <f t="shared" si="10"/>
        <v>666</v>
      </c>
      <c r="AC664" s="476">
        <f t="shared" si="11"/>
        <v>885</v>
      </c>
      <c r="AD664" s="474">
        <f t="shared" si="12"/>
        <v>1103</v>
      </c>
      <c r="AE664" s="474">
        <f t="shared" si="13"/>
        <v>728</v>
      </c>
      <c r="AF664" s="474">
        <f t="shared" si="14"/>
        <v>885</v>
      </c>
      <c r="AG664" s="102"/>
      <c r="AH664" s="102"/>
      <c r="AI664" s="102"/>
      <c r="AJ664" s="102"/>
      <c r="AK664" s="102"/>
      <c r="AL664" s="102"/>
      <c r="AM664" s="102"/>
      <c r="AN664" s="102"/>
      <c r="AO664" s="102"/>
      <c r="AP664" s="102"/>
      <c r="AQ664" s="102"/>
      <c r="AR664" s="102"/>
      <c r="AS664" s="102"/>
      <c r="AT664" s="102"/>
      <c r="AU664" s="102"/>
      <c r="AV664" s="102"/>
      <c r="AW664" s="102"/>
      <c r="AX664" s="102"/>
      <c r="AY664" s="102"/>
      <c r="AZ664" s="102"/>
      <c r="BA664" s="102"/>
      <c r="BB664" s="102"/>
      <c r="BC664" s="102"/>
      <c r="BD664" s="102"/>
      <c r="BE664" s="102"/>
      <c r="BF664" s="102"/>
      <c r="BG664" s="102"/>
      <c r="BH664" s="102"/>
      <c r="BI664" s="102"/>
      <c r="BJ664" s="102"/>
      <c r="BK664" s="102"/>
      <c r="BL664" s="102"/>
      <c r="BM664" s="102"/>
      <c r="BN664" s="102"/>
      <c r="BO664" s="102"/>
      <c r="BP664" s="102"/>
      <c r="BQ664" s="102"/>
      <c r="BR664" s="102"/>
      <c r="BS664" s="102"/>
      <c r="BT664" s="102"/>
      <c r="BU664" s="102"/>
      <c r="BV664" s="102"/>
      <c r="BW664" s="102"/>
      <c r="BX664" s="102"/>
      <c r="BY664" s="102"/>
      <c r="BZ664" s="102"/>
      <c r="CA664" s="464"/>
      <c r="CB664" s="102"/>
      <c r="CC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474">
        <v>662.0</v>
      </c>
      <c r="AB665" s="474">
        <f t="shared" si="10"/>
        <v>667</v>
      </c>
      <c r="AC665" s="476">
        <f t="shared" si="11"/>
        <v>887</v>
      </c>
      <c r="AD665" s="474">
        <f t="shared" si="12"/>
        <v>1105</v>
      </c>
      <c r="AE665" s="474">
        <f t="shared" si="13"/>
        <v>729</v>
      </c>
      <c r="AF665" s="474">
        <f t="shared" si="14"/>
        <v>887</v>
      </c>
      <c r="AG665" s="102"/>
      <c r="AH665" s="102"/>
      <c r="AI665" s="102"/>
      <c r="AJ665" s="102"/>
      <c r="AK665" s="102"/>
      <c r="AL665" s="102"/>
      <c r="AM665" s="102"/>
      <c r="AN665" s="102"/>
      <c r="AO665" s="102"/>
      <c r="AP665" s="102"/>
      <c r="AQ665" s="102"/>
      <c r="AR665" s="102"/>
      <c r="AS665" s="102"/>
      <c r="AT665" s="102"/>
      <c r="AU665" s="102"/>
      <c r="AV665" s="102"/>
      <c r="AW665" s="102"/>
      <c r="AX665" s="102"/>
      <c r="AY665" s="102"/>
      <c r="AZ665" s="102"/>
      <c r="BA665" s="102"/>
      <c r="BB665" s="102"/>
      <c r="BC665" s="102"/>
      <c r="BD665" s="102"/>
      <c r="BE665" s="102"/>
      <c r="BF665" s="102"/>
      <c r="BG665" s="102"/>
      <c r="BH665" s="102"/>
      <c r="BI665" s="102"/>
      <c r="BJ665" s="102"/>
      <c r="BK665" s="102"/>
      <c r="BL665" s="102"/>
      <c r="BM665" s="102"/>
      <c r="BN665" s="102"/>
      <c r="BO665" s="102"/>
      <c r="BP665" s="102"/>
      <c r="BQ665" s="102"/>
      <c r="BR665" s="102"/>
      <c r="BS665" s="102"/>
      <c r="BT665" s="102"/>
      <c r="BU665" s="102"/>
      <c r="BV665" s="102"/>
      <c r="BW665" s="102"/>
      <c r="BX665" s="102"/>
      <c r="BY665" s="102"/>
      <c r="BZ665" s="102"/>
      <c r="CA665" s="464"/>
      <c r="CB665" s="102"/>
      <c r="CC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474">
        <v>663.0</v>
      </c>
      <c r="AB666" s="474">
        <f t="shared" si="10"/>
        <v>668</v>
      </c>
      <c r="AC666" s="476">
        <f t="shared" si="11"/>
        <v>888</v>
      </c>
      <c r="AD666" s="474">
        <f t="shared" si="12"/>
        <v>1107</v>
      </c>
      <c r="AE666" s="474">
        <f t="shared" si="13"/>
        <v>730</v>
      </c>
      <c r="AF666" s="474">
        <f t="shared" si="14"/>
        <v>888</v>
      </c>
      <c r="AG666" s="102"/>
      <c r="AH666" s="102"/>
      <c r="AI666" s="102"/>
      <c r="AJ666" s="102"/>
      <c r="AK666" s="102"/>
      <c r="AL666" s="102"/>
      <c r="AM666" s="102"/>
      <c r="AN666" s="102"/>
      <c r="AO666" s="102"/>
      <c r="AP666" s="102"/>
      <c r="AQ666" s="102"/>
      <c r="AR666" s="102"/>
      <c r="AS666" s="102"/>
      <c r="AT666" s="102"/>
      <c r="AU666" s="102"/>
      <c r="AV666" s="102"/>
      <c r="AW666" s="102"/>
      <c r="AX666" s="102"/>
      <c r="AY666" s="102"/>
      <c r="AZ666" s="102"/>
      <c r="BA666" s="102"/>
      <c r="BB666" s="102"/>
      <c r="BC666" s="102"/>
      <c r="BD666" s="102"/>
      <c r="BE666" s="102"/>
      <c r="BF666" s="102"/>
      <c r="BG666" s="102"/>
      <c r="BH666" s="102"/>
      <c r="BI666" s="102"/>
      <c r="BJ666" s="102"/>
      <c r="BK666" s="102"/>
      <c r="BL666" s="102"/>
      <c r="BM666" s="102"/>
      <c r="BN666" s="102"/>
      <c r="BO666" s="102"/>
      <c r="BP666" s="102"/>
      <c r="BQ666" s="102"/>
      <c r="BR666" s="102"/>
      <c r="BS666" s="102"/>
      <c r="BT666" s="102"/>
      <c r="BU666" s="102"/>
      <c r="BV666" s="102"/>
      <c r="BW666" s="102"/>
      <c r="BX666" s="102"/>
      <c r="BY666" s="102"/>
      <c r="BZ666" s="102"/>
      <c r="CA666" s="464"/>
      <c r="CB666" s="102"/>
      <c r="CC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474">
        <v>664.0</v>
      </c>
      <c r="AB667" s="474">
        <f t="shared" si="10"/>
        <v>669</v>
      </c>
      <c r="AC667" s="476">
        <f t="shared" si="11"/>
        <v>889</v>
      </c>
      <c r="AD667" s="474">
        <f t="shared" si="12"/>
        <v>1108</v>
      </c>
      <c r="AE667" s="474">
        <f t="shared" si="13"/>
        <v>731</v>
      </c>
      <c r="AF667" s="474">
        <f t="shared" si="14"/>
        <v>889</v>
      </c>
      <c r="AG667" s="102"/>
      <c r="AH667" s="102"/>
      <c r="AI667" s="102"/>
      <c r="AJ667" s="102"/>
      <c r="AK667" s="102"/>
      <c r="AL667" s="102"/>
      <c r="AM667" s="102"/>
      <c r="AN667" s="102"/>
      <c r="AO667" s="102"/>
      <c r="AP667" s="102"/>
      <c r="AQ667" s="102"/>
      <c r="AR667" s="102"/>
      <c r="AS667" s="102"/>
      <c r="AT667" s="102"/>
      <c r="AU667" s="102"/>
      <c r="AV667" s="102"/>
      <c r="AW667" s="102"/>
      <c r="AX667" s="102"/>
      <c r="AY667" s="102"/>
      <c r="AZ667" s="102"/>
      <c r="BA667" s="102"/>
      <c r="BB667" s="102"/>
      <c r="BC667" s="102"/>
      <c r="BD667" s="102"/>
      <c r="BE667" s="102"/>
      <c r="BF667" s="102"/>
      <c r="BG667" s="102"/>
      <c r="BH667" s="102"/>
      <c r="BI667" s="102"/>
      <c r="BJ667" s="102"/>
      <c r="BK667" s="102"/>
      <c r="BL667" s="102"/>
      <c r="BM667" s="102"/>
      <c r="BN667" s="102"/>
      <c r="BO667" s="102"/>
      <c r="BP667" s="102"/>
      <c r="BQ667" s="102"/>
      <c r="BR667" s="102"/>
      <c r="BS667" s="102"/>
      <c r="BT667" s="102"/>
      <c r="BU667" s="102"/>
      <c r="BV667" s="102"/>
      <c r="BW667" s="102"/>
      <c r="BX667" s="102"/>
      <c r="BY667" s="102"/>
      <c r="BZ667" s="102"/>
      <c r="CA667" s="464"/>
      <c r="CB667" s="102"/>
      <c r="CC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474">
        <v>665.0</v>
      </c>
      <c r="AB668" s="474">
        <f t="shared" si="10"/>
        <v>670</v>
      </c>
      <c r="AC668" s="476">
        <f t="shared" si="11"/>
        <v>891</v>
      </c>
      <c r="AD668" s="474">
        <f t="shared" si="12"/>
        <v>1110</v>
      </c>
      <c r="AE668" s="474">
        <f t="shared" si="13"/>
        <v>732</v>
      </c>
      <c r="AF668" s="474">
        <f t="shared" si="14"/>
        <v>891</v>
      </c>
      <c r="AG668" s="102"/>
      <c r="AH668" s="102"/>
      <c r="AI668" s="102"/>
      <c r="AJ668" s="102"/>
      <c r="AK668" s="102"/>
      <c r="AL668" s="102"/>
      <c r="AM668" s="102"/>
      <c r="AN668" s="102"/>
      <c r="AO668" s="102"/>
      <c r="AP668" s="102"/>
      <c r="AQ668" s="102"/>
      <c r="AR668" s="102"/>
      <c r="AS668" s="102"/>
      <c r="AT668" s="102"/>
      <c r="AU668" s="102"/>
      <c r="AV668" s="102"/>
      <c r="AW668" s="102"/>
      <c r="AX668" s="102"/>
      <c r="AY668" s="102"/>
      <c r="AZ668" s="102"/>
      <c r="BA668" s="102"/>
      <c r="BB668" s="102"/>
      <c r="BC668" s="102"/>
      <c r="BD668" s="102"/>
      <c r="BE668" s="102"/>
      <c r="BF668" s="102"/>
      <c r="BG668" s="102"/>
      <c r="BH668" s="102"/>
      <c r="BI668" s="102"/>
      <c r="BJ668" s="102"/>
      <c r="BK668" s="102"/>
      <c r="BL668" s="102"/>
      <c r="BM668" s="102"/>
      <c r="BN668" s="102"/>
      <c r="BO668" s="102"/>
      <c r="BP668" s="102"/>
      <c r="BQ668" s="102"/>
      <c r="BR668" s="102"/>
      <c r="BS668" s="102"/>
      <c r="BT668" s="102"/>
      <c r="BU668" s="102"/>
      <c r="BV668" s="102"/>
      <c r="BW668" s="102"/>
      <c r="BX668" s="102"/>
      <c r="BY668" s="102"/>
      <c r="BZ668" s="102"/>
      <c r="CA668" s="464"/>
      <c r="CB668" s="102"/>
      <c r="CC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474">
        <v>666.0</v>
      </c>
      <c r="AB669" s="474">
        <f t="shared" si="10"/>
        <v>671</v>
      </c>
      <c r="AC669" s="476">
        <f t="shared" si="11"/>
        <v>892</v>
      </c>
      <c r="AD669" s="474">
        <f t="shared" si="12"/>
        <v>1112</v>
      </c>
      <c r="AE669" s="474">
        <f t="shared" si="13"/>
        <v>733</v>
      </c>
      <c r="AF669" s="474">
        <f t="shared" si="14"/>
        <v>892</v>
      </c>
      <c r="AG669" s="102"/>
      <c r="AH669" s="102"/>
      <c r="AI669" s="102"/>
      <c r="AJ669" s="102"/>
      <c r="AK669" s="102"/>
      <c r="AL669" s="102"/>
      <c r="AM669" s="102"/>
      <c r="AN669" s="102"/>
      <c r="AO669" s="102"/>
      <c r="AP669" s="102"/>
      <c r="AQ669" s="102"/>
      <c r="AR669" s="102"/>
      <c r="AS669" s="102"/>
      <c r="AT669" s="102"/>
      <c r="AU669" s="102"/>
      <c r="AV669" s="102"/>
      <c r="AW669" s="102"/>
      <c r="AX669" s="102"/>
      <c r="AY669" s="102"/>
      <c r="AZ669" s="102"/>
      <c r="BA669" s="102"/>
      <c r="BB669" s="102"/>
      <c r="BC669" s="102"/>
      <c r="BD669" s="102"/>
      <c r="BE669" s="102"/>
      <c r="BF669" s="102"/>
      <c r="BG669" s="102"/>
      <c r="BH669" s="102"/>
      <c r="BI669" s="102"/>
      <c r="BJ669" s="102"/>
      <c r="BK669" s="102"/>
      <c r="BL669" s="102"/>
      <c r="BM669" s="102"/>
      <c r="BN669" s="102"/>
      <c r="BO669" s="102"/>
      <c r="BP669" s="102"/>
      <c r="BQ669" s="102"/>
      <c r="BR669" s="102"/>
      <c r="BS669" s="102"/>
      <c r="BT669" s="102"/>
      <c r="BU669" s="102"/>
      <c r="BV669" s="102"/>
      <c r="BW669" s="102"/>
      <c r="BX669" s="102"/>
      <c r="BY669" s="102"/>
      <c r="BZ669" s="102"/>
      <c r="CA669" s="464"/>
      <c r="CB669" s="102"/>
      <c r="CC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474">
        <v>667.0</v>
      </c>
      <c r="AB670" s="474">
        <f t="shared" si="10"/>
        <v>672</v>
      </c>
      <c r="AC670" s="476">
        <f t="shared" si="11"/>
        <v>893</v>
      </c>
      <c r="AD670" s="474">
        <f t="shared" si="12"/>
        <v>1113</v>
      </c>
      <c r="AE670" s="474">
        <f t="shared" si="13"/>
        <v>734</v>
      </c>
      <c r="AF670" s="474">
        <f t="shared" si="14"/>
        <v>893</v>
      </c>
      <c r="AG670" s="102"/>
      <c r="AH670" s="102"/>
      <c r="AI670" s="102"/>
      <c r="AJ670" s="102"/>
      <c r="AK670" s="102"/>
      <c r="AL670" s="102"/>
      <c r="AM670" s="102"/>
      <c r="AN670" s="102"/>
      <c r="AO670" s="102"/>
      <c r="AP670" s="102"/>
      <c r="AQ670" s="102"/>
      <c r="AR670" s="102"/>
      <c r="AS670" s="102"/>
      <c r="AT670" s="102"/>
      <c r="AU670" s="102"/>
      <c r="AV670" s="102"/>
      <c r="AW670" s="102"/>
      <c r="AX670" s="102"/>
      <c r="AY670" s="102"/>
      <c r="AZ670" s="102"/>
      <c r="BA670" s="102"/>
      <c r="BB670" s="102"/>
      <c r="BC670" s="102"/>
      <c r="BD670" s="102"/>
      <c r="BE670" s="102"/>
      <c r="BF670" s="102"/>
      <c r="BG670" s="102"/>
      <c r="BH670" s="102"/>
      <c r="BI670" s="102"/>
      <c r="BJ670" s="102"/>
      <c r="BK670" s="102"/>
      <c r="BL670" s="102"/>
      <c r="BM670" s="102"/>
      <c r="BN670" s="102"/>
      <c r="BO670" s="102"/>
      <c r="BP670" s="102"/>
      <c r="BQ670" s="102"/>
      <c r="BR670" s="102"/>
      <c r="BS670" s="102"/>
      <c r="BT670" s="102"/>
      <c r="BU670" s="102"/>
      <c r="BV670" s="102"/>
      <c r="BW670" s="102"/>
      <c r="BX670" s="102"/>
      <c r="BY670" s="102"/>
      <c r="BZ670" s="102"/>
      <c r="CA670" s="464"/>
      <c r="CB670" s="102"/>
      <c r="CC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474">
        <v>668.0</v>
      </c>
      <c r="AB671" s="474">
        <f t="shared" si="10"/>
        <v>673</v>
      </c>
      <c r="AC671" s="476">
        <f t="shared" si="11"/>
        <v>895</v>
      </c>
      <c r="AD671" s="474">
        <f t="shared" si="12"/>
        <v>1115</v>
      </c>
      <c r="AE671" s="474">
        <f t="shared" si="13"/>
        <v>735</v>
      </c>
      <c r="AF671" s="474">
        <f t="shared" si="14"/>
        <v>895</v>
      </c>
      <c r="AG671" s="102"/>
      <c r="AH671" s="102"/>
      <c r="AI671" s="102"/>
      <c r="AJ671" s="102"/>
      <c r="AK671" s="102"/>
      <c r="AL671" s="102"/>
      <c r="AM671" s="102"/>
      <c r="AN671" s="102"/>
      <c r="AO671" s="102"/>
      <c r="AP671" s="102"/>
      <c r="AQ671" s="102"/>
      <c r="AR671" s="102"/>
      <c r="AS671" s="102"/>
      <c r="AT671" s="102"/>
      <c r="AU671" s="102"/>
      <c r="AV671" s="102"/>
      <c r="AW671" s="102"/>
      <c r="AX671" s="102"/>
      <c r="AY671" s="102"/>
      <c r="AZ671" s="102"/>
      <c r="BA671" s="102"/>
      <c r="BB671" s="102"/>
      <c r="BC671" s="102"/>
      <c r="BD671" s="102"/>
      <c r="BE671" s="102"/>
      <c r="BF671" s="102"/>
      <c r="BG671" s="102"/>
      <c r="BH671" s="102"/>
      <c r="BI671" s="102"/>
      <c r="BJ671" s="102"/>
      <c r="BK671" s="102"/>
      <c r="BL671" s="102"/>
      <c r="BM671" s="102"/>
      <c r="BN671" s="102"/>
      <c r="BO671" s="102"/>
      <c r="BP671" s="102"/>
      <c r="BQ671" s="102"/>
      <c r="BR671" s="102"/>
      <c r="BS671" s="102"/>
      <c r="BT671" s="102"/>
      <c r="BU671" s="102"/>
      <c r="BV671" s="102"/>
      <c r="BW671" s="102"/>
      <c r="BX671" s="102"/>
      <c r="BY671" s="102"/>
      <c r="BZ671" s="102"/>
      <c r="CA671" s="464"/>
      <c r="CB671" s="102"/>
      <c r="CC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474">
        <v>669.0</v>
      </c>
      <c r="AB672" s="474">
        <f t="shared" si="10"/>
        <v>674</v>
      </c>
      <c r="AC672" s="476">
        <f t="shared" si="11"/>
        <v>896</v>
      </c>
      <c r="AD672" s="474">
        <f t="shared" si="12"/>
        <v>1117</v>
      </c>
      <c r="AE672" s="474">
        <f t="shared" si="13"/>
        <v>736</v>
      </c>
      <c r="AF672" s="474">
        <f t="shared" si="14"/>
        <v>896</v>
      </c>
      <c r="AG672" s="102"/>
      <c r="AH672" s="102"/>
      <c r="AI672" s="102"/>
      <c r="AJ672" s="102"/>
      <c r="AK672" s="102"/>
      <c r="AL672" s="102"/>
      <c r="AM672" s="102"/>
      <c r="AN672" s="102"/>
      <c r="AO672" s="102"/>
      <c r="AP672" s="102"/>
      <c r="AQ672" s="102"/>
      <c r="AR672" s="102"/>
      <c r="AS672" s="102"/>
      <c r="AT672" s="102"/>
      <c r="AU672" s="102"/>
      <c r="AV672" s="102"/>
      <c r="AW672" s="102"/>
      <c r="AX672" s="102"/>
      <c r="AY672" s="102"/>
      <c r="AZ672" s="102"/>
      <c r="BA672" s="102"/>
      <c r="BB672" s="102"/>
      <c r="BC672" s="102"/>
      <c r="BD672" s="102"/>
      <c r="BE672" s="102"/>
      <c r="BF672" s="102"/>
      <c r="BG672" s="102"/>
      <c r="BH672" s="102"/>
      <c r="BI672" s="102"/>
      <c r="BJ672" s="102"/>
      <c r="BK672" s="102"/>
      <c r="BL672" s="102"/>
      <c r="BM672" s="102"/>
      <c r="BN672" s="102"/>
      <c r="BO672" s="102"/>
      <c r="BP672" s="102"/>
      <c r="BQ672" s="102"/>
      <c r="BR672" s="102"/>
      <c r="BS672" s="102"/>
      <c r="BT672" s="102"/>
      <c r="BU672" s="102"/>
      <c r="BV672" s="102"/>
      <c r="BW672" s="102"/>
      <c r="BX672" s="102"/>
      <c r="BY672" s="102"/>
      <c r="BZ672" s="102"/>
      <c r="CA672" s="464"/>
      <c r="CB672" s="102"/>
      <c r="CC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474">
        <v>670.0</v>
      </c>
      <c r="AB673" s="474">
        <f t="shared" si="10"/>
        <v>675</v>
      </c>
      <c r="AC673" s="476">
        <f t="shared" si="11"/>
        <v>897</v>
      </c>
      <c r="AD673" s="474">
        <f t="shared" si="12"/>
        <v>1118</v>
      </c>
      <c r="AE673" s="474">
        <f t="shared" si="13"/>
        <v>737</v>
      </c>
      <c r="AF673" s="474">
        <f t="shared" si="14"/>
        <v>897</v>
      </c>
      <c r="AG673" s="102"/>
      <c r="AH673" s="102"/>
      <c r="AI673" s="102"/>
      <c r="AJ673" s="102"/>
      <c r="AK673" s="102"/>
      <c r="AL673" s="102"/>
      <c r="AM673" s="102"/>
      <c r="AN673" s="102"/>
      <c r="AO673" s="102"/>
      <c r="AP673" s="102"/>
      <c r="AQ673" s="102"/>
      <c r="AR673" s="102"/>
      <c r="AS673" s="102"/>
      <c r="AT673" s="102"/>
      <c r="AU673" s="102"/>
      <c r="AV673" s="102"/>
      <c r="AW673" s="102"/>
      <c r="AX673" s="102"/>
      <c r="AY673" s="102"/>
      <c r="AZ673" s="102"/>
      <c r="BA673" s="102"/>
      <c r="BB673" s="102"/>
      <c r="BC673" s="102"/>
      <c r="BD673" s="102"/>
      <c r="BE673" s="102"/>
      <c r="BF673" s="102"/>
      <c r="BG673" s="102"/>
      <c r="BH673" s="102"/>
      <c r="BI673" s="102"/>
      <c r="BJ673" s="102"/>
      <c r="BK673" s="102"/>
      <c r="BL673" s="102"/>
      <c r="BM673" s="102"/>
      <c r="BN673" s="102"/>
      <c r="BO673" s="102"/>
      <c r="BP673" s="102"/>
      <c r="BQ673" s="102"/>
      <c r="BR673" s="102"/>
      <c r="BS673" s="102"/>
      <c r="BT673" s="102"/>
      <c r="BU673" s="102"/>
      <c r="BV673" s="102"/>
      <c r="BW673" s="102"/>
      <c r="BX673" s="102"/>
      <c r="BY673" s="102"/>
      <c r="BZ673" s="102"/>
      <c r="CA673" s="464"/>
      <c r="CB673" s="102"/>
      <c r="CC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474">
        <v>671.0</v>
      </c>
      <c r="AB674" s="474">
        <f t="shared" si="10"/>
        <v>676</v>
      </c>
      <c r="AC674" s="476">
        <f t="shared" si="11"/>
        <v>899</v>
      </c>
      <c r="AD674" s="474">
        <f t="shared" si="12"/>
        <v>1120</v>
      </c>
      <c r="AE674" s="474">
        <f t="shared" si="13"/>
        <v>739</v>
      </c>
      <c r="AF674" s="474">
        <f t="shared" si="14"/>
        <v>899</v>
      </c>
      <c r="AG674" s="102"/>
      <c r="AH674" s="102"/>
      <c r="AI674" s="102"/>
      <c r="AJ674" s="102"/>
      <c r="AK674" s="102"/>
      <c r="AL674" s="102"/>
      <c r="AM674" s="102"/>
      <c r="AN674" s="102"/>
      <c r="AO674" s="102"/>
      <c r="AP674" s="102"/>
      <c r="AQ674" s="102"/>
      <c r="AR674" s="102"/>
      <c r="AS674" s="102"/>
      <c r="AT674" s="102"/>
      <c r="AU674" s="102"/>
      <c r="AV674" s="102"/>
      <c r="AW674" s="102"/>
      <c r="AX674" s="102"/>
      <c r="AY674" s="102"/>
      <c r="AZ674" s="102"/>
      <c r="BA674" s="102"/>
      <c r="BB674" s="102"/>
      <c r="BC674" s="102"/>
      <c r="BD674" s="102"/>
      <c r="BE674" s="102"/>
      <c r="BF674" s="102"/>
      <c r="BG674" s="102"/>
      <c r="BH674" s="102"/>
      <c r="BI674" s="102"/>
      <c r="BJ674" s="102"/>
      <c r="BK674" s="102"/>
      <c r="BL674" s="102"/>
      <c r="BM674" s="102"/>
      <c r="BN674" s="102"/>
      <c r="BO674" s="102"/>
      <c r="BP674" s="102"/>
      <c r="BQ674" s="102"/>
      <c r="BR674" s="102"/>
      <c r="BS674" s="102"/>
      <c r="BT674" s="102"/>
      <c r="BU674" s="102"/>
      <c r="BV674" s="102"/>
      <c r="BW674" s="102"/>
      <c r="BX674" s="102"/>
      <c r="BY674" s="102"/>
      <c r="BZ674" s="102"/>
      <c r="CA674" s="464"/>
      <c r="CB674" s="102"/>
      <c r="CC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474">
        <v>672.0</v>
      </c>
      <c r="AB675" s="474">
        <f t="shared" si="10"/>
        <v>677</v>
      </c>
      <c r="AC675" s="476">
        <f t="shared" si="11"/>
        <v>900</v>
      </c>
      <c r="AD675" s="474">
        <f t="shared" si="12"/>
        <v>1122</v>
      </c>
      <c r="AE675" s="474">
        <f t="shared" si="13"/>
        <v>740</v>
      </c>
      <c r="AF675" s="474">
        <f t="shared" si="14"/>
        <v>900</v>
      </c>
      <c r="AG675" s="102"/>
      <c r="AH675" s="102"/>
      <c r="AI675" s="102"/>
      <c r="AJ675" s="102"/>
      <c r="AK675" s="102"/>
      <c r="AL675" s="102"/>
      <c r="AM675" s="102"/>
      <c r="AN675" s="102"/>
      <c r="AO675" s="102"/>
      <c r="AP675" s="102"/>
      <c r="AQ675" s="102"/>
      <c r="AR675" s="102"/>
      <c r="AS675" s="102"/>
      <c r="AT675" s="102"/>
      <c r="AU675" s="102"/>
      <c r="AV675" s="102"/>
      <c r="AW675" s="102"/>
      <c r="AX675" s="102"/>
      <c r="AY675" s="102"/>
      <c r="AZ675" s="102"/>
      <c r="BA675" s="102"/>
      <c r="BB675" s="102"/>
      <c r="BC675" s="102"/>
      <c r="BD675" s="102"/>
      <c r="BE675" s="102"/>
      <c r="BF675" s="102"/>
      <c r="BG675" s="102"/>
      <c r="BH675" s="102"/>
      <c r="BI675" s="102"/>
      <c r="BJ675" s="102"/>
      <c r="BK675" s="102"/>
      <c r="BL675" s="102"/>
      <c r="BM675" s="102"/>
      <c r="BN675" s="102"/>
      <c r="BO675" s="102"/>
      <c r="BP675" s="102"/>
      <c r="BQ675" s="102"/>
      <c r="BR675" s="102"/>
      <c r="BS675" s="102"/>
      <c r="BT675" s="102"/>
      <c r="BU675" s="102"/>
      <c r="BV675" s="102"/>
      <c r="BW675" s="102"/>
      <c r="BX675" s="102"/>
      <c r="BY675" s="102"/>
      <c r="BZ675" s="102"/>
      <c r="CA675" s="464"/>
      <c r="CB675" s="102"/>
      <c r="CC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474">
        <v>673.0</v>
      </c>
      <c r="AB676" s="474">
        <f t="shared" si="10"/>
        <v>678</v>
      </c>
      <c r="AC676" s="476">
        <f t="shared" si="11"/>
        <v>901</v>
      </c>
      <c r="AD676" s="474">
        <f t="shared" si="12"/>
        <v>1123</v>
      </c>
      <c r="AE676" s="474">
        <f t="shared" si="13"/>
        <v>741</v>
      </c>
      <c r="AF676" s="474">
        <f t="shared" si="14"/>
        <v>901</v>
      </c>
      <c r="AG676" s="102"/>
      <c r="AH676" s="102"/>
      <c r="AI676" s="102"/>
      <c r="AJ676" s="102"/>
      <c r="AK676" s="102"/>
      <c r="AL676" s="102"/>
      <c r="AM676" s="102"/>
      <c r="AN676" s="102"/>
      <c r="AO676" s="102"/>
      <c r="AP676" s="102"/>
      <c r="AQ676" s="102"/>
      <c r="AR676" s="102"/>
      <c r="AS676" s="102"/>
      <c r="AT676" s="102"/>
      <c r="AU676" s="102"/>
      <c r="AV676" s="102"/>
      <c r="AW676" s="102"/>
      <c r="AX676" s="102"/>
      <c r="AY676" s="102"/>
      <c r="AZ676" s="102"/>
      <c r="BA676" s="102"/>
      <c r="BB676" s="102"/>
      <c r="BC676" s="102"/>
      <c r="BD676" s="102"/>
      <c r="BE676" s="102"/>
      <c r="BF676" s="102"/>
      <c r="BG676" s="102"/>
      <c r="BH676" s="102"/>
      <c r="BI676" s="102"/>
      <c r="BJ676" s="102"/>
      <c r="BK676" s="102"/>
      <c r="BL676" s="102"/>
      <c r="BM676" s="102"/>
      <c r="BN676" s="102"/>
      <c r="BO676" s="102"/>
      <c r="BP676" s="102"/>
      <c r="BQ676" s="102"/>
      <c r="BR676" s="102"/>
      <c r="BS676" s="102"/>
      <c r="BT676" s="102"/>
      <c r="BU676" s="102"/>
      <c r="BV676" s="102"/>
      <c r="BW676" s="102"/>
      <c r="BX676" s="102"/>
      <c r="BY676" s="102"/>
      <c r="BZ676" s="102"/>
      <c r="CA676" s="464"/>
      <c r="CB676" s="102"/>
      <c r="CC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474">
        <v>674.0</v>
      </c>
      <c r="AB677" s="474">
        <f t="shared" si="10"/>
        <v>679</v>
      </c>
      <c r="AC677" s="476">
        <f t="shared" si="11"/>
        <v>903</v>
      </c>
      <c r="AD677" s="474">
        <f t="shared" si="12"/>
        <v>1125</v>
      </c>
      <c r="AE677" s="474">
        <f t="shared" si="13"/>
        <v>742</v>
      </c>
      <c r="AF677" s="474">
        <f t="shared" si="14"/>
        <v>903</v>
      </c>
      <c r="AG677" s="102"/>
      <c r="AH677" s="102"/>
      <c r="AI677" s="102"/>
      <c r="AJ677" s="102"/>
      <c r="AK677" s="102"/>
      <c r="AL677" s="102"/>
      <c r="AM677" s="102"/>
      <c r="AN677" s="102"/>
      <c r="AO677" s="102"/>
      <c r="AP677" s="102"/>
      <c r="AQ677" s="102"/>
      <c r="AR677" s="102"/>
      <c r="AS677" s="102"/>
      <c r="AT677" s="102"/>
      <c r="AU677" s="102"/>
      <c r="AV677" s="102"/>
      <c r="AW677" s="102"/>
      <c r="AX677" s="102"/>
      <c r="AY677" s="102"/>
      <c r="AZ677" s="102"/>
      <c r="BA677" s="102"/>
      <c r="BB677" s="102"/>
      <c r="BC677" s="102"/>
      <c r="BD677" s="102"/>
      <c r="BE677" s="102"/>
      <c r="BF677" s="102"/>
      <c r="BG677" s="102"/>
      <c r="BH677" s="102"/>
      <c r="BI677" s="102"/>
      <c r="BJ677" s="102"/>
      <c r="BK677" s="102"/>
      <c r="BL677" s="102"/>
      <c r="BM677" s="102"/>
      <c r="BN677" s="102"/>
      <c r="BO677" s="102"/>
      <c r="BP677" s="102"/>
      <c r="BQ677" s="102"/>
      <c r="BR677" s="102"/>
      <c r="BS677" s="102"/>
      <c r="BT677" s="102"/>
      <c r="BU677" s="102"/>
      <c r="BV677" s="102"/>
      <c r="BW677" s="102"/>
      <c r="BX677" s="102"/>
      <c r="BY677" s="102"/>
      <c r="BZ677" s="102"/>
      <c r="CA677" s="464"/>
      <c r="CB677" s="102"/>
      <c r="CC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474">
        <v>675.0</v>
      </c>
      <c r="AB678" s="474">
        <f t="shared" si="10"/>
        <v>680</v>
      </c>
      <c r="AC678" s="476">
        <f t="shared" si="11"/>
        <v>904</v>
      </c>
      <c r="AD678" s="474">
        <f t="shared" si="12"/>
        <v>1127</v>
      </c>
      <c r="AE678" s="474">
        <f t="shared" si="13"/>
        <v>743</v>
      </c>
      <c r="AF678" s="474">
        <f t="shared" si="14"/>
        <v>904</v>
      </c>
      <c r="AG678" s="102"/>
      <c r="AH678" s="102"/>
      <c r="AI678" s="102"/>
      <c r="AJ678" s="102"/>
      <c r="AK678" s="102"/>
      <c r="AL678" s="102"/>
      <c r="AM678" s="102"/>
      <c r="AN678" s="102"/>
      <c r="AO678" s="102"/>
      <c r="AP678" s="102"/>
      <c r="AQ678" s="102"/>
      <c r="AR678" s="102"/>
      <c r="AS678" s="102"/>
      <c r="AT678" s="102"/>
      <c r="AU678" s="102"/>
      <c r="AV678" s="102"/>
      <c r="AW678" s="102"/>
      <c r="AX678" s="102"/>
      <c r="AY678" s="102"/>
      <c r="AZ678" s="102"/>
      <c r="BA678" s="102"/>
      <c r="BB678" s="102"/>
      <c r="BC678" s="102"/>
      <c r="BD678" s="102"/>
      <c r="BE678" s="102"/>
      <c r="BF678" s="102"/>
      <c r="BG678" s="102"/>
      <c r="BH678" s="102"/>
      <c r="BI678" s="102"/>
      <c r="BJ678" s="102"/>
      <c r="BK678" s="102"/>
      <c r="BL678" s="102"/>
      <c r="BM678" s="102"/>
      <c r="BN678" s="102"/>
      <c r="BO678" s="102"/>
      <c r="BP678" s="102"/>
      <c r="BQ678" s="102"/>
      <c r="BR678" s="102"/>
      <c r="BS678" s="102"/>
      <c r="BT678" s="102"/>
      <c r="BU678" s="102"/>
      <c r="BV678" s="102"/>
      <c r="BW678" s="102"/>
      <c r="BX678" s="102"/>
      <c r="BY678" s="102"/>
      <c r="BZ678" s="102"/>
      <c r="CA678" s="464"/>
      <c r="CB678" s="102"/>
      <c r="CC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474">
        <v>676.0</v>
      </c>
      <c r="AB679" s="474">
        <f t="shared" si="10"/>
        <v>681</v>
      </c>
      <c r="AC679" s="476">
        <f t="shared" si="11"/>
        <v>905</v>
      </c>
      <c r="AD679" s="474">
        <f t="shared" si="12"/>
        <v>1128</v>
      </c>
      <c r="AE679" s="474">
        <f t="shared" si="13"/>
        <v>744</v>
      </c>
      <c r="AF679" s="474">
        <f t="shared" si="14"/>
        <v>905</v>
      </c>
      <c r="AG679" s="102"/>
      <c r="AH679" s="102"/>
      <c r="AI679" s="102"/>
      <c r="AJ679" s="102"/>
      <c r="AK679" s="102"/>
      <c r="AL679" s="102"/>
      <c r="AM679" s="102"/>
      <c r="AN679" s="102"/>
      <c r="AO679" s="102"/>
      <c r="AP679" s="102"/>
      <c r="AQ679" s="102"/>
      <c r="AR679" s="102"/>
      <c r="AS679" s="102"/>
      <c r="AT679" s="102"/>
      <c r="AU679" s="102"/>
      <c r="AV679" s="102"/>
      <c r="AW679" s="102"/>
      <c r="AX679" s="102"/>
      <c r="AY679" s="102"/>
      <c r="AZ679" s="102"/>
      <c r="BA679" s="102"/>
      <c r="BB679" s="102"/>
      <c r="BC679" s="102"/>
      <c r="BD679" s="102"/>
      <c r="BE679" s="102"/>
      <c r="BF679" s="102"/>
      <c r="BG679" s="102"/>
      <c r="BH679" s="102"/>
      <c r="BI679" s="102"/>
      <c r="BJ679" s="102"/>
      <c r="BK679" s="102"/>
      <c r="BL679" s="102"/>
      <c r="BM679" s="102"/>
      <c r="BN679" s="102"/>
      <c r="BO679" s="102"/>
      <c r="BP679" s="102"/>
      <c r="BQ679" s="102"/>
      <c r="BR679" s="102"/>
      <c r="BS679" s="102"/>
      <c r="BT679" s="102"/>
      <c r="BU679" s="102"/>
      <c r="BV679" s="102"/>
      <c r="BW679" s="102"/>
      <c r="BX679" s="102"/>
      <c r="BY679" s="102"/>
      <c r="BZ679" s="102"/>
      <c r="CA679" s="464"/>
      <c r="CB679" s="102"/>
      <c r="CC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474">
        <v>677.0</v>
      </c>
      <c r="AB680" s="474">
        <f t="shared" si="10"/>
        <v>682</v>
      </c>
      <c r="AC680" s="476">
        <f t="shared" si="11"/>
        <v>907</v>
      </c>
      <c r="AD680" s="474">
        <f t="shared" si="12"/>
        <v>1130</v>
      </c>
      <c r="AE680" s="474">
        <f t="shared" si="13"/>
        <v>745</v>
      </c>
      <c r="AF680" s="474">
        <f t="shared" si="14"/>
        <v>907</v>
      </c>
      <c r="AG680" s="102"/>
      <c r="AH680" s="102"/>
      <c r="AI680" s="102"/>
      <c r="AJ680" s="102"/>
      <c r="AK680" s="102"/>
      <c r="AL680" s="102"/>
      <c r="AM680" s="102"/>
      <c r="AN680" s="102"/>
      <c r="AO680" s="102"/>
      <c r="AP680" s="102"/>
      <c r="AQ680" s="102"/>
      <c r="AR680" s="102"/>
      <c r="AS680" s="102"/>
      <c r="AT680" s="102"/>
      <c r="AU680" s="102"/>
      <c r="AV680" s="102"/>
      <c r="AW680" s="102"/>
      <c r="AX680" s="102"/>
      <c r="AY680" s="102"/>
      <c r="AZ680" s="102"/>
      <c r="BA680" s="102"/>
      <c r="BB680" s="102"/>
      <c r="BC680" s="102"/>
      <c r="BD680" s="102"/>
      <c r="BE680" s="102"/>
      <c r="BF680" s="102"/>
      <c r="BG680" s="102"/>
      <c r="BH680" s="102"/>
      <c r="BI680" s="102"/>
      <c r="BJ680" s="102"/>
      <c r="BK680" s="102"/>
      <c r="BL680" s="102"/>
      <c r="BM680" s="102"/>
      <c r="BN680" s="102"/>
      <c r="BO680" s="102"/>
      <c r="BP680" s="102"/>
      <c r="BQ680" s="102"/>
      <c r="BR680" s="102"/>
      <c r="BS680" s="102"/>
      <c r="BT680" s="102"/>
      <c r="BU680" s="102"/>
      <c r="BV680" s="102"/>
      <c r="BW680" s="102"/>
      <c r="BX680" s="102"/>
      <c r="BY680" s="102"/>
      <c r="BZ680" s="102"/>
      <c r="CA680" s="464"/>
      <c r="CB680" s="102"/>
      <c r="CC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474">
        <v>678.0</v>
      </c>
      <c r="AB681" s="474">
        <f t="shared" si="10"/>
        <v>683</v>
      </c>
      <c r="AC681" s="476">
        <f t="shared" si="11"/>
        <v>908</v>
      </c>
      <c r="AD681" s="474">
        <f t="shared" si="12"/>
        <v>1132</v>
      </c>
      <c r="AE681" s="474">
        <f t="shared" si="13"/>
        <v>746</v>
      </c>
      <c r="AF681" s="474">
        <f t="shared" si="14"/>
        <v>908</v>
      </c>
      <c r="AG681" s="102"/>
      <c r="AH681" s="102"/>
      <c r="AI681" s="102"/>
      <c r="AJ681" s="102"/>
      <c r="AK681" s="102"/>
      <c r="AL681" s="102"/>
      <c r="AM681" s="102"/>
      <c r="AN681" s="102"/>
      <c r="AO681" s="102"/>
      <c r="AP681" s="102"/>
      <c r="AQ681" s="102"/>
      <c r="AR681" s="102"/>
      <c r="AS681" s="102"/>
      <c r="AT681" s="102"/>
      <c r="AU681" s="102"/>
      <c r="AV681" s="102"/>
      <c r="AW681" s="102"/>
      <c r="AX681" s="102"/>
      <c r="AY681" s="102"/>
      <c r="AZ681" s="102"/>
      <c r="BA681" s="102"/>
      <c r="BB681" s="102"/>
      <c r="BC681" s="102"/>
      <c r="BD681" s="102"/>
      <c r="BE681" s="102"/>
      <c r="BF681" s="102"/>
      <c r="BG681" s="102"/>
      <c r="BH681" s="102"/>
      <c r="BI681" s="102"/>
      <c r="BJ681" s="102"/>
      <c r="BK681" s="102"/>
      <c r="BL681" s="102"/>
      <c r="BM681" s="102"/>
      <c r="BN681" s="102"/>
      <c r="BO681" s="102"/>
      <c r="BP681" s="102"/>
      <c r="BQ681" s="102"/>
      <c r="BR681" s="102"/>
      <c r="BS681" s="102"/>
      <c r="BT681" s="102"/>
      <c r="BU681" s="102"/>
      <c r="BV681" s="102"/>
      <c r="BW681" s="102"/>
      <c r="BX681" s="102"/>
      <c r="BY681" s="102"/>
      <c r="BZ681" s="102"/>
      <c r="CA681" s="464"/>
      <c r="CB681" s="102"/>
      <c r="CC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474">
        <v>679.0</v>
      </c>
      <c r="AB682" s="474">
        <f t="shared" si="10"/>
        <v>684</v>
      </c>
      <c r="AC682" s="476">
        <f t="shared" si="11"/>
        <v>909</v>
      </c>
      <c r="AD682" s="474">
        <f t="shared" si="12"/>
        <v>1133</v>
      </c>
      <c r="AE682" s="474">
        <f t="shared" si="13"/>
        <v>747</v>
      </c>
      <c r="AF682" s="474">
        <f t="shared" si="14"/>
        <v>909</v>
      </c>
      <c r="AG682" s="102"/>
      <c r="AH682" s="102"/>
      <c r="AI682" s="102"/>
      <c r="AJ682" s="102"/>
      <c r="AK682" s="102"/>
      <c r="AL682" s="102"/>
      <c r="AM682" s="102"/>
      <c r="AN682" s="102"/>
      <c r="AO682" s="102"/>
      <c r="AP682" s="102"/>
      <c r="AQ682" s="102"/>
      <c r="AR682" s="102"/>
      <c r="AS682" s="102"/>
      <c r="AT682" s="102"/>
      <c r="AU682" s="102"/>
      <c r="AV682" s="102"/>
      <c r="AW682" s="102"/>
      <c r="AX682" s="102"/>
      <c r="AY682" s="102"/>
      <c r="AZ682" s="102"/>
      <c r="BA682" s="102"/>
      <c r="BB682" s="102"/>
      <c r="BC682" s="102"/>
      <c r="BD682" s="102"/>
      <c r="BE682" s="102"/>
      <c r="BF682" s="102"/>
      <c r="BG682" s="102"/>
      <c r="BH682" s="102"/>
      <c r="BI682" s="102"/>
      <c r="BJ682" s="102"/>
      <c r="BK682" s="102"/>
      <c r="BL682" s="102"/>
      <c r="BM682" s="102"/>
      <c r="BN682" s="102"/>
      <c r="BO682" s="102"/>
      <c r="BP682" s="102"/>
      <c r="BQ682" s="102"/>
      <c r="BR682" s="102"/>
      <c r="BS682" s="102"/>
      <c r="BT682" s="102"/>
      <c r="BU682" s="102"/>
      <c r="BV682" s="102"/>
      <c r="BW682" s="102"/>
      <c r="BX682" s="102"/>
      <c r="BY682" s="102"/>
      <c r="BZ682" s="102"/>
      <c r="CA682" s="464"/>
      <c r="CB682" s="102"/>
      <c r="CC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474">
        <v>680.0</v>
      </c>
      <c r="AB683" s="474">
        <f t="shared" si="10"/>
        <v>685</v>
      </c>
      <c r="AC683" s="476">
        <f t="shared" si="11"/>
        <v>911</v>
      </c>
      <c r="AD683" s="474">
        <f t="shared" si="12"/>
        <v>1135</v>
      </c>
      <c r="AE683" s="474">
        <f t="shared" si="13"/>
        <v>748</v>
      </c>
      <c r="AF683" s="474">
        <f t="shared" si="14"/>
        <v>911</v>
      </c>
      <c r="AG683" s="102"/>
      <c r="AH683" s="102"/>
      <c r="AI683" s="102"/>
      <c r="AJ683" s="102"/>
      <c r="AK683" s="102"/>
      <c r="AL683" s="102"/>
      <c r="AM683" s="102"/>
      <c r="AN683" s="102"/>
      <c r="AO683" s="102"/>
      <c r="AP683" s="102"/>
      <c r="AQ683" s="102"/>
      <c r="AR683" s="102"/>
      <c r="AS683" s="102"/>
      <c r="AT683" s="102"/>
      <c r="AU683" s="102"/>
      <c r="AV683" s="102"/>
      <c r="AW683" s="102"/>
      <c r="AX683" s="102"/>
      <c r="AY683" s="102"/>
      <c r="AZ683" s="102"/>
      <c r="BA683" s="102"/>
      <c r="BB683" s="102"/>
      <c r="BC683" s="102"/>
      <c r="BD683" s="102"/>
      <c r="BE683" s="102"/>
      <c r="BF683" s="102"/>
      <c r="BG683" s="102"/>
      <c r="BH683" s="102"/>
      <c r="BI683" s="102"/>
      <c r="BJ683" s="102"/>
      <c r="BK683" s="102"/>
      <c r="BL683" s="102"/>
      <c r="BM683" s="102"/>
      <c r="BN683" s="102"/>
      <c r="BO683" s="102"/>
      <c r="BP683" s="102"/>
      <c r="BQ683" s="102"/>
      <c r="BR683" s="102"/>
      <c r="BS683" s="102"/>
      <c r="BT683" s="102"/>
      <c r="BU683" s="102"/>
      <c r="BV683" s="102"/>
      <c r="BW683" s="102"/>
      <c r="BX683" s="102"/>
      <c r="BY683" s="102"/>
      <c r="BZ683" s="102"/>
      <c r="CA683" s="464"/>
      <c r="CB683" s="102"/>
      <c r="CC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474">
        <v>681.0</v>
      </c>
      <c r="AB684" s="474">
        <f t="shared" si="10"/>
        <v>686</v>
      </c>
      <c r="AC684" s="476">
        <f t="shared" si="11"/>
        <v>912</v>
      </c>
      <c r="AD684" s="474">
        <f t="shared" si="12"/>
        <v>1137</v>
      </c>
      <c r="AE684" s="474">
        <f t="shared" si="13"/>
        <v>750</v>
      </c>
      <c r="AF684" s="474">
        <f t="shared" si="14"/>
        <v>912</v>
      </c>
      <c r="AG684" s="102"/>
      <c r="AH684" s="102"/>
      <c r="AI684" s="102"/>
      <c r="AJ684" s="102"/>
      <c r="AK684" s="102"/>
      <c r="AL684" s="102"/>
      <c r="AM684" s="102"/>
      <c r="AN684" s="102"/>
      <c r="AO684" s="102"/>
      <c r="AP684" s="102"/>
      <c r="AQ684" s="102"/>
      <c r="AR684" s="102"/>
      <c r="AS684" s="102"/>
      <c r="AT684" s="102"/>
      <c r="AU684" s="102"/>
      <c r="AV684" s="102"/>
      <c r="AW684" s="102"/>
      <c r="AX684" s="102"/>
      <c r="AY684" s="102"/>
      <c r="AZ684" s="102"/>
      <c r="BA684" s="102"/>
      <c r="BB684" s="102"/>
      <c r="BC684" s="102"/>
      <c r="BD684" s="102"/>
      <c r="BE684" s="102"/>
      <c r="BF684" s="102"/>
      <c r="BG684" s="102"/>
      <c r="BH684" s="102"/>
      <c r="BI684" s="102"/>
      <c r="BJ684" s="102"/>
      <c r="BK684" s="102"/>
      <c r="BL684" s="102"/>
      <c r="BM684" s="102"/>
      <c r="BN684" s="102"/>
      <c r="BO684" s="102"/>
      <c r="BP684" s="102"/>
      <c r="BQ684" s="102"/>
      <c r="BR684" s="102"/>
      <c r="BS684" s="102"/>
      <c r="BT684" s="102"/>
      <c r="BU684" s="102"/>
      <c r="BV684" s="102"/>
      <c r="BW684" s="102"/>
      <c r="BX684" s="102"/>
      <c r="BY684" s="102"/>
      <c r="BZ684" s="102"/>
      <c r="CA684" s="464"/>
      <c r="CB684" s="102"/>
      <c r="CC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474">
        <v>682.0</v>
      </c>
      <c r="AB685" s="474">
        <f t="shared" si="10"/>
        <v>687</v>
      </c>
      <c r="AC685" s="476">
        <f t="shared" si="11"/>
        <v>913</v>
      </c>
      <c r="AD685" s="474">
        <f t="shared" si="12"/>
        <v>1138</v>
      </c>
      <c r="AE685" s="474">
        <f t="shared" si="13"/>
        <v>751</v>
      </c>
      <c r="AF685" s="474">
        <f t="shared" si="14"/>
        <v>913</v>
      </c>
      <c r="AG685" s="102"/>
      <c r="AH685" s="102"/>
      <c r="AI685" s="102"/>
      <c r="AJ685" s="102"/>
      <c r="AK685" s="102"/>
      <c r="AL685" s="102"/>
      <c r="AM685" s="102"/>
      <c r="AN685" s="102"/>
      <c r="AO685" s="102"/>
      <c r="AP685" s="102"/>
      <c r="AQ685" s="102"/>
      <c r="AR685" s="102"/>
      <c r="AS685" s="102"/>
      <c r="AT685" s="102"/>
      <c r="AU685" s="102"/>
      <c r="AV685" s="102"/>
      <c r="AW685" s="102"/>
      <c r="AX685" s="102"/>
      <c r="AY685" s="102"/>
      <c r="AZ685" s="102"/>
      <c r="BA685" s="102"/>
      <c r="BB685" s="102"/>
      <c r="BC685" s="102"/>
      <c r="BD685" s="102"/>
      <c r="BE685" s="102"/>
      <c r="BF685" s="102"/>
      <c r="BG685" s="102"/>
      <c r="BH685" s="102"/>
      <c r="BI685" s="102"/>
      <c r="BJ685" s="102"/>
      <c r="BK685" s="102"/>
      <c r="BL685" s="102"/>
      <c r="BM685" s="102"/>
      <c r="BN685" s="102"/>
      <c r="BO685" s="102"/>
      <c r="BP685" s="102"/>
      <c r="BQ685" s="102"/>
      <c r="BR685" s="102"/>
      <c r="BS685" s="102"/>
      <c r="BT685" s="102"/>
      <c r="BU685" s="102"/>
      <c r="BV685" s="102"/>
      <c r="BW685" s="102"/>
      <c r="BX685" s="102"/>
      <c r="BY685" s="102"/>
      <c r="BZ685" s="102"/>
      <c r="CA685" s="464"/>
      <c r="CB685" s="102"/>
      <c r="CC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474">
        <v>683.0</v>
      </c>
      <c r="AB686" s="474">
        <f t="shared" si="10"/>
        <v>688</v>
      </c>
      <c r="AC686" s="476">
        <f t="shared" si="11"/>
        <v>915</v>
      </c>
      <c r="AD686" s="474">
        <f t="shared" si="12"/>
        <v>1140</v>
      </c>
      <c r="AE686" s="474">
        <f t="shared" si="13"/>
        <v>752</v>
      </c>
      <c r="AF686" s="474">
        <f t="shared" si="14"/>
        <v>915</v>
      </c>
      <c r="AG686" s="102"/>
      <c r="AH686" s="102"/>
      <c r="AI686" s="102"/>
      <c r="AJ686" s="102"/>
      <c r="AK686" s="102"/>
      <c r="AL686" s="102"/>
      <c r="AM686" s="102"/>
      <c r="AN686" s="102"/>
      <c r="AO686" s="102"/>
      <c r="AP686" s="102"/>
      <c r="AQ686" s="102"/>
      <c r="AR686" s="102"/>
      <c r="AS686" s="102"/>
      <c r="AT686" s="102"/>
      <c r="AU686" s="102"/>
      <c r="AV686" s="102"/>
      <c r="AW686" s="102"/>
      <c r="AX686" s="102"/>
      <c r="AY686" s="102"/>
      <c r="AZ686" s="102"/>
      <c r="BA686" s="102"/>
      <c r="BB686" s="102"/>
      <c r="BC686" s="102"/>
      <c r="BD686" s="102"/>
      <c r="BE686" s="102"/>
      <c r="BF686" s="102"/>
      <c r="BG686" s="102"/>
      <c r="BH686" s="102"/>
      <c r="BI686" s="102"/>
      <c r="BJ686" s="102"/>
      <c r="BK686" s="102"/>
      <c r="BL686" s="102"/>
      <c r="BM686" s="102"/>
      <c r="BN686" s="102"/>
      <c r="BO686" s="102"/>
      <c r="BP686" s="102"/>
      <c r="BQ686" s="102"/>
      <c r="BR686" s="102"/>
      <c r="BS686" s="102"/>
      <c r="BT686" s="102"/>
      <c r="BU686" s="102"/>
      <c r="BV686" s="102"/>
      <c r="BW686" s="102"/>
      <c r="BX686" s="102"/>
      <c r="BY686" s="102"/>
      <c r="BZ686" s="102"/>
      <c r="CA686" s="464"/>
      <c r="CB686" s="102"/>
      <c r="CC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474">
        <v>684.0</v>
      </c>
      <c r="AB687" s="474">
        <f t="shared" si="10"/>
        <v>689</v>
      </c>
      <c r="AC687" s="476">
        <f t="shared" si="11"/>
        <v>916</v>
      </c>
      <c r="AD687" s="474">
        <f t="shared" si="12"/>
        <v>1142</v>
      </c>
      <c r="AE687" s="474">
        <f t="shared" si="13"/>
        <v>753</v>
      </c>
      <c r="AF687" s="474">
        <f t="shared" si="14"/>
        <v>916</v>
      </c>
      <c r="AG687" s="102"/>
      <c r="AH687" s="102"/>
      <c r="AI687" s="102"/>
      <c r="AJ687" s="102"/>
      <c r="AK687" s="102"/>
      <c r="AL687" s="102"/>
      <c r="AM687" s="102"/>
      <c r="AN687" s="102"/>
      <c r="AO687" s="102"/>
      <c r="AP687" s="102"/>
      <c r="AQ687" s="102"/>
      <c r="AR687" s="102"/>
      <c r="AS687" s="102"/>
      <c r="AT687" s="102"/>
      <c r="AU687" s="102"/>
      <c r="AV687" s="102"/>
      <c r="AW687" s="102"/>
      <c r="AX687" s="102"/>
      <c r="AY687" s="102"/>
      <c r="AZ687" s="102"/>
      <c r="BA687" s="102"/>
      <c r="BB687" s="102"/>
      <c r="BC687" s="102"/>
      <c r="BD687" s="102"/>
      <c r="BE687" s="102"/>
      <c r="BF687" s="102"/>
      <c r="BG687" s="102"/>
      <c r="BH687" s="102"/>
      <c r="BI687" s="102"/>
      <c r="BJ687" s="102"/>
      <c r="BK687" s="102"/>
      <c r="BL687" s="102"/>
      <c r="BM687" s="102"/>
      <c r="BN687" s="102"/>
      <c r="BO687" s="102"/>
      <c r="BP687" s="102"/>
      <c r="BQ687" s="102"/>
      <c r="BR687" s="102"/>
      <c r="BS687" s="102"/>
      <c r="BT687" s="102"/>
      <c r="BU687" s="102"/>
      <c r="BV687" s="102"/>
      <c r="BW687" s="102"/>
      <c r="BX687" s="102"/>
      <c r="BY687" s="102"/>
      <c r="BZ687" s="102"/>
      <c r="CA687" s="464"/>
      <c r="CB687" s="102"/>
      <c r="CC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474">
        <v>685.0</v>
      </c>
      <c r="AB688" s="474">
        <f t="shared" si="10"/>
        <v>690</v>
      </c>
      <c r="AC688" s="476">
        <f t="shared" si="11"/>
        <v>917</v>
      </c>
      <c r="AD688" s="474">
        <f t="shared" si="12"/>
        <v>1143</v>
      </c>
      <c r="AE688" s="474">
        <f t="shared" si="13"/>
        <v>754</v>
      </c>
      <c r="AF688" s="474">
        <f t="shared" si="14"/>
        <v>917</v>
      </c>
      <c r="AG688" s="102"/>
      <c r="AH688" s="102"/>
      <c r="AI688" s="102"/>
      <c r="AJ688" s="102"/>
      <c r="AK688" s="102"/>
      <c r="AL688" s="102"/>
      <c r="AM688" s="102"/>
      <c r="AN688" s="102"/>
      <c r="AO688" s="102"/>
      <c r="AP688" s="102"/>
      <c r="AQ688" s="102"/>
      <c r="AR688" s="102"/>
      <c r="AS688" s="102"/>
      <c r="AT688" s="102"/>
      <c r="AU688" s="102"/>
      <c r="AV688" s="102"/>
      <c r="AW688" s="102"/>
      <c r="AX688" s="102"/>
      <c r="AY688" s="102"/>
      <c r="AZ688" s="102"/>
      <c r="BA688" s="102"/>
      <c r="BB688" s="102"/>
      <c r="BC688" s="102"/>
      <c r="BD688" s="102"/>
      <c r="BE688" s="102"/>
      <c r="BF688" s="102"/>
      <c r="BG688" s="102"/>
      <c r="BH688" s="102"/>
      <c r="BI688" s="102"/>
      <c r="BJ688" s="102"/>
      <c r="BK688" s="102"/>
      <c r="BL688" s="102"/>
      <c r="BM688" s="102"/>
      <c r="BN688" s="102"/>
      <c r="BO688" s="102"/>
      <c r="BP688" s="102"/>
      <c r="BQ688" s="102"/>
      <c r="BR688" s="102"/>
      <c r="BS688" s="102"/>
      <c r="BT688" s="102"/>
      <c r="BU688" s="102"/>
      <c r="BV688" s="102"/>
      <c r="BW688" s="102"/>
      <c r="BX688" s="102"/>
      <c r="BY688" s="102"/>
      <c r="BZ688" s="102"/>
      <c r="CA688" s="464"/>
      <c r="CB688" s="102"/>
      <c r="CC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474">
        <v>686.0</v>
      </c>
      <c r="AB689" s="474">
        <f t="shared" si="10"/>
        <v>691</v>
      </c>
      <c r="AC689" s="476">
        <f t="shared" si="11"/>
        <v>919</v>
      </c>
      <c r="AD689" s="474">
        <f t="shared" si="12"/>
        <v>1145</v>
      </c>
      <c r="AE689" s="474">
        <f t="shared" si="13"/>
        <v>755</v>
      </c>
      <c r="AF689" s="474">
        <f t="shared" si="14"/>
        <v>919</v>
      </c>
      <c r="AG689" s="102"/>
      <c r="AH689" s="102"/>
      <c r="AI689" s="102"/>
      <c r="AJ689" s="102"/>
      <c r="AK689" s="102"/>
      <c r="AL689" s="102"/>
      <c r="AM689" s="102"/>
      <c r="AN689" s="102"/>
      <c r="AO689" s="102"/>
      <c r="AP689" s="102"/>
      <c r="AQ689" s="102"/>
      <c r="AR689" s="102"/>
      <c r="AS689" s="102"/>
      <c r="AT689" s="102"/>
      <c r="AU689" s="102"/>
      <c r="AV689" s="102"/>
      <c r="AW689" s="102"/>
      <c r="AX689" s="102"/>
      <c r="AY689" s="102"/>
      <c r="AZ689" s="102"/>
      <c r="BA689" s="102"/>
      <c r="BB689" s="102"/>
      <c r="BC689" s="102"/>
      <c r="BD689" s="102"/>
      <c r="BE689" s="102"/>
      <c r="BF689" s="102"/>
      <c r="BG689" s="102"/>
      <c r="BH689" s="102"/>
      <c r="BI689" s="102"/>
      <c r="BJ689" s="102"/>
      <c r="BK689" s="102"/>
      <c r="BL689" s="102"/>
      <c r="BM689" s="102"/>
      <c r="BN689" s="102"/>
      <c r="BO689" s="102"/>
      <c r="BP689" s="102"/>
      <c r="BQ689" s="102"/>
      <c r="BR689" s="102"/>
      <c r="BS689" s="102"/>
      <c r="BT689" s="102"/>
      <c r="BU689" s="102"/>
      <c r="BV689" s="102"/>
      <c r="BW689" s="102"/>
      <c r="BX689" s="102"/>
      <c r="BY689" s="102"/>
      <c r="BZ689" s="102"/>
      <c r="CA689" s="464"/>
      <c r="CB689" s="102"/>
      <c r="CC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474">
        <v>687.0</v>
      </c>
      <c r="AB690" s="474">
        <f t="shared" si="10"/>
        <v>692</v>
      </c>
      <c r="AC690" s="476">
        <f t="shared" si="11"/>
        <v>920</v>
      </c>
      <c r="AD690" s="474">
        <f t="shared" si="12"/>
        <v>1147</v>
      </c>
      <c r="AE690" s="474">
        <f t="shared" si="13"/>
        <v>756</v>
      </c>
      <c r="AF690" s="474">
        <f t="shared" si="14"/>
        <v>920</v>
      </c>
      <c r="AG690" s="102"/>
      <c r="AH690" s="102"/>
      <c r="AI690" s="102"/>
      <c r="AJ690" s="102"/>
      <c r="AK690" s="102"/>
      <c r="AL690" s="102"/>
      <c r="AM690" s="102"/>
      <c r="AN690" s="102"/>
      <c r="AO690" s="102"/>
      <c r="AP690" s="102"/>
      <c r="AQ690" s="102"/>
      <c r="AR690" s="102"/>
      <c r="AS690" s="102"/>
      <c r="AT690" s="102"/>
      <c r="AU690" s="102"/>
      <c r="AV690" s="102"/>
      <c r="AW690" s="102"/>
      <c r="AX690" s="102"/>
      <c r="AY690" s="102"/>
      <c r="AZ690" s="102"/>
      <c r="BA690" s="102"/>
      <c r="BB690" s="102"/>
      <c r="BC690" s="102"/>
      <c r="BD690" s="102"/>
      <c r="BE690" s="102"/>
      <c r="BF690" s="102"/>
      <c r="BG690" s="102"/>
      <c r="BH690" s="102"/>
      <c r="BI690" s="102"/>
      <c r="BJ690" s="102"/>
      <c r="BK690" s="102"/>
      <c r="BL690" s="102"/>
      <c r="BM690" s="102"/>
      <c r="BN690" s="102"/>
      <c r="BO690" s="102"/>
      <c r="BP690" s="102"/>
      <c r="BQ690" s="102"/>
      <c r="BR690" s="102"/>
      <c r="BS690" s="102"/>
      <c r="BT690" s="102"/>
      <c r="BU690" s="102"/>
      <c r="BV690" s="102"/>
      <c r="BW690" s="102"/>
      <c r="BX690" s="102"/>
      <c r="BY690" s="102"/>
      <c r="BZ690" s="102"/>
      <c r="CA690" s="464"/>
      <c r="CB690" s="102"/>
      <c r="CC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474">
        <v>688.0</v>
      </c>
      <c r="AB691" s="474">
        <f t="shared" si="10"/>
        <v>693</v>
      </c>
      <c r="AC691" s="476">
        <f t="shared" si="11"/>
        <v>921</v>
      </c>
      <c r="AD691" s="474">
        <f t="shared" si="12"/>
        <v>1148</v>
      </c>
      <c r="AE691" s="474">
        <f t="shared" si="13"/>
        <v>757</v>
      </c>
      <c r="AF691" s="474">
        <f t="shared" si="14"/>
        <v>921</v>
      </c>
      <c r="AG691" s="102"/>
      <c r="AH691" s="102"/>
      <c r="AI691" s="102"/>
      <c r="AJ691" s="102"/>
      <c r="AK691" s="102"/>
      <c r="AL691" s="102"/>
      <c r="AM691" s="102"/>
      <c r="AN691" s="102"/>
      <c r="AO691" s="102"/>
      <c r="AP691" s="102"/>
      <c r="AQ691" s="102"/>
      <c r="AR691" s="102"/>
      <c r="AS691" s="102"/>
      <c r="AT691" s="102"/>
      <c r="AU691" s="102"/>
      <c r="AV691" s="102"/>
      <c r="AW691" s="102"/>
      <c r="AX691" s="102"/>
      <c r="AY691" s="102"/>
      <c r="AZ691" s="102"/>
      <c r="BA691" s="102"/>
      <c r="BB691" s="102"/>
      <c r="BC691" s="102"/>
      <c r="BD691" s="102"/>
      <c r="BE691" s="102"/>
      <c r="BF691" s="102"/>
      <c r="BG691" s="102"/>
      <c r="BH691" s="102"/>
      <c r="BI691" s="102"/>
      <c r="BJ691" s="102"/>
      <c r="BK691" s="102"/>
      <c r="BL691" s="102"/>
      <c r="BM691" s="102"/>
      <c r="BN691" s="102"/>
      <c r="BO691" s="102"/>
      <c r="BP691" s="102"/>
      <c r="BQ691" s="102"/>
      <c r="BR691" s="102"/>
      <c r="BS691" s="102"/>
      <c r="BT691" s="102"/>
      <c r="BU691" s="102"/>
      <c r="BV691" s="102"/>
      <c r="BW691" s="102"/>
      <c r="BX691" s="102"/>
      <c r="BY691" s="102"/>
      <c r="BZ691" s="102"/>
      <c r="CA691" s="464"/>
      <c r="CB691" s="102"/>
      <c r="CC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474">
        <v>689.0</v>
      </c>
      <c r="AB692" s="474">
        <f t="shared" si="10"/>
        <v>694</v>
      </c>
      <c r="AC692" s="476">
        <f t="shared" si="11"/>
        <v>923</v>
      </c>
      <c r="AD692" s="474">
        <f t="shared" si="12"/>
        <v>1150</v>
      </c>
      <c r="AE692" s="474">
        <f t="shared" si="13"/>
        <v>758</v>
      </c>
      <c r="AF692" s="474">
        <f t="shared" si="14"/>
        <v>923</v>
      </c>
      <c r="AG692" s="102"/>
      <c r="AH692" s="102"/>
      <c r="AI692" s="102"/>
      <c r="AJ692" s="102"/>
      <c r="AK692" s="102"/>
      <c r="AL692" s="102"/>
      <c r="AM692" s="102"/>
      <c r="AN692" s="102"/>
      <c r="AO692" s="102"/>
      <c r="AP692" s="102"/>
      <c r="AQ692" s="102"/>
      <c r="AR692" s="102"/>
      <c r="AS692" s="102"/>
      <c r="AT692" s="102"/>
      <c r="AU692" s="102"/>
      <c r="AV692" s="102"/>
      <c r="AW692" s="102"/>
      <c r="AX692" s="102"/>
      <c r="AY692" s="102"/>
      <c r="AZ692" s="102"/>
      <c r="BA692" s="102"/>
      <c r="BB692" s="102"/>
      <c r="BC692" s="102"/>
      <c r="BD692" s="102"/>
      <c r="BE692" s="102"/>
      <c r="BF692" s="102"/>
      <c r="BG692" s="102"/>
      <c r="BH692" s="102"/>
      <c r="BI692" s="102"/>
      <c r="BJ692" s="102"/>
      <c r="BK692" s="102"/>
      <c r="BL692" s="102"/>
      <c r="BM692" s="102"/>
      <c r="BN692" s="102"/>
      <c r="BO692" s="102"/>
      <c r="BP692" s="102"/>
      <c r="BQ692" s="102"/>
      <c r="BR692" s="102"/>
      <c r="BS692" s="102"/>
      <c r="BT692" s="102"/>
      <c r="BU692" s="102"/>
      <c r="BV692" s="102"/>
      <c r="BW692" s="102"/>
      <c r="BX692" s="102"/>
      <c r="BY692" s="102"/>
      <c r="BZ692" s="102"/>
      <c r="CA692" s="464"/>
      <c r="CB692" s="102"/>
      <c r="CC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474">
        <v>690.0</v>
      </c>
      <c r="AB693" s="474">
        <f t="shared" si="10"/>
        <v>695</v>
      </c>
      <c r="AC693" s="476">
        <f t="shared" si="11"/>
        <v>924</v>
      </c>
      <c r="AD693" s="474">
        <f t="shared" si="12"/>
        <v>1152</v>
      </c>
      <c r="AE693" s="474">
        <f t="shared" si="13"/>
        <v>759</v>
      </c>
      <c r="AF693" s="474">
        <f t="shared" si="14"/>
        <v>924</v>
      </c>
      <c r="AG693" s="102"/>
      <c r="AH693" s="102"/>
      <c r="AI693" s="102"/>
      <c r="AJ693" s="102"/>
      <c r="AK693" s="102"/>
      <c r="AL693" s="102"/>
      <c r="AM693" s="102"/>
      <c r="AN693" s="102"/>
      <c r="AO693" s="102"/>
      <c r="AP693" s="102"/>
      <c r="AQ693" s="102"/>
      <c r="AR693" s="102"/>
      <c r="AS693" s="102"/>
      <c r="AT693" s="102"/>
      <c r="AU693" s="102"/>
      <c r="AV693" s="102"/>
      <c r="AW693" s="102"/>
      <c r="AX693" s="102"/>
      <c r="AY693" s="102"/>
      <c r="AZ693" s="102"/>
      <c r="BA693" s="102"/>
      <c r="BB693" s="102"/>
      <c r="BC693" s="102"/>
      <c r="BD693" s="102"/>
      <c r="BE693" s="102"/>
      <c r="BF693" s="102"/>
      <c r="BG693" s="102"/>
      <c r="BH693" s="102"/>
      <c r="BI693" s="102"/>
      <c r="BJ693" s="102"/>
      <c r="BK693" s="102"/>
      <c r="BL693" s="102"/>
      <c r="BM693" s="102"/>
      <c r="BN693" s="102"/>
      <c r="BO693" s="102"/>
      <c r="BP693" s="102"/>
      <c r="BQ693" s="102"/>
      <c r="BR693" s="102"/>
      <c r="BS693" s="102"/>
      <c r="BT693" s="102"/>
      <c r="BU693" s="102"/>
      <c r="BV693" s="102"/>
      <c r="BW693" s="102"/>
      <c r="BX693" s="102"/>
      <c r="BY693" s="102"/>
      <c r="BZ693" s="102"/>
      <c r="CA693" s="464"/>
      <c r="CB693" s="102"/>
      <c r="CC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474">
        <v>691.0</v>
      </c>
      <c r="AB694" s="474">
        <f t="shared" si="10"/>
        <v>696</v>
      </c>
      <c r="AC694" s="476">
        <f t="shared" si="11"/>
        <v>925</v>
      </c>
      <c r="AD694" s="474">
        <f t="shared" si="12"/>
        <v>1153</v>
      </c>
      <c r="AE694" s="474">
        <f t="shared" si="13"/>
        <v>761</v>
      </c>
      <c r="AF694" s="474">
        <f t="shared" si="14"/>
        <v>925</v>
      </c>
      <c r="AG694" s="102"/>
      <c r="AH694" s="102"/>
      <c r="AI694" s="102"/>
      <c r="AJ694" s="102"/>
      <c r="AK694" s="102"/>
      <c r="AL694" s="102"/>
      <c r="AM694" s="102"/>
      <c r="AN694" s="102"/>
      <c r="AO694" s="102"/>
      <c r="AP694" s="102"/>
      <c r="AQ694" s="102"/>
      <c r="AR694" s="102"/>
      <c r="AS694" s="102"/>
      <c r="AT694" s="102"/>
      <c r="AU694" s="102"/>
      <c r="AV694" s="102"/>
      <c r="AW694" s="102"/>
      <c r="AX694" s="102"/>
      <c r="AY694" s="102"/>
      <c r="AZ694" s="102"/>
      <c r="BA694" s="102"/>
      <c r="BB694" s="102"/>
      <c r="BC694" s="102"/>
      <c r="BD694" s="102"/>
      <c r="BE694" s="102"/>
      <c r="BF694" s="102"/>
      <c r="BG694" s="102"/>
      <c r="BH694" s="102"/>
      <c r="BI694" s="102"/>
      <c r="BJ694" s="102"/>
      <c r="BK694" s="102"/>
      <c r="BL694" s="102"/>
      <c r="BM694" s="102"/>
      <c r="BN694" s="102"/>
      <c r="BO694" s="102"/>
      <c r="BP694" s="102"/>
      <c r="BQ694" s="102"/>
      <c r="BR694" s="102"/>
      <c r="BS694" s="102"/>
      <c r="BT694" s="102"/>
      <c r="BU694" s="102"/>
      <c r="BV694" s="102"/>
      <c r="BW694" s="102"/>
      <c r="BX694" s="102"/>
      <c r="BY694" s="102"/>
      <c r="BZ694" s="102"/>
      <c r="CA694" s="464"/>
      <c r="CB694" s="102"/>
      <c r="CC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474">
        <v>692.0</v>
      </c>
      <c r="AB695" s="474">
        <f t="shared" si="10"/>
        <v>697</v>
      </c>
      <c r="AC695" s="476">
        <f t="shared" si="11"/>
        <v>927</v>
      </c>
      <c r="AD695" s="474">
        <f t="shared" si="12"/>
        <v>1155</v>
      </c>
      <c r="AE695" s="474">
        <f t="shared" si="13"/>
        <v>762</v>
      </c>
      <c r="AF695" s="474">
        <f t="shared" si="14"/>
        <v>927</v>
      </c>
      <c r="AG695" s="102"/>
      <c r="AH695" s="102"/>
      <c r="AI695" s="102"/>
      <c r="AJ695" s="102"/>
      <c r="AK695" s="102"/>
      <c r="AL695" s="102"/>
      <c r="AM695" s="102"/>
      <c r="AN695" s="102"/>
      <c r="AO695" s="102"/>
      <c r="AP695" s="102"/>
      <c r="AQ695" s="102"/>
      <c r="AR695" s="102"/>
      <c r="AS695" s="102"/>
      <c r="AT695" s="102"/>
      <c r="AU695" s="102"/>
      <c r="AV695" s="102"/>
      <c r="AW695" s="102"/>
      <c r="AX695" s="102"/>
      <c r="AY695" s="102"/>
      <c r="AZ695" s="102"/>
      <c r="BA695" s="102"/>
      <c r="BB695" s="102"/>
      <c r="BC695" s="102"/>
      <c r="BD695" s="102"/>
      <c r="BE695" s="102"/>
      <c r="BF695" s="102"/>
      <c r="BG695" s="102"/>
      <c r="BH695" s="102"/>
      <c r="BI695" s="102"/>
      <c r="BJ695" s="102"/>
      <c r="BK695" s="102"/>
      <c r="BL695" s="102"/>
      <c r="BM695" s="102"/>
      <c r="BN695" s="102"/>
      <c r="BO695" s="102"/>
      <c r="BP695" s="102"/>
      <c r="BQ695" s="102"/>
      <c r="BR695" s="102"/>
      <c r="BS695" s="102"/>
      <c r="BT695" s="102"/>
      <c r="BU695" s="102"/>
      <c r="BV695" s="102"/>
      <c r="BW695" s="102"/>
      <c r="BX695" s="102"/>
      <c r="BY695" s="102"/>
      <c r="BZ695" s="102"/>
      <c r="CA695" s="464"/>
      <c r="CB695" s="102"/>
      <c r="CC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474">
        <v>693.0</v>
      </c>
      <c r="AB696" s="474">
        <f t="shared" si="10"/>
        <v>698</v>
      </c>
      <c r="AC696" s="476">
        <f t="shared" si="11"/>
        <v>928</v>
      </c>
      <c r="AD696" s="474">
        <f t="shared" si="12"/>
        <v>1157</v>
      </c>
      <c r="AE696" s="474">
        <f t="shared" si="13"/>
        <v>763</v>
      </c>
      <c r="AF696" s="474">
        <f t="shared" si="14"/>
        <v>928</v>
      </c>
      <c r="AG696" s="102"/>
      <c r="AH696" s="102"/>
      <c r="AI696" s="102"/>
      <c r="AJ696" s="102"/>
      <c r="AK696" s="102"/>
      <c r="AL696" s="102"/>
      <c r="AM696" s="102"/>
      <c r="AN696" s="102"/>
      <c r="AO696" s="102"/>
      <c r="AP696" s="102"/>
      <c r="AQ696" s="102"/>
      <c r="AR696" s="102"/>
      <c r="AS696" s="102"/>
      <c r="AT696" s="102"/>
      <c r="AU696" s="102"/>
      <c r="AV696" s="102"/>
      <c r="AW696" s="102"/>
      <c r="AX696" s="102"/>
      <c r="AY696" s="102"/>
      <c r="AZ696" s="102"/>
      <c r="BA696" s="102"/>
      <c r="BB696" s="102"/>
      <c r="BC696" s="102"/>
      <c r="BD696" s="102"/>
      <c r="BE696" s="102"/>
      <c r="BF696" s="102"/>
      <c r="BG696" s="102"/>
      <c r="BH696" s="102"/>
      <c r="BI696" s="102"/>
      <c r="BJ696" s="102"/>
      <c r="BK696" s="102"/>
      <c r="BL696" s="102"/>
      <c r="BM696" s="102"/>
      <c r="BN696" s="102"/>
      <c r="BO696" s="102"/>
      <c r="BP696" s="102"/>
      <c r="BQ696" s="102"/>
      <c r="BR696" s="102"/>
      <c r="BS696" s="102"/>
      <c r="BT696" s="102"/>
      <c r="BU696" s="102"/>
      <c r="BV696" s="102"/>
      <c r="BW696" s="102"/>
      <c r="BX696" s="102"/>
      <c r="BY696" s="102"/>
      <c r="BZ696" s="102"/>
      <c r="CA696" s="464"/>
      <c r="CB696" s="102"/>
      <c r="CC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474">
        <v>694.0</v>
      </c>
      <c r="AB697" s="474">
        <f t="shared" si="10"/>
        <v>699</v>
      </c>
      <c r="AC697" s="476">
        <f t="shared" si="11"/>
        <v>929</v>
      </c>
      <c r="AD697" s="474">
        <f t="shared" si="12"/>
        <v>1158</v>
      </c>
      <c r="AE697" s="474">
        <f t="shared" si="13"/>
        <v>764</v>
      </c>
      <c r="AF697" s="474">
        <f t="shared" si="14"/>
        <v>929</v>
      </c>
      <c r="AG697" s="102"/>
      <c r="AH697" s="102"/>
      <c r="AI697" s="102"/>
      <c r="AJ697" s="102"/>
      <c r="AK697" s="102"/>
      <c r="AL697" s="102"/>
      <c r="AM697" s="102"/>
      <c r="AN697" s="102"/>
      <c r="AO697" s="102"/>
      <c r="AP697" s="102"/>
      <c r="AQ697" s="102"/>
      <c r="AR697" s="102"/>
      <c r="AS697" s="102"/>
      <c r="AT697" s="102"/>
      <c r="AU697" s="102"/>
      <c r="AV697" s="102"/>
      <c r="AW697" s="102"/>
      <c r="AX697" s="102"/>
      <c r="AY697" s="102"/>
      <c r="AZ697" s="102"/>
      <c r="BA697" s="102"/>
      <c r="BB697" s="102"/>
      <c r="BC697" s="102"/>
      <c r="BD697" s="102"/>
      <c r="BE697" s="102"/>
      <c r="BF697" s="102"/>
      <c r="BG697" s="102"/>
      <c r="BH697" s="102"/>
      <c r="BI697" s="102"/>
      <c r="BJ697" s="102"/>
      <c r="BK697" s="102"/>
      <c r="BL697" s="102"/>
      <c r="BM697" s="102"/>
      <c r="BN697" s="102"/>
      <c r="BO697" s="102"/>
      <c r="BP697" s="102"/>
      <c r="BQ697" s="102"/>
      <c r="BR697" s="102"/>
      <c r="BS697" s="102"/>
      <c r="BT697" s="102"/>
      <c r="BU697" s="102"/>
      <c r="BV697" s="102"/>
      <c r="BW697" s="102"/>
      <c r="BX697" s="102"/>
      <c r="BY697" s="102"/>
      <c r="BZ697" s="102"/>
      <c r="CA697" s="464"/>
      <c r="CB697" s="102"/>
      <c r="CC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474">
        <v>695.0</v>
      </c>
      <c r="AB698" s="474">
        <f t="shared" si="10"/>
        <v>700</v>
      </c>
      <c r="AC698" s="476">
        <f t="shared" si="11"/>
        <v>931</v>
      </c>
      <c r="AD698" s="474">
        <f t="shared" si="12"/>
        <v>1160</v>
      </c>
      <c r="AE698" s="474">
        <f t="shared" si="13"/>
        <v>765</v>
      </c>
      <c r="AF698" s="474">
        <f t="shared" si="14"/>
        <v>931</v>
      </c>
      <c r="AG698" s="102"/>
      <c r="AH698" s="102"/>
      <c r="AI698" s="102"/>
      <c r="AJ698" s="102"/>
      <c r="AK698" s="102"/>
      <c r="AL698" s="102"/>
      <c r="AM698" s="102"/>
      <c r="AN698" s="102"/>
      <c r="AO698" s="102"/>
      <c r="AP698" s="102"/>
      <c r="AQ698" s="102"/>
      <c r="AR698" s="102"/>
      <c r="AS698" s="102"/>
      <c r="AT698" s="102"/>
      <c r="AU698" s="102"/>
      <c r="AV698" s="102"/>
      <c r="AW698" s="102"/>
      <c r="AX698" s="102"/>
      <c r="AY698" s="102"/>
      <c r="AZ698" s="102"/>
      <c r="BA698" s="102"/>
      <c r="BB698" s="102"/>
      <c r="BC698" s="102"/>
      <c r="BD698" s="102"/>
      <c r="BE698" s="102"/>
      <c r="BF698" s="102"/>
      <c r="BG698" s="102"/>
      <c r="BH698" s="102"/>
      <c r="BI698" s="102"/>
      <c r="BJ698" s="102"/>
      <c r="BK698" s="102"/>
      <c r="BL698" s="102"/>
      <c r="BM698" s="102"/>
      <c r="BN698" s="102"/>
      <c r="BO698" s="102"/>
      <c r="BP698" s="102"/>
      <c r="BQ698" s="102"/>
      <c r="BR698" s="102"/>
      <c r="BS698" s="102"/>
      <c r="BT698" s="102"/>
      <c r="BU698" s="102"/>
      <c r="BV698" s="102"/>
      <c r="BW698" s="102"/>
      <c r="BX698" s="102"/>
      <c r="BY698" s="102"/>
      <c r="BZ698" s="102"/>
      <c r="CA698" s="464"/>
      <c r="CB698" s="102"/>
      <c r="CC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474">
        <v>696.0</v>
      </c>
      <c r="AB699" s="474">
        <f t="shared" si="10"/>
        <v>701</v>
      </c>
      <c r="AC699" s="476">
        <f t="shared" si="11"/>
        <v>932</v>
      </c>
      <c r="AD699" s="474">
        <f t="shared" si="12"/>
        <v>1162</v>
      </c>
      <c r="AE699" s="474">
        <f t="shared" si="13"/>
        <v>766</v>
      </c>
      <c r="AF699" s="474">
        <f t="shared" si="14"/>
        <v>932</v>
      </c>
      <c r="AG699" s="102"/>
      <c r="AH699" s="102"/>
      <c r="AI699" s="102"/>
      <c r="AJ699" s="102"/>
      <c r="AK699" s="102"/>
      <c r="AL699" s="102"/>
      <c r="AM699" s="102"/>
      <c r="AN699" s="102"/>
      <c r="AO699" s="102"/>
      <c r="AP699" s="102"/>
      <c r="AQ699" s="102"/>
      <c r="AR699" s="102"/>
      <c r="AS699" s="102"/>
      <c r="AT699" s="102"/>
      <c r="AU699" s="102"/>
      <c r="AV699" s="102"/>
      <c r="AW699" s="102"/>
      <c r="AX699" s="102"/>
      <c r="AY699" s="102"/>
      <c r="AZ699" s="102"/>
      <c r="BA699" s="102"/>
      <c r="BB699" s="102"/>
      <c r="BC699" s="102"/>
      <c r="BD699" s="102"/>
      <c r="BE699" s="102"/>
      <c r="BF699" s="102"/>
      <c r="BG699" s="102"/>
      <c r="BH699" s="102"/>
      <c r="BI699" s="102"/>
      <c r="BJ699" s="102"/>
      <c r="BK699" s="102"/>
      <c r="BL699" s="102"/>
      <c r="BM699" s="102"/>
      <c r="BN699" s="102"/>
      <c r="BO699" s="102"/>
      <c r="BP699" s="102"/>
      <c r="BQ699" s="102"/>
      <c r="BR699" s="102"/>
      <c r="BS699" s="102"/>
      <c r="BT699" s="102"/>
      <c r="BU699" s="102"/>
      <c r="BV699" s="102"/>
      <c r="BW699" s="102"/>
      <c r="BX699" s="102"/>
      <c r="BY699" s="102"/>
      <c r="BZ699" s="102"/>
      <c r="CA699" s="464"/>
      <c r="CB699" s="102"/>
      <c r="CC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474">
        <v>697.0</v>
      </c>
      <c r="AB700" s="474">
        <f t="shared" si="10"/>
        <v>702</v>
      </c>
      <c r="AC700" s="476">
        <f t="shared" si="11"/>
        <v>933</v>
      </c>
      <c r="AD700" s="474">
        <f t="shared" si="12"/>
        <v>1163</v>
      </c>
      <c r="AE700" s="474">
        <f t="shared" si="13"/>
        <v>767</v>
      </c>
      <c r="AF700" s="474">
        <f t="shared" si="14"/>
        <v>933</v>
      </c>
      <c r="AG700" s="102"/>
      <c r="AH700" s="102"/>
      <c r="AI700" s="102"/>
      <c r="AJ700" s="102"/>
      <c r="AK700" s="102"/>
      <c r="AL700" s="102"/>
      <c r="AM700" s="102"/>
      <c r="AN700" s="102"/>
      <c r="AO700" s="102"/>
      <c r="AP700" s="102"/>
      <c r="AQ700" s="102"/>
      <c r="AR700" s="102"/>
      <c r="AS700" s="102"/>
      <c r="AT700" s="102"/>
      <c r="AU700" s="102"/>
      <c r="AV700" s="102"/>
      <c r="AW700" s="102"/>
      <c r="AX700" s="102"/>
      <c r="AY700" s="102"/>
      <c r="AZ700" s="102"/>
      <c r="BA700" s="102"/>
      <c r="BB700" s="102"/>
      <c r="BC700" s="102"/>
      <c r="BD700" s="102"/>
      <c r="BE700" s="102"/>
      <c r="BF700" s="102"/>
      <c r="BG700" s="102"/>
      <c r="BH700" s="102"/>
      <c r="BI700" s="102"/>
      <c r="BJ700" s="102"/>
      <c r="BK700" s="102"/>
      <c r="BL700" s="102"/>
      <c r="BM700" s="102"/>
      <c r="BN700" s="102"/>
      <c r="BO700" s="102"/>
      <c r="BP700" s="102"/>
      <c r="BQ700" s="102"/>
      <c r="BR700" s="102"/>
      <c r="BS700" s="102"/>
      <c r="BT700" s="102"/>
      <c r="BU700" s="102"/>
      <c r="BV700" s="102"/>
      <c r="BW700" s="102"/>
      <c r="BX700" s="102"/>
      <c r="BY700" s="102"/>
      <c r="BZ700" s="102"/>
      <c r="CA700" s="464"/>
      <c r="CB700" s="102"/>
      <c r="CC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474">
        <v>698.0</v>
      </c>
      <c r="AB701" s="474">
        <f t="shared" si="10"/>
        <v>703</v>
      </c>
      <c r="AC701" s="476">
        <f t="shared" si="11"/>
        <v>935</v>
      </c>
      <c r="AD701" s="474">
        <f t="shared" si="12"/>
        <v>1165</v>
      </c>
      <c r="AE701" s="474">
        <f t="shared" si="13"/>
        <v>768</v>
      </c>
      <c r="AF701" s="474">
        <f t="shared" si="14"/>
        <v>935</v>
      </c>
      <c r="AG701" s="102"/>
      <c r="AH701" s="102"/>
      <c r="AI701" s="102"/>
      <c r="AJ701" s="102"/>
      <c r="AK701" s="102"/>
      <c r="AL701" s="102"/>
      <c r="AM701" s="102"/>
      <c r="AN701" s="102"/>
      <c r="AO701" s="102"/>
      <c r="AP701" s="102"/>
      <c r="AQ701" s="102"/>
      <c r="AR701" s="102"/>
      <c r="AS701" s="102"/>
      <c r="AT701" s="102"/>
      <c r="AU701" s="102"/>
      <c r="AV701" s="102"/>
      <c r="AW701" s="102"/>
      <c r="AX701" s="102"/>
      <c r="AY701" s="102"/>
      <c r="AZ701" s="102"/>
      <c r="BA701" s="102"/>
      <c r="BB701" s="102"/>
      <c r="BC701" s="102"/>
      <c r="BD701" s="102"/>
      <c r="BE701" s="102"/>
      <c r="BF701" s="102"/>
      <c r="BG701" s="102"/>
      <c r="BH701" s="102"/>
      <c r="BI701" s="102"/>
      <c r="BJ701" s="102"/>
      <c r="BK701" s="102"/>
      <c r="BL701" s="102"/>
      <c r="BM701" s="102"/>
      <c r="BN701" s="102"/>
      <c r="BO701" s="102"/>
      <c r="BP701" s="102"/>
      <c r="BQ701" s="102"/>
      <c r="BR701" s="102"/>
      <c r="BS701" s="102"/>
      <c r="BT701" s="102"/>
      <c r="BU701" s="102"/>
      <c r="BV701" s="102"/>
      <c r="BW701" s="102"/>
      <c r="BX701" s="102"/>
      <c r="BY701" s="102"/>
      <c r="BZ701" s="102"/>
      <c r="CA701" s="464"/>
      <c r="CB701" s="102"/>
      <c r="CC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474">
        <v>699.0</v>
      </c>
      <c r="AB702" s="474">
        <f t="shared" si="10"/>
        <v>704</v>
      </c>
      <c r="AC702" s="476">
        <f t="shared" si="11"/>
        <v>936</v>
      </c>
      <c r="AD702" s="474">
        <f t="shared" si="12"/>
        <v>1167</v>
      </c>
      <c r="AE702" s="474">
        <f t="shared" si="13"/>
        <v>769</v>
      </c>
      <c r="AF702" s="474">
        <f t="shared" si="14"/>
        <v>936</v>
      </c>
      <c r="AG702" s="102"/>
      <c r="AH702" s="102"/>
      <c r="AI702" s="102"/>
      <c r="AJ702" s="102"/>
      <c r="AK702" s="102"/>
      <c r="AL702" s="102"/>
      <c r="AM702" s="102"/>
      <c r="AN702" s="102"/>
      <c r="AO702" s="102"/>
      <c r="AP702" s="102"/>
      <c r="AQ702" s="102"/>
      <c r="AR702" s="102"/>
      <c r="AS702" s="102"/>
      <c r="AT702" s="102"/>
      <c r="AU702" s="102"/>
      <c r="AV702" s="102"/>
      <c r="AW702" s="102"/>
      <c r="AX702" s="102"/>
      <c r="AY702" s="102"/>
      <c r="AZ702" s="102"/>
      <c r="BA702" s="102"/>
      <c r="BB702" s="102"/>
      <c r="BC702" s="102"/>
      <c r="BD702" s="102"/>
      <c r="BE702" s="102"/>
      <c r="BF702" s="102"/>
      <c r="BG702" s="102"/>
      <c r="BH702" s="102"/>
      <c r="BI702" s="102"/>
      <c r="BJ702" s="102"/>
      <c r="BK702" s="102"/>
      <c r="BL702" s="102"/>
      <c r="BM702" s="102"/>
      <c r="BN702" s="102"/>
      <c r="BO702" s="102"/>
      <c r="BP702" s="102"/>
      <c r="BQ702" s="102"/>
      <c r="BR702" s="102"/>
      <c r="BS702" s="102"/>
      <c r="BT702" s="102"/>
      <c r="BU702" s="102"/>
      <c r="BV702" s="102"/>
      <c r="BW702" s="102"/>
      <c r="BX702" s="102"/>
      <c r="BY702" s="102"/>
      <c r="BZ702" s="102"/>
      <c r="CA702" s="464"/>
      <c r="CB702" s="102"/>
      <c r="CC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474">
        <v>700.0</v>
      </c>
      <c r="AB703" s="474">
        <f t="shared" si="10"/>
        <v>705</v>
      </c>
      <c r="AC703" s="476">
        <f t="shared" si="11"/>
        <v>938</v>
      </c>
      <c r="AD703" s="474">
        <f t="shared" si="12"/>
        <v>1169</v>
      </c>
      <c r="AE703" s="474">
        <f t="shared" si="13"/>
        <v>770</v>
      </c>
      <c r="AF703" s="474">
        <f t="shared" si="14"/>
        <v>938</v>
      </c>
      <c r="AG703" s="102"/>
      <c r="AH703" s="102"/>
      <c r="AI703" s="102"/>
      <c r="AJ703" s="102"/>
      <c r="AK703" s="102"/>
      <c r="AL703" s="102"/>
      <c r="AM703" s="102"/>
      <c r="AN703" s="102"/>
      <c r="AO703" s="102"/>
      <c r="AP703" s="102"/>
      <c r="AQ703" s="102"/>
      <c r="AR703" s="102"/>
      <c r="AS703" s="102"/>
      <c r="AT703" s="102"/>
      <c r="AU703" s="102"/>
      <c r="AV703" s="102"/>
      <c r="AW703" s="102"/>
      <c r="AX703" s="102"/>
      <c r="AY703" s="102"/>
      <c r="AZ703" s="102"/>
      <c r="BA703" s="102"/>
      <c r="BB703" s="102"/>
      <c r="BC703" s="102"/>
      <c r="BD703" s="102"/>
      <c r="BE703" s="102"/>
      <c r="BF703" s="102"/>
      <c r="BG703" s="102"/>
      <c r="BH703" s="102"/>
      <c r="BI703" s="102"/>
      <c r="BJ703" s="102"/>
      <c r="BK703" s="102"/>
      <c r="BL703" s="102"/>
      <c r="BM703" s="102"/>
      <c r="BN703" s="102"/>
      <c r="BO703" s="102"/>
      <c r="BP703" s="102"/>
      <c r="BQ703" s="102"/>
      <c r="BR703" s="102"/>
      <c r="BS703" s="102"/>
      <c r="BT703" s="102"/>
      <c r="BU703" s="102"/>
      <c r="BV703" s="102"/>
      <c r="BW703" s="102"/>
      <c r="BX703" s="102"/>
      <c r="BY703" s="102"/>
      <c r="BZ703" s="102"/>
      <c r="CA703" s="464"/>
      <c r="CB703" s="102"/>
      <c r="CC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474">
        <v>701.0</v>
      </c>
      <c r="AB704" s="474">
        <f t="shared" si="10"/>
        <v>706</v>
      </c>
      <c r="AC704" s="476">
        <f t="shared" si="11"/>
        <v>939</v>
      </c>
      <c r="AD704" s="474">
        <f t="shared" si="12"/>
        <v>1170</v>
      </c>
      <c r="AE704" s="474">
        <f t="shared" si="13"/>
        <v>772</v>
      </c>
      <c r="AF704" s="474">
        <f t="shared" si="14"/>
        <v>939</v>
      </c>
      <c r="AG704" s="102"/>
      <c r="AH704" s="102"/>
      <c r="AI704" s="102"/>
      <c r="AJ704" s="102"/>
      <c r="AK704" s="102"/>
      <c r="AL704" s="102"/>
      <c r="AM704" s="102"/>
      <c r="AN704" s="102"/>
      <c r="AO704" s="102"/>
      <c r="AP704" s="102"/>
      <c r="AQ704" s="102"/>
      <c r="AR704" s="102"/>
      <c r="AS704" s="102"/>
      <c r="AT704" s="102"/>
      <c r="AU704" s="102"/>
      <c r="AV704" s="102"/>
      <c r="AW704" s="102"/>
      <c r="AX704" s="102"/>
      <c r="AY704" s="102"/>
      <c r="AZ704" s="102"/>
      <c r="BA704" s="102"/>
      <c r="BB704" s="102"/>
      <c r="BC704" s="102"/>
      <c r="BD704" s="102"/>
      <c r="BE704" s="102"/>
      <c r="BF704" s="102"/>
      <c r="BG704" s="102"/>
      <c r="BH704" s="102"/>
      <c r="BI704" s="102"/>
      <c r="BJ704" s="102"/>
      <c r="BK704" s="102"/>
      <c r="BL704" s="102"/>
      <c r="BM704" s="102"/>
      <c r="BN704" s="102"/>
      <c r="BO704" s="102"/>
      <c r="BP704" s="102"/>
      <c r="BQ704" s="102"/>
      <c r="BR704" s="102"/>
      <c r="BS704" s="102"/>
      <c r="BT704" s="102"/>
      <c r="BU704" s="102"/>
      <c r="BV704" s="102"/>
      <c r="BW704" s="102"/>
      <c r="BX704" s="102"/>
      <c r="BY704" s="102"/>
      <c r="BZ704" s="102"/>
      <c r="CA704" s="464"/>
      <c r="CB704" s="102"/>
      <c r="CC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474">
        <v>702.0</v>
      </c>
      <c r="AB705" s="474">
        <f t="shared" si="10"/>
        <v>707</v>
      </c>
      <c r="AC705" s="476">
        <f t="shared" si="11"/>
        <v>940</v>
      </c>
      <c r="AD705" s="474">
        <f t="shared" si="12"/>
        <v>1172</v>
      </c>
      <c r="AE705" s="474">
        <f t="shared" si="13"/>
        <v>773</v>
      </c>
      <c r="AF705" s="474">
        <f t="shared" si="14"/>
        <v>940</v>
      </c>
      <c r="AG705" s="102"/>
      <c r="AH705" s="102"/>
      <c r="AI705" s="102"/>
      <c r="AJ705" s="102"/>
      <c r="AK705" s="102"/>
      <c r="AL705" s="102"/>
      <c r="AM705" s="102"/>
      <c r="AN705" s="102"/>
      <c r="AO705" s="102"/>
      <c r="AP705" s="102"/>
      <c r="AQ705" s="102"/>
      <c r="AR705" s="102"/>
      <c r="AS705" s="102"/>
      <c r="AT705" s="102"/>
      <c r="AU705" s="102"/>
      <c r="AV705" s="102"/>
      <c r="AW705" s="102"/>
      <c r="AX705" s="102"/>
      <c r="AY705" s="102"/>
      <c r="AZ705" s="102"/>
      <c r="BA705" s="102"/>
      <c r="BB705" s="102"/>
      <c r="BC705" s="102"/>
      <c r="BD705" s="102"/>
      <c r="BE705" s="102"/>
      <c r="BF705" s="102"/>
      <c r="BG705" s="102"/>
      <c r="BH705" s="102"/>
      <c r="BI705" s="102"/>
      <c r="BJ705" s="102"/>
      <c r="BK705" s="102"/>
      <c r="BL705" s="102"/>
      <c r="BM705" s="102"/>
      <c r="BN705" s="102"/>
      <c r="BO705" s="102"/>
      <c r="BP705" s="102"/>
      <c r="BQ705" s="102"/>
      <c r="BR705" s="102"/>
      <c r="BS705" s="102"/>
      <c r="BT705" s="102"/>
      <c r="BU705" s="102"/>
      <c r="BV705" s="102"/>
      <c r="BW705" s="102"/>
      <c r="BX705" s="102"/>
      <c r="BY705" s="102"/>
      <c r="BZ705" s="102"/>
      <c r="CA705" s="464"/>
      <c r="CB705" s="102"/>
      <c r="CC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474">
        <v>703.0</v>
      </c>
      <c r="AB706" s="474">
        <f t="shared" si="10"/>
        <v>708</v>
      </c>
      <c r="AC706" s="476">
        <f t="shared" si="11"/>
        <v>942</v>
      </c>
      <c r="AD706" s="474">
        <f t="shared" si="12"/>
        <v>1174</v>
      </c>
      <c r="AE706" s="474">
        <f t="shared" si="13"/>
        <v>774</v>
      </c>
      <c r="AF706" s="474">
        <f t="shared" si="14"/>
        <v>942</v>
      </c>
      <c r="AG706" s="102"/>
      <c r="AH706" s="102"/>
      <c r="AI706" s="102"/>
      <c r="AJ706" s="102"/>
      <c r="AK706" s="102"/>
      <c r="AL706" s="102"/>
      <c r="AM706" s="102"/>
      <c r="AN706" s="102"/>
      <c r="AO706" s="102"/>
      <c r="AP706" s="102"/>
      <c r="AQ706" s="102"/>
      <c r="AR706" s="102"/>
      <c r="AS706" s="102"/>
      <c r="AT706" s="102"/>
      <c r="AU706" s="102"/>
      <c r="AV706" s="102"/>
      <c r="AW706" s="102"/>
      <c r="AX706" s="102"/>
      <c r="AY706" s="102"/>
      <c r="AZ706" s="102"/>
      <c r="BA706" s="102"/>
      <c r="BB706" s="102"/>
      <c r="BC706" s="102"/>
      <c r="BD706" s="102"/>
      <c r="BE706" s="102"/>
      <c r="BF706" s="102"/>
      <c r="BG706" s="102"/>
      <c r="BH706" s="102"/>
      <c r="BI706" s="102"/>
      <c r="BJ706" s="102"/>
      <c r="BK706" s="102"/>
      <c r="BL706" s="102"/>
      <c r="BM706" s="102"/>
      <c r="BN706" s="102"/>
      <c r="BO706" s="102"/>
      <c r="BP706" s="102"/>
      <c r="BQ706" s="102"/>
      <c r="BR706" s="102"/>
      <c r="BS706" s="102"/>
      <c r="BT706" s="102"/>
      <c r="BU706" s="102"/>
      <c r="BV706" s="102"/>
      <c r="BW706" s="102"/>
      <c r="BX706" s="102"/>
      <c r="BY706" s="102"/>
      <c r="BZ706" s="102"/>
      <c r="CA706" s="464"/>
      <c r="CB706" s="102"/>
      <c r="CC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474">
        <v>704.0</v>
      </c>
      <c r="AB707" s="474">
        <f t="shared" si="10"/>
        <v>709</v>
      </c>
      <c r="AC707" s="476">
        <f t="shared" si="11"/>
        <v>943</v>
      </c>
      <c r="AD707" s="474">
        <f t="shared" si="12"/>
        <v>1175</v>
      </c>
      <c r="AE707" s="474">
        <f t="shared" si="13"/>
        <v>775</v>
      </c>
      <c r="AF707" s="474">
        <f t="shared" si="14"/>
        <v>943</v>
      </c>
      <c r="AG707" s="102"/>
      <c r="AH707" s="102"/>
      <c r="AI707" s="102"/>
      <c r="AJ707" s="102"/>
      <c r="AK707" s="102"/>
      <c r="AL707" s="102"/>
      <c r="AM707" s="102"/>
      <c r="AN707" s="102"/>
      <c r="AO707" s="102"/>
      <c r="AP707" s="102"/>
      <c r="AQ707" s="102"/>
      <c r="AR707" s="102"/>
      <c r="AS707" s="102"/>
      <c r="AT707" s="102"/>
      <c r="AU707" s="102"/>
      <c r="AV707" s="102"/>
      <c r="AW707" s="102"/>
      <c r="AX707" s="102"/>
      <c r="AY707" s="102"/>
      <c r="AZ707" s="102"/>
      <c r="BA707" s="102"/>
      <c r="BB707" s="102"/>
      <c r="BC707" s="102"/>
      <c r="BD707" s="102"/>
      <c r="BE707" s="102"/>
      <c r="BF707" s="102"/>
      <c r="BG707" s="102"/>
      <c r="BH707" s="102"/>
      <c r="BI707" s="102"/>
      <c r="BJ707" s="102"/>
      <c r="BK707" s="102"/>
      <c r="BL707" s="102"/>
      <c r="BM707" s="102"/>
      <c r="BN707" s="102"/>
      <c r="BO707" s="102"/>
      <c r="BP707" s="102"/>
      <c r="BQ707" s="102"/>
      <c r="BR707" s="102"/>
      <c r="BS707" s="102"/>
      <c r="BT707" s="102"/>
      <c r="BU707" s="102"/>
      <c r="BV707" s="102"/>
      <c r="BW707" s="102"/>
      <c r="BX707" s="102"/>
      <c r="BY707" s="102"/>
      <c r="BZ707" s="102"/>
      <c r="CA707" s="464"/>
      <c r="CB707" s="102"/>
      <c r="CC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474">
        <v>705.0</v>
      </c>
      <c r="AB708" s="474">
        <f t="shared" si="10"/>
        <v>710</v>
      </c>
      <c r="AC708" s="476">
        <f t="shared" si="11"/>
        <v>944</v>
      </c>
      <c r="AD708" s="474">
        <f t="shared" si="12"/>
        <v>1177</v>
      </c>
      <c r="AE708" s="474">
        <f t="shared" si="13"/>
        <v>776</v>
      </c>
      <c r="AF708" s="474">
        <f t="shared" si="14"/>
        <v>944</v>
      </c>
      <c r="AG708" s="102"/>
      <c r="AH708" s="102"/>
      <c r="AI708" s="102"/>
      <c r="AJ708" s="102"/>
      <c r="AK708" s="102"/>
      <c r="AL708" s="102"/>
      <c r="AM708" s="102"/>
      <c r="AN708" s="102"/>
      <c r="AO708" s="102"/>
      <c r="AP708" s="102"/>
      <c r="AQ708" s="102"/>
      <c r="AR708" s="102"/>
      <c r="AS708" s="102"/>
      <c r="AT708" s="102"/>
      <c r="AU708" s="102"/>
      <c r="AV708" s="102"/>
      <c r="AW708" s="102"/>
      <c r="AX708" s="102"/>
      <c r="AY708" s="102"/>
      <c r="AZ708" s="102"/>
      <c r="BA708" s="102"/>
      <c r="BB708" s="102"/>
      <c r="BC708" s="102"/>
      <c r="BD708" s="102"/>
      <c r="BE708" s="102"/>
      <c r="BF708" s="102"/>
      <c r="BG708" s="102"/>
      <c r="BH708" s="102"/>
      <c r="BI708" s="102"/>
      <c r="BJ708" s="102"/>
      <c r="BK708" s="102"/>
      <c r="BL708" s="102"/>
      <c r="BM708" s="102"/>
      <c r="BN708" s="102"/>
      <c r="BO708" s="102"/>
      <c r="BP708" s="102"/>
      <c r="BQ708" s="102"/>
      <c r="BR708" s="102"/>
      <c r="BS708" s="102"/>
      <c r="BT708" s="102"/>
      <c r="BU708" s="102"/>
      <c r="BV708" s="102"/>
      <c r="BW708" s="102"/>
      <c r="BX708" s="102"/>
      <c r="BY708" s="102"/>
      <c r="BZ708" s="102"/>
      <c r="CA708" s="464"/>
      <c r="CB708" s="102"/>
      <c r="CC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474">
        <v>706.0</v>
      </c>
      <c r="AB709" s="474">
        <f t="shared" si="10"/>
        <v>711</v>
      </c>
      <c r="AC709" s="476">
        <f t="shared" si="11"/>
        <v>946</v>
      </c>
      <c r="AD709" s="474">
        <f t="shared" si="12"/>
        <v>1179</v>
      </c>
      <c r="AE709" s="474">
        <f t="shared" si="13"/>
        <v>777</v>
      </c>
      <c r="AF709" s="474">
        <f t="shared" si="14"/>
        <v>946</v>
      </c>
      <c r="AG709" s="102"/>
      <c r="AH709" s="102"/>
      <c r="AI709" s="102"/>
      <c r="AJ709" s="102"/>
      <c r="AK709" s="102"/>
      <c r="AL709" s="102"/>
      <c r="AM709" s="102"/>
      <c r="AN709" s="102"/>
      <c r="AO709" s="102"/>
      <c r="AP709" s="102"/>
      <c r="AQ709" s="102"/>
      <c r="AR709" s="102"/>
      <c r="AS709" s="102"/>
      <c r="AT709" s="102"/>
      <c r="AU709" s="102"/>
      <c r="AV709" s="102"/>
      <c r="AW709" s="102"/>
      <c r="AX709" s="102"/>
      <c r="AY709" s="102"/>
      <c r="AZ709" s="102"/>
      <c r="BA709" s="102"/>
      <c r="BB709" s="102"/>
      <c r="BC709" s="102"/>
      <c r="BD709" s="102"/>
      <c r="BE709" s="102"/>
      <c r="BF709" s="102"/>
      <c r="BG709" s="102"/>
      <c r="BH709" s="102"/>
      <c r="BI709" s="102"/>
      <c r="BJ709" s="102"/>
      <c r="BK709" s="102"/>
      <c r="BL709" s="102"/>
      <c r="BM709" s="102"/>
      <c r="BN709" s="102"/>
      <c r="BO709" s="102"/>
      <c r="BP709" s="102"/>
      <c r="BQ709" s="102"/>
      <c r="BR709" s="102"/>
      <c r="BS709" s="102"/>
      <c r="BT709" s="102"/>
      <c r="BU709" s="102"/>
      <c r="BV709" s="102"/>
      <c r="BW709" s="102"/>
      <c r="BX709" s="102"/>
      <c r="BY709" s="102"/>
      <c r="BZ709" s="102"/>
      <c r="CA709" s="464"/>
      <c r="CB709" s="102"/>
      <c r="CC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474">
        <v>707.0</v>
      </c>
      <c r="AB710" s="474">
        <f t="shared" si="10"/>
        <v>712</v>
      </c>
      <c r="AC710" s="476">
        <f t="shared" si="11"/>
        <v>947</v>
      </c>
      <c r="AD710" s="474">
        <f t="shared" si="12"/>
        <v>1180</v>
      </c>
      <c r="AE710" s="474">
        <f t="shared" si="13"/>
        <v>778</v>
      </c>
      <c r="AF710" s="474">
        <f t="shared" si="14"/>
        <v>947</v>
      </c>
      <c r="AG710" s="102"/>
      <c r="AH710" s="102"/>
      <c r="AI710" s="102"/>
      <c r="AJ710" s="102"/>
      <c r="AK710" s="102"/>
      <c r="AL710" s="102"/>
      <c r="AM710" s="102"/>
      <c r="AN710" s="102"/>
      <c r="AO710" s="102"/>
      <c r="AP710" s="102"/>
      <c r="AQ710" s="102"/>
      <c r="AR710" s="102"/>
      <c r="AS710" s="102"/>
      <c r="AT710" s="102"/>
      <c r="AU710" s="102"/>
      <c r="AV710" s="102"/>
      <c r="AW710" s="102"/>
      <c r="AX710" s="102"/>
      <c r="AY710" s="102"/>
      <c r="AZ710" s="102"/>
      <c r="BA710" s="102"/>
      <c r="BB710" s="102"/>
      <c r="BC710" s="102"/>
      <c r="BD710" s="102"/>
      <c r="BE710" s="102"/>
      <c r="BF710" s="102"/>
      <c r="BG710" s="102"/>
      <c r="BH710" s="102"/>
      <c r="BI710" s="102"/>
      <c r="BJ710" s="102"/>
      <c r="BK710" s="102"/>
      <c r="BL710" s="102"/>
      <c r="BM710" s="102"/>
      <c r="BN710" s="102"/>
      <c r="BO710" s="102"/>
      <c r="BP710" s="102"/>
      <c r="BQ710" s="102"/>
      <c r="BR710" s="102"/>
      <c r="BS710" s="102"/>
      <c r="BT710" s="102"/>
      <c r="BU710" s="102"/>
      <c r="BV710" s="102"/>
      <c r="BW710" s="102"/>
      <c r="BX710" s="102"/>
      <c r="BY710" s="102"/>
      <c r="BZ710" s="102"/>
      <c r="CA710" s="464"/>
      <c r="CB710" s="102"/>
      <c r="CC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474">
        <v>708.0</v>
      </c>
      <c r="AB711" s="474">
        <f t="shared" si="10"/>
        <v>713</v>
      </c>
      <c r="AC711" s="476">
        <f t="shared" si="11"/>
        <v>948</v>
      </c>
      <c r="AD711" s="474">
        <f t="shared" si="12"/>
        <v>1182</v>
      </c>
      <c r="AE711" s="474">
        <f t="shared" si="13"/>
        <v>779</v>
      </c>
      <c r="AF711" s="474">
        <f t="shared" si="14"/>
        <v>948</v>
      </c>
      <c r="AG711" s="102"/>
      <c r="AH711" s="102"/>
      <c r="AI711" s="102"/>
      <c r="AJ711" s="102"/>
      <c r="AK711" s="102"/>
      <c r="AL711" s="102"/>
      <c r="AM711" s="102"/>
      <c r="AN711" s="102"/>
      <c r="AO711" s="102"/>
      <c r="AP711" s="102"/>
      <c r="AQ711" s="102"/>
      <c r="AR711" s="102"/>
      <c r="AS711" s="102"/>
      <c r="AT711" s="102"/>
      <c r="AU711" s="102"/>
      <c r="AV711" s="102"/>
      <c r="AW711" s="102"/>
      <c r="AX711" s="102"/>
      <c r="AY711" s="102"/>
      <c r="AZ711" s="102"/>
      <c r="BA711" s="102"/>
      <c r="BB711" s="102"/>
      <c r="BC711" s="102"/>
      <c r="BD711" s="102"/>
      <c r="BE711" s="102"/>
      <c r="BF711" s="102"/>
      <c r="BG711" s="102"/>
      <c r="BH711" s="102"/>
      <c r="BI711" s="102"/>
      <c r="BJ711" s="102"/>
      <c r="BK711" s="102"/>
      <c r="BL711" s="102"/>
      <c r="BM711" s="102"/>
      <c r="BN711" s="102"/>
      <c r="BO711" s="102"/>
      <c r="BP711" s="102"/>
      <c r="BQ711" s="102"/>
      <c r="BR711" s="102"/>
      <c r="BS711" s="102"/>
      <c r="BT711" s="102"/>
      <c r="BU711" s="102"/>
      <c r="BV711" s="102"/>
      <c r="BW711" s="102"/>
      <c r="BX711" s="102"/>
      <c r="BY711" s="102"/>
      <c r="BZ711" s="102"/>
      <c r="CA711" s="464"/>
      <c r="CB711" s="102"/>
      <c r="CC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474">
        <v>709.0</v>
      </c>
      <c r="AB712" s="474">
        <f t="shared" si="10"/>
        <v>714</v>
      </c>
      <c r="AC712" s="476">
        <f t="shared" si="11"/>
        <v>950</v>
      </c>
      <c r="AD712" s="474">
        <f t="shared" si="12"/>
        <v>1184</v>
      </c>
      <c r="AE712" s="474">
        <f t="shared" si="13"/>
        <v>780</v>
      </c>
      <c r="AF712" s="474">
        <f t="shared" si="14"/>
        <v>950</v>
      </c>
      <c r="AG712" s="102"/>
      <c r="AH712" s="102"/>
      <c r="AI712" s="102"/>
      <c r="AJ712" s="102"/>
      <c r="AK712" s="102"/>
      <c r="AL712" s="102"/>
      <c r="AM712" s="102"/>
      <c r="AN712" s="102"/>
      <c r="AO712" s="102"/>
      <c r="AP712" s="102"/>
      <c r="AQ712" s="102"/>
      <c r="AR712" s="102"/>
      <c r="AS712" s="102"/>
      <c r="AT712" s="102"/>
      <c r="AU712" s="102"/>
      <c r="AV712" s="102"/>
      <c r="AW712" s="102"/>
      <c r="AX712" s="102"/>
      <c r="AY712" s="102"/>
      <c r="AZ712" s="102"/>
      <c r="BA712" s="102"/>
      <c r="BB712" s="102"/>
      <c r="BC712" s="102"/>
      <c r="BD712" s="102"/>
      <c r="BE712" s="102"/>
      <c r="BF712" s="102"/>
      <c r="BG712" s="102"/>
      <c r="BH712" s="102"/>
      <c r="BI712" s="102"/>
      <c r="BJ712" s="102"/>
      <c r="BK712" s="102"/>
      <c r="BL712" s="102"/>
      <c r="BM712" s="102"/>
      <c r="BN712" s="102"/>
      <c r="BO712" s="102"/>
      <c r="BP712" s="102"/>
      <c r="BQ712" s="102"/>
      <c r="BR712" s="102"/>
      <c r="BS712" s="102"/>
      <c r="BT712" s="102"/>
      <c r="BU712" s="102"/>
      <c r="BV712" s="102"/>
      <c r="BW712" s="102"/>
      <c r="BX712" s="102"/>
      <c r="BY712" s="102"/>
      <c r="BZ712" s="102"/>
      <c r="CA712" s="464"/>
      <c r="CB712" s="102"/>
      <c r="CC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474">
        <v>710.0</v>
      </c>
      <c r="AB713" s="474">
        <f t="shared" si="10"/>
        <v>715</v>
      </c>
      <c r="AC713" s="476">
        <f t="shared" si="11"/>
        <v>951</v>
      </c>
      <c r="AD713" s="474">
        <f t="shared" si="12"/>
        <v>1185</v>
      </c>
      <c r="AE713" s="474">
        <f t="shared" si="13"/>
        <v>781</v>
      </c>
      <c r="AF713" s="474">
        <f t="shared" si="14"/>
        <v>951</v>
      </c>
      <c r="AG713" s="102"/>
      <c r="AH713" s="102"/>
      <c r="AI713" s="102"/>
      <c r="AJ713" s="102"/>
      <c r="AK713" s="102"/>
      <c r="AL713" s="102"/>
      <c r="AM713" s="102"/>
      <c r="AN713" s="102"/>
      <c r="AO713" s="102"/>
      <c r="AP713" s="102"/>
      <c r="AQ713" s="102"/>
      <c r="AR713" s="102"/>
      <c r="AS713" s="102"/>
      <c r="AT713" s="102"/>
      <c r="AU713" s="102"/>
      <c r="AV713" s="102"/>
      <c r="AW713" s="102"/>
      <c r="AX713" s="102"/>
      <c r="AY713" s="102"/>
      <c r="AZ713" s="102"/>
      <c r="BA713" s="102"/>
      <c r="BB713" s="102"/>
      <c r="BC713" s="102"/>
      <c r="BD713" s="102"/>
      <c r="BE713" s="102"/>
      <c r="BF713" s="102"/>
      <c r="BG713" s="102"/>
      <c r="BH713" s="102"/>
      <c r="BI713" s="102"/>
      <c r="BJ713" s="102"/>
      <c r="BK713" s="102"/>
      <c r="BL713" s="102"/>
      <c r="BM713" s="102"/>
      <c r="BN713" s="102"/>
      <c r="BO713" s="102"/>
      <c r="BP713" s="102"/>
      <c r="BQ713" s="102"/>
      <c r="BR713" s="102"/>
      <c r="BS713" s="102"/>
      <c r="BT713" s="102"/>
      <c r="BU713" s="102"/>
      <c r="BV713" s="102"/>
      <c r="BW713" s="102"/>
      <c r="BX713" s="102"/>
      <c r="BY713" s="102"/>
      <c r="BZ713" s="102"/>
      <c r="CA713" s="464"/>
      <c r="CB713" s="102"/>
      <c r="CC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474">
        <v>711.0</v>
      </c>
      <c r="AB714" s="474">
        <f t="shared" si="10"/>
        <v>716</v>
      </c>
      <c r="AC714" s="476">
        <f t="shared" si="11"/>
        <v>952</v>
      </c>
      <c r="AD714" s="474">
        <f t="shared" si="12"/>
        <v>1187</v>
      </c>
      <c r="AE714" s="474">
        <f t="shared" si="13"/>
        <v>783</v>
      </c>
      <c r="AF714" s="474">
        <f t="shared" si="14"/>
        <v>952</v>
      </c>
      <c r="AG714" s="102"/>
      <c r="AH714" s="102"/>
      <c r="AI714" s="102"/>
      <c r="AJ714" s="102"/>
      <c r="AK714" s="102"/>
      <c r="AL714" s="102"/>
      <c r="AM714" s="102"/>
      <c r="AN714" s="102"/>
      <c r="AO714" s="102"/>
      <c r="AP714" s="102"/>
      <c r="AQ714" s="102"/>
      <c r="AR714" s="102"/>
      <c r="AS714" s="102"/>
      <c r="AT714" s="102"/>
      <c r="AU714" s="102"/>
      <c r="AV714" s="102"/>
      <c r="AW714" s="102"/>
      <c r="AX714" s="102"/>
      <c r="AY714" s="102"/>
      <c r="AZ714" s="102"/>
      <c r="BA714" s="102"/>
      <c r="BB714" s="102"/>
      <c r="BC714" s="102"/>
      <c r="BD714" s="102"/>
      <c r="BE714" s="102"/>
      <c r="BF714" s="102"/>
      <c r="BG714" s="102"/>
      <c r="BH714" s="102"/>
      <c r="BI714" s="102"/>
      <c r="BJ714" s="102"/>
      <c r="BK714" s="102"/>
      <c r="BL714" s="102"/>
      <c r="BM714" s="102"/>
      <c r="BN714" s="102"/>
      <c r="BO714" s="102"/>
      <c r="BP714" s="102"/>
      <c r="BQ714" s="102"/>
      <c r="BR714" s="102"/>
      <c r="BS714" s="102"/>
      <c r="BT714" s="102"/>
      <c r="BU714" s="102"/>
      <c r="BV714" s="102"/>
      <c r="BW714" s="102"/>
      <c r="BX714" s="102"/>
      <c r="BY714" s="102"/>
      <c r="BZ714" s="102"/>
      <c r="CA714" s="464"/>
      <c r="CB714" s="102"/>
      <c r="CC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474">
        <v>712.0</v>
      </c>
      <c r="AB715" s="474">
        <f t="shared" si="10"/>
        <v>717</v>
      </c>
      <c r="AC715" s="476">
        <f t="shared" si="11"/>
        <v>954</v>
      </c>
      <c r="AD715" s="474">
        <f t="shared" si="12"/>
        <v>1189</v>
      </c>
      <c r="AE715" s="474">
        <f t="shared" si="13"/>
        <v>784</v>
      </c>
      <c r="AF715" s="474">
        <f t="shared" si="14"/>
        <v>954</v>
      </c>
      <c r="AG715" s="102"/>
      <c r="AH715" s="102"/>
      <c r="AI715" s="102"/>
      <c r="AJ715" s="102"/>
      <c r="AK715" s="102"/>
      <c r="AL715" s="102"/>
      <c r="AM715" s="102"/>
      <c r="AN715" s="102"/>
      <c r="AO715" s="102"/>
      <c r="AP715" s="102"/>
      <c r="AQ715" s="102"/>
      <c r="AR715" s="102"/>
      <c r="AS715" s="102"/>
      <c r="AT715" s="102"/>
      <c r="AU715" s="102"/>
      <c r="AV715" s="102"/>
      <c r="AW715" s="102"/>
      <c r="AX715" s="102"/>
      <c r="AY715" s="102"/>
      <c r="AZ715" s="102"/>
      <c r="BA715" s="102"/>
      <c r="BB715" s="102"/>
      <c r="BC715" s="102"/>
      <c r="BD715" s="102"/>
      <c r="BE715" s="102"/>
      <c r="BF715" s="102"/>
      <c r="BG715" s="102"/>
      <c r="BH715" s="102"/>
      <c r="BI715" s="102"/>
      <c r="BJ715" s="102"/>
      <c r="BK715" s="102"/>
      <c r="BL715" s="102"/>
      <c r="BM715" s="102"/>
      <c r="BN715" s="102"/>
      <c r="BO715" s="102"/>
      <c r="BP715" s="102"/>
      <c r="BQ715" s="102"/>
      <c r="BR715" s="102"/>
      <c r="BS715" s="102"/>
      <c r="BT715" s="102"/>
      <c r="BU715" s="102"/>
      <c r="BV715" s="102"/>
      <c r="BW715" s="102"/>
      <c r="BX715" s="102"/>
      <c r="BY715" s="102"/>
      <c r="BZ715" s="102"/>
      <c r="CA715" s="464"/>
      <c r="CB715" s="102"/>
      <c r="CC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474">
        <v>713.0</v>
      </c>
      <c r="AB716" s="474">
        <f t="shared" si="10"/>
        <v>718</v>
      </c>
      <c r="AC716" s="476">
        <f t="shared" si="11"/>
        <v>955</v>
      </c>
      <c r="AD716" s="474">
        <f t="shared" si="12"/>
        <v>1190</v>
      </c>
      <c r="AE716" s="474">
        <f t="shared" si="13"/>
        <v>785</v>
      </c>
      <c r="AF716" s="474">
        <f t="shared" si="14"/>
        <v>955</v>
      </c>
      <c r="AG716" s="102"/>
      <c r="AH716" s="102"/>
      <c r="AI716" s="102"/>
      <c r="AJ716" s="102"/>
      <c r="AK716" s="102"/>
      <c r="AL716" s="102"/>
      <c r="AM716" s="102"/>
      <c r="AN716" s="102"/>
      <c r="AO716" s="102"/>
      <c r="AP716" s="102"/>
      <c r="AQ716" s="102"/>
      <c r="AR716" s="102"/>
      <c r="AS716" s="102"/>
      <c r="AT716" s="102"/>
      <c r="AU716" s="102"/>
      <c r="AV716" s="102"/>
      <c r="AW716" s="102"/>
      <c r="AX716" s="102"/>
      <c r="AY716" s="102"/>
      <c r="AZ716" s="102"/>
      <c r="BA716" s="102"/>
      <c r="BB716" s="102"/>
      <c r="BC716" s="102"/>
      <c r="BD716" s="102"/>
      <c r="BE716" s="102"/>
      <c r="BF716" s="102"/>
      <c r="BG716" s="102"/>
      <c r="BH716" s="102"/>
      <c r="BI716" s="102"/>
      <c r="BJ716" s="102"/>
      <c r="BK716" s="102"/>
      <c r="BL716" s="102"/>
      <c r="BM716" s="102"/>
      <c r="BN716" s="102"/>
      <c r="BO716" s="102"/>
      <c r="BP716" s="102"/>
      <c r="BQ716" s="102"/>
      <c r="BR716" s="102"/>
      <c r="BS716" s="102"/>
      <c r="BT716" s="102"/>
      <c r="BU716" s="102"/>
      <c r="BV716" s="102"/>
      <c r="BW716" s="102"/>
      <c r="BX716" s="102"/>
      <c r="BY716" s="102"/>
      <c r="BZ716" s="102"/>
      <c r="CA716" s="464"/>
      <c r="CB716" s="102"/>
      <c r="CC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474">
        <v>714.0</v>
      </c>
      <c r="AB717" s="474">
        <f t="shared" si="10"/>
        <v>719</v>
      </c>
      <c r="AC717" s="476">
        <f t="shared" si="11"/>
        <v>956</v>
      </c>
      <c r="AD717" s="474">
        <f t="shared" si="12"/>
        <v>1192</v>
      </c>
      <c r="AE717" s="474">
        <f t="shared" si="13"/>
        <v>786</v>
      </c>
      <c r="AF717" s="474">
        <f t="shared" si="14"/>
        <v>956</v>
      </c>
      <c r="AG717" s="102"/>
      <c r="AH717" s="102"/>
      <c r="AI717" s="102"/>
      <c r="AJ717" s="102"/>
      <c r="AK717" s="102"/>
      <c r="AL717" s="102"/>
      <c r="AM717" s="102"/>
      <c r="AN717" s="102"/>
      <c r="AO717" s="102"/>
      <c r="AP717" s="102"/>
      <c r="AQ717" s="102"/>
      <c r="AR717" s="102"/>
      <c r="AS717" s="102"/>
      <c r="AT717" s="102"/>
      <c r="AU717" s="102"/>
      <c r="AV717" s="102"/>
      <c r="AW717" s="102"/>
      <c r="AX717" s="102"/>
      <c r="AY717" s="102"/>
      <c r="AZ717" s="102"/>
      <c r="BA717" s="102"/>
      <c r="BB717" s="102"/>
      <c r="BC717" s="102"/>
      <c r="BD717" s="102"/>
      <c r="BE717" s="102"/>
      <c r="BF717" s="102"/>
      <c r="BG717" s="102"/>
      <c r="BH717" s="102"/>
      <c r="BI717" s="102"/>
      <c r="BJ717" s="102"/>
      <c r="BK717" s="102"/>
      <c r="BL717" s="102"/>
      <c r="BM717" s="102"/>
      <c r="BN717" s="102"/>
      <c r="BO717" s="102"/>
      <c r="BP717" s="102"/>
      <c r="BQ717" s="102"/>
      <c r="BR717" s="102"/>
      <c r="BS717" s="102"/>
      <c r="BT717" s="102"/>
      <c r="BU717" s="102"/>
      <c r="BV717" s="102"/>
      <c r="BW717" s="102"/>
      <c r="BX717" s="102"/>
      <c r="BY717" s="102"/>
      <c r="BZ717" s="102"/>
      <c r="CA717" s="464"/>
      <c r="CB717" s="102"/>
      <c r="CC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474">
        <v>715.0</v>
      </c>
      <c r="AB718" s="474">
        <f t="shared" si="10"/>
        <v>720</v>
      </c>
      <c r="AC718" s="476">
        <f t="shared" si="11"/>
        <v>958</v>
      </c>
      <c r="AD718" s="474">
        <f t="shared" si="12"/>
        <v>1194</v>
      </c>
      <c r="AE718" s="474">
        <f t="shared" si="13"/>
        <v>787</v>
      </c>
      <c r="AF718" s="474">
        <f t="shared" si="14"/>
        <v>958</v>
      </c>
      <c r="AG718" s="102"/>
      <c r="AH718" s="102"/>
      <c r="AI718" s="102"/>
      <c r="AJ718" s="102"/>
      <c r="AK718" s="102"/>
      <c r="AL718" s="102"/>
      <c r="AM718" s="102"/>
      <c r="AN718" s="102"/>
      <c r="AO718" s="102"/>
      <c r="AP718" s="102"/>
      <c r="AQ718" s="102"/>
      <c r="AR718" s="102"/>
      <c r="AS718" s="102"/>
      <c r="AT718" s="102"/>
      <c r="AU718" s="102"/>
      <c r="AV718" s="102"/>
      <c r="AW718" s="102"/>
      <c r="AX718" s="102"/>
      <c r="AY718" s="102"/>
      <c r="AZ718" s="102"/>
      <c r="BA718" s="102"/>
      <c r="BB718" s="102"/>
      <c r="BC718" s="102"/>
      <c r="BD718" s="102"/>
      <c r="BE718" s="102"/>
      <c r="BF718" s="102"/>
      <c r="BG718" s="102"/>
      <c r="BH718" s="102"/>
      <c r="BI718" s="102"/>
      <c r="BJ718" s="102"/>
      <c r="BK718" s="102"/>
      <c r="BL718" s="102"/>
      <c r="BM718" s="102"/>
      <c r="BN718" s="102"/>
      <c r="BO718" s="102"/>
      <c r="BP718" s="102"/>
      <c r="BQ718" s="102"/>
      <c r="BR718" s="102"/>
      <c r="BS718" s="102"/>
      <c r="BT718" s="102"/>
      <c r="BU718" s="102"/>
      <c r="BV718" s="102"/>
      <c r="BW718" s="102"/>
      <c r="BX718" s="102"/>
      <c r="BY718" s="102"/>
      <c r="BZ718" s="102"/>
      <c r="CA718" s="464"/>
      <c r="CB718" s="102"/>
      <c r="CC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474">
        <v>716.0</v>
      </c>
      <c r="AB719" s="474">
        <f t="shared" si="10"/>
        <v>721</v>
      </c>
      <c r="AC719" s="476">
        <f t="shared" si="11"/>
        <v>959</v>
      </c>
      <c r="AD719" s="474">
        <f t="shared" si="12"/>
        <v>1195</v>
      </c>
      <c r="AE719" s="474">
        <f t="shared" si="13"/>
        <v>788</v>
      </c>
      <c r="AF719" s="474">
        <f t="shared" si="14"/>
        <v>959</v>
      </c>
      <c r="AG719" s="102"/>
      <c r="AH719" s="102"/>
      <c r="AI719" s="102"/>
      <c r="AJ719" s="102"/>
      <c r="AK719" s="102"/>
      <c r="AL719" s="102"/>
      <c r="AM719" s="102"/>
      <c r="AN719" s="102"/>
      <c r="AO719" s="102"/>
      <c r="AP719" s="102"/>
      <c r="AQ719" s="102"/>
      <c r="AR719" s="102"/>
      <c r="AS719" s="102"/>
      <c r="AT719" s="102"/>
      <c r="AU719" s="102"/>
      <c r="AV719" s="102"/>
      <c r="AW719" s="102"/>
      <c r="AX719" s="102"/>
      <c r="AY719" s="102"/>
      <c r="AZ719" s="102"/>
      <c r="BA719" s="102"/>
      <c r="BB719" s="102"/>
      <c r="BC719" s="102"/>
      <c r="BD719" s="102"/>
      <c r="BE719" s="102"/>
      <c r="BF719" s="102"/>
      <c r="BG719" s="102"/>
      <c r="BH719" s="102"/>
      <c r="BI719" s="102"/>
      <c r="BJ719" s="102"/>
      <c r="BK719" s="102"/>
      <c r="BL719" s="102"/>
      <c r="BM719" s="102"/>
      <c r="BN719" s="102"/>
      <c r="BO719" s="102"/>
      <c r="BP719" s="102"/>
      <c r="BQ719" s="102"/>
      <c r="BR719" s="102"/>
      <c r="BS719" s="102"/>
      <c r="BT719" s="102"/>
      <c r="BU719" s="102"/>
      <c r="BV719" s="102"/>
      <c r="BW719" s="102"/>
      <c r="BX719" s="102"/>
      <c r="BY719" s="102"/>
      <c r="BZ719" s="102"/>
      <c r="CA719" s="464"/>
      <c r="CB719" s="102"/>
      <c r="CC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474">
        <v>717.0</v>
      </c>
      <c r="AB720" s="474">
        <f t="shared" si="10"/>
        <v>722</v>
      </c>
      <c r="AC720" s="476">
        <f t="shared" si="11"/>
        <v>960</v>
      </c>
      <c r="AD720" s="474">
        <f t="shared" si="12"/>
        <v>1197</v>
      </c>
      <c r="AE720" s="474">
        <f t="shared" si="13"/>
        <v>789</v>
      </c>
      <c r="AF720" s="474">
        <f t="shared" si="14"/>
        <v>960</v>
      </c>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c r="BK720" s="102"/>
      <c r="BL720" s="102"/>
      <c r="BM720" s="102"/>
      <c r="BN720" s="102"/>
      <c r="BO720" s="102"/>
      <c r="BP720" s="102"/>
      <c r="BQ720" s="102"/>
      <c r="BR720" s="102"/>
      <c r="BS720" s="102"/>
      <c r="BT720" s="102"/>
      <c r="BU720" s="102"/>
      <c r="BV720" s="102"/>
      <c r="BW720" s="102"/>
      <c r="BX720" s="102"/>
      <c r="BY720" s="102"/>
      <c r="BZ720" s="102"/>
      <c r="CA720" s="464"/>
      <c r="CB720" s="102"/>
      <c r="CC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474">
        <v>718.0</v>
      </c>
      <c r="AB721" s="474">
        <f t="shared" si="10"/>
        <v>723</v>
      </c>
      <c r="AC721" s="476">
        <f t="shared" si="11"/>
        <v>962</v>
      </c>
      <c r="AD721" s="474">
        <f t="shared" si="12"/>
        <v>1199</v>
      </c>
      <c r="AE721" s="474">
        <f t="shared" si="13"/>
        <v>790</v>
      </c>
      <c r="AF721" s="474">
        <f t="shared" si="14"/>
        <v>962</v>
      </c>
      <c r="AG721" s="102"/>
      <c r="AH721" s="102"/>
      <c r="AI721" s="102"/>
      <c r="AJ721" s="102"/>
      <c r="AK721" s="102"/>
      <c r="AL721" s="102"/>
      <c r="AM721" s="102"/>
      <c r="AN721" s="102"/>
      <c r="AO721" s="102"/>
      <c r="AP721" s="102"/>
      <c r="AQ721" s="102"/>
      <c r="AR721" s="102"/>
      <c r="AS721" s="102"/>
      <c r="AT721" s="102"/>
      <c r="AU721" s="102"/>
      <c r="AV721" s="102"/>
      <c r="AW721" s="102"/>
      <c r="AX721" s="102"/>
      <c r="AY721" s="102"/>
      <c r="AZ721" s="102"/>
      <c r="BA721" s="102"/>
      <c r="BB721" s="102"/>
      <c r="BC721" s="102"/>
      <c r="BD721" s="102"/>
      <c r="BE721" s="102"/>
      <c r="BF721" s="102"/>
      <c r="BG721" s="102"/>
      <c r="BH721" s="102"/>
      <c r="BI721" s="102"/>
      <c r="BJ721" s="102"/>
      <c r="BK721" s="102"/>
      <c r="BL721" s="102"/>
      <c r="BM721" s="102"/>
      <c r="BN721" s="102"/>
      <c r="BO721" s="102"/>
      <c r="BP721" s="102"/>
      <c r="BQ721" s="102"/>
      <c r="BR721" s="102"/>
      <c r="BS721" s="102"/>
      <c r="BT721" s="102"/>
      <c r="BU721" s="102"/>
      <c r="BV721" s="102"/>
      <c r="BW721" s="102"/>
      <c r="BX721" s="102"/>
      <c r="BY721" s="102"/>
      <c r="BZ721" s="102"/>
      <c r="CA721" s="464"/>
      <c r="CB721" s="102"/>
      <c r="CC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474">
        <v>719.0</v>
      </c>
      <c r="AB722" s="474">
        <f t="shared" si="10"/>
        <v>724</v>
      </c>
      <c r="AC722" s="476">
        <f t="shared" si="11"/>
        <v>963</v>
      </c>
      <c r="AD722" s="474">
        <f t="shared" si="12"/>
        <v>1200</v>
      </c>
      <c r="AE722" s="474">
        <f t="shared" si="13"/>
        <v>791</v>
      </c>
      <c r="AF722" s="474">
        <f t="shared" si="14"/>
        <v>963</v>
      </c>
      <c r="AG722" s="102"/>
      <c r="AH722" s="102"/>
      <c r="AI722" s="102"/>
      <c r="AJ722" s="102"/>
      <c r="AK722" s="102"/>
      <c r="AL722" s="102"/>
      <c r="AM722" s="102"/>
      <c r="AN722" s="102"/>
      <c r="AO722" s="102"/>
      <c r="AP722" s="102"/>
      <c r="AQ722" s="102"/>
      <c r="AR722" s="102"/>
      <c r="AS722" s="102"/>
      <c r="AT722" s="102"/>
      <c r="AU722" s="102"/>
      <c r="AV722" s="102"/>
      <c r="AW722" s="102"/>
      <c r="AX722" s="102"/>
      <c r="AY722" s="102"/>
      <c r="AZ722" s="102"/>
      <c r="BA722" s="102"/>
      <c r="BB722" s="102"/>
      <c r="BC722" s="102"/>
      <c r="BD722" s="102"/>
      <c r="BE722" s="102"/>
      <c r="BF722" s="102"/>
      <c r="BG722" s="102"/>
      <c r="BH722" s="102"/>
      <c r="BI722" s="102"/>
      <c r="BJ722" s="102"/>
      <c r="BK722" s="102"/>
      <c r="BL722" s="102"/>
      <c r="BM722" s="102"/>
      <c r="BN722" s="102"/>
      <c r="BO722" s="102"/>
      <c r="BP722" s="102"/>
      <c r="BQ722" s="102"/>
      <c r="BR722" s="102"/>
      <c r="BS722" s="102"/>
      <c r="BT722" s="102"/>
      <c r="BU722" s="102"/>
      <c r="BV722" s="102"/>
      <c r="BW722" s="102"/>
      <c r="BX722" s="102"/>
      <c r="BY722" s="102"/>
      <c r="BZ722" s="102"/>
      <c r="CA722" s="464"/>
      <c r="CB722" s="102"/>
      <c r="CC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474">
        <v>720.0</v>
      </c>
      <c r="AB723" s="474">
        <f t="shared" si="10"/>
        <v>725</v>
      </c>
      <c r="AC723" s="476">
        <f t="shared" si="11"/>
        <v>964</v>
      </c>
      <c r="AD723" s="474">
        <f t="shared" si="12"/>
        <v>1202</v>
      </c>
      <c r="AE723" s="474">
        <f t="shared" si="13"/>
        <v>792</v>
      </c>
      <c r="AF723" s="474">
        <f t="shared" si="14"/>
        <v>964</v>
      </c>
      <c r="AG723" s="102"/>
      <c r="AH723" s="102"/>
      <c r="AI723" s="102"/>
      <c r="AJ723" s="102"/>
      <c r="AK723" s="102"/>
      <c r="AL723" s="102"/>
      <c r="AM723" s="102"/>
      <c r="AN723" s="102"/>
      <c r="AO723" s="102"/>
      <c r="AP723" s="102"/>
      <c r="AQ723" s="102"/>
      <c r="AR723" s="102"/>
      <c r="AS723" s="102"/>
      <c r="AT723" s="102"/>
      <c r="AU723" s="102"/>
      <c r="AV723" s="102"/>
      <c r="AW723" s="102"/>
      <c r="AX723" s="102"/>
      <c r="AY723" s="102"/>
      <c r="AZ723" s="102"/>
      <c r="BA723" s="102"/>
      <c r="BB723" s="102"/>
      <c r="BC723" s="102"/>
      <c r="BD723" s="102"/>
      <c r="BE723" s="102"/>
      <c r="BF723" s="102"/>
      <c r="BG723" s="102"/>
      <c r="BH723" s="102"/>
      <c r="BI723" s="102"/>
      <c r="BJ723" s="102"/>
      <c r="BK723" s="102"/>
      <c r="BL723" s="102"/>
      <c r="BM723" s="102"/>
      <c r="BN723" s="102"/>
      <c r="BO723" s="102"/>
      <c r="BP723" s="102"/>
      <c r="BQ723" s="102"/>
      <c r="BR723" s="102"/>
      <c r="BS723" s="102"/>
      <c r="BT723" s="102"/>
      <c r="BU723" s="102"/>
      <c r="BV723" s="102"/>
      <c r="BW723" s="102"/>
      <c r="BX723" s="102"/>
      <c r="BY723" s="102"/>
      <c r="BZ723" s="102"/>
      <c r="CA723" s="464"/>
      <c r="CB723" s="102"/>
      <c r="CC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474">
        <v>721.0</v>
      </c>
      <c r="AB724" s="474">
        <f t="shared" si="10"/>
        <v>726</v>
      </c>
      <c r="AC724" s="476">
        <f t="shared" si="11"/>
        <v>966</v>
      </c>
      <c r="AD724" s="474">
        <f t="shared" si="12"/>
        <v>1204</v>
      </c>
      <c r="AE724" s="474">
        <f t="shared" si="13"/>
        <v>794</v>
      </c>
      <c r="AF724" s="474">
        <f t="shared" si="14"/>
        <v>966</v>
      </c>
      <c r="AG724" s="102"/>
      <c r="AH724" s="102"/>
      <c r="AI724" s="102"/>
      <c r="AJ724" s="102"/>
      <c r="AK724" s="102"/>
      <c r="AL724" s="102"/>
      <c r="AM724" s="102"/>
      <c r="AN724" s="102"/>
      <c r="AO724" s="102"/>
      <c r="AP724" s="102"/>
      <c r="AQ724" s="102"/>
      <c r="AR724" s="102"/>
      <c r="AS724" s="102"/>
      <c r="AT724" s="102"/>
      <c r="AU724" s="102"/>
      <c r="AV724" s="102"/>
      <c r="AW724" s="102"/>
      <c r="AX724" s="102"/>
      <c r="AY724" s="102"/>
      <c r="AZ724" s="102"/>
      <c r="BA724" s="102"/>
      <c r="BB724" s="102"/>
      <c r="BC724" s="102"/>
      <c r="BD724" s="102"/>
      <c r="BE724" s="102"/>
      <c r="BF724" s="102"/>
      <c r="BG724" s="102"/>
      <c r="BH724" s="102"/>
      <c r="BI724" s="102"/>
      <c r="BJ724" s="102"/>
      <c r="BK724" s="102"/>
      <c r="BL724" s="102"/>
      <c r="BM724" s="102"/>
      <c r="BN724" s="102"/>
      <c r="BO724" s="102"/>
      <c r="BP724" s="102"/>
      <c r="BQ724" s="102"/>
      <c r="BR724" s="102"/>
      <c r="BS724" s="102"/>
      <c r="BT724" s="102"/>
      <c r="BU724" s="102"/>
      <c r="BV724" s="102"/>
      <c r="BW724" s="102"/>
      <c r="BX724" s="102"/>
      <c r="BY724" s="102"/>
      <c r="BZ724" s="102"/>
      <c r="CA724" s="464"/>
      <c r="CB724" s="102"/>
      <c r="CC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474">
        <v>722.0</v>
      </c>
      <c r="AB725" s="474">
        <f t="shared" si="10"/>
        <v>727</v>
      </c>
      <c r="AC725" s="476">
        <f t="shared" si="11"/>
        <v>967</v>
      </c>
      <c r="AD725" s="474">
        <f t="shared" si="12"/>
        <v>1205</v>
      </c>
      <c r="AE725" s="474">
        <f t="shared" si="13"/>
        <v>795</v>
      </c>
      <c r="AF725" s="474">
        <f t="shared" si="14"/>
        <v>967</v>
      </c>
      <c r="AG725" s="102"/>
      <c r="AH725" s="102"/>
      <c r="AI725" s="102"/>
      <c r="AJ725" s="102"/>
      <c r="AK725" s="102"/>
      <c r="AL725" s="102"/>
      <c r="AM725" s="102"/>
      <c r="AN725" s="102"/>
      <c r="AO725" s="102"/>
      <c r="AP725" s="102"/>
      <c r="AQ725" s="102"/>
      <c r="AR725" s="102"/>
      <c r="AS725" s="102"/>
      <c r="AT725" s="102"/>
      <c r="AU725" s="102"/>
      <c r="AV725" s="102"/>
      <c r="AW725" s="102"/>
      <c r="AX725" s="102"/>
      <c r="AY725" s="102"/>
      <c r="AZ725" s="102"/>
      <c r="BA725" s="102"/>
      <c r="BB725" s="102"/>
      <c r="BC725" s="102"/>
      <c r="BD725" s="102"/>
      <c r="BE725" s="102"/>
      <c r="BF725" s="102"/>
      <c r="BG725" s="102"/>
      <c r="BH725" s="102"/>
      <c r="BI725" s="102"/>
      <c r="BJ725" s="102"/>
      <c r="BK725" s="102"/>
      <c r="BL725" s="102"/>
      <c r="BM725" s="102"/>
      <c r="BN725" s="102"/>
      <c r="BO725" s="102"/>
      <c r="BP725" s="102"/>
      <c r="BQ725" s="102"/>
      <c r="BR725" s="102"/>
      <c r="BS725" s="102"/>
      <c r="BT725" s="102"/>
      <c r="BU725" s="102"/>
      <c r="BV725" s="102"/>
      <c r="BW725" s="102"/>
      <c r="BX725" s="102"/>
      <c r="BY725" s="102"/>
      <c r="BZ725" s="102"/>
      <c r="CA725" s="464"/>
      <c r="CB725" s="102"/>
      <c r="CC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474">
        <v>723.0</v>
      </c>
      <c r="AB726" s="474">
        <f t="shared" si="10"/>
        <v>728</v>
      </c>
      <c r="AC726" s="476">
        <f t="shared" si="11"/>
        <v>968</v>
      </c>
      <c r="AD726" s="474">
        <f t="shared" si="12"/>
        <v>1207</v>
      </c>
      <c r="AE726" s="474">
        <f t="shared" si="13"/>
        <v>796</v>
      </c>
      <c r="AF726" s="474">
        <f t="shared" si="14"/>
        <v>968</v>
      </c>
      <c r="AG726" s="102"/>
      <c r="AH726" s="102"/>
      <c r="AI726" s="102"/>
      <c r="AJ726" s="102"/>
      <c r="AK726" s="102"/>
      <c r="AL726" s="102"/>
      <c r="AM726" s="102"/>
      <c r="AN726" s="102"/>
      <c r="AO726" s="102"/>
      <c r="AP726" s="102"/>
      <c r="AQ726" s="102"/>
      <c r="AR726" s="102"/>
      <c r="AS726" s="102"/>
      <c r="AT726" s="102"/>
      <c r="AU726" s="102"/>
      <c r="AV726" s="102"/>
      <c r="AW726" s="102"/>
      <c r="AX726" s="102"/>
      <c r="AY726" s="102"/>
      <c r="AZ726" s="102"/>
      <c r="BA726" s="102"/>
      <c r="BB726" s="102"/>
      <c r="BC726" s="102"/>
      <c r="BD726" s="102"/>
      <c r="BE726" s="102"/>
      <c r="BF726" s="102"/>
      <c r="BG726" s="102"/>
      <c r="BH726" s="102"/>
      <c r="BI726" s="102"/>
      <c r="BJ726" s="102"/>
      <c r="BK726" s="102"/>
      <c r="BL726" s="102"/>
      <c r="BM726" s="102"/>
      <c r="BN726" s="102"/>
      <c r="BO726" s="102"/>
      <c r="BP726" s="102"/>
      <c r="BQ726" s="102"/>
      <c r="BR726" s="102"/>
      <c r="BS726" s="102"/>
      <c r="BT726" s="102"/>
      <c r="BU726" s="102"/>
      <c r="BV726" s="102"/>
      <c r="BW726" s="102"/>
      <c r="BX726" s="102"/>
      <c r="BY726" s="102"/>
      <c r="BZ726" s="102"/>
      <c r="CA726" s="464"/>
      <c r="CB726" s="102"/>
      <c r="CC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474">
        <v>724.0</v>
      </c>
      <c r="AB727" s="474">
        <f t="shared" si="10"/>
        <v>729</v>
      </c>
      <c r="AC727" s="476">
        <f t="shared" si="11"/>
        <v>970</v>
      </c>
      <c r="AD727" s="474">
        <f t="shared" si="12"/>
        <v>1209</v>
      </c>
      <c r="AE727" s="474">
        <f t="shared" si="13"/>
        <v>797</v>
      </c>
      <c r="AF727" s="474">
        <f t="shared" si="14"/>
        <v>970</v>
      </c>
      <c r="AG727" s="102"/>
      <c r="AH727" s="102"/>
      <c r="AI727" s="102"/>
      <c r="AJ727" s="102"/>
      <c r="AK727" s="102"/>
      <c r="AL727" s="102"/>
      <c r="AM727" s="102"/>
      <c r="AN727" s="102"/>
      <c r="AO727" s="102"/>
      <c r="AP727" s="102"/>
      <c r="AQ727" s="102"/>
      <c r="AR727" s="102"/>
      <c r="AS727" s="102"/>
      <c r="AT727" s="102"/>
      <c r="AU727" s="102"/>
      <c r="AV727" s="102"/>
      <c r="AW727" s="102"/>
      <c r="AX727" s="102"/>
      <c r="AY727" s="102"/>
      <c r="AZ727" s="102"/>
      <c r="BA727" s="102"/>
      <c r="BB727" s="102"/>
      <c r="BC727" s="102"/>
      <c r="BD727" s="102"/>
      <c r="BE727" s="102"/>
      <c r="BF727" s="102"/>
      <c r="BG727" s="102"/>
      <c r="BH727" s="102"/>
      <c r="BI727" s="102"/>
      <c r="BJ727" s="102"/>
      <c r="BK727" s="102"/>
      <c r="BL727" s="102"/>
      <c r="BM727" s="102"/>
      <c r="BN727" s="102"/>
      <c r="BO727" s="102"/>
      <c r="BP727" s="102"/>
      <c r="BQ727" s="102"/>
      <c r="BR727" s="102"/>
      <c r="BS727" s="102"/>
      <c r="BT727" s="102"/>
      <c r="BU727" s="102"/>
      <c r="BV727" s="102"/>
      <c r="BW727" s="102"/>
      <c r="BX727" s="102"/>
      <c r="BY727" s="102"/>
      <c r="BZ727" s="102"/>
      <c r="CA727" s="464"/>
      <c r="CB727" s="102"/>
      <c r="CC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474">
        <v>725.0</v>
      </c>
      <c r="AB728" s="474">
        <f t="shared" si="10"/>
        <v>730</v>
      </c>
      <c r="AC728" s="476">
        <f t="shared" si="11"/>
        <v>971</v>
      </c>
      <c r="AD728" s="474">
        <f t="shared" si="12"/>
        <v>1210</v>
      </c>
      <c r="AE728" s="474">
        <f t="shared" si="13"/>
        <v>798</v>
      </c>
      <c r="AF728" s="474">
        <f t="shared" si="14"/>
        <v>971</v>
      </c>
      <c r="AG728" s="102"/>
      <c r="AH728" s="102"/>
      <c r="AI728" s="102"/>
      <c r="AJ728" s="102"/>
      <c r="AK728" s="102"/>
      <c r="AL728" s="102"/>
      <c r="AM728" s="102"/>
      <c r="AN728" s="102"/>
      <c r="AO728" s="102"/>
      <c r="AP728" s="102"/>
      <c r="AQ728" s="102"/>
      <c r="AR728" s="102"/>
      <c r="AS728" s="102"/>
      <c r="AT728" s="102"/>
      <c r="AU728" s="102"/>
      <c r="AV728" s="102"/>
      <c r="AW728" s="102"/>
      <c r="AX728" s="102"/>
      <c r="AY728" s="102"/>
      <c r="AZ728" s="102"/>
      <c r="BA728" s="102"/>
      <c r="BB728" s="102"/>
      <c r="BC728" s="102"/>
      <c r="BD728" s="102"/>
      <c r="BE728" s="102"/>
      <c r="BF728" s="102"/>
      <c r="BG728" s="102"/>
      <c r="BH728" s="102"/>
      <c r="BI728" s="102"/>
      <c r="BJ728" s="102"/>
      <c r="BK728" s="102"/>
      <c r="BL728" s="102"/>
      <c r="BM728" s="102"/>
      <c r="BN728" s="102"/>
      <c r="BO728" s="102"/>
      <c r="BP728" s="102"/>
      <c r="BQ728" s="102"/>
      <c r="BR728" s="102"/>
      <c r="BS728" s="102"/>
      <c r="BT728" s="102"/>
      <c r="BU728" s="102"/>
      <c r="BV728" s="102"/>
      <c r="BW728" s="102"/>
      <c r="BX728" s="102"/>
      <c r="BY728" s="102"/>
      <c r="BZ728" s="102"/>
      <c r="CA728" s="464"/>
      <c r="CB728" s="102"/>
      <c r="CC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474">
        <v>726.0</v>
      </c>
      <c r="AB729" s="474">
        <f t="shared" si="10"/>
        <v>731</v>
      </c>
      <c r="AC729" s="476">
        <f t="shared" si="11"/>
        <v>972</v>
      </c>
      <c r="AD729" s="474">
        <f t="shared" si="12"/>
        <v>1212</v>
      </c>
      <c r="AE729" s="474">
        <f t="shared" si="13"/>
        <v>799</v>
      </c>
      <c r="AF729" s="474">
        <f t="shared" si="14"/>
        <v>972</v>
      </c>
      <c r="AG729" s="102"/>
      <c r="AH729" s="102"/>
      <c r="AI729" s="102"/>
      <c r="AJ729" s="102"/>
      <c r="AK729" s="102"/>
      <c r="AL729" s="102"/>
      <c r="AM729" s="102"/>
      <c r="AN729" s="102"/>
      <c r="AO729" s="102"/>
      <c r="AP729" s="102"/>
      <c r="AQ729" s="102"/>
      <c r="AR729" s="102"/>
      <c r="AS729" s="102"/>
      <c r="AT729" s="102"/>
      <c r="AU729" s="102"/>
      <c r="AV729" s="102"/>
      <c r="AW729" s="102"/>
      <c r="AX729" s="102"/>
      <c r="AY729" s="102"/>
      <c r="AZ729" s="102"/>
      <c r="BA729" s="102"/>
      <c r="BB729" s="102"/>
      <c r="BC729" s="102"/>
      <c r="BD729" s="102"/>
      <c r="BE729" s="102"/>
      <c r="BF729" s="102"/>
      <c r="BG729" s="102"/>
      <c r="BH729" s="102"/>
      <c r="BI729" s="102"/>
      <c r="BJ729" s="102"/>
      <c r="BK729" s="102"/>
      <c r="BL729" s="102"/>
      <c r="BM729" s="102"/>
      <c r="BN729" s="102"/>
      <c r="BO729" s="102"/>
      <c r="BP729" s="102"/>
      <c r="BQ729" s="102"/>
      <c r="BR729" s="102"/>
      <c r="BS729" s="102"/>
      <c r="BT729" s="102"/>
      <c r="BU729" s="102"/>
      <c r="BV729" s="102"/>
      <c r="BW729" s="102"/>
      <c r="BX729" s="102"/>
      <c r="BY729" s="102"/>
      <c r="BZ729" s="102"/>
      <c r="CA729" s="464"/>
      <c r="CB729" s="102"/>
      <c r="CC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474">
        <v>727.0</v>
      </c>
      <c r="AB730" s="474">
        <f t="shared" si="10"/>
        <v>732</v>
      </c>
      <c r="AC730" s="476">
        <f t="shared" si="11"/>
        <v>974</v>
      </c>
      <c r="AD730" s="474">
        <f t="shared" si="12"/>
        <v>1214</v>
      </c>
      <c r="AE730" s="474">
        <f t="shared" si="13"/>
        <v>800</v>
      </c>
      <c r="AF730" s="474">
        <f t="shared" si="14"/>
        <v>974</v>
      </c>
      <c r="AG730" s="102"/>
      <c r="AH730" s="102"/>
      <c r="AI730" s="102"/>
      <c r="AJ730" s="102"/>
      <c r="AK730" s="102"/>
      <c r="AL730" s="102"/>
      <c r="AM730" s="102"/>
      <c r="AN730" s="102"/>
      <c r="AO730" s="102"/>
      <c r="AP730" s="102"/>
      <c r="AQ730" s="102"/>
      <c r="AR730" s="102"/>
      <c r="AS730" s="102"/>
      <c r="AT730" s="102"/>
      <c r="AU730" s="102"/>
      <c r="AV730" s="102"/>
      <c r="AW730" s="102"/>
      <c r="AX730" s="102"/>
      <c r="AY730" s="102"/>
      <c r="AZ730" s="102"/>
      <c r="BA730" s="102"/>
      <c r="BB730" s="102"/>
      <c r="BC730" s="102"/>
      <c r="BD730" s="102"/>
      <c r="BE730" s="102"/>
      <c r="BF730" s="102"/>
      <c r="BG730" s="102"/>
      <c r="BH730" s="102"/>
      <c r="BI730" s="102"/>
      <c r="BJ730" s="102"/>
      <c r="BK730" s="102"/>
      <c r="BL730" s="102"/>
      <c r="BM730" s="102"/>
      <c r="BN730" s="102"/>
      <c r="BO730" s="102"/>
      <c r="BP730" s="102"/>
      <c r="BQ730" s="102"/>
      <c r="BR730" s="102"/>
      <c r="BS730" s="102"/>
      <c r="BT730" s="102"/>
      <c r="BU730" s="102"/>
      <c r="BV730" s="102"/>
      <c r="BW730" s="102"/>
      <c r="BX730" s="102"/>
      <c r="BY730" s="102"/>
      <c r="BZ730" s="102"/>
      <c r="CA730" s="464"/>
      <c r="CB730" s="102"/>
      <c r="CC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474">
        <v>728.0</v>
      </c>
      <c r="AB731" s="474">
        <f t="shared" si="10"/>
        <v>733</v>
      </c>
      <c r="AC731" s="476">
        <f t="shared" si="11"/>
        <v>975</v>
      </c>
      <c r="AD731" s="474">
        <f t="shared" si="12"/>
        <v>1215</v>
      </c>
      <c r="AE731" s="474">
        <f t="shared" si="13"/>
        <v>801</v>
      </c>
      <c r="AF731" s="474">
        <f t="shared" si="14"/>
        <v>975</v>
      </c>
      <c r="AG731" s="102"/>
      <c r="AH731" s="102"/>
      <c r="AI731" s="102"/>
      <c r="AJ731" s="102"/>
      <c r="AK731" s="102"/>
      <c r="AL731" s="102"/>
      <c r="AM731" s="102"/>
      <c r="AN731" s="102"/>
      <c r="AO731" s="102"/>
      <c r="AP731" s="102"/>
      <c r="AQ731" s="102"/>
      <c r="AR731" s="102"/>
      <c r="AS731" s="102"/>
      <c r="AT731" s="102"/>
      <c r="AU731" s="102"/>
      <c r="AV731" s="102"/>
      <c r="AW731" s="102"/>
      <c r="AX731" s="102"/>
      <c r="AY731" s="102"/>
      <c r="AZ731" s="102"/>
      <c r="BA731" s="102"/>
      <c r="BB731" s="102"/>
      <c r="BC731" s="102"/>
      <c r="BD731" s="102"/>
      <c r="BE731" s="102"/>
      <c r="BF731" s="102"/>
      <c r="BG731" s="102"/>
      <c r="BH731" s="102"/>
      <c r="BI731" s="102"/>
      <c r="BJ731" s="102"/>
      <c r="BK731" s="102"/>
      <c r="BL731" s="102"/>
      <c r="BM731" s="102"/>
      <c r="BN731" s="102"/>
      <c r="BO731" s="102"/>
      <c r="BP731" s="102"/>
      <c r="BQ731" s="102"/>
      <c r="BR731" s="102"/>
      <c r="BS731" s="102"/>
      <c r="BT731" s="102"/>
      <c r="BU731" s="102"/>
      <c r="BV731" s="102"/>
      <c r="BW731" s="102"/>
      <c r="BX731" s="102"/>
      <c r="BY731" s="102"/>
      <c r="BZ731" s="102"/>
      <c r="CA731" s="464"/>
      <c r="CB731" s="102"/>
      <c r="CC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474">
        <v>729.0</v>
      </c>
      <c r="AB732" s="474">
        <f t="shared" si="10"/>
        <v>734</v>
      </c>
      <c r="AC732" s="476">
        <f t="shared" si="11"/>
        <v>976</v>
      </c>
      <c r="AD732" s="474">
        <f t="shared" si="12"/>
        <v>1217</v>
      </c>
      <c r="AE732" s="474">
        <f t="shared" si="13"/>
        <v>802</v>
      </c>
      <c r="AF732" s="474">
        <f t="shared" si="14"/>
        <v>976</v>
      </c>
      <c r="AG732" s="102"/>
      <c r="AH732" s="102"/>
      <c r="AI732" s="102"/>
      <c r="AJ732" s="102"/>
      <c r="AK732" s="102"/>
      <c r="AL732" s="102"/>
      <c r="AM732" s="102"/>
      <c r="AN732" s="102"/>
      <c r="AO732" s="102"/>
      <c r="AP732" s="102"/>
      <c r="AQ732" s="102"/>
      <c r="AR732" s="102"/>
      <c r="AS732" s="102"/>
      <c r="AT732" s="102"/>
      <c r="AU732" s="102"/>
      <c r="AV732" s="102"/>
      <c r="AW732" s="102"/>
      <c r="AX732" s="102"/>
      <c r="AY732" s="102"/>
      <c r="AZ732" s="102"/>
      <c r="BA732" s="102"/>
      <c r="BB732" s="102"/>
      <c r="BC732" s="102"/>
      <c r="BD732" s="102"/>
      <c r="BE732" s="102"/>
      <c r="BF732" s="102"/>
      <c r="BG732" s="102"/>
      <c r="BH732" s="102"/>
      <c r="BI732" s="102"/>
      <c r="BJ732" s="102"/>
      <c r="BK732" s="102"/>
      <c r="BL732" s="102"/>
      <c r="BM732" s="102"/>
      <c r="BN732" s="102"/>
      <c r="BO732" s="102"/>
      <c r="BP732" s="102"/>
      <c r="BQ732" s="102"/>
      <c r="BR732" s="102"/>
      <c r="BS732" s="102"/>
      <c r="BT732" s="102"/>
      <c r="BU732" s="102"/>
      <c r="BV732" s="102"/>
      <c r="BW732" s="102"/>
      <c r="BX732" s="102"/>
      <c r="BY732" s="102"/>
      <c r="BZ732" s="102"/>
      <c r="CA732" s="464"/>
      <c r="CB732" s="102"/>
      <c r="CC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474">
        <v>730.0</v>
      </c>
      <c r="AB733" s="474">
        <f t="shared" si="10"/>
        <v>735</v>
      </c>
      <c r="AC733" s="476">
        <f t="shared" si="11"/>
        <v>978</v>
      </c>
      <c r="AD733" s="474">
        <f t="shared" si="12"/>
        <v>1219</v>
      </c>
      <c r="AE733" s="474">
        <f t="shared" si="13"/>
        <v>803</v>
      </c>
      <c r="AF733" s="474">
        <f t="shared" si="14"/>
        <v>978</v>
      </c>
      <c r="AG733" s="102"/>
      <c r="AH733" s="102"/>
      <c r="AI733" s="102"/>
      <c r="AJ733" s="102"/>
      <c r="AK733" s="102"/>
      <c r="AL733" s="102"/>
      <c r="AM733" s="102"/>
      <c r="AN733" s="102"/>
      <c r="AO733" s="102"/>
      <c r="AP733" s="102"/>
      <c r="AQ733" s="102"/>
      <c r="AR733" s="102"/>
      <c r="AS733" s="102"/>
      <c r="AT733" s="102"/>
      <c r="AU733" s="102"/>
      <c r="AV733" s="102"/>
      <c r="AW733" s="102"/>
      <c r="AX733" s="102"/>
      <c r="AY733" s="102"/>
      <c r="AZ733" s="102"/>
      <c r="BA733" s="102"/>
      <c r="BB733" s="102"/>
      <c r="BC733" s="102"/>
      <c r="BD733" s="102"/>
      <c r="BE733" s="102"/>
      <c r="BF733" s="102"/>
      <c r="BG733" s="102"/>
      <c r="BH733" s="102"/>
      <c r="BI733" s="102"/>
      <c r="BJ733" s="102"/>
      <c r="BK733" s="102"/>
      <c r="BL733" s="102"/>
      <c r="BM733" s="102"/>
      <c r="BN733" s="102"/>
      <c r="BO733" s="102"/>
      <c r="BP733" s="102"/>
      <c r="BQ733" s="102"/>
      <c r="BR733" s="102"/>
      <c r="BS733" s="102"/>
      <c r="BT733" s="102"/>
      <c r="BU733" s="102"/>
      <c r="BV733" s="102"/>
      <c r="BW733" s="102"/>
      <c r="BX733" s="102"/>
      <c r="BY733" s="102"/>
      <c r="BZ733" s="102"/>
      <c r="CA733" s="464"/>
      <c r="CB733" s="102"/>
      <c r="CC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474">
        <v>731.0</v>
      </c>
      <c r="AB734" s="474">
        <f t="shared" si="10"/>
        <v>736</v>
      </c>
      <c r="AC734" s="476">
        <f t="shared" si="11"/>
        <v>979</v>
      </c>
      <c r="AD734" s="474">
        <f t="shared" si="12"/>
        <v>1220</v>
      </c>
      <c r="AE734" s="474">
        <f t="shared" si="13"/>
        <v>805</v>
      </c>
      <c r="AF734" s="474">
        <f t="shared" si="14"/>
        <v>979</v>
      </c>
      <c r="AG734" s="102"/>
      <c r="AH734" s="102"/>
      <c r="AI734" s="102"/>
      <c r="AJ734" s="102"/>
      <c r="AK734" s="102"/>
      <c r="AL734" s="102"/>
      <c r="AM734" s="102"/>
      <c r="AN734" s="102"/>
      <c r="AO734" s="102"/>
      <c r="AP734" s="102"/>
      <c r="AQ734" s="102"/>
      <c r="AR734" s="102"/>
      <c r="AS734" s="102"/>
      <c r="AT734" s="102"/>
      <c r="AU734" s="102"/>
      <c r="AV734" s="102"/>
      <c r="AW734" s="102"/>
      <c r="AX734" s="102"/>
      <c r="AY734" s="102"/>
      <c r="AZ734" s="102"/>
      <c r="BA734" s="102"/>
      <c r="BB734" s="102"/>
      <c r="BC734" s="102"/>
      <c r="BD734" s="102"/>
      <c r="BE734" s="102"/>
      <c r="BF734" s="102"/>
      <c r="BG734" s="102"/>
      <c r="BH734" s="102"/>
      <c r="BI734" s="102"/>
      <c r="BJ734" s="102"/>
      <c r="BK734" s="102"/>
      <c r="BL734" s="102"/>
      <c r="BM734" s="102"/>
      <c r="BN734" s="102"/>
      <c r="BO734" s="102"/>
      <c r="BP734" s="102"/>
      <c r="BQ734" s="102"/>
      <c r="BR734" s="102"/>
      <c r="BS734" s="102"/>
      <c r="BT734" s="102"/>
      <c r="BU734" s="102"/>
      <c r="BV734" s="102"/>
      <c r="BW734" s="102"/>
      <c r="BX734" s="102"/>
      <c r="BY734" s="102"/>
      <c r="BZ734" s="102"/>
      <c r="CA734" s="464"/>
      <c r="CB734" s="102"/>
      <c r="CC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474">
        <v>732.0</v>
      </c>
      <c r="AB735" s="474">
        <f t="shared" si="10"/>
        <v>737</v>
      </c>
      <c r="AC735" s="476">
        <f t="shared" si="11"/>
        <v>980</v>
      </c>
      <c r="AD735" s="474">
        <f t="shared" si="12"/>
        <v>1222</v>
      </c>
      <c r="AE735" s="474">
        <f t="shared" si="13"/>
        <v>806</v>
      </c>
      <c r="AF735" s="474">
        <f t="shared" si="14"/>
        <v>980</v>
      </c>
      <c r="AG735" s="102"/>
      <c r="AH735" s="102"/>
      <c r="AI735" s="102"/>
      <c r="AJ735" s="102"/>
      <c r="AK735" s="102"/>
      <c r="AL735" s="102"/>
      <c r="AM735" s="102"/>
      <c r="AN735" s="102"/>
      <c r="AO735" s="102"/>
      <c r="AP735" s="102"/>
      <c r="AQ735" s="102"/>
      <c r="AR735" s="102"/>
      <c r="AS735" s="102"/>
      <c r="AT735" s="102"/>
      <c r="AU735" s="102"/>
      <c r="AV735" s="102"/>
      <c r="AW735" s="102"/>
      <c r="AX735" s="102"/>
      <c r="AY735" s="102"/>
      <c r="AZ735" s="102"/>
      <c r="BA735" s="102"/>
      <c r="BB735" s="102"/>
      <c r="BC735" s="102"/>
      <c r="BD735" s="102"/>
      <c r="BE735" s="102"/>
      <c r="BF735" s="102"/>
      <c r="BG735" s="102"/>
      <c r="BH735" s="102"/>
      <c r="BI735" s="102"/>
      <c r="BJ735" s="102"/>
      <c r="BK735" s="102"/>
      <c r="BL735" s="102"/>
      <c r="BM735" s="102"/>
      <c r="BN735" s="102"/>
      <c r="BO735" s="102"/>
      <c r="BP735" s="102"/>
      <c r="BQ735" s="102"/>
      <c r="BR735" s="102"/>
      <c r="BS735" s="102"/>
      <c r="BT735" s="102"/>
      <c r="BU735" s="102"/>
      <c r="BV735" s="102"/>
      <c r="BW735" s="102"/>
      <c r="BX735" s="102"/>
      <c r="BY735" s="102"/>
      <c r="BZ735" s="102"/>
      <c r="CA735" s="464"/>
      <c r="CB735" s="102"/>
      <c r="CC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474">
        <v>733.0</v>
      </c>
      <c r="AB736" s="474">
        <f t="shared" si="10"/>
        <v>738</v>
      </c>
      <c r="AC736" s="476">
        <f t="shared" si="11"/>
        <v>982</v>
      </c>
      <c r="AD736" s="474">
        <f t="shared" si="12"/>
        <v>1224</v>
      </c>
      <c r="AE736" s="474">
        <f t="shared" si="13"/>
        <v>807</v>
      </c>
      <c r="AF736" s="474">
        <f t="shared" si="14"/>
        <v>982</v>
      </c>
      <c r="AG736" s="102"/>
      <c r="AH736" s="102"/>
      <c r="AI736" s="102"/>
      <c r="AJ736" s="102"/>
      <c r="AK736" s="102"/>
      <c r="AL736" s="102"/>
      <c r="AM736" s="102"/>
      <c r="AN736" s="102"/>
      <c r="AO736" s="102"/>
      <c r="AP736" s="102"/>
      <c r="AQ736" s="102"/>
      <c r="AR736" s="102"/>
      <c r="AS736" s="102"/>
      <c r="AT736" s="102"/>
      <c r="AU736" s="102"/>
      <c r="AV736" s="102"/>
      <c r="AW736" s="102"/>
      <c r="AX736" s="102"/>
      <c r="AY736" s="102"/>
      <c r="AZ736" s="102"/>
      <c r="BA736" s="102"/>
      <c r="BB736" s="102"/>
      <c r="BC736" s="102"/>
      <c r="BD736" s="102"/>
      <c r="BE736" s="102"/>
      <c r="BF736" s="102"/>
      <c r="BG736" s="102"/>
      <c r="BH736" s="102"/>
      <c r="BI736" s="102"/>
      <c r="BJ736" s="102"/>
      <c r="BK736" s="102"/>
      <c r="BL736" s="102"/>
      <c r="BM736" s="102"/>
      <c r="BN736" s="102"/>
      <c r="BO736" s="102"/>
      <c r="BP736" s="102"/>
      <c r="BQ736" s="102"/>
      <c r="BR736" s="102"/>
      <c r="BS736" s="102"/>
      <c r="BT736" s="102"/>
      <c r="BU736" s="102"/>
      <c r="BV736" s="102"/>
      <c r="BW736" s="102"/>
      <c r="BX736" s="102"/>
      <c r="BY736" s="102"/>
      <c r="BZ736" s="102"/>
      <c r="CA736" s="464"/>
      <c r="CB736" s="102"/>
      <c r="CC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474">
        <v>734.0</v>
      </c>
      <c r="AB737" s="474">
        <f t="shared" si="10"/>
        <v>739</v>
      </c>
      <c r="AC737" s="476">
        <f t="shared" si="11"/>
        <v>983</v>
      </c>
      <c r="AD737" s="474">
        <f t="shared" si="12"/>
        <v>1225</v>
      </c>
      <c r="AE737" s="474">
        <f t="shared" si="13"/>
        <v>808</v>
      </c>
      <c r="AF737" s="474">
        <f t="shared" si="14"/>
        <v>983</v>
      </c>
      <c r="AG737" s="102"/>
      <c r="AH737" s="102"/>
      <c r="AI737" s="102"/>
      <c r="AJ737" s="102"/>
      <c r="AK737" s="102"/>
      <c r="AL737" s="102"/>
      <c r="AM737" s="102"/>
      <c r="AN737" s="102"/>
      <c r="AO737" s="102"/>
      <c r="AP737" s="102"/>
      <c r="AQ737" s="102"/>
      <c r="AR737" s="102"/>
      <c r="AS737" s="102"/>
      <c r="AT737" s="102"/>
      <c r="AU737" s="102"/>
      <c r="AV737" s="102"/>
      <c r="AW737" s="102"/>
      <c r="AX737" s="102"/>
      <c r="AY737" s="102"/>
      <c r="AZ737" s="102"/>
      <c r="BA737" s="102"/>
      <c r="BB737" s="102"/>
      <c r="BC737" s="102"/>
      <c r="BD737" s="102"/>
      <c r="BE737" s="102"/>
      <c r="BF737" s="102"/>
      <c r="BG737" s="102"/>
      <c r="BH737" s="102"/>
      <c r="BI737" s="102"/>
      <c r="BJ737" s="102"/>
      <c r="BK737" s="102"/>
      <c r="BL737" s="102"/>
      <c r="BM737" s="102"/>
      <c r="BN737" s="102"/>
      <c r="BO737" s="102"/>
      <c r="BP737" s="102"/>
      <c r="BQ737" s="102"/>
      <c r="BR737" s="102"/>
      <c r="BS737" s="102"/>
      <c r="BT737" s="102"/>
      <c r="BU737" s="102"/>
      <c r="BV737" s="102"/>
      <c r="BW737" s="102"/>
      <c r="BX737" s="102"/>
      <c r="BY737" s="102"/>
      <c r="BZ737" s="102"/>
      <c r="CA737" s="464"/>
      <c r="CB737" s="102"/>
      <c r="CC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474">
        <v>735.0</v>
      </c>
      <c r="AB738" s="474">
        <f t="shared" si="10"/>
        <v>740</v>
      </c>
      <c r="AC738" s="476">
        <f t="shared" si="11"/>
        <v>984</v>
      </c>
      <c r="AD738" s="474">
        <f t="shared" si="12"/>
        <v>1227</v>
      </c>
      <c r="AE738" s="474">
        <f t="shared" si="13"/>
        <v>809</v>
      </c>
      <c r="AF738" s="474">
        <f t="shared" si="14"/>
        <v>984</v>
      </c>
      <c r="AG738" s="102"/>
      <c r="AH738" s="102"/>
      <c r="AI738" s="102"/>
      <c r="AJ738" s="102"/>
      <c r="AK738" s="102"/>
      <c r="AL738" s="102"/>
      <c r="AM738" s="102"/>
      <c r="AN738" s="102"/>
      <c r="AO738" s="102"/>
      <c r="AP738" s="102"/>
      <c r="AQ738" s="102"/>
      <c r="AR738" s="102"/>
      <c r="AS738" s="102"/>
      <c r="AT738" s="102"/>
      <c r="AU738" s="102"/>
      <c r="AV738" s="102"/>
      <c r="AW738" s="102"/>
      <c r="AX738" s="102"/>
      <c r="AY738" s="102"/>
      <c r="AZ738" s="102"/>
      <c r="BA738" s="102"/>
      <c r="BB738" s="102"/>
      <c r="BC738" s="102"/>
      <c r="BD738" s="102"/>
      <c r="BE738" s="102"/>
      <c r="BF738" s="102"/>
      <c r="BG738" s="102"/>
      <c r="BH738" s="102"/>
      <c r="BI738" s="102"/>
      <c r="BJ738" s="102"/>
      <c r="BK738" s="102"/>
      <c r="BL738" s="102"/>
      <c r="BM738" s="102"/>
      <c r="BN738" s="102"/>
      <c r="BO738" s="102"/>
      <c r="BP738" s="102"/>
      <c r="BQ738" s="102"/>
      <c r="BR738" s="102"/>
      <c r="BS738" s="102"/>
      <c r="BT738" s="102"/>
      <c r="BU738" s="102"/>
      <c r="BV738" s="102"/>
      <c r="BW738" s="102"/>
      <c r="BX738" s="102"/>
      <c r="BY738" s="102"/>
      <c r="BZ738" s="102"/>
      <c r="CA738" s="464"/>
      <c r="CB738" s="102"/>
      <c r="CC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474">
        <v>736.0</v>
      </c>
      <c r="AB739" s="474">
        <f t="shared" si="10"/>
        <v>741</v>
      </c>
      <c r="AC739" s="476">
        <f t="shared" si="11"/>
        <v>986</v>
      </c>
      <c r="AD739" s="474">
        <f t="shared" si="12"/>
        <v>1229</v>
      </c>
      <c r="AE739" s="474">
        <f t="shared" si="13"/>
        <v>810</v>
      </c>
      <c r="AF739" s="474">
        <f t="shared" si="14"/>
        <v>986</v>
      </c>
      <c r="AG739" s="102"/>
      <c r="AH739" s="102"/>
      <c r="AI739" s="102"/>
      <c r="AJ739" s="102"/>
      <c r="AK739" s="102"/>
      <c r="AL739" s="102"/>
      <c r="AM739" s="102"/>
      <c r="AN739" s="102"/>
      <c r="AO739" s="102"/>
      <c r="AP739" s="102"/>
      <c r="AQ739" s="102"/>
      <c r="AR739" s="102"/>
      <c r="AS739" s="102"/>
      <c r="AT739" s="102"/>
      <c r="AU739" s="102"/>
      <c r="AV739" s="102"/>
      <c r="AW739" s="102"/>
      <c r="AX739" s="102"/>
      <c r="AY739" s="102"/>
      <c r="AZ739" s="102"/>
      <c r="BA739" s="102"/>
      <c r="BB739" s="102"/>
      <c r="BC739" s="102"/>
      <c r="BD739" s="102"/>
      <c r="BE739" s="102"/>
      <c r="BF739" s="102"/>
      <c r="BG739" s="102"/>
      <c r="BH739" s="102"/>
      <c r="BI739" s="102"/>
      <c r="BJ739" s="102"/>
      <c r="BK739" s="102"/>
      <c r="BL739" s="102"/>
      <c r="BM739" s="102"/>
      <c r="BN739" s="102"/>
      <c r="BO739" s="102"/>
      <c r="BP739" s="102"/>
      <c r="BQ739" s="102"/>
      <c r="BR739" s="102"/>
      <c r="BS739" s="102"/>
      <c r="BT739" s="102"/>
      <c r="BU739" s="102"/>
      <c r="BV739" s="102"/>
      <c r="BW739" s="102"/>
      <c r="BX739" s="102"/>
      <c r="BY739" s="102"/>
      <c r="BZ739" s="102"/>
      <c r="CA739" s="464"/>
      <c r="CB739" s="102"/>
      <c r="CC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474">
        <v>737.0</v>
      </c>
      <c r="AB740" s="474">
        <f t="shared" si="10"/>
        <v>742</v>
      </c>
      <c r="AC740" s="476">
        <f t="shared" si="11"/>
        <v>987</v>
      </c>
      <c r="AD740" s="474">
        <f t="shared" si="12"/>
        <v>1230</v>
      </c>
      <c r="AE740" s="474">
        <f t="shared" si="13"/>
        <v>811</v>
      </c>
      <c r="AF740" s="474">
        <f t="shared" si="14"/>
        <v>987</v>
      </c>
      <c r="AG740" s="102"/>
      <c r="AH740" s="102"/>
      <c r="AI740" s="102"/>
      <c r="AJ740" s="102"/>
      <c r="AK740" s="102"/>
      <c r="AL740" s="102"/>
      <c r="AM740" s="102"/>
      <c r="AN740" s="102"/>
      <c r="AO740" s="102"/>
      <c r="AP740" s="102"/>
      <c r="AQ740" s="102"/>
      <c r="AR740" s="102"/>
      <c r="AS740" s="102"/>
      <c r="AT740" s="102"/>
      <c r="AU740" s="102"/>
      <c r="AV740" s="102"/>
      <c r="AW740" s="102"/>
      <c r="AX740" s="102"/>
      <c r="AY740" s="102"/>
      <c r="AZ740" s="102"/>
      <c r="BA740" s="102"/>
      <c r="BB740" s="102"/>
      <c r="BC740" s="102"/>
      <c r="BD740" s="102"/>
      <c r="BE740" s="102"/>
      <c r="BF740" s="102"/>
      <c r="BG740" s="102"/>
      <c r="BH740" s="102"/>
      <c r="BI740" s="102"/>
      <c r="BJ740" s="102"/>
      <c r="BK740" s="102"/>
      <c r="BL740" s="102"/>
      <c r="BM740" s="102"/>
      <c r="BN740" s="102"/>
      <c r="BO740" s="102"/>
      <c r="BP740" s="102"/>
      <c r="BQ740" s="102"/>
      <c r="BR740" s="102"/>
      <c r="BS740" s="102"/>
      <c r="BT740" s="102"/>
      <c r="BU740" s="102"/>
      <c r="BV740" s="102"/>
      <c r="BW740" s="102"/>
      <c r="BX740" s="102"/>
      <c r="BY740" s="102"/>
      <c r="BZ740" s="102"/>
      <c r="CA740" s="464"/>
      <c r="CB740" s="102"/>
      <c r="CC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474">
        <v>738.0</v>
      </c>
      <c r="AB741" s="474">
        <f t="shared" si="10"/>
        <v>743</v>
      </c>
      <c r="AC741" s="476">
        <f t="shared" si="11"/>
        <v>988</v>
      </c>
      <c r="AD741" s="474">
        <f t="shared" si="12"/>
        <v>1232</v>
      </c>
      <c r="AE741" s="474">
        <f t="shared" si="13"/>
        <v>812</v>
      </c>
      <c r="AF741" s="474">
        <f t="shared" si="14"/>
        <v>988</v>
      </c>
      <c r="AG741" s="102"/>
      <c r="AH741" s="102"/>
      <c r="AI741" s="102"/>
      <c r="AJ741" s="102"/>
      <c r="AK741" s="102"/>
      <c r="AL741" s="102"/>
      <c r="AM741" s="102"/>
      <c r="AN741" s="102"/>
      <c r="AO741" s="102"/>
      <c r="AP741" s="102"/>
      <c r="AQ741" s="102"/>
      <c r="AR741" s="102"/>
      <c r="AS741" s="102"/>
      <c r="AT741" s="102"/>
      <c r="AU741" s="102"/>
      <c r="AV741" s="102"/>
      <c r="AW741" s="102"/>
      <c r="AX741" s="102"/>
      <c r="AY741" s="102"/>
      <c r="AZ741" s="102"/>
      <c r="BA741" s="102"/>
      <c r="BB741" s="102"/>
      <c r="BC741" s="102"/>
      <c r="BD741" s="102"/>
      <c r="BE741" s="102"/>
      <c r="BF741" s="102"/>
      <c r="BG741" s="102"/>
      <c r="BH741" s="102"/>
      <c r="BI741" s="102"/>
      <c r="BJ741" s="102"/>
      <c r="BK741" s="102"/>
      <c r="BL741" s="102"/>
      <c r="BM741" s="102"/>
      <c r="BN741" s="102"/>
      <c r="BO741" s="102"/>
      <c r="BP741" s="102"/>
      <c r="BQ741" s="102"/>
      <c r="BR741" s="102"/>
      <c r="BS741" s="102"/>
      <c r="BT741" s="102"/>
      <c r="BU741" s="102"/>
      <c r="BV741" s="102"/>
      <c r="BW741" s="102"/>
      <c r="BX741" s="102"/>
      <c r="BY741" s="102"/>
      <c r="BZ741" s="102"/>
      <c r="CA741" s="464"/>
      <c r="CB741" s="102"/>
      <c r="CC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474">
        <v>739.0</v>
      </c>
      <c r="AB742" s="474">
        <f t="shared" si="10"/>
        <v>744</v>
      </c>
      <c r="AC742" s="476">
        <f t="shared" si="11"/>
        <v>990</v>
      </c>
      <c r="AD742" s="474">
        <f t="shared" si="12"/>
        <v>1234</v>
      </c>
      <c r="AE742" s="474">
        <f t="shared" si="13"/>
        <v>813</v>
      </c>
      <c r="AF742" s="474">
        <f t="shared" si="14"/>
        <v>990</v>
      </c>
      <c r="AG742" s="102"/>
      <c r="AH742" s="102"/>
      <c r="AI742" s="102"/>
      <c r="AJ742" s="102"/>
      <c r="AK742" s="102"/>
      <c r="AL742" s="102"/>
      <c r="AM742" s="102"/>
      <c r="AN742" s="102"/>
      <c r="AO742" s="102"/>
      <c r="AP742" s="102"/>
      <c r="AQ742" s="102"/>
      <c r="AR742" s="102"/>
      <c r="AS742" s="102"/>
      <c r="AT742" s="102"/>
      <c r="AU742" s="102"/>
      <c r="AV742" s="102"/>
      <c r="AW742" s="102"/>
      <c r="AX742" s="102"/>
      <c r="AY742" s="102"/>
      <c r="AZ742" s="102"/>
      <c r="BA742" s="102"/>
      <c r="BB742" s="102"/>
      <c r="BC742" s="102"/>
      <c r="BD742" s="102"/>
      <c r="BE742" s="102"/>
      <c r="BF742" s="102"/>
      <c r="BG742" s="102"/>
      <c r="BH742" s="102"/>
      <c r="BI742" s="102"/>
      <c r="BJ742" s="102"/>
      <c r="BK742" s="102"/>
      <c r="BL742" s="102"/>
      <c r="BM742" s="102"/>
      <c r="BN742" s="102"/>
      <c r="BO742" s="102"/>
      <c r="BP742" s="102"/>
      <c r="BQ742" s="102"/>
      <c r="BR742" s="102"/>
      <c r="BS742" s="102"/>
      <c r="BT742" s="102"/>
      <c r="BU742" s="102"/>
      <c r="BV742" s="102"/>
      <c r="BW742" s="102"/>
      <c r="BX742" s="102"/>
      <c r="BY742" s="102"/>
      <c r="BZ742" s="102"/>
      <c r="CA742" s="464"/>
      <c r="CB742" s="102"/>
      <c r="CC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474">
        <v>740.0</v>
      </c>
      <c r="AB743" s="474">
        <f t="shared" si="10"/>
        <v>745</v>
      </c>
      <c r="AC743" s="476">
        <f t="shared" si="11"/>
        <v>991</v>
      </c>
      <c r="AD743" s="474">
        <f t="shared" si="12"/>
        <v>1235</v>
      </c>
      <c r="AE743" s="474">
        <f t="shared" si="13"/>
        <v>814</v>
      </c>
      <c r="AF743" s="474">
        <f t="shared" si="14"/>
        <v>991</v>
      </c>
      <c r="AG743" s="102"/>
      <c r="AH743" s="102"/>
      <c r="AI743" s="102"/>
      <c r="AJ743" s="102"/>
      <c r="AK743" s="102"/>
      <c r="AL743" s="102"/>
      <c r="AM743" s="102"/>
      <c r="AN743" s="102"/>
      <c r="AO743" s="102"/>
      <c r="AP743" s="102"/>
      <c r="AQ743" s="102"/>
      <c r="AR743" s="102"/>
      <c r="AS743" s="102"/>
      <c r="AT743" s="102"/>
      <c r="AU743" s="102"/>
      <c r="AV743" s="102"/>
      <c r="AW743" s="102"/>
      <c r="AX743" s="102"/>
      <c r="AY743" s="102"/>
      <c r="AZ743" s="102"/>
      <c r="BA743" s="102"/>
      <c r="BB743" s="102"/>
      <c r="BC743" s="102"/>
      <c r="BD743" s="102"/>
      <c r="BE743" s="102"/>
      <c r="BF743" s="102"/>
      <c r="BG743" s="102"/>
      <c r="BH743" s="102"/>
      <c r="BI743" s="102"/>
      <c r="BJ743" s="102"/>
      <c r="BK743" s="102"/>
      <c r="BL743" s="102"/>
      <c r="BM743" s="102"/>
      <c r="BN743" s="102"/>
      <c r="BO743" s="102"/>
      <c r="BP743" s="102"/>
      <c r="BQ743" s="102"/>
      <c r="BR743" s="102"/>
      <c r="BS743" s="102"/>
      <c r="BT743" s="102"/>
      <c r="BU743" s="102"/>
      <c r="BV743" s="102"/>
      <c r="BW743" s="102"/>
      <c r="BX743" s="102"/>
      <c r="BY743" s="102"/>
      <c r="BZ743" s="102"/>
      <c r="CA743" s="464"/>
      <c r="CB743" s="102"/>
      <c r="CC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474">
        <v>741.0</v>
      </c>
      <c r="AB744" s="474">
        <f t="shared" si="10"/>
        <v>746</v>
      </c>
      <c r="AC744" s="476">
        <f t="shared" si="11"/>
        <v>992</v>
      </c>
      <c r="AD744" s="474">
        <f t="shared" si="12"/>
        <v>1237</v>
      </c>
      <c r="AE744" s="474">
        <f t="shared" si="13"/>
        <v>816</v>
      </c>
      <c r="AF744" s="474">
        <f t="shared" si="14"/>
        <v>992</v>
      </c>
      <c r="AG744" s="102"/>
      <c r="AH744" s="102"/>
      <c r="AI744" s="102"/>
      <c r="AJ744" s="102"/>
      <c r="AK744" s="102"/>
      <c r="AL744" s="102"/>
      <c r="AM744" s="102"/>
      <c r="AN744" s="102"/>
      <c r="AO744" s="102"/>
      <c r="AP744" s="102"/>
      <c r="AQ744" s="102"/>
      <c r="AR744" s="102"/>
      <c r="AS744" s="102"/>
      <c r="AT744" s="102"/>
      <c r="AU744" s="102"/>
      <c r="AV744" s="102"/>
      <c r="AW744" s="102"/>
      <c r="AX744" s="102"/>
      <c r="AY744" s="102"/>
      <c r="AZ744" s="102"/>
      <c r="BA744" s="102"/>
      <c r="BB744" s="102"/>
      <c r="BC744" s="102"/>
      <c r="BD744" s="102"/>
      <c r="BE744" s="102"/>
      <c r="BF744" s="102"/>
      <c r="BG744" s="102"/>
      <c r="BH744" s="102"/>
      <c r="BI744" s="102"/>
      <c r="BJ744" s="102"/>
      <c r="BK744" s="102"/>
      <c r="BL744" s="102"/>
      <c r="BM744" s="102"/>
      <c r="BN744" s="102"/>
      <c r="BO744" s="102"/>
      <c r="BP744" s="102"/>
      <c r="BQ744" s="102"/>
      <c r="BR744" s="102"/>
      <c r="BS744" s="102"/>
      <c r="BT744" s="102"/>
      <c r="BU744" s="102"/>
      <c r="BV744" s="102"/>
      <c r="BW744" s="102"/>
      <c r="BX744" s="102"/>
      <c r="BY744" s="102"/>
      <c r="BZ744" s="102"/>
      <c r="CA744" s="464"/>
      <c r="CB744" s="102"/>
      <c r="CC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474">
        <v>742.0</v>
      </c>
      <c r="AB745" s="474">
        <f t="shared" si="10"/>
        <v>747</v>
      </c>
      <c r="AC745" s="476">
        <f t="shared" si="11"/>
        <v>994</v>
      </c>
      <c r="AD745" s="474">
        <f t="shared" si="12"/>
        <v>1239</v>
      </c>
      <c r="AE745" s="474">
        <f t="shared" si="13"/>
        <v>817</v>
      </c>
      <c r="AF745" s="474">
        <f t="shared" si="14"/>
        <v>994</v>
      </c>
      <c r="AG745" s="102"/>
      <c r="AH745" s="102"/>
      <c r="AI745" s="102"/>
      <c r="AJ745" s="102"/>
      <c r="AK745" s="102"/>
      <c r="AL745" s="102"/>
      <c r="AM745" s="102"/>
      <c r="AN745" s="102"/>
      <c r="AO745" s="102"/>
      <c r="AP745" s="102"/>
      <c r="AQ745" s="102"/>
      <c r="AR745" s="102"/>
      <c r="AS745" s="102"/>
      <c r="AT745" s="102"/>
      <c r="AU745" s="102"/>
      <c r="AV745" s="102"/>
      <c r="AW745" s="102"/>
      <c r="AX745" s="102"/>
      <c r="AY745" s="102"/>
      <c r="AZ745" s="102"/>
      <c r="BA745" s="102"/>
      <c r="BB745" s="102"/>
      <c r="BC745" s="102"/>
      <c r="BD745" s="102"/>
      <c r="BE745" s="102"/>
      <c r="BF745" s="102"/>
      <c r="BG745" s="102"/>
      <c r="BH745" s="102"/>
      <c r="BI745" s="102"/>
      <c r="BJ745" s="102"/>
      <c r="BK745" s="102"/>
      <c r="BL745" s="102"/>
      <c r="BM745" s="102"/>
      <c r="BN745" s="102"/>
      <c r="BO745" s="102"/>
      <c r="BP745" s="102"/>
      <c r="BQ745" s="102"/>
      <c r="BR745" s="102"/>
      <c r="BS745" s="102"/>
      <c r="BT745" s="102"/>
      <c r="BU745" s="102"/>
      <c r="BV745" s="102"/>
      <c r="BW745" s="102"/>
      <c r="BX745" s="102"/>
      <c r="BY745" s="102"/>
      <c r="BZ745" s="102"/>
      <c r="CA745" s="464"/>
      <c r="CB745" s="102"/>
      <c r="CC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474">
        <v>743.0</v>
      </c>
      <c r="AB746" s="474">
        <f t="shared" si="10"/>
        <v>748</v>
      </c>
      <c r="AC746" s="476">
        <f t="shared" si="11"/>
        <v>995</v>
      </c>
      <c r="AD746" s="474">
        <f t="shared" si="12"/>
        <v>1240</v>
      </c>
      <c r="AE746" s="474">
        <f t="shared" si="13"/>
        <v>818</v>
      </c>
      <c r="AF746" s="474">
        <f t="shared" si="14"/>
        <v>995</v>
      </c>
      <c r="AG746" s="102"/>
      <c r="AH746" s="102"/>
      <c r="AI746" s="102"/>
      <c r="AJ746" s="102"/>
      <c r="AK746" s="102"/>
      <c r="AL746" s="102"/>
      <c r="AM746" s="102"/>
      <c r="AN746" s="102"/>
      <c r="AO746" s="102"/>
      <c r="AP746" s="102"/>
      <c r="AQ746" s="102"/>
      <c r="AR746" s="102"/>
      <c r="AS746" s="102"/>
      <c r="AT746" s="102"/>
      <c r="AU746" s="102"/>
      <c r="AV746" s="102"/>
      <c r="AW746" s="102"/>
      <c r="AX746" s="102"/>
      <c r="AY746" s="102"/>
      <c r="AZ746" s="102"/>
      <c r="BA746" s="102"/>
      <c r="BB746" s="102"/>
      <c r="BC746" s="102"/>
      <c r="BD746" s="102"/>
      <c r="BE746" s="102"/>
      <c r="BF746" s="102"/>
      <c r="BG746" s="102"/>
      <c r="BH746" s="102"/>
      <c r="BI746" s="102"/>
      <c r="BJ746" s="102"/>
      <c r="BK746" s="102"/>
      <c r="BL746" s="102"/>
      <c r="BM746" s="102"/>
      <c r="BN746" s="102"/>
      <c r="BO746" s="102"/>
      <c r="BP746" s="102"/>
      <c r="BQ746" s="102"/>
      <c r="BR746" s="102"/>
      <c r="BS746" s="102"/>
      <c r="BT746" s="102"/>
      <c r="BU746" s="102"/>
      <c r="BV746" s="102"/>
      <c r="BW746" s="102"/>
      <c r="BX746" s="102"/>
      <c r="BY746" s="102"/>
      <c r="BZ746" s="102"/>
      <c r="CA746" s="464"/>
      <c r="CB746" s="102"/>
      <c r="CC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474">
        <v>744.0</v>
      </c>
      <c r="AB747" s="474">
        <f t="shared" si="10"/>
        <v>749</v>
      </c>
      <c r="AC747" s="476">
        <f t="shared" si="11"/>
        <v>996</v>
      </c>
      <c r="AD747" s="474">
        <f t="shared" si="12"/>
        <v>1242</v>
      </c>
      <c r="AE747" s="474">
        <f t="shared" si="13"/>
        <v>819</v>
      </c>
      <c r="AF747" s="474">
        <f t="shared" si="14"/>
        <v>996</v>
      </c>
      <c r="AG747" s="102"/>
      <c r="AH747" s="102"/>
      <c r="AI747" s="102"/>
      <c r="AJ747" s="102"/>
      <c r="AK747" s="102"/>
      <c r="AL747" s="102"/>
      <c r="AM747" s="102"/>
      <c r="AN747" s="102"/>
      <c r="AO747" s="102"/>
      <c r="AP747" s="102"/>
      <c r="AQ747" s="102"/>
      <c r="AR747" s="102"/>
      <c r="AS747" s="102"/>
      <c r="AT747" s="102"/>
      <c r="AU747" s="102"/>
      <c r="AV747" s="102"/>
      <c r="AW747" s="102"/>
      <c r="AX747" s="102"/>
      <c r="AY747" s="102"/>
      <c r="AZ747" s="102"/>
      <c r="BA747" s="102"/>
      <c r="BB747" s="102"/>
      <c r="BC747" s="102"/>
      <c r="BD747" s="102"/>
      <c r="BE747" s="102"/>
      <c r="BF747" s="102"/>
      <c r="BG747" s="102"/>
      <c r="BH747" s="102"/>
      <c r="BI747" s="102"/>
      <c r="BJ747" s="102"/>
      <c r="BK747" s="102"/>
      <c r="BL747" s="102"/>
      <c r="BM747" s="102"/>
      <c r="BN747" s="102"/>
      <c r="BO747" s="102"/>
      <c r="BP747" s="102"/>
      <c r="BQ747" s="102"/>
      <c r="BR747" s="102"/>
      <c r="BS747" s="102"/>
      <c r="BT747" s="102"/>
      <c r="BU747" s="102"/>
      <c r="BV747" s="102"/>
      <c r="BW747" s="102"/>
      <c r="BX747" s="102"/>
      <c r="BY747" s="102"/>
      <c r="BZ747" s="102"/>
      <c r="CA747" s="464"/>
      <c r="CB747" s="102"/>
      <c r="CC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474">
        <v>745.0</v>
      </c>
      <c r="AB748" s="474">
        <f t="shared" si="10"/>
        <v>750</v>
      </c>
      <c r="AC748" s="476">
        <f t="shared" si="11"/>
        <v>998</v>
      </c>
      <c r="AD748" s="474">
        <f t="shared" si="12"/>
        <v>1244</v>
      </c>
      <c r="AE748" s="474">
        <f t="shared" si="13"/>
        <v>820</v>
      </c>
      <c r="AF748" s="474">
        <f t="shared" si="14"/>
        <v>998</v>
      </c>
      <c r="AG748" s="102"/>
      <c r="AH748" s="102"/>
      <c r="AI748" s="102"/>
      <c r="AJ748" s="102"/>
      <c r="AK748" s="102"/>
      <c r="AL748" s="102"/>
      <c r="AM748" s="102"/>
      <c r="AN748" s="102"/>
      <c r="AO748" s="102"/>
      <c r="AP748" s="102"/>
      <c r="AQ748" s="102"/>
      <c r="AR748" s="102"/>
      <c r="AS748" s="102"/>
      <c r="AT748" s="102"/>
      <c r="AU748" s="102"/>
      <c r="AV748" s="102"/>
      <c r="AW748" s="102"/>
      <c r="AX748" s="102"/>
      <c r="AY748" s="102"/>
      <c r="AZ748" s="102"/>
      <c r="BA748" s="102"/>
      <c r="BB748" s="102"/>
      <c r="BC748" s="102"/>
      <c r="BD748" s="102"/>
      <c r="BE748" s="102"/>
      <c r="BF748" s="102"/>
      <c r="BG748" s="102"/>
      <c r="BH748" s="102"/>
      <c r="BI748" s="102"/>
      <c r="BJ748" s="102"/>
      <c r="BK748" s="102"/>
      <c r="BL748" s="102"/>
      <c r="BM748" s="102"/>
      <c r="BN748" s="102"/>
      <c r="BO748" s="102"/>
      <c r="BP748" s="102"/>
      <c r="BQ748" s="102"/>
      <c r="BR748" s="102"/>
      <c r="BS748" s="102"/>
      <c r="BT748" s="102"/>
      <c r="BU748" s="102"/>
      <c r="BV748" s="102"/>
      <c r="BW748" s="102"/>
      <c r="BX748" s="102"/>
      <c r="BY748" s="102"/>
      <c r="BZ748" s="102"/>
      <c r="CA748" s="464"/>
      <c r="CB748" s="102"/>
      <c r="CC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474">
        <v>746.0</v>
      </c>
      <c r="AB749" s="474">
        <f t="shared" si="10"/>
        <v>751</v>
      </c>
      <c r="AC749" s="476">
        <f t="shared" si="11"/>
        <v>999</v>
      </c>
      <c r="AD749" s="474">
        <f t="shared" si="12"/>
        <v>1245</v>
      </c>
      <c r="AE749" s="474">
        <f t="shared" si="13"/>
        <v>821</v>
      </c>
      <c r="AF749" s="474">
        <f t="shared" si="14"/>
        <v>999</v>
      </c>
      <c r="AG749" s="102"/>
      <c r="AH749" s="102"/>
      <c r="AI749" s="102"/>
      <c r="AJ749" s="102"/>
      <c r="AK749" s="102"/>
      <c r="AL749" s="102"/>
      <c r="AM749" s="102"/>
      <c r="AN749" s="102"/>
      <c r="AO749" s="102"/>
      <c r="AP749" s="102"/>
      <c r="AQ749" s="102"/>
      <c r="AR749" s="102"/>
      <c r="AS749" s="102"/>
      <c r="AT749" s="102"/>
      <c r="AU749" s="102"/>
      <c r="AV749" s="102"/>
      <c r="AW749" s="102"/>
      <c r="AX749" s="102"/>
      <c r="AY749" s="102"/>
      <c r="AZ749" s="102"/>
      <c r="BA749" s="102"/>
      <c r="BB749" s="102"/>
      <c r="BC749" s="102"/>
      <c r="BD749" s="102"/>
      <c r="BE749" s="102"/>
      <c r="BF749" s="102"/>
      <c r="BG749" s="102"/>
      <c r="BH749" s="102"/>
      <c r="BI749" s="102"/>
      <c r="BJ749" s="102"/>
      <c r="BK749" s="102"/>
      <c r="BL749" s="102"/>
      <c r="BM749" s="102"/>
      <c r="BN749" s="102"/>
      <c r="BO749" s="102"/>
      <c r="BP749" s="102"/>
      <c r="BQ749" s="102"/>
      <c r="BR749" s="102"/>
      <c r="BS749" s="102"/>
      <c r="BT749" s="102"/>
      <c r="BU749" s="102"/>
      <c r="BV749" s="102"/>
      <c r="BW749" s="102"/>
      <c r="BX749" s="102"/>
      <c r="BY749" s="102"/>
      <c r="BZ749" s="102"/>
      <c r="CA749" s="464"/>
      <c r="CB749" s="102"/>
      <c r="CC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474">
        <v>747.0</v>
      </c>
      <c r="AB750" s="474">
        <f t="shared" si="10"/>
        <v>752</v>
      </c>
      <c r="AC750" s="476">
        <f t="shared" si="11"/>
        <v>1000</v>
      </c>
      <c r="AD750" s="474">
        <f t="shared" si="12"/>
        <v>1247</v>
      </c>
      <c r="AE750" s="474">
        <f t="shared" si="13"/>
        <v>822</v>
      </c>
      <c r="AF750" s="474">
        <f t="shared" si="14"/>
        <v>1000</v>
      </c>
      <c r="AG750" s="102"/>
      <c r="AH750" s="102"/>
      <c r="AI750" s="102"/>
      <c r="AJ750" s="102"/>
      <c r="AK750" s="102"/>
      <c r="AL750" s="102"/>
      <c r="AM750" s="102"/>
      <c r="AN750" s="102"/>
      <c r="AO750" s="102"/>
      <c r="AP750" s="102"/>
      <c r="AQ750" s="102"/>
      <c r="AR750" s="102"/>
      <c r="AS750" s="102"/>
      <c r="AT750" s="102"/>
      <c r="AU750" s="102"/>
      <c r="AV750" s="102"/>
      <c r="AW750" s="102"/>
      <c r="AX750" s="102"/>
      <c r="AY750" s="102"/>
      <c r="AZ750" s="102"/>
      <c r="BA750" s="102"/>
      <c r="BB750" s="102"/>
      <c r="BC750" s="102"/>
      <c r="BD750" s="102"/>
      <c r="BE750" s="102"/>
      <c r="BF750" s="102"/>
      <c r="BG750" s="102"/>
      <c r="BH750" s="102"/>
      <c r="BI750" s="102"/>
      <c r="BJ750" s="102"/>
      <c r="BK750" s="102"/>
      <c r="BL750" s="102"/>
      <c r="BM750" s="102"/>
      <c r="BN750" s="102"/>
      <c r="BO750" s="102"/>
      <c r="BP750" s="102"/>
      <c r="BQ750" s="102"/>
      <c r="BR750" s="102"/>
      <c r="BS750" s="102"/>
      <c r="BT750" s="102"/>
      <c r="BU750" s="102"/>
      <c r="BV750" s="102"/>
      <c r="BW750" s="102"/>
      <c r="BX750" s="102"/>
      <c r="BY750" s="102"/>
      <c r="BZ750" s="102"/>
      <c r="CA750" s="464"/>
      <c r="CB750" s="102"/>
      <c r="CC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474">
        <v>748.0</v>
      </c>
      <c r="AB751" s="474">
        <f t="shared" si="10"/>
        <v>753</v>
      </c>
      <c r="AC751" s="476">
        <f t="shared" si="11"/>
        <v>1002</v>
      </c>
      <c r="AD751" s="474">
        <f t="shared" si="12"/>
        <v>1249</v>
      </c>
      <c r="AE751" s="474">
        <f t="shared" si="13"/>
        <v>823</v>
      </c>
      <c r="AF751" s="474">
        <f t="shared" si="14"/>
        <v>1002</v>
      </c>
      <c r="AG751" s="102"/>
      <c r="AH751" s="102"/>
      <c r="AI751" s="102"/>
      <c r="AJ751" s="102"/>
      <c r="AK751" s="102"/>
      <c r="AL751" s="102"/>
      <c r="AM751" s="102"/>
      <c r="AN751" s="102"/>
      <c r="AO751" s="102"/>
      <c r="AP751" s="102"/>
      <c r="AQ751" s="102"/>
      <c r="AR751" s="102"/>
      <c r="AS751" s="102"/>
      <c r="AT751" s="102"/>
      <c r="AU751" s="102"/>
      <c r="AV751" s="102"/>
      <c r="AW751" s="102"/>
      <c r="AX751" s="102"/>
      <c r="AY751" s="102"/>
      <c r="AZ751" s="102"/>
      <c r="BA751" s="102"/>
      <c r="BB751" s="102"/>
      <c r="BC751" s="102"/>
      <c r="BD751" s="102"/>
      <c r="BE751" s="102"/>
      <c r="BF751" s="102"/>
      <c r="BG751" s="102"/>
      <c r="BH751" s="102"/>
      <c r="BI751" s="102"/>
      <c r="BJ751" s="102"/>
      <c r="BK751" s="102"/>
      <c r="BL751" s="102"/>
      <c r="BM751" s="102"/>
      <c r="BN751" s="102"/>
      <c r="BO751" s="102"/>
      <c r="BP751" s="102"/>
      <c r="BQ751" s="102"/>
      <c r="BR751" s="102"/>
      <c r="BS751" s="102"/>
      <c r="BT751" s="102"/>
      <c r="BU751" s="102"/>
      <c r="BV751" s="102"/>
      <c r="BW751" s="102"/>
      <c r="BX751" s="102"/>
      <c r="BY751" s="102"/>
      <c r="BZ751" s="102"/>
      <c r="CA751" s="464"/>
      <c r="CB751" s="102"/>
      <c r="CC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474">
        <v>749.0</v>
      </c>
      <c r="AB752" s="474">
        <f t="shared" si="10"/>
        <v>754</v>
      </c>
      <c r="AC752" s="476">
        <f t="shared" si="11"/>
        <v>1003</v>
      </c>
      <c r="AD752" s="474">
        <f t="shared" si="12"/>
        <v>1250</v>
      </c>
      <c r="AE752" s="474">
        <f t="shared" si="13"/>
        <v>824</v>
      </c>
      <c r="AF752" s="474">
        <f t="shared" si="14"/>
        <v>1003</v>
      </c>
      <c r="AG752" s="102"/>
      <c r="AH752" s="102"/>
      <c r="AI752" s="102"/>
      <c r="AJ752" s="102"/>
      <c r="AK752" s="102"/>
      <c r="AL752" s="102"/>
      <c r="AM752" s="102"/>
      <c r="AN752" s="102"/>
      <c r="AO752" s="102"/>
      <c r="AP752" s="102"/>
      <c r="AQ752" s="102"/>
      <c r="AR752" s="102"/>
      <c r="AS752" s="102"/>
      <c r="AT752" s="102"/>
      <c r="AU752" s="102"/>
      <c r="AV752" s="102"/>
      <c r="AW752" s="102"/>
      <c r="AX752" s="102"/>
      <c r="AY752" s="102"/>
      <c r="AZ752" s="102"/>
      <c r="BA752" s="102"/>
      <c r="BB752" s="102"/>
      <c r="BC752" s="102"/>
      <c r="BD752" s="102"/>
      <c r="BE752" s="102"/>
      <c r="BF752" s="102"/>
      <c r="BG752" s="102"/>
      <c r="BH752" s="102"/>
      <c r="BI752" s="102"/>
      <c r="BJ752" s="102"/>
      <c r="BK752" s="102"/>
      <c r="BL752" s="102"/>
      <c r="BM752" s="102"/>
      <c r="BN752" s="102"/>
      <c r="BO752" s="102"/>
      <c r="BP752" s="102"/>
      <c r="BQ752" s="102"/>
      <c r="BR752" s="102"/>
      <c r="BS752" s="102"/>
      <c r="BT752" s="102"/>
      <c r="BU752" s="102"/>
      <c r="BV752" s="102"/>
      <c r="BW752" s="102"/>
      <c r="BX752" s="102"/>
      <c r="BY752" s="102"/>
      <c r="BZ752" s="102"/>
      <c r="CA752" s="464"/>
      <c r="CB752" s="102"/>
      <c r="CC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474">
        <v>750.0</v>
      </c>
      <c r="AB753" s="474">
        <f t="shared" si="10"/>
        <v>755</v>
      </c>
      <c r="AC753" s="476">
        <f t="shared" si="11"/>
        <v>1005</v>
      </c>
      <c r="AD753" s="474">
        <f t="shared" si="12"/>
        <v>1252</v>
      </c>
      <c r="AE753" s="474">
        <f t="shared" si="13"/>
        <v>825</v>
      </c>
      <c r="AF753" s="474">
        <f t="shared" si="14"/>
        <v>1005</v>
      </c>
      <c r="AG753" s="102"/>
      <c r="AH753" s="102"/>
      <c r="AI753" s="102"/>
      <c r="AJ753" s="102"/>
      <c r="AK753" s="102"/>
      <c r="AL753" s="102"/>
      <c r="AM753" s="102"/>
      <c r="AN753" s="102"/>
      <c r="AO753" s="102"/>
      <c r="AP753" s="102"/>
      <c r="AQ753" s="102"/>
      <c r="AR753" s="102"/>
      <c r="AS753" s="102"/>
      <c r="AT753" s="102"/>
      <c r="AU753" s="102"/>
      <c r="AV753" s="102"/>
      <c r="AW753" s="102"/>
      <c r="AX753" s="102"/>
      <c r="AY753" s="102"/>
      <c r="AZ753" s="102"/>
      <c r="BA753" s="102"/>
      <c r="BB753" s="102"/>
      <c r="BC753" s="102"/>
      <c r="BD753" s="102"/>
      <c r="BE753" s="102"/>
      <c r="BF753" s="102"/>
      <c r="BG753" s="102"/>
      <c r="BH753" s="102"/>
      <c r="BI753" s="102"/>
      <c r="BJ753" s="102"/>
      <c r="BK753" s="102"/>
      <c r="BL753" s="102"/>
      <c r="BM753" s="102"/>
      <c r="BN753" s="102"/>
      <c r="BO753" s="102"/>
      <c r="BP753" s="102"/>
      <c r="BQ753" s="102"/>
      <c r="BR753" s="102"/>
      <c r="BS753" s="102"/>
      <c r="BT753" s="102"/>
      <c r="BU753" s="102"/>
      <c r="BV753" s="102"/>
      <c r="BW753" s="102"/>
      <c r="BX753" s="102"/>
      <c r="BY753" s="102"/>
      <c r="BZ753" s="102"/>
      <c r="CA753" s="464"/>
      <c r="CB753" s="102"/>
      <c r="CC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474">
        <v>751.0</v>
      </c>
      <c r="AB754" s="474">
        <f t="shared" si="10"/>
        <v>756</v>
      </c>
      <c r="AC754" s="476">
        <f t="shared" si="11"/>
        <v>1006</v>
      </c>
      <c r="AD754" s="474">
        <f t="shared" si="12"/>
        <v>1254</v>
      </c>
      <c r="AE754" s="474">
        <f t="shared" si="13"/>
        <v>827</v>
      </c>
      <c r="AF754" s="474">
        <f t="shared" si="14"/>
        <v>1006</v>
      </c>
      <c r="AG754" s="102"/>
      <c r="AH754" s="102"/>
      <c r="AI754" s="102"/>
      <c r="AJ754" s="102"/>
      <c r="AK754" s="102"/>
      <c r="AL754" s="102"/>
      <c r="AM754" s="102"/>
      <c r="AN754" s="102"/>
      <c r="AO754" s="102"/>
      <c r="AP754" s="102"/>
      <c r="AQ754" s="102"/>
      <c r="AR754" s="102"/>
      <c r="AS754" s="102"/>
      <c r="AT754" s="102"/>
      <c r="AU754" s="102"/>
      <c r="AV754" s="102"/>
      <c r="AW754" s="102"/>
      <c r="AX754" s="102"/>
      <c r="AY754" s="102"/>
      <c r="AZ754" s="102"/>
      <c r="BA754" s="102"/>
      <c r="BB754" s="102"/>
      <c r="BC754" s="102"/>
      <c r="BD754" s="102"/>
      <c r="BE754" s="102"/>
      <c r="BF754" s="102"/>
      <c r="BG754" s="102"/>
      <c r="BH754" s="102"/>
      <c r="BI754" s="102"/>
      <c r="BJ754" s="102"/>
      <c r="BK754" s="102"/>
      <c r="BL754" s="102"/>
      <c r="BM754" s="102"/>
      <c r="BN754" s="102"/>
      <c r="BO754" s="102"/>
      <c r="BP754" s="102"/>
      <c r="BQ754" s="102"/>
      <c r="BR754" s="102"/>
      <c r="BS754" s="102"/>
      <c r="BT754" s="102"/>
      <c r="BU754" s="102"/>
      <c r="BV754" s="102"/>
      <c r="BW754" s="102"/>
      <c r="BX754" s="102"/>
      <c r="BY754" s="102"/>
      <c r="BZ754" s="102"/>
      <c r="CA754" s="464"/>
      <c r="CB754" s="102"/>
      <c r="CC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474">
        <v>752.0</v>
      </c>
      <c r="AB755" s="474">
        <f t="shared" si="10"/>
        <v>757</v>
      </c>
      <c r="AC755" s="476">
        <f t="shared" si="11"/>
        <v>1007</v>
      </c>
      <c r="AD755" s="474">
        <f t="shared" si="12"/>
        <v>1255</v>
      </c>
      <c r="AE755" s="474">
        <f t="shared" si="13"/>
        <v>828</v>
      </c>
      <c r="AF755" s="474">
        <f t="shared" si="14"/>
        <v>1007</v>
      </c>
      <c r="AG755" s="102"/>
      <c r="AH755" s="102"/>
      <c r="AI755" s="102"/>
      <c r="AJ755" s="102"/>
      <c r="AK755" s="102"/>
      <c r="AL755" s="102"/>
      <c r="AM755" s="102"/>
      <c r="AN755" s="102"/>
      <c r="AO755" s="102"/>
      <c r="AP755" s="102"/>
      <c r="AQ755" s="102"/>
      <c r="AR755" s="102"/>
      <c r="AS755" s="102"/>
      <c r="AT755" s="102"/>
      <c r="AU755" s="102"/>
      <c r="AV755" s="102"/>
      <c r="AW755" s="102"/>
      <c r="AX755" s="102"/>
      <c r="AY755" s="102"/>
      <c r="AZ755" s="102"/>
      <c r="BA755" s="102"/>
      <c r="BB755" s="102"/>
      <c r="BC755" s="102"/>
      <c r="BD755" s="102"/>
      <c r="BE755" s="102"/>
      <c r="BF755" s="102"/>
      <c r="BG755" s="102"/>
      <c r="BH755" s="102"/>
      <c r="BI755" s="102"/>
      <c r="BJ755" s="102"/>
      <c r="BK755" s="102"/>
      <c r="BL755" s="102"/>
      <c r="BM755" s="102"/>
      <c r="BN755" s="102"/>
      <c r="BO755" s="102"/>
      <c r="BP755" s="102"/>
      <c r="BQ755" s="102"/>
      <c r="BR755" s="102"/>
      <c r="BS755" s="102"/>
      <c r="BT755" s="102"/>
      <c r="BU755" s="102"/>
      <c r="BV755" s="102"/>
      <c r="BW755" s="102"/>
      <c r="BX755" s="102"/>
      <c r="BY755" s="102"/>
      <c r="BZ755" s="102"/>
      <c r="CA755" s="464"/>
      <c r="CB755" s="102"/>
      <c r="CC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474">
        <v>753.0</v>
      </c>
      <c r="AB756" s="474">
        <f t="shared" si="10"/>
        <v>758</v>
      </c>
      <c r="AC756" s="476">
        <f t="shared" si="11"/>
        <v>1009</v>
      </c>
      <c r="AD756" s="474">
        <f t="shared" si="12"/>
        <v>1257</v>
      </c>
      <c r="AE756" s="474">
        <f t="shared" si="13"/>
        <v>829</v>
      </c>
      <c r="AF756" s="474">
        <f t="shared" si="14"/>
        <v>1009</v>
      </c>
      <c r="AG756" s="102"/>
      <c r="AH756" s="102"/>
      <c r="AI756" s="102"/>
      <c r="AJ756" s="102"/>
      <c r="AK756" s="102"/>
      <c r="AL756" s="102"/>
      <c r="AM756" s="102"/>
      <c r="AN756" s="102"/>
      <c r="AO756" s="102"/>
      <c r="AP756" s="102"/>
      <c r="AQ756" s="102"/>
      <c r="AR756" s="102"/>
      <c r="AS756" s="102"/>
      <c r="AT756" s="102"/>
      <c r="AU756" s="102"/>
      <c r="AV756" s="102"/>
      <c r="AW756" s="102"/>
      <c r="AX756" s="102"/>
      <c r="AY756" s="102"/>
      <c r="AZ756" s="102"/>
      <c r="BA756" s="102"/>
      <c r="BB756" s="102"/>
      <c r="BC756" s="102"/>
      <c r="BD756" s="102"/>
      <c r="BE756" s="102"/>
      <c r="BF756" s="102"/>
      <c r="BG756" s="102"/>
      <c r="BH756" s="102"/>
      <c r="BI756" s="102"/>
      <c r="BJ756" s="102"/>
      <c r="BK756" s="102"/>
      <c r="BL756" s="102"/>
      <c r="BM756" s="102"/>
      <c r="BN756" s="102"/>
      <c r="BO756" s="102"/>
      <c r="BP756" s="102"/>
      <c r="BQ756" s="102"/>
      <c r="BR756" s="102"/>
      <c r="BS756" s="102"/>
      <c r="BT756" s="102"/>
      <c r="BU756" s="102"/>
      <c r="BV756" s="102"/>
      <c r="BW756" s="102"/>
      <c r="BX756" s="102"/>
      <c r="BY756" s="102"/>
      <c r="BZ756" s="102"/>
      <c r="CA756" s="464"/>
      <c r="CB756" s="102"/>
      <c r="CC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474">
        <v>754.0</v>
      </c>
      <c r="AB757" s="474">
        <f t="shared" si="10"/>
        <v>759</v>
      </c>
      <c r="AC757" s="476">
        <f t="shared" si="11"/>
        <v>1010</v>
      </c>
      <c r="AD757" s="474">
        <f t="shared" si="12"/>
        <v>1259</v>
      </c>
      <c r="AE757" s="474">
        <f t="shared" si="13"/>
        <v>830</v>
      </c>
      <c r="AF757" s="474">
        <f t="shared" si="14"/>
        <v>1010</v>
      </c>
      <c r="AG757" s="102"/>
      <c r="AH757" s="102"/>
      <c r="AI757" s="102"/>
      <c r="AJ757" s="102"/>
      <c r="AK757" s="102"/>
      <c r="AL757" s="102"/>
      <c r="AM757" s="102"/>
      <c r="AN757" s="102"/>
      <c r="AO757" s="102"/>
      <c r="AP757" s="102"/>
      <c r="AQ757" s="102"/>
      <c r="AR757" s="102"/>
      <c r="AS757" s="102"/>
      <c r="AT757" s="102"/>
      <c r="AU757" s="102"/>
      <c r="AV757" s="102"/>
      <c r="AW757" s="102"/>
      <c r="AX757" s="102"/>
      <c r="AY757" s="102"/>
      <c r="AZ757" s="102"/>
      <c r="BA757" s="102"/>
      <c r="BB757" s="102"/>
      <c r="BC757" s="102"/>
      <c r="BD757" s="102"/>
      <c r="BE757" s="102"/>
      <c r="BF757" s="102"/>
      <c r="BG757" s="102"/>
      <c r="BH757" s="102"/>
      <c r="BI757" s="102"/>
      <c r="BJ757" s="102"/>
      <c r="BK757" s="102"/>
      <c r="BL757" s="102"/>
      <c r="BM757" s="102"/>
      <c r="BN757" s="102"/>
      <c r="BO757" s="102"/>
      <c r="BP757" s="102"/>
      <c r="BQ757" s="102"/>
      <c r="BR757" s="102"/>
      <c r="BS757" s="102"/>
      <c r="BT757" s="102"/>
      <c r="BU757" s="102"/>
      <c r="BV757" s="102"/>
      <c r="BW757" s="102"/>
      <c r="BX757" s="102"/>
      <c r="BY757" s="102"/>
      <c r="BZ757" s="102"/>
      <c r="CA757" s="464"/>
      <c r="CB757" s="102"/>
      <c r="CC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474">
        <v>755.0</v>
      </c>
      <c r="AB758" s="474">
        <f t="shared" si="10"/>
        <v>760</v>
      </c>
      <c r="AC758" s="476">
        <f t="shared" si="11"/>
        <v>1011</v>
      </c>
      <c r="AD758" s="474">
        <f t="shared" si="12"/>
        <v>1260</v>
      </c>
      <c r="AE758" s="474">
        <f t="shared" si="13"/>
        <v>831</v>
      </c>
      <c r="AF758" s="474">
        <f t="shared" si="14"/>
        <v>1011</v>
      </c>
      <c r="AG758" s="102"/>
      <c r="AH758" s="102"/>
      <c r="AI758" s="102"/>
      <c r="AJ758" s="102"/>
      <c r="AK758" s="102"/>
      <c r="AL758" s="102"/>
      <c r="AM758" s="102"/>
      <c r="AN758" s="102"/>
      <c r="AO758" s="102"/>
      <c r="AP758" s="102"/>
      <c r="AQ758" s="102"/>
      <c r="AR758" s="102"/>
      <c r="AS758" s="102"/>
      <c r="AT758" s="102"/>
      <c r="AU758" s="102"/>
      <c r="AV758" s="102"/>
      <c r="AW758" s="102"/>
      <c r="AX758" s="102"/>
      <c r="AY758" s="102"/>
      <c r="AZ758" s="102"/>
      <c r="BA758" s="102"/>
      <c r="BB758" s="102"/>
      <c r="BC758" s="102"/>
      <c r="BD758" s="102"/>
      <c r="BE758" s="102"/>
      <c r="BF758" s="102"/>
      <c r="BG758" s="102"/>
      <c r="BH758" s="102"/>
      <c r="BI758" s="102"/>
      <c r="BJ758" s="102"/>
      <c r="BK758" s="102"/>
      <c r="BL758" s="102"/>
      <c r="BM758" s="102"/>
      <c r="BN758" s="102"/>
      <c r="BO758" s="102"/>
      <c r="BP758" s="102"/>
      <c r="BQ758" s="102"/>
      <c r="BR758" s="102"/>
      <c r="BS758" s="102"/>
      <c r="BT758" s="102"/>
      <c r="BU758" s="102"/>
      <c r="BV758" s="102"/>
      <c r="BW758" s="102"/>
      <c r="BX758" s="102"/>
      <c r="BY758" s="102"/>
      <c r="BZ758" s="102"/>
      <c r="CA758" s="464"/>
      <c r="CB758" s="102"/>
      <c r="CC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474">
        <v>756.0</v>
      </c>
      <c r="AB759" s="474">
        <f t="shared" si="10"/>
        <v>761</v>
      </c>
      <c r="AC759" s="476">
        <f t="shared" si="11"/>
        <v>1013</v>
      </c>
      <c r="AD759" s="474">
        <f t="shared" si="12"/>
        <v>1262</v>
      </c>
      <c r="AE759" s="474">
        <f t="shared" si="13"/>
        <v>832</v>
      </c>
      <c r="AF759" s="474">
        <f t="shared" si="14"/>
        <v>1013</v>
      </c>
      <c r="AG759" s="102"/>
      <c r="AH759" s="102"/>
      <c r="AI759" s="102"/>
      <c r="AJ759" s="102"/>
      <c r="AK759" s="102"/>
      <c r="AL759" s="102"/>
      <c r="AM759" s="102"/>
      <c r="AN759" s="102"/>
      <c r="AO759" s="102"/>
      <c r="AP759" s="102"/>
      <c r="AQ759" s="102"/>
      <c r="AR759" s="102"/>
      <c r="AS759" s="102"/>
      <c r="AT759" s="102"/>
      <c r="AU759" s="102"/>
      <c r="AV759" s="102"/>
      <c r="AW759" s="102"/>
      <c r="AX759" s="102"/>
      <c r="AY759" s="102"/>
      <c r="AZ759" s="102"/>
      <c r="BA759" s="102"/>
      <c r="BB759" s="102"/>
      <c r="BC759" s="102"/>
      <c r="BD759" s="102"/>
      <c r="BE759" s="102"/>
      <c r="BF759" s="102"/>
      <c r="BG759" s="102"/>
      <c r="BH759" s="102"/>
      <c r="BI759" s="102"/>
      <c r="BJ759" s="102"/>
      <c r="BK759" s="102"/>
      <c r="BL759" s="102"/>
      <c r="BM759" s="102"/>
      <c r="BN759" s="102"/>
      <c r="BO759" s="102"/>
      <c r="BP759" s="102"/>
      <c r="BQ759" s="102"/>
      <c r="BR759" s="102"/>
      <c r="BS759" s="102"/>
      <c r="BT759" s="102"/>
      <c r="BU759" s="102"/>
      <c r="BV759" s="102"/>
      <c r="BW759" s="102"/>
      <c r="BX759" s="102"/>
      <c r="BY759" s="102"/>
      <c r="BZ759" s="102"/>
      <c r="CA759" s="464"/>
      <c r="CB759" s="102"/>
      <c r="CC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474">
        <v>757.0</v>
      </c>
      <c r="AB760" s="474">
        <f t="shared" si="10"/>
        <v>762</v>
      </c>
      <c r="AC760" s="476">
        <f t="shared" si="11"/>
        <v>1014</v>
      </c>
      <c r="AD760" s="474">
        <f t="shared" si="12"/>
        <v>1264</v>
      </c>
      <c r="AE760" s="474">
        <f t="shared" si="13"/>
        <v>833</v>
      </c>
      <c r="AF760" s="474">
        <f t="shared" si="14"/>
        <v>1014</v>
      </c>
      <c r="AG760" s="102"/>
      <c r="AH760" s="102"/>
      <c r="AI760" s="102"/>
      <c r="AJ760" s="102"/>
      <c r="AK760" s="102"/>
      <c r="AL760" s="102"/>
      <c r="AM760" s="102"/>
      <c r="AN760" s="102"/>
      <c r="AO760" s="102"/>
      <c r="AP760" s="102"/>
      <c r="AQ760" s="102"/>
      <c r="AR760" s="102"/>
      <c r="AS760" s="102"/>
      <c r="AT760" s="102"/>
      <c r="AU760" s="102"/>
      <c r="AV760" s="102"/>
      <c r="AW760" s="102"/>
      <c r="AX760" s="102"/>
      <c r="AY760" s="102"/>
      <c r="AZ760" s="102"/>
      <c r="BA760" s="102"/>
      <c r="BB760" s="102"/>
      <c r="BC760" s="102"/>
      <c r="BD760" s="102"/>
      <c r="BE760" s="102"/>
      <c r="BF760" s="102"/>
      <c r="BG760" s="102"/>
      <c r="BH760" s="102"/>
      <c r="BI760" s="102"/>
      <c r="BJ760" s="102"/>
      <c r="BK760" s="102"/>
      <c r="BL760" s="102"/>
      <c r="BM760" s="102"/>
      <c r="BN760" s="102"/>
      <c r="BO760" s="102"/>
      <c r="BP760" s="102"/>
      <c r="BQ760" s="102"/>
      <c r="BR760" s="102"/>
      <c r="BS760" s="102"/>
      <c r="BT760" s="102"/>
      <c r="BU760" s="102"/>
      <c r="BV760" s="102"/>
      <c r="BW760" s="102"/>
      <c r="BX760" s="102"/>
      <c r="BY760" s="102"/>
      <c r="BZ760" s="102"/>
      <c r="CA760" s="464"/>
      <c r="CB760" s="102"/>
      <c r="CC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474">
        <v>758.0</v>
      </c>
      <c r="AB761" s="474">
        <f t="shared" si="10"/>
        <v>763</v>
      </c>
      <c r="AC761" s="476">
        <f t="shared" si="11"/>
        <v>1015</v>
      </c>
      <c r="AD761" s="474">
        <f t="shared" si="12"/>
        <v>1265</v>
      </c>
      <c r="AE761" s="474">
        <f t="shared" si="13"/>
        <v>834</v>
      </c>
      <c r="AF761" s="474">
        <f t="shared" si="14"/>
        <v>1015</v>
      </c>
      <c r="AG761" s="102"/>
      <c r="AH761" s="102"/>
      <c r="AI761" s="102"/>
      <c r="AJ761" s="102"/>
      <c r="AK761" s="102"/>
      <c r="AL761" s="102"/>
      <c r="AM761" s="102"/>
      <c r="AN761" s="102"/>
      <c r="AO761" s="102"/>
      <c r="AP761" s="102"/>
      <c r="AQ761" s="102"/>
      <c r="AR761" s="102"/>
      <c r="AS761" s="102"/>
      <c r="AT761" s="102"/>
      <c r="AU761" s="102"/>
      <c r="AV761" s="102"/>
      <c r="AW761" s="102"/>
      <c r="AX761" s="102"/>
      <c r="AY761" s="102"/>
      <c r="AZ761" s="102"/>
      <c r="BA761" s="102"/>
      <c r="BB761" s="102"/>
      <c r="BC761" s="102"/>
      <c r="BD761" s="102"/>
      <c r="BE761" s="102"/>
      <c r="BF761" s="102"/>
      <c r="BG761" s="102"/>
      <c r="BH761" s="102"/>
      <c r="BI761" s="102"/>
      <c r="BJ761" s="102"/>
      <c r="BK761" s="102"/>
      <c r="BL761" s="102"/>
      <c r="BM761" s="102"/>
      <c r="BN761" s="102"/>
      <c r="BO761" s="102"/>
      <c r="BP761" s="102"/>
      <c r="BQ761" s="102"/>
      <c r="BR761" s="102"/>
      <c r="BS761" s="102"/>
      <c r="BT761" s="102"/>
      <c r="BU761" s="102"/>
      <c r="BV761" s="102"/>
      <c r="BW761" s="102"/>
      <c r="BX761" s="102"/>
      <c r="BY761" s="102"/>
      <c r="BZ761" s="102"/>
      <c r="CA761" s="464"/>
      <c r="CB761" s="102"/>
      <c r="CC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474">
        <v>759.0</v>
      </c>
      <c r="AB762" s="474">
        <f t="shared" si="10"/>
        <v>764</v>
      </c>
      <c r="AC762" s="476">
        <f t="shared" si="11"/>
        <v>1017</v>
      </c>
      <c r="AD762" s="474">
        <f t="shared" si="12"/>
        <v>1267</v>
      </c>
      <c r="AE762" s="474">
        <f t="shared" si="13"/>
        <v>835</v>
      </c>
      <c r="AF762" s="474">
        <f t="shared" si="14"/>
        <v>1017</v>
      </c>
      <c r="AG762" s="102"/>
      <c r="AH762" s="102"/>
      <c r="AI762" s="102"/>
      <c r="AJ762" s="102"/>
      <c r="AK762" s="102"/>
      <c r="AL762" s="102"/>
      <c r="AM762" s="102"/>
      <c r="AN762" s="102"/>
      <c r="AO762" s="102"/>
      <c r="AP762" s="102"/>
      <c r="AQ762" s="102"/>
      <c r="AR762" s="102"/>
      <c r="AS762" s="102"/>
      <c r="AT762" s="102"/>
      <c r="AU762" s="102"/>
      <c r="AV762" s="102"/>
      <c r="AW762" s="102"/>
      <c r="AX762" s="102"/>
      <c r="AY762" s="102"/>
      <c r="AZ762" s="102"/>
      <c r="BA762" s="102"/>
      <c r="BB762" s="102"/>
      <c r="BC762" s="102"/>
      <c r="BD762" s="102"/>
      <c r="BE762" s="102"/>
      <c r="BF762" s="102"/>
      <c r="BG762" s="102"/>
      <c r="BH762" s="102"/>
      <c r="BI762" s="102"/>
      <c r="BJ762" s="102"/>
      <c r="BK762" s="102"/>
      <c r="BL762" s="102"/>
      <c r="BM762" s="102"/>
      <c r="BN762" s="102"/>
      <c r="BO762" s="102"/>
      <c r="BP762" s="102"/>
      <c r="BQ762" s="102"/>
      <c r="BR762" s="102"/>
      <c r="BS762" s="102"/>
      <c r="BT762" s="102"/>
      <c r="BU762" s="102"/>
      <c r="BV762" s="102"/>
      <c r="BW762" s="102"/>
      <c r="BX762" s="102"/>
      <c r="BY762" s="102"/>
      <c r="BZ762" s="102"/>
      <c r="CA762" s="464"/>
      <c r="CB762" s="102"/>
      <c r="CC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474">
        <v>760.0</v>
      </c>
      <c r="AB763" s="474">
        <f t="shared" si="10"/>
        <v>765</v>
      </c>
      <c r="AC763" s="476">
        <f t="shared" si="11"/>
        <v>1018</v>
      </c>
      <c r="AD763" s="474">
        <f t="shared" si="12"/>
        <v>1269</v>
      </c>
      <c r="AE763" s="474">
        <f t="shared" si="13"/>
        <v>836</v>
      </c>
      <c r="AF763" s="474">
        <f t="shared" si="14"/>
        <v>1018</v>
      </c>
      <c r="AG763" s="102"/>
      <c r="AH763" s="102"/>
      <c r="AI763" s="102"/>
      <c r="AJ763" s="102"/>
      <c r="AK763" s="102"/>
      <c r="AL763" s="102"/>
      <c r="AM763" s="102"/>
      <c r="AN763" s="102"/>
      <c r="AO763" s="102"/>
      <c r="AP763" s="102"/>
      <c r="AQ763" s="102"/>
      <c r="AR763" s="102"/>
      <c r="AS763" s="102"/>
      <c r="AT763" s="102"/>
      <c r="AU763" s="102"/>
      <c r="AV763" s="102"/>
      <c r="AW763" s="102"/>
      <c r="AX763" s="102"/>
      <c r="AY763" s="102"/>
      <c r="AZ763" s="102"/>
      <c r="BA763" s="102"/>
      <c r="BB763" s="102"/>
      <c r="BC763" s="102"/>
      <c r="BD763" s="102"/>
      <c r="BE763" s="102"/>
      <c r="BF763" s="102"/>
      <c r="BG763" s="102"/>
      <c r="BH763" s="102"/>
      <c r="BI763" s="102"/>
      <c r="BJ763" s="102"/>
      <c r="BK763" s="102"/>
      <c r="BL763" s="102"/>
      <c r="BM763" s="102"/>
      <c r="BN763" s="102"/>
      <c r="BO763" s="102"/>
      <c r="BP763" s="102"/>
      <c r="BQ763" s="102"/>
      <c r="BR763" s="102"/>
      <c r="BS763" s="102"/>
      <c r="BT763" s="102"/>
      <c r="BU763" s="102"/>
      <c r="BV763" s="102"/>
      <c r="BW763" s="102"/>
      <c r="BX763" s="102"/>
      <c r="BY763" s="102"/>
      <c r="BZ763" s="102"/>
      <c r="CA763" s="464"/>
      <c r="CB763" s="102"/>
      <c r="CC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474">
        <v>761.0</v>
      </c>
      <c r="AB764" s="474">
        <f t="shared" si="10"/>
        <v>766</v>
      </c>
      <c r="AC764" s="476">
        <f t="shared" si="11"/>
        <v>1019</v>
      </c>
      <c r="AD764" s="474">
        <f t="shared" si="12"/>
        <v>1270</v>
      </c>
      <c r="AE764" s="474">
        <f t="shared" si="13"/>
        <v>838</v>
      </c>
      <c r="AF764" s="474">
        <f t="shared" si="14"/>
        <v>1019</v>
      </c>
      <c r="AG764" s="102"/>
      <c r="AH764" s="102"/>
      <c r="AI764" s="102"/>
      <c r="AJ764" s="102"/>
      <c r="AK764" s="102"/>
      <c r="AL764" s="102"/>
      <c r="AM764" s="102"/>
      <c r="AN764" s="102"/>
      <c r="AO764" s="102"/>
      <c r="AP764" s="102"/>
      <c r="AQ764" s="102"/>
      <c r="AR764" s="102"/>
      <c r="AS764" s="102"/>
      <c r="AT764" s="102"/>
      <c r="AU764" s="102"/>
      <c r="AV764" s="102"/>
      <c r="AW764" s="102"/>
      <c r="AX764" s="102"/>
      <c r="AY764" s="102"/>
      <c r="AZ764" s="102"/>
      <c r="BA764" s="102"/>
      <c r="BB764" s="102"/>
      <c r="BC764" s="102"/>
      <c r="BD764" s="102"/>
      <c r="BE764" s="102"/>
      <c r="BF764" s="102"/>
      <c r="BG764" s="102"/>
      <c r="BH764" s="102"/>
      <c r="BI764" s="102"/>
      <c r="BJ764" s="102"/>
      <c r="BK764" s="102"/>
      <c r="BL764" s="102"/>
      <c r="BM764" s="102"/>
      <c r="BN764" s="102"/>
      <c r="BO764" s="102"/>
      <c r="BP764" s="102"/>
      <c r="BQ764" s="102"/>
      <c r="BR764" s="102"/>
      <c r="BS764" s="102"/>
      <c r="BT764" s="102"/>
      <c r="BU764" s="102"/>
      <c r="BV764" s="102"/>
      <c r="BW764" s="102"/>
      <c r="BX764" s="102"/>
      <c r="BY764" s="102"/>
      <c r="BZ764" s="102"/>
      <c r="CA764" s="464"/>
      <c r="CB764" s="102"/>
      <c r="CC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474">
        <v>762.0</v>
      </c>
      <c r="AB765" s="474">
        <f t="shared" si="10"/>
        <v>767</v>
      </c>
      <c r="AC765" s="476">
        <f t="shared" si="11"/>
        <v>1021</v>
      </c>
      <c r="AD765" s="474">
        <f t="shared" si="12"/>
        <v>1272</v>
      </c>
      <c r="AE765" s="474">
        <f t="shared" si="13"/>
        <v>839</v>
      </c>
      <c r="AF765" s="474">
        <f t="shared" si="14"/>
        <v>1021</v>
      </c>
      <c r="AG765" s="102"/>
      <c r="AH765" s="102"/>
      <c r="AI765" s="102"/>
      <c r="AJ765" s="102"/>
      <c r="AK765" s="102"/>
      <c r="AL765" s="102"/>
      <c r="AM765" s="102"/>
      <c r="AN765" s="102"/>
      <c r="AO765" s="102"/>
      <c r="AP765" s="102"/>
      <c r="AQ765" s="102"/>
      <c r="AR765" s="102"/>
      <c r="AS765" s="102"/>
      <c r="AT765" s="102"/>
      <c r="AU765" s="102"/>
      <c r="AV765" s="102"/>
      <c r="AW765" s="102"/>
      <c r="AX765" s="102"/>
      <c r="AY765" s="102"/>
      <c r="AZ765" s="102"/>
      <c r="BA765" s="102"/>
      <c r="BB765" s="102"/>
      <c r="BC765" s="102"/>
      <c r="BD765" s="102"/>
      <c r="BE765" s="102"/>
      <c r="BF765" s="102"/>
      <c r="BG765" s="102"/>
      <c r="BH765" s="102"/>
      <c r="BI765" s="102"/>
      <c r="BJ765" s="102"/>
      <c r="BK765" s="102"/>
      <c r="BL765" s="102"/>
      <c r="BM765" s="102"/>
      <c r="BN765" s="102"/>
      <c r="BO765" s="102"/>
      <c r="BP765" s="102"/>
      <c r="BQ765" s="102"/>
      <c r="BR765" s="102"/>
      <c r="BS765" s="102"/>
      <c r="BT765" s="102"/>
      <c r="BU765" s="102"/>
      <c r="BV765" s="102"/>
      <c r="BW765" s="102"/>
      <c r="BX765" s="102"/>
      <c r="BY765" s="102"/>
      <c r="BZ765" s="102"/>
      <c r="CA765" s="464"/>
      <c r="CB765" s="102"/>
      <c r="CC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474">
        <v>763.0</v>
      </c>
      <c r="AB766" s="474">
        <f t="shared" si="10"/>
        <v>768</v>
      </c>
      <c r="AC766" s="476">
        <f t="shared" si="11"/>
        <v>1022</v>
      </c>
      <c r="AD766" s="474">
        <f t="shared" si="12"/>
        <v>1274</v>
      </c>
      <c r="AE766" s="474">
        <f t="shared" si="13"/>
        <v>840</v>
      </c>
      <c r="AF766" s="474">
        <f t="shared" si="14"/>
        <v>1022</v>
      </c>
      <c r="AG766" s="102"/>
      <c r="AH766" s="102"/>
      <c r="AI766" s="102"/>
      <c r="AJ766" s="102"/>
      <c r="AK766" s="102"/>
      <c r="AL766" s="102"/>
      <c r="AM766" s="102"/>
      <c r="AN766" s="102"/>
      <c r="AO766" s="102"/>
      <c r="AP766" s="102"/>
      <c r="AQ766" s="102"/>
      <c r="AR766" s="102"/>
      <c r="AS766" s="102"/>
      <c r="AT766" s="102"/>
      <c r="AU766" s="102"/>
      <c r="AV766" s="102"/>
      <c r="AW766" s="102"/>
      <c r="AX766" s="102"/>
      <c r="AY766" s="102"/>
      <c r="AZ766" s="102"/>
      <c r="BA766" s="102"/>
      <c r="BB766" s="102"/>
      <c r="BC766" s="102"/>
      <c r="BD766" s="102"/>
      <c r="BE766" s="102"/>
      <c r="BF766" s="102"/>
      <c r="BG766" s="102"/>
      <c r="BH766" s="102"/>
      <c r="BI766" s="102"/>
      <c r="BJ766" s="102"/>
      <c r="BK766" s="102"/>
      <c r="BL766" s="102"/>
      <c r="BM766" s="102"/>
      <c r="BN766" s="102"/>
      <c r="BO766" s="102"/>
      <c r="BP766" s="102"/>
      <c r="BQ766" s="102"/>
      <c r="BR766" s="102"/>
      <c r="BS766" s="102"/>
      <c r="BT766" s="102"/>
      <c r="BU766" s="102"/>
      <c r="BV766" s="102"/>
      <c r="BW766" s="102"/>
      <c r="BX766" s="102"/>
      <c r="BY766" s="102"/>
      <c r="BZ766" s="102"/>
      <c r="CA766" s="464"/>
      <c r="CB766" s="102"/>
      <c r="CC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474">
        <v>764.0</v>
      </c>
      <c r="AB767" s="474">
        <f t="shared" si="10"/>
        <v>769</v>
      </c>
      <c r="AC767" s="476">
        <f t="shared" si="11"/>
        <v>1023</v>
      </c>
      <c r="AD767" s="474">
        <f t="shared" si="12"/>
        <v>1275</v>
      </c>
      <c r="AE767" s="474">
        <f t="shared" si="13"/>
        <v>841</v>
      </c>
      <c r="AF767" s="474">
        <f t="shared" si="14"/>
        <v>1023</v>
      </c>
      <c r="AG767" s="102"/>
      <c r="AH767" s="102"/>
      <c r="AI767" s="102"/>
      <c r="AJ767" s="102"/>
      <c r="AK767" s="102"/>
      <c r="AL767" s="102"/>
      <c r="AM767" s="102"/>
      <c r="AN767" s="102"/>
      <c r="AO767" s="102"/>
      <c r="AP767" s="102"/>
      <c r="AQ767" s="102"/>
      <c r="AR767" s="102"/>
      <c r="AS767" s="102"/>
      <c r="AT767" s="102"/>
      <c r="AU767" s="102"/>
      <c r="AV767" s="102"/>
      <c r="AW767" s="102"/>
      <c r="AX767" s="102"/>
      <c r="AY767" s="102"/>
      <c r="AZ767" s="102"/>
      <c r="BA767" s="102"/>
      <c r="BB767" s="102"/>
      <c r="BC767" s="102"/>
      <c r="BD767" s="102"/>
      <c r="BE767" s="102"/>
      <c r="BF767" s="102"/>
      <c r="BG767" s="102"/>
      <c r="BH767" s="102"/>
      <c r="BI767" s="102"/>
      <c r="BJ767" s="102"/>
      <c r="BK767" s="102"/>
      <c r="BL767" s="102"/>
      <c r="BM767" s="102"/>
      <c r="BN767" s="102"/>
      <c r="BO767" s="102"/>
      <c r="BP767" s="102"/>
      <c r="BQ767" s="102"/>
      <c r="BR767" s="102"/>
      <c r="BS767" s="102"/>
      <c r="BT767" s="102"/>
      <c r="BU767" s="102"/>
      <c r="BV767" s="102"/>
      <c r="BW767" s="102"/>
      <c r="BX767" s="102"/>
      <c r="BY767" s="102"/>
      <c r="BZ767" s="102"/>
      <c r="CA767" s="464"/>
      <c r="CB767" s="102"/>
      <c r="CC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474">
        <v>765.0</v>
      </c>
      <c r="AB768" s="474">
        <f t="shared" si="10"/>
        <v>770</v>
      </c>
      <c r="AC768" s="476">
        <f t="shared" si="11"/>
        <v>1025</v>
      </c>
      <c r="AD768" s="474">
        <f t="shared" si="12"/>
        <v>1277</v>
      </c>
      <c r="AE768" s="474">
        <f t="shared" si="13"/>
        <v>842</v>
      </c>
      <c r="AF768" s="474">
        <f t="shared" si="14"/>
        <v>1025</v>
      </c>
      <c r="AG768" s="102"/>
      <c r="AH768" s="102"/>
      <c r="AI768" s="102"/>
      <c r="AJ768" s="102"/>
      <c r="AK768" s="102"/>
      <c r="AL768" s="102"/>
      <c r="AM768" s="102"/>
      <c r="AN768" s="102"/>
      <c r="AO768" s="102"/>
      <c r="AP768" s="102"/>
      <c r="AQ768" s="102"/>
      <c r="AR768" s="102"/>
      <c r="AS768" s="102"/>
      <c r="AT768" s="102"/>
      <c r="AU768" s="102"/>
      <c r="AV768" s="102"/>
      <c r="AW768" s="102"/>
      <c r="AX768" s="102"/>
      <c r="AY768" s="102"/>
      <c r="AZ768" s="102"/>
      <c r="BA768" s="102"/>
      <c r="BB768" s="102"/>
      <c r="BC768" s="102"/>
      <c r="BD768" s="102"/>
      <c r="BE768" s="102"/>
      <c r="BF768" s="102"/>
      <c r="BG768" s="102"/>
      <c r="BH768" s="102"/>
      <c r="BI768" s="102"/>
      <c r="BJ768" s="102"/>
      <c r="BK768" s="102"/>
      <c r="BL768" s="102"/>
      <c r="BM768" s="102"/>
      <c r="BN768" s="102"/>
      <c r="BO768" s="102"/>
      <c r="BP768" s="102"/>
      <c r="BQ768" s="102"/>
      <c r="BR768" s="102"/>
      <c r="BS768" s="102"/>
      <c r="BT768" s="102"/>
      <c r="BU768" s="102"/>
      <c r="BV768" s="102"/>
      <c r="BW768" s="102"/>
      <c r="BX768" s="102"/>
      <c r="BY768" s="102"/>
      <c r="BZ768" s="102"/>
      <c r="CA768" s="464"/>
      <c r="CB768" s="102"/>
      <c r="CC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474">
        <v>766.0</v>
      </c>
      <c r="AB769" s="474">
        <f t="shared" si="10"/>
        <v>771</v>
      </c>
      <c r="AC769" s="476">
        <f t="shared" si="11"/>
        <v>1026</v>
      </c>
      <c r="AD769" s="474">
        <f t="shared" si="12"/>
        <v>1279</v>
      </c>
      <c r="AE769" s="474">
        <f t="shared" si="13"/>
        <v>843</v>
      </c>
      <c r="AF769" s="474">
        <f t="shared" si="14"/>
        <v>1026</v>
      </c>
      <c r="AG769" s="102"/>
      <c r="AH769" s="102"/>
      <c r="AI769" s="102"/>
      <c r="AJ769" s="102"/>
      <c r="AK769" s="102"/>
      <c r="AL769" s="102"/>
      <c r="AM769" s="102"/>
      <c r="AN769" s="102"/>
      <c r="AO769" s="102"/>
      <c r="AP769" s="102"/>
      <c r="AQ769" s="102"/>
      <c r="AR769" s="102"/>
      <c r="AS769" s="102"/>
      <c r="AT769" s="102"/>
      <c r="AU769" s="102"/>
      <c r="AV769" s="102"/>
      <c r="AW769" s="102"/>
      <c r="AX769" s="102"/>
      <c r="AY769" s="102"/>
      <c r="AZ769" s="102"/>
      <c r="BA769" s="102"/>
      <c r="BB769" s="102"/>
      <c r="BC769" s="102"/>
      <c r="BD769" s="102"/>
      <c r="BE769" s="102"/>
      <c r="BF769" s="102"/>
      <c r="BG769" s="102"/>
      <c r="BH769" s="102"/>
      <c r="BI769" s="102"/>
      <c r="BJ769" s="102"/>
      <c r="BK769" s="102"/>
      <c r="BL769" s="102"/>
      <c r="BM769" s="102"/>
      <c r="BN769" s="102"/>
      <c r="BO769" s="102"/>
      <c r="BP769" s="102"/>
      <c r="BQ769" s="102"/>
      <c r="BR769" s="102"/>
      <c r="BS769" s="102"/>
      <c r="BT769" s="102"/>
      <c r="BU769" s="102"/>
      <c r="BV769" s="102"/>
      <c r="BW769" s="102"/>
      <c r="BX769" s="102"/>
      <c r="BY769" s="102"/>
      <c r="BZ769" s="102"/>
      <c r="CA769" s="464"/>
      <c r="CB769" s="102"/>
      <c r="CC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474">
        <v>767.0</v>
      </c>
      <c r="AB770" s="474">
        <f t="shared" si="10"/>
        <v>772</v>
      </c>
      <c r="AC770" s="476">
        <f t="shared" si="11"/>
        <v>1027</v>
      </c>
      <c r="AD770" s="474">
        <f t="shared" si="12"/>
        <v>1280</v>
      </c>
      <c r="AE770" s="474">
        <f t="shared" si="13"/>
        <v>844</v>
      </c>
      <c r="AF770" s="474">
        <f t="shared" si="14"/>
        <v>1027</v>
      </c>
      <c r="AG770" s="102"/>
      <c r="AH770" s="102"/>
      <c r="AI770" s="102"/>
      <c r="AJ770" s="102"/>
      <c r="AK770" s="102"/>
      <c r="AL770" s="102"/>
      <c r="AM770" s="102"/>
      <c r="AN770" s="102"/>
      <c r="AO770" s="102"/>
      <c r="AP770" s="102"/>
      <c r="AQ770" s="102"/>
      <c r="AR770" s="102"/>
      <c r="AS770" s="102"/>
      <c r="AT770" s="102"/>
      <c r="AU770" s="102"/>
      <c r="AV770" s="102"/>
      <c r="AW770" s="102"/>
      <c r="AX770" s="102"/>
      <c r="AY770" s="102"/>
      <c r="AZ770" s="102"/>
      <c r="BA770" s="102"/>
      <c r="BB770" s="102"/>
      <c r="BC770" s="102"/>
      <c r="BD770" s="102"/>
      <c r="BE770" s="102"/>
      <c r="BF770" s="102"/>
      <c r="BG770" s="102"/>
      <c r="BH770" s="102"/>
      <c r="BI770" s="102"/>
      <c r="BJ770" s="102"/>
      <c r="BK770" s="102"/>
      <c r="BL770" s="102"/>
      <c r="BM770" s="102"/>
      <c r="BN770" s="102"/>
      <c r="BO770" s="102"/>
      <c r="BP770" s="102"/>
      <c r="BQ770" s="102"/>
      <c r="BR770" s="102"/>
      <c r="BS770" s="102"/>
      <c r="BT770" s="102"/>
      <c r="BU770" s="102"/>
      <c r="BV770" s="102"/>
      <c r="BW770" s="102"/>
      <c r="BX770" s="102"/>
      <c r="BY770" s="102"/>
      <c r="BZ770" s="102"/>
      <c r="CA770" s="464"/>
      <c r="CB770" s="102"/>
      <c r="CC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474">
        <v>768.0</v>
      </c>
      <c r="AB771" s="474">
        <f t="shared" si="10"/>
        <v>773</v>
      </c>
      <c r="AC771" s="476">
        <f t="shared" si="11"/>
        <v>1029</v>
      </c>
      <c r="AD771" s="474">
        <f t="shared" si="12"/>
        <v>1282</v>
      </c>
      <c r="AE771" s="474">
        <f t="shared" si="13"/>
        <v>845</v>
      </c>
      <c r="AF771" s="474">
        <f t="shared" si="14"/>
        <v>1029</v>
      </c>
      <c r="AG771" s="102"/>
      <c r="AH771" s="102"/>
      <c r="AI771" s="102"/>
      <c r="AJ771" s="102"/>
      <c r="AK771" s="102"/>
      <c r="AL771" s="102"/>
      <c r="AM771" s="102"/>
      <c r="AN771" s="102"/>
      <c r="AO771" s="102"/>
      <c r="AP771" s="102"/>
      <c r="AQ771" s="102"/>
      <c r="AR771" s="102"/>
      <c r="AS771" s="102"/>
      <c r="AT771" s="102"/>
      <c r="AU771" s="102"/>
      <c r="AV771" s="102"/>
      <c r="AW771" s="102"/>
      <c r="AX771" s="102"/>
      <c r="AY771" s="102"/>
      <c r="AZ771" s="102"/>
      <c r="BA771" s="102"/>
      <c r="BB771" s="102"/>
      <c r="BC771" s="102"/>
      <c r="BD771" s="102"/>
      <c r="BE771" s="102"/>
      <c r="BF771" s="102"/>
      <c r="BG771" s="102"/>
      <c r="BH771" s="102"/>
      <c r="BI771" s="102"/>
      <c r="BJ771" s="102"/>
      <c r="BK771" s="102"/>
      <c r="BL771" s="102"/>
      <c r="BM771" s="102"/>
      <c r="BN771" s="102"/>
      <c r="BO771" s="102"/>
      <c r="BP771" s="102"/>
      <c r="BQ771" s="102"/>
      <c r="BR771" s="102"/>
      <c r="BS771" s="102"/>
      <c r="BT771" s="102"/>
      <c r="BU771" s="102"/>
      <c r="BV771" s="102"/>
      <c r="BW771" s="102"/>
      <c r="BX771" s="102"/>
      <c r="BY771" s="102"/>
      <c r="BZ771" s="102"/>
      <c r="CA771" s="464"/>
      <c r="CB771" s="102"/>
      <c r="CC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474">
        <v>769.0</v>
      </c>
      <c r="AB772" s="474">
        <f t="shared" si="10"/>
        <v>774</v>
      </c>
      <c r="AC772" s="476">
        <f t="shared" si="11"/>
        <v>1030</v>
      </c>
      <c r="AD772" s="474">
        <f t="shared" si="12"/>
        <v>1284</v>
      </c>
      <c r="AE772" s="474">
        <f t="shared" si="13"/>
        <v>846</v>
      </c>
      <c r="AF772" s="474">
        <f t="shared" si="14"/>
        <v>1030</v>
      </c>
      <c r="AG772" s="102"/>
      <c r="AH772" s="102"/>
      <c r="AI772" s="102"/>
      <c r="AJ772" s="102"/>
      <c r="AK772" s="102"/>
      <c r="AL772" s="102"/>
      <c r="AM772" s="102"/>
      <c r="AN772" s="102"/>
      <c r="AO772" s="102"/>
      <c r="AP772" s="102"/>
      <c r="AQ772" s="102"/>
      <c r="AR772" s="102"/>
      <c r="AS772" s="102"/>
      <c r="AT772" s="102"/>
      <c r="AU772" s="102"/>
      <c r="AV772" s="102"/>
      <c r="AW772" s="102"/>
      <c r="AX772" s="102"/>
      <c r="AY772" s="102"/>
      <c r="AZ772" s="102"/>
      <c r="BA772" s="102"/>
      <c r="BB772" s="102"/>
      <c r="BC772" s="102"/>
      <c r="BD772" s="102"/>
      <c r="BE772" s="102"/>
      <c r="BF772" s="102"/>
      <c r="BG772" s="102"/>
      <c r="BH772" s="102"/>
      <c r="BI772" s="102"/>
      <c r="BJ772" s="102"/>
      <c r="BK772" s="102"/>
      <c r="BL772" s="102"/>
      <c r="BM772" s="102"/>
      <c r="BN772" s="102"/>
      <c r="BO772" s="102"/>
      <c r="BP772" s="102"/>
      <c r="BQ772" s="102"/>
      <c r="BR772" s="102"/>
      <c r="BS772" s="102"/>
      <c r="BT772" s="102"/>
      <c r="BU772" s="102"/>
      <c r="BV772" s="102"/>
      <c r="BW772" s="102"/>
      <c r="BX772" s="102"/>
      <c r="BY772" s="102"/>
      <c r="BZ772" s="102"/>
      <c r="CA772" s="464"/>
      <c r="CB772" s="102"/>
      <c r="CC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474">
        <v>770.0</v>
      </c>
      <c r="AB773" s="474">
        <f t="shared" si="10"/>
        <v>775</v>
      </c>
      <c r="AC773" s="476">
        <f t="shared" si="11"/>
        <v>1031</v>
      </c>
      <c r="AD773" s="474">
        <f t="shared" si="12"/>
        <v>1285</v>
      </c>
      <c r="AE773" s="474">
        <f t="shared" si="13"/>
        <v>847</v>
      </c>
      <c r="AF773" s="474">
        <f t="shared" si="14"/>
        <v>1031</v>
      </c>
      <c r="AG773" s="102"/>
      <c r="AH773" s="102"/>
      <c r="AI773" s="102"/>
      <c r="AJ773" s="102"/>
      <c r="AK773" s="102"/>
      <c r="AL773" s="102"/>
      <c r="AM773" s="102"/>
      <c r="AN773" s="102"/>
      <c r="AO773" s="102"/>
      <c r="AP773" s="102"/>
      <c r="AQ773" s="102"/>
      <c r="AR773" s="102"/>
      <c r="AS773" s="102"/>
      <c r="AT773" s="102"/>
      <c r="AU773" s="102"/>
      <c r="AV773" s="102"/>
      <c r="AW773" s="102"/>
      <c r="AX773" s="102"/>
      <c r="AY773" s="102"/>
      <c r="AZ773" s="102"/>
      <c r="BA773" s="102"/>
      <c r="BB773" s="102"/>
      <c r="BC773" s="102"/>
      <c r="BD773" s="102"/>
      <c r="BE773" s="102"/>
      <c r="BF773" s="102"/>
      <c r="BG773" s="102"/>
      <c r="BH773" s="102"/>
      <c r="BI773" s="102"/>
      <c r="BJ773" s="102"/>
      <c r="BK773" s="102"/>
      <c r="BL773" s="102"/>
      <c r="BM773" s="102"/>
      <c r="BN773" s="102"/>
      <c r="BO773" s="102"/>
      <c r="BP773" s="102"/>
      <c r="BQ773" s="102"/>
      <c r="BR773" s="102"/>
      <c r="BS773" s="102"/>
      <c r="BT773" s="102"/>
      <c r="BU773" s="102"/>
      <c r="BV773" s="102"/>
      <c r="BW773" s="102"/>
      <c r="BX773" s="102"/>
      <c r="BY773" s="102"/>
      <c r="BZ773" s="102"/>
      <c r="CA773" s="464"/>
      <c r="CB773" s="102"/>
      <c r="CC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474">
        <v>771.0</v>
      </c>
      <c r="AB774" s="474">
        <f t="shared" si="10"/>
        <v>776</v>
      </c>
      <c r="AC774" s="476">
        <f t="shared" si="11"/>
        <v>1033</v>
      </c>
      <c r="AD774" s="474">
        <f t="shared" si="12"/>
        <v>1287</v>
      </c>
      <c r="AE774" s="474">
        <f t="shared" si="13"/>
        <v>849</v>
      </c>
      <c r="AF774" s="474">
        <f t="shared" si="14"/>
        <v>1033</v>
      </c>
      <c r="AG774" s="102"/>
      <c r="AH774" s="102"/>
      <c r="AI774" s="102"/>
      <c r="AJ774" s="102"/>
      <c r="AK774" s="102"/>
      <c r="AL774" s="102"/>
      <c r="AM774" s="102"/>
      <c r="AN774" s="102"/>
      <c r="AO774" s="102"/>
      <c r="AP774" s="102"/>
      <c r="AQ774" s="102"/>
      <c r="AR774" s="102"/>
      <c r="AS774" s="102"/>
      <c r="AT774" s="102"/>
      <c r="AU774" s="102"/>
      <c r="AV774" s="102"/>
      <c r="AW774" s="102"/>
      <c r="AX774" s="102"/>
      <c r="AY774" s="102"/>
      <c r="AZ774" s="102"/>
      <c r="BA774" s="102"/>
      <c r="BB774" s="102"/>
      <c r="BC774" s="102"/>
      <c r="BD774" s="102"/>
      <c r="BE774" s="102"/>
      <c r="BF774" s="102"/>
      <c r="BG774" s="102"/>
      <c r="BH774" s="102"/>
      <c r="BI774" s="102"/>
      <c r="BJ774" s="102"/>
      <c r="BK774" s="102"/>
      <c r="BL774" s="102"/>
      <c r="BM774" s="102"/>
      <c r="BN774" s="102"/>
      <c r="BO774" s="102"/>
      <c r="BP774" s="102"/>
      <c r="BQ774" s="102"/>
      <c r="BR774" s="102"/>
      <c r="BS774" s="102"/>
      <c r="BT774" s="102"/>
      <c r="BU774" s="102"/>
      <c r="BV774" s="102"/>
      <c r="BW774" s="102"/>
      <c r="BX774" s="102"/>
      <c r="BY774" s="102"/>
      <c r="BZ774" s="102"/>
      <c r="CA774" s="464"/>
      <c r="CB774" s="102"/>
      <c r="CC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474">
        <v>772.0</v>
      </c>
      <c r="AB775" s="474">
        <f t="shared" si="10"/>
        <v>777</v>
      </c>
      <c r="AC775" s="476">
        <f t="shared" si="11"/>
        <v>1034</v>
      </c>
      <c r="AD775" s="474">
        <f t="shared" si="12"/>
        <v>1289</v>
      </c>
      <c r="AE775" s="474">
        <f t="shared" si="13"/>
        <v>850</v>
      </c>
      <c r="AF775" s="474">
        <f t="shared" si="14"/>
        <v>1034</v>
      </c>
      <c r="AG775" s="102"/>
      <c r="AH775" s="102"/>
      <c r="AI775" s="102"/>
      <c r="AJ775" s="102"/>
      <c r="AK775" s="102"/>
      <c r="AL775" s="102"/>
      <c r="AM775" s="102"/>
      <c r="AN775" s="102"/>
      <c r="AO775" s="102"/>
      <c r="AP775" s="102"/>
      <c r="AQ775" s="102"/>
      <c r="AR775" s="102"/>
      <c r="AS775" s="102"/>
      <c r="AT775" s="102"/>
      <c r="AU775" s="102"/>
      <c r="AV775" s="102"/>
      <c r="AW775" s="102"/>
      <c r="AX775" s="102"/>
      <c r="AY775" s="102"/>
      <c r="AZ775" s="102"/>
      <c r="BA775" s="102"/>
      <c r="BB775" s="102"/>
      <c r="BC775" s="102"/>
      <c r="BD775" s="102"/>
      <c r="BE775" s="102"/>
      <c r="BF775" s="102"/>
      <c r="BG775" s="102"/>
      <c r="BH775" s="102"/>
      <c r="BI775" s="102"/>
      <c r="BJ775" s="102"/>
      <c r="BK775" s="102"/>
      <c r="BL775" s="102"/>
      <c r="BM775" s="102"/>
      <c r="BN775" s="102"/>
      <c r="BO775" s="102"/>
      <c r="BP775" s="102"/>
      <c r="BQ775" s="102"/>
      <c r="BR775" s="102"/>
      <c r="BS775" s="102"/>
      <c r="BT775" s="102"/>
      <c r="BU775" s="102"/>
      <c r="BV775" s="102"/>
      <c r="BW775" s="102"/>
      <c r="BX775" s="102"/>
      <c r="BY775" s="102"/>
      <c r="BZ775" s="102"/>
      <c r="CA775" s="464"/>
      <c r="CB775" s="102"/>
      <c r="CC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474">
        <v>773.0</v>
      </c>
      <c r="AB776" s="474">
        <f t="shared" si="10"/>
        <v>778</v>
      </c>
      <c r="AC776" s="476">
        <f t="shared" si="11"/>
        <v>1035</v>
      </c>
      <c r="AD776" s="474">
        <f t="shared" si="12"/>
        <v>1290</v>
      </c>
      <c r="AE776" s="474">
        <f t="shared" si="13"/>
        <v>851</v>
      </c>
      <c r="AF776" s="474">
        <f t="shared" si="14"/>
        <v>1035</v>
      </c>
      <c r="AG776" s="102"/>
      <c r="AH776" s="102"/>
      <c r="AI776" s="102"/>
      <c r="AJ776" s="102"/>
      <c r="AK776" s="102"/>
      <c r="AL776" s="102"/>
      <c r="AM776" s="102"/>
      <c r="AN776" s="102"/>
      <c r="AO776" s="102"/>
      <c r="AP776" s="102"/>
      <c r="AQ776" s="102"/>
      <c r="AR776" s="102"/>
      <c r="AS776" s="102"/>
      <c r="AT776" s="102"/>
      <c r="AU776" s="102"/>
      <c r="AV776" s="102"/>
      <c r="AW776" s="102"/>
      <c r="AX776" s="102"/>
      <c r="AY776" s="102"/>
      <c r="AZ776" s="102"/>
      <c r="BA776" s="102"/>
      <c r="BB776" s="102"/>
      <c r="BC776" s="102"/>
      <c r="BD776" s="102"/>
      <c r="BE776" s="102"/>
      <c r="BF776" s="102"/>
      <c r="BG776" s="102"/>
      <c r="BH776" s="102"/>
      <c r="BI776" s="102"/>
      <c r="BJ776" s="102"/>
      <c r="BK776" s="102"/>
      <c r="BL776" s="102"/>
      <c r="BM776" s="102"/>
      <c r="BN776" s="102"/>
      <c r="BO776" s="102"/>
      <c r="BP776" s="102"/>
      <c r="BQ776" s="102"/>
      <c r="BR776" s="102"/>
      <c r="BS776" s="102"/>
      <c r="BT776" s="102"/>
      <c r="BU776" s="102"/>
      <c r="BV776" s="102"/>
      <c r="BW776" s="102"/>
      <c r="BX776" s="102"/>
      <c r="BY776" s="102"/>
      <c r="BZ776" s="102"/>
      <c r="CA776" s="464"/>
      <c r="CB776" s="102"/>
      <c r="CC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474">
        <v>774.0</v>
      </c>
      <c r="AB777" s="474">
        <f t="shared" si="10"/>
        <v>779</v>
      </c>
      <c r="AC777" s="476">
        <f t="shared" si="11"/>
        <v>1037</v>
      </c>
      <c r="AD777" s="474">
        <f t="shared" si="12"/>
        <v>1292</v>
      </c>
      <c r="AE777" s="474">
        <f t="shared" si="13"/>
        <v>852</v>
      </c>
      <c r="AF777" s="474">
        <f t="shared" si="14"/>
        <v>1037</v>
      </c>
      <c r="AG777" s="102"/>
      <c r="AH777" s="102"/>
      <c r="AI777" s="102"/>
      <c r="AJ777" s="102"/>
      <c r="AK777" s="102"/>
      <c r="AL777" s="102"/>
      <c r="AM777" s="102"/>
      <c r="AN777" s="102"/>
      <c r="AO777" s="102"/>
      <c r="AP777" s="102"/>
      <c r="AQ777" s="102"/>
      <c r="AR777" s="102"/>
      <c r="AS777" s="102"/>
      <c r="AT777" s="102"/>
      <c r="AU777" s="102"/>
      <c r="AV777" s="102"/>
      <c r="AW777" s="102"/>
      <c r="AX777" s="102"/>
      <c r="AY777" s="102"/>
      <c r="AZ777" s="102"/>
      <c r="BA777" s="102"/>
      <c r="BB777" s="102"/>
      <c r="BC777" s="102"/>
      <c r="BD777" s="102"/>
      <c r="BE777" s="102"/>
      <c r="BF777" s="102"/>
      <c r="BG777" s="102"/>
      <c r="BH777" s="102"/>
      <c r="BI777" s="102"/>
      <c r="BJ777" s="102"/>
      <c r="BK777" s="102"/>
      <c r="BL777" s="102"/>
      <c r="BM777" s="102"/>
      <c r="BN777" s="102"/>
      <c r="BO777" s="102"/>
      <c r="BP777" s="102"/>
      <c r="BQ777" s="102"/>
      <c r="BR777" s="102"/>
      <c r="BS777" s="102"/>
      <c r="BT777" s="102"/>
      <c r="BU777" s="102"/>
      <c r="BV777" s="102"/>
      <c r="BW777" s="102"/>
      <c r="BX777" s="102"/>
      <c r="BY777" s="102"/>
      <c r="BZ777" s="102"/>
      <c r="CA777" s="464"/>
      <c r="CB777" s="102"/>
      <c r="CC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474">
        <v>775.0</v>
      </c>
      <c r="AB778" s="474">
        <f t="shared" si="10"/>
        <v>780</v>
      </c>
      <c r="AC778" s="476">
        <f t="shared" si="11"/>
        <v>1038</v>
      </c>
      <c r="AD778" s="474">
        <f t="shared" si="12"/>
        <v>1294</v>
      </c>
      <c r="AE778" s="474">
        <f t="shared" si="13"/>
        <v>853</v>
      </c>
      <c r="AF778" s="474">
        <f t="shared" si="14"/>
        <v>1038</v>
      </c>
      <c r="AG778" s="102"/>
      <c r="AH778" s="102"/>
      <c r="AI778" s="102"/>
      <c r="AJ778" s="102"/>
      <c r="AK778" s="102"/>
      <c r="AL778" s="102"/>
      <c r="AM778" s="102"/>
      <c r="AN778" s="102"/>
      <c r="AO778" s="102"/>
      <c r="AP778" s="102"/>
      <c r="AQ778" s="102"/>
      <c r="AR778" s="102"/>
      <c r="AS778" s="102"/>
      <c r="AT778" s="102"/>
      <c r="AU778" s="102"/>
      <c r="AV778" s="102"/>
      <c r="AW778" s="102"/>
      <c r="AX778" s="102"/>
      <c r="AY778" s="102"/>
      <c r="AZ778" s="102"/>
      <c r="BA778" s="102"/>
      <c r="BB778" s="102"/>
      <c r="BC778" s="102"/>
      <c r="BD778" s="102"/>
      <c r="BE778" s="102"/>
      <c r="BF778" s="102"/>
      <c r="BG778" s="102"/>
      <c r="BH778" s="102"/>
      <c r="BI778" s="102"/>
      <c r="BJ778" s="102"/>
      <c r="BK778" s="102"/>
      <c r="BL778" s="102"/>
      <c r="BM778" s="102"/>
      <c r="BN778" s="102"/>
      <c r="BO778" s="102"/>
      <c r="BP778" s="102"/>
      <c r="BQ778" s="102"/>
      <c r="BR778" s="102"/>
      <c r="BS778" s="102"/>
      <c r="BT778" s="102"/>
      <c r="BU778" s="102"/>
      <c r="BV778" s="102"/>
      <c r="BW778" s="102"/>
      <c r="BX778" s="102"/>
      <c r="BY778" s="102"/>
      <c r="BZ778" s="102"/>
      <c r="CA778" s="464"/>
      <c r="CB778" s="102"/>
      <c r="CC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474">
        <v>776.0</v>
      </c>
      <c r="AB779" s="474">
        <f t="shared" si="10"/>
        <v>781</v>
      </c>
      <c r="AC779" s="476">
        <f t="shared" si="11"/>
        <v>1039</v>
      </c>
      <c r="AD779" s="474">
        <f t="shared" si="12"/>
        <v>1295</v>
      </c>
      <c r="AE779" s="474">
        <f t="shared" si="13"/>
        <v>854</v>
      </c>
      <c r="AF779" s="474">
        <f t="shared" si="14"/>
        <v>1039</v>
      </c>
      <c r="AG779" s="102"/>
      <c r="AH779" s="102"/>
      <c r="AI779" s="102"/>
      <c r="AJ779" s="102"/>
      <c r="AK779" s="102"/>
      <c r="AL779" s="102"/>
      <c r="AM779" s="102"/>
      <c r="AN779" s="102"/>
      <c r="AO779" s="102"/>
      <c r="AP779" s="102"/>
      <c r="AQ779" s="102"/>
      <c r="AR779" s="102"/>
      <c r="AS779" s="102"/>
      <c r="AT779" s="102"/>
      <c r="AU779" s="102"/>
      <c r="AV779" s="102"/>
      <c r="AW779" s="102"/>
      <c r="AX779" s="102"/>
      <c r="AY779" s="102"/>
      <c r="AZ779" s="102"/>
      <c r="BA779" s="102"/>
      <c r="BB779" s="102"/>
      <c r="BC779" s="102"/>
      <c r="BD779" s="102"/>
      <c r="BE779" s="102"/>
      <c r="BF779" s="102"/>
      <c r="BG779" s="102"/>
      <c r="BH779" s="102"/>
      <c r="BI779" s="102"/>
      <c r="BJ779" s="102"/>
      <c r="BK779" s="102"/>
      <c r="BL779" s="102"/>
      <c r="BM779" s="102"/>
      <c r="BN779" s="102"/>
      <c r="BO779" s="102"/>
      <c r="BP779" s="102"/>
      <c r="BQ779" s="102"/>
      <c r="BR779" s="102"/>
      <c r="BS779" s="102"/>
      <c r="BT779" s="102"/>
      <c r="BU779" s="102"/>
      <c r="BV779" s="102"/>
      <c r="BW779" s="102"/>
      <c r="BX779" s="102"/>
      <c r="BY779" s="102"/>
      <c r="BZ779" s="102"/>
      <c r="CA779" s="464"/>
      <c r="CB779" s="102"/>
      <c r="CC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474">
        <v>777.0</v>
      </c>
      <c r="AB780" s="474">
        <f t="shared" si="10"/>
        <v>782</v>
      </c>
      <c r="AC780" s="476">
        <f t="shared" si="11"/>
        <v>1041</v>
      </c>
      <c r="AD780" s="474">
        <f t="shared" si="12"/>
        <v>1297</v>
      </c>
      <c r="AE780" s="474">
        <f t="shared" si="13"/>
        <v>855</v>
      </c>
      <c r="AF780" s="474">
        <f t="shared" si="14"/>
        <v>1041</v>
      </c>
      <c r="AG780" s="102"/>
      <c r="AH780" s="102"/>
      <c r="AI780" s="102"/>
      <c r="AJ780" s="102"/>
      <c r="AK780" s="102"/>
      <c r="AL780" s="102"/>
      <c r="AM780" s="102"/>
      <c r="AN780" s="102"/>
      <c r="AO780" s="102"/>
      <c r="AP780" s="102"/>
      <c r="AQ780" s="102"/>
      <c r="AR780" s="102"/>
      <c r="AS780" s="102"/>
      <c r="AT780" s="102"/>
      <c r="AU780" s="102"/>
      <c r="AV780" s="102"/>
      <c r="AW780" s="102"/>
      <c r="AX780" s="102"/>
      <c r="AY780" s="102"/>
      <c r="AZ780" s="102"/>
      <c r="BA780" s="102"/>
      <c r="BB780" s="102"/>
      <c r="BC780" s="102"/>
      <c r="BD780" s="102"/>
      <c r="BE780" s="102"/>
      <c r="BF780" s="102"/>
      <c r="BG780" s="102"/>
      <c r="BH780" s="102"/>
      <c r="BI780" s="102"/>
      <c r="BJ780" s="102"/>
      <c r="BK780" s="102"/>
      <c r="BL780" s="102"/>
      <c r="BM780" s="102"/>
      <c r="BN780" s="102"/>
      <c r="BO780" s="102"/>
      <c r="BP780" s="102"/>
      <c r="BQ780" s="102"/>
      <c r="BR780" s="102"/>
      <c r="BS780" s="102"/>
      <c r="BT780" s="102"/>
      <c r="BU780" s="102"/>
      <c r="BV780" s="102"/>
      <c r="BW780" s="102"/>
      <c r="BX780" s="102"/>
      <c r="BY780" s="102"/>
      <c r="BZ780" s="102"/>
      <c r="CA780" s="464"/>
      <c r="CB780" s="102"/>
      <c r="CC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474">
        <v>778.0</v>
      </c>
      <c r="AB781" s="474">
        <f t="shared" si="10"/>
        <v>783</v>
      </c>
      <c r="AC781" s="476">
        <f t="shared" si="11"/>
        <v>1042</v>
      </c>
      <c r="AD781" s="474">
        <f t="shared" si="12"/>
        <v>1299</v>
      </c>
      <c r="AE781" s="474">
        <f t="shared" si="13"/>
        <v>856</v>
      </c>
      <c r="AF781" s="474">
        <f t="shared" si="14"/>
        <v>1042</v>
      </c>
      <c r="AG781" s="102"/>
      <c r="AH781" s="102"/>
      <c r="AI781" s="102"/>
      <c r="AJ781" s="102"/>
      <c r="AK781" s="102"/>
      <c r="AL781" s="102"/>
      <c r="AM781" s="102"/>
      <c r="AN781" s="102"/>
      <c r="AO781" s="102"/>
      <c r="AP781" s="102"/>
      <c r="AQ781" s="102"/>
      <c r="AR781" s="102"/>
      <c r="AS781" s="102"/>
      <c r="AT781" s="102"/>
      <c r="AU781" s="102"/>
      <c r="AV781" s="102"/>
      <c r="AW781" s="102"/>
      <c r="AX781" s="102"/>
      <c r="AY781" s="102"/>
      <c r="AZ781" s="102"/>
      <c r="BA781" s="102"/>
      <c r="BB781" s="102"/>
      <c r="BC781" s="102"/>
      <c r="BD781" s="102"/>
      <c r="BE781" s="102"/>
      <c r="BF781" s="102"/>
      <c r="BG781" s="102"/>
      <c r="BH781" s="102"/>
      <c r="BI781" s="102"/>
      <c r="BJ781" s="102"/>
      <c r="BK781" s="102"/>
      <c r="BL781" s="102"/>
      <c r="BM781" s="102"/>
      <c r="BN781" s="102"/>
      <c r="BO781" s="102"/>
      <c r="BP781" s="102"/>
      <c r="BQ781" s="102"/>
      <c r="BR781" s="102"/>
      <c r="BS781" s="102"/>
      <c r="BT781" s="102"/>
      <c r="BU781" s="102"/>
      <c r="BV781" s="102"/>
      <c r="BW781" s="102"/>
      <c r="BX781" s="102"/>
      <c r="BY781" s="102"/>
      <c r="BZ781" s="102"/>
      <c r="CA781" s="464"/>
      <c r="CB781" s="102"/>
      <c r="CC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474">
        <v>779.0</v>
      </c>
      <c r="AB782" s="474">
        <f t="shared" si="10"/>
        <v>784</v>
      </c>
      <c r="AC782" s="476">
        <f t="shared" si="11"/>
        <v>1043</v>
      </c>
      <c r="AD782" s="474">
        <f t="shared" si="12"/>
        <v>1300</v>
      </c>
      <c r="AE782" s="474">
        <f t="shared" si="13"/>
        <v>857</v>
      </c>
      <c r="AF782" s="474">
        <f t="shared" si="14"/>
        <v>1043</v>
      </c>
      <c r="AG782" s="102"/>
      <c r="AH782" s="102"/>
      <c r="AI782" s="102"/>
      <c r="AJ782" s="102"/>
      <c r="AK782" s="102"/>
      <c r="AL782" s="102"/>
      <c r="AM782" s="102"/>
      <c r="AN782" s="102"/>
      <c r="AO782" s="102"/>
      <c r="AP782" s="102"/>
      <c r="AQ782" s="102"/>
      <c r="AR782" s="102"/>
      <c r="AS782" s="102"/>
      <c r="AT782" s="102"/>
      <c r="AU782" s="102"/>
      <c r="AV782" s="102"/>
      <c r="AW782" s="102"/>
      <c r="AX782" s="102"/>
      <c r="AY782" s="102"/>
      <c r="AZ782" s="102"/>
      <c r="BA782" s="102"/>
      <c r="BB782" s="102"/>
      <c r="BC782" s="102"/>
      <c r="BD782" s="102"/>
      <c r="BE782" s="102"/>
      <c r="BF782" s="102"/>
      <c r="BG782" s="102"/>
      <c r="BH782" s="102"/>
      <c r="BI782" s="102"/>
      <c r="BJ782" s="102"/>
      <c r="BK782" s="102"/>
      <c r="BL782" s="102"/>
      <c r="BM782" s="102"/>
      <c r="BN782" s="102"/>
      <c r="BO782" s="102"/>
      <c r="BP782" s="102"/>
      <c r="BQ782" s="102"/>
      <c r="BR782" s="102"/>
      <c r="BS782" s="102"/>
      <c r="BT782" s="102"/>
      <c r="BU782" s="102"/>
      <c r="BV782" s="102"/>
      <c r="BW782" s="102"/>
      <c r="BX782" s="102"/>
      <c r="BY782" s="102"/>
      <c r="BZ782" s="102"/>
      <c r="CA782" s="464"/>
      <c r="CB782" s="102"/>
      <c r="CC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474">
        <v>780.0</v>
      </c>
      <c r="AB783" s="474">
        <f t="shared" si="10"/>
        <v>785</v>
      </c>
      <c r="AC783" s="476">
        <f t="shared" si="11"/>
        <v>1045</v>
      </c>
      <c r="AD783" s="474">
        <f t="shared" si="12"/>
        <v>1302</v>
      </c>
      <c r="AE783" s="474">
        <f t="shared" si="13"/>
        <v>858</v>
      </c>
      <c r="AF783" s="474">
        <f t="shared" si="14"/>
        <v>1045</v>
      </c>
      <c r="AG783" s="102"/>
      <c r="AH783" s="102"/>
      <c r="AI783" s="102"/>
      <c r="AJ783" s="102"/>
      <c r="AK783" s="102"/>
      <c r="AL783" s="102"/>
      <c r="AM783" s="102"/>
      <c r="AN783" s="102"/>
      <c r="AO783" s="102"/>
      <c r="AP783" s="102"/>
      <c r="AQ783" s="102"/>
      <c r="AR783" s="102"/>
      <c r="AS783" s="102"/>
      <c r="AT783" s="102"/>
      <c r="AU783" s="102"/>
      <c r="AV783" s="102"/>
      <c r="AW783" s="102"/>
      <c r="AX783" s="102"/>
      <c r="AY783" s="102"/>
      <c r="AZ783" s="102"/>
      <c r="BA783" s="102"/>
      <c r="BB783" s="102"/>
      <c r="BC783" s="102"/>
      <c r="BD783" s="102"/>
      <c r="BE783" s="102"/>
      <c r="BF783" s="102"/>
      <c r="BG783" s="102"/>
      <c r="BH783" s="102"/>
      <c r="BI783" s="102"/>
      <c r="BJ783" s="102"/>
      <c r="BK783" s="102"/>
      <c r="BL783" s="102"/>
      <c r="BM783" s="102"/>
      <c r="BN783" s="102"/>
      <c r="BO783" s="102"/>
      <c r="BP783" s="102"/>
      <c r="BQ783" s="102"/>
      <c r="BR783" s="102"/>
      <c r="BS783" s="102"/>
      <c r="BT783" s="102"/>
      <c r="BU783" s="102"/>
      <c r="BV783" s="102"/>
      <c r="BW783" s="102"/>
      <c r="BX783" s="102"/>
      <c r="BY783" s="102"/>
      <c r="BZ783" s="102"/>
      <c r="CA783" s="464"/>
      <c r="CB783" s="102"/>
      <c r="CC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474">
        <v>781.0</v>
      </c>
      <c r="AB784" s="474">
        <f t="shared" si="10"/>
        <v>786</v>
      </c>
      <c r="AC784" s="476">
        <f t="shared" si="11"/>
        <v>1046</v>
      </c>
      <c r="AD784" s="474">
        <f t="shared" si="12"/>
        <v>1304</v>
      </c>
      <c r="AE784" s="474">
        <f t="shared" si="13"/>
        <v>860</v>
      </c>
      <c r="AF784" s="474">
        <f t="shared" si="14"/>
        <v>1046</v>
      </c>
      <c r="AG784" s="102"/>
      <c r="AH784" s="102"/>
      <c r="AI784" s="102"/>
      <c r="AJ784" s="102"/>
      <c r="AK784" s="102"/>
      <c r="AL784" s="102"/>
      <c r="AM784" s="102"/>
      <c r="AN784" s="102"/>
      <c r="AO784" s="102"/>
      <c r="AP784" s="102"/>
      <c r="AQ784" s="102"/>
      <c r="AR784" s="102"/>
      <c r="AS784" s="102"/>
      <c r="AT784" s="102"/>
      <c r="AU784" s="102"/>
      <c r="AV784" s="102"/>
      <c r="AW784" s="102"/>
      <c r="AX784" s="102"/>
      <c r="AY784" s="102"/>
      <c r="AZ784" s="102"/>
      <c r="BA784" s="102"/>
      <c r="BB784" s="102"/>
      <c r="BC784" s="102"/>
      <c r="BD784" s="102"/>
      <c r="BE784" s="102"/>
      <c r="BF784" s="102"/>
      <c r="BG784" s="102"/>
      <c r="BH784" s="102"/>
      <c r="BI784" s="102"/>
      <c r="BJ784" s="102"/>
      <c r="BK784" s="102"/>
      <c r="BL784" s="102"/>
      <c r="BM784" s="102"/>
      <c r="BN784" s="102"/>
      <c r="BO784" s="102"/>
      <c r="BP784" s="102"/>
      <c r="BQ784" s="102"/>
      <c r="BR784" s="102"/>
      <c r="BS784" s="102"/>
      <c r="BT784" s="102"/>
      <c r="BU784" s="102"/>
      <c r="BV784" s="102"/>
      <c r="BW784" s="102"/>
      <c r="BX784" s="102"/>
      <c r="BY784" s="102"/>
      <c r="BZ784" s="102"/>
      <c r="CA784" s="464"/>
      <c r="CB784" s="102"/>
      <c r="CC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474">
        <v>782.0</v>
      </c>
      <c r="AB785" s="474">
        <f t="shared" si="10"/>
        <v>787</v>
      </c>
      <c r="AC785" s="476">
        <f t="shared" si="11"/>
        <v>1047</v>
      </c>
      <c r="AD785" s="474">
        <f t="shared" si="12"/>
        <v>1305</v>
      </c>
      <c r="AE785" s="474">
        <f t="shared" si="13"/>
        <v>861</v>
      </c>
      <c r="AF785" s="474">
        <f t="shared" si="14"/>
        <v>1047</v>
      </c>
      <c r="AG785" s="102"/>
      <c r="AH785" s="102"/>
      <c r="AI785" s="102"/>
      <c r="AJ785" s="102"/>
      <c r="AK785" s="102"/>
      <c r="AL785" s="102"/>
      <c r="AM785" s="102"/>
      <c r="AN785" s="102"/>
      <c r="AO785" s="102"/>
      <c r="AP785" s="102"/>
      <c r="AQ785" s="102"/>
      <c r="AR785" s="102"/>
      <c r="AS785" s="102"/>
      <c r="AT785" s="102"/>
      <c r="AU785" s="102"/>
      <c r="AV785" s="102"/>
      <c r="AW785" s="102"/>
      <c r="AX785" s="102"/>
      <c r="AY785" s="102"/>
      <c r="AZ785" s="102"/>
      <c r="BA785" s="102"/>
      <c r="BB785" s="102"/>
      <c r="BC785" s="102"/>
      <c r="BD785" s="102"/>
      <c r="BE785" s="102"/>
      <c r="BF785" s="102"/>
      <c r="BG785" s="102"/>
      <c r="BH785" s="102"/>
      <c r="BI785" s="102"/>
      <c r="BJ785" s="102"/>
      <c r="BK785" s="102"/>
      <c r="BL785" s="102"/>
      <c r="BM785" s="102"/>
      <c r="BN785" s="102"/>
      <c r="BO785" s="102"/>
      <c r="BP785" s="102"/>
      <c r="BQ785" s="102"/>
      <c r="BR785" s="102"/>
      <c r="BS785" s="102"/>
      <c r="BT785" s="102"/>
      <c r="BU785" s="102"/>
      <c r="BV785" s="102"/>
      <c r="BW785" s="102"/>
      <c r="BX785" s="102"/>
      <c r="BY785" s="102"/>
      <c r="BZ785" s="102"/>
      <c r="CA785" s="464"/>
      <c r="CB785" s="102"/>
      <c r="CC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474">
        <v>783.0</v>
      </c>
      <c r="AB786" s="474">
        <f t="shared" si="10"/>
        <v>788</v>
      </c>
      <c r="AC786" s="476">
        <f t="shared" si="11"/>
        <v>1049</v>
      </c>
      <c r="AD786" s="474">
        <f t="shared" si="12"/>
        <v>1307</v>
      </c>
      <c r="AE786" s="474">
        <f t="shared" si="13"/>
        <v>862</v>
      </c>
      <c r="AF786" s="474">
        <f t="shared" si="14"/>
        <v>1049</v>
      </c>
      <c r="AG786" s="102"/>
      <c r="AH786" s="102"/>
      <c r="AI786" s="102"/>
      <c r="AJ786" s="102"/>
      <c r="AK786" s="102"/>
      <c r="AL786" s="102"/>
      <c r="AM786" s="102"/>
      <c r="AN786" s="102"/>
      <c r="AO786" s="102"/>
      <c r="AP786" s="102"/>
      <c r="AQ786" s="102"/>
      <c r="AR786" s="102"/>
      <c r="AS786" s="102"/>
      <c r="AT786" s="102"/>
      <c r="AU786" s="102"/>
      <c r="AV786" s="102"/>
      <c r="AW786" s="102"/>
      <c r="AX786" s="102"/>
      <c r="AY786" s="102"/>
      <c r="AZ786" s="102"/>
      <c r="BA786" s="102"/>
      <c r="BB786" s="102"/>
      <c r="BC786" s="102"/>
      <c r="BD786" s="102"/>
      <c r="BE786" s="102"/>
      <c r="BF786" s="102"/>
      <c r="BG786" s="102"/>
      <c r="BH786" s="102"/>
      <c r="BI786" s="102"/>
      <c r="BJ786" s="102"/>
      <c r="BK786" s="102"/>
      <c r="BL786" s="102"/>
      <c r="BM786" s="102"/>
      <c r="BN786" s="102"/>
      <c r="BO786" s="102"/>
      <c r="BP786" s="102"/>
      <c r="BQ786" s="102"/>
      <c r="BR786" s="102"/>
      <c r="BS786" s="102"/>
      <c r="BT786" s="102"/>
      <c r="BU786" s="102"/>
      <c r="BV786" s="102"/>
      <c r="BW786" s="102"/>
      <c r="BX786" s="102"/>
      <c r="BY786" s="102"/>
      <c r="BZ786" s="102"/>
      <c r="CA786" s="464"/>
      <c r="CB786" s="102"/>
      <c r="CC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474">
        <v>784.0</v>
      </c>
      <c r="AB787" s="474">
        <f t="shared" si="10"/>
        <v>789</v>
      </c>
      <c r="AC787" s="476">
        <f t="shared" si="11"/>
        <v>1050</v>
      </c>
      <c r="AD787" s="474">
        <f t="shared" si="12"/>
        <v>1309</v>
      </c>
      <c r="AE787" s="474">
        <f t="shared" si="13"/>
        <v>863</v>
      </c>
      <c r="AF787" s="474">
        <f t="shared" si="14"/>
        <v>1050</v>
      </c>
      <c r="AG787" s="102"/>
      <c r="AH787" s="102"/>
      <c r="AI787" s="102"/>
      <c r="AJ787" s="102"/>
      <c r="AK787" s="102"/>
      <c r="AL787" s="102"/>
      <c r="AM787" s="102"/>
      <c r="AN787" s="102"/>
      <c r="AO787" s="102"/>
      <c r="AP787" s="102"/>
      <c r="AQ787" s="102"/>
      <c r="AR787" s="102"/>
      <c r="AS787" s="102"/>
      <c r="AT787" s="102"/>
      <c r="AU787" s="102"/>
      <c r="AV787" s="102"/>
      <c r="AW787" s="102"/>
      <c r="AX787" s="102"/>
      <c r="AY787" s="102"/>
      <c r="AZ787" s="102"/>
      <c r="BA787" s="102"/>
      <c r="BB787" s="102"/>
      <c r="BC787" s="102"/>
      <c r="BD787" s="102"/>
      <c r="BE787" s="102"/>
      <c r="BF787" s="102"/>
      <c r="BG787" s="102"/>
      <c r="BH787" s="102"/>
      <c r="BI787" s="102"/>
      <c r="BJ787" s="102"/>
      <c r="BK787" s="102"/>
      <c r="BL787" s="102"/>
      <c r="BM787" s="102"/>
      <c r="BN787" s="102"/>
      <c r="BO787" s="102"/>
      <c r="BP787" s="102"/>
      <c r="BQ787" s="102"/>
      <c r="BR787" s="102"/>
      <c r="BS787" s="102"/>
      <c r="BT787" s="102"/>
      <c r="BU787" s="102"/>
      <c r="BV787" s="102"/>
      <c r="BW787" s="102"/>
      <c r="BX787" s="102"/>
      <c r="BY787" s="102"/>
      <c r="BZ787" s="102"/>
      <c r="CA787" s="464"/>
      <c r="CB787" s="102"/>
      <c r="CC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474">
        <v>785.0</v>
      </c>
      <c r="AB788" s="474">
        <f t="shared" si="10"/>
        <v>790</v>
      </c>
      <c r="AC788" s="476">
        <f t="shared" si="11"/>
        <v>1051</v>
      </c>
      <c r="AD788" s="474">
        <f t="shared" si="12"/>
        <v>1310</v>
      </c>
      <c r="AE788" s="474">
        <f t="shared" si="13"/>
        <v>864</v>
      </c>
      <c r="AF788" s="474">
        <f t="shared" si="14"/>
        <v>1051</v>
      </c>
      <c r="AG788" s="102"/>
      <c r="AH788" s="102"/>
      <c r="AI788" s="102"/>
      <c r="AJ788" s="102"/>
      <c r="AK788" s="102"/>
      <c r="AL788" s="102"/>
      <c r="AM788" s="102"/>
      <c r="AN788" s="102"/>
      <c r="AO788" s="102"/>
      <c r="AP788" s="102"/>
      <c r="AQ788" s="102"/>
      <c r="AR788" s="102"/>
      <c r="AS788" s="102"/>
      <c r="AT788" s="102"/>
      <c r="AU788" s="102"/>
      <c r="AV788" s="102"/>
      <c r="AW788" s="102"/>
      <c r="AX788" s="102"/>
      <c r="AY788" s="102"/>
      <c r="AZ788" s="102"/>
      <c r="BA788" s="102"/>
      <c r="BB788" s="102"/>
      <c r="BC788" s="102"/>
      <c r="BD788" s="102"/>
      <c r="BE788" s="102"/>
      <c r="BF788" s="102"/>
      <c r="BG788" s="102"/>
      <c r="BH788" s="102"/>
      <c r="BI788" s="102"/>
      <c r="BJ788" s="102"/>
      <c r="BK788" s="102"/>
      <c r="BL788" s="102"/>
      <c r="BM788" s="102"/>
      <c r="BN788" s="102"/>
      <c r="BO788" s="102"/>
      <c r="BP788" s="102"/>
      <c r="BQ788" s="102"/>
      <c r="BR788" s="102"/>
      <c r="BS788" s="102"/>
      <c r="BT788" s="102"/>
      <c r="BU788" s="102"/>
      <c r="BV788" s="102"/>
      <c r="BW788" s="102"/>
      <c r="BX788" s="102"/>
      <c r="BY788" s="102"/>
      <c r="BZ788" s="102"/>
      <c r="CA788" s="464"/>
      <c r="CB788" s="102"/>
      <c r="CC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474">
        <v>786.0</v>
      </c>
      <c r="AB789" s="474">
        <f t="shared" si="10"/>
        <v>791</v>
      </c>
      <c r="AC789" s="476">
        <f t="shared" si="11"/>
        <v>1053</v>
      </c>
      <c r="AD789" s="474">
        <f t="shared" si="12"/>
        <v>1312</v>
      </c>
      <c r="AE789" s="474">
        <f t="shared" si="13"/>
        <v>865</v>
      </c>
      <c r="AF789" s="474">
        <f t="shared" si="14"/>
        <v>1053</v>
      </c>
      <c r="AG789" s="102"/>
      <c r="AH789" s="102"/>
      <c r="AI789" s="102"/>
      <c r="AJ789" s="102"/>
      <c r="AK789" s="102"/>
      <c r="AL789" s="102"/>
      <c r="AM789" s="102"/>
      <c r="AN789" s="102"/>
      <c r="AO789" s="102"/>
      <c r="AP789" s="102"/>
      <c r="AQ789" s="102"/>
      <c r="AR789" s="102"/>
      <c r="AS789" s="102"/>
      <c r="AT789" s="102"/>
      <c r="AU789" s="102"/>
      <c r="AV789" s="102"/>
      <c r="AW789" s="102"/>
      <c r="AX789" s="102"/>
      <c r="AY789" s="102"/>
      <c r="AZ789" s="102"/>
      <c r="BA789" s="102"/>
      <c r="BB789" s="102"/>
      <c r="BC789" s="102"/>
      <c r="BD789" s="102"/>
      <c r="BE789" s="102"/>
      <c r="BF789" s="102"/>
      <c r="BG789" s="102"/>
      <c r="BH789" s="102"/>
      <c r="BI789" s="102"/>
      <c r="BJ789" s="102"/>
      <c r="BK789" s="102"/>
      <c r="BL789" s="102"/>
      <c r="BM789" s="102"/>
      <c r="BN789" s="102"/>
      <c r="BO789" s="102"/>
      <c r="BP789" s="102"/>
      <c r="BQ789" s="102"/>
      <c r="BR789" s="102"/>
      <c r="BS789" s="102"/>
      <c r="BT789" s="102"/>
      <c r="BU789" s="102"/>
      <c r="BV789" s="102"/>
      <c r="BW789" s="102"/>
      <c r="BX789" s="102"/>
      <c r="BY789" s="102"/>
      <c r="BZ789" s="102"/>
      <c r="CA789" s="464"/>
      <c r="CB789" s="102"/>
      <c r="CC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474">
        <v>787.0</v>
      </c>
      <c r="AB790" s="474">
        <f t="shared" si="10"/>
        <v>792</v>
      </c>
      <c r="AC790" s="476">
        <f t="shared" si="11"/>
        <v>1054</v>
      </c>
      <c r="AD790" s="474">
        <f t="shared" si="12"/>
        <v>1314</v>
      </c>
      <c r="AE790" s="474">
        <f t="shared" si="13"/>
        <v>866</v>
      </c>
      <c r="AF790" s="474">
        <f t="shared" si="14"/>
        <v>1054</v>
      </c>
      <c r="AG790" s="102"/>
      <c r="AH790" s="102"/>
      <c r="AI790" s="102"/>
      <c r="AJ790" s="102"/>
      <c r="AK790" s="102"/>
      <c r="AL790" s="102"/>
      <c r="AM790" s="102"/>
      <c r="AN790" s="102"/>
      <c r="AO790" s="102"/>
      <c r="AP790" s="102"/>
      <c r="AQ790" s="102"/>
      <c r="AR790" s="102"/>
      <c r="AS790" s="102"/>
      <c r="AT790" s="102"/>
      <c r="AU790" s="102"/>
      <c r="AV790" s="102"/>
      <c r="AW790" s="102"/>
      <c r="AX790" s="102"/>
      <c r="AY790" s="102"/>
      <c r="AZ790" s="102"/>
      <c r="BA790" s="102"/>
      <c r="BB790" s="102"/>
      <c r="BC790" s="102"/>
      <c r="BD790" s="102"/>
      <c r="BE790" s="102"/>
      <c r="BF790" s="102"/>
      <c r="BG790" s="102"/>
      <c r="BH790" s="102"/>
      <c r="BI790" s="102"/>
      <c r="BJ790" s="102"/>
      <c r="BK790" s="102"/>
      <c r="BL790" s="102"/>
      <c r="BM790" s="102"/>
      <c r="BN790" s="102"/>
      <c r="BO790" s="102"/>
      <c r="BP790" s="102"/>
      <c r="BQ790" s="102"/>
      <c r="BR790" s="102"/>
      <c r="BS790" s="102"/>
      <c r="BT790" s="102"/>
      <c r="BU790" s="102"/>
      <c r="BV790" s="102"/>
      <c r="BW790" s="102"/>
      <c r="BX790" s="102"/>
      <c r="BY790" s="102"/>
      <c r="BZ790" s="102"/>
      <c r="CA790" s="464"/>
      <c r="CB790" s="102"/>
      <c r="CC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474">
        <v>788.0</v>
      </c>
      <c r="AB791" s="474">
        <f t="shared" si="10"/>
        <v>793</v>
      </c>
      <c r="AC791" s="476">
        <f t="shared" si="11"/>
        <v>1055</v>
      </c>
      <c r="AD791" s="474">
        <f t="shared" si="12"/>
        <v>1315</v>
      </c>
      <c r="AE791" s="474">
        <f t="shared" si="13"/>
        <v>867</v>
      </c>
      <c r="AF791" s="474">
        <f t="shared" si="14"/>
        <v>1055</v>
      </c>
      <c r="AG791" s="102"/>
      <c r="AH791" s="102"/>
      <c r="AI791" s="102"/>
      <c r="AJ791" s="102"/>
      <c r="AK791" s="102"/>
      <c r="AL791" s="102"/>
      <c r="AM791" s="102"/>
      <c r="AN791" s="102"/>
      <c r="AO791" s="102"/>
      <c r="AP791" s="102"/>
      <c r="AQ791" s="102"/>
      <c r="AR791" s="102"/>
      <c r="AS791" s="102"/>
      <c r="AT791" s="102"/>
      <c r="AU791" s="102"/>
      <c r="AV791" s="102"/>
      <c r="AW791" s="102"/>
      <c r="AX791" s="102"/>
      <c r="AY791" s="102"/>
      <c r="AZ791" s="102"/>
      <c r="BA791" s="102"/>
      <c r="BB791" s="102"/>
      <c r="BC791" s="102"/>
      <c r="BD791" s="102"/>
      <c r="BE791" s="102"/>
      <c r="BF791" s="102"/>
      <c r="BG791" s="102"/>
      <c r="BH791" s="102"/>
      <c r="BI791" s="102"/>
      <c r="BJ791" s="102"/>
      <c r="BK791" s="102"/>
      <c r="BL791" s="102"/>
      <c r="BM791" s="102"/>
      <c r="BN791" s="102"/>
      <c r="BO791" s="102"/>
      <c r="BP791" s="102"/>
      <c r="BQ791" s="102"/>
      <c r="BR791" s="102"/>
      <c r="BS791" s="102"/>
      <c r="BT791" s="102"/>
      <c r="BU791" s="102"/>
      <c r="BV791" s="102"/>
      <c r="BW791" s="102"/>
      <c r="BX791" s="102"/>
      <c r="BY791" s="102"/>
      <c r="BZ791" s="102"/>
      <c r="CA791" s="464"/>
      <c r="CB791" s="102"/>
      <c r="CC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474">
        <v>789.0</v>
      </c>
      <c r="AB792" s="474">
        <f t="shared" si="10"/>
        <v>794</v>
      </c>
      <c r="AC792" s="476">
        <f t="shared" si="11"/>
        <v>1057</v>
      </c>
      <c r="AD792" s="474">
        <f t="shared" si="12"/>
        <v>1317</v>
      </c>
      <c r="AE792" s="474">
        <f t="shared" si="13"/>
        <v>868</v>
      </c>
      <c r="AF792" s="474">
        <f t="shared" si="14"/>
        <v>1057</v>
      </c>
      <c r="AG792" s="102"/>
      <c r="AH792" s="102"/>
      <c r="AI792" s="102"/>
      <c r="AJ792" s="102"/>
      <c r="AK792" s="102"/>
      <c r="AL792" s="102"/>
      <c r="AM792" s="102"/>
      <c r="AN792" s="102"/>
      <c r="AO792" s="102"/>
      <c r="AP792" s="102"/>
      <c r="AQ792" s="102"/>
      <c r="AR792" s="102"/>
      <c r="AS792" s="102"/>
      <c r="AT792" s="102"/>
      <c r="AU792" s="102"/>
      <c r="AV792" s="102"/>
      <c r="AW792" s="102"/>
      <c r="AX792" s="102"/>
      <c r="AY792" s="102"/>
      <c r="AZ792" s="102"/>
      <c r="BA792" s="102"/>
      <c r="BB792" s="102"/>
      <c r="BC792" s="102"/>
      <c r="BD792" s="102"/>
      <c r="BE792" s="102"/>
      <c r="BF792" s="102"/>
      <c r="BG792" s="102"/>
      <c r="BH792" s="102"/>
      <c r="BI792" s="102"/>
      <c r="BJ792" s="102"/>
      <c r="BK792" s="102"/>
      <c r="BL792" s="102"/>
      <c r="BM792" s="102"/>
      <c r="BN792" s="102"/>
      <c r="BO792" s="102"/>
      <c r="BP792" s="102"/>
      <c r="BQ792" s="102"/>
      <c r="BR792" s="102"/>
      <c r="BS792" s="102"/>
      <c r="BT792" s="102"/>
      <c r="BU792" s="102"/>
      <c r="BV792" s="102"/>
      <c r="BW792" s="102"/>
      <c r="BX792" s="102"/>
      <c r="BY792" s="102"/>
      <c r="BZ792" s="102"/>
      <c r="CA792" s="464"/>
      <c r="CB792" s="102"/>
      <c r="CC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474">
        <v>790.0</v>
      </c>
      <c r="AB793" s="474">
        <f t="shared" si="10"/>
        <v>795</v>
      </c>
      <c r="AC793" s="476">
        <f t="shared" si="11"/>
        <v>1058</v>
      </c>
      <c r="AD793" s="474">
        <f t="shared" si="12"/>
        <v>1319</v>
      </c>
      <c r="AE793" s="474">
        <f t="shared" si="13"/>
        <v>869</v>
      </c>
      <c r="AF793" s="474">
        <f t="shared" si="14"/>
        <v>1058</v>
      </c>
      <c r="AG793" s="102"/>
      <c r="AH793" s="102"/>
      <c r="AI793" s="102"/>
      <c r="AJ793" s="102"/>
      <c r="AK793" s="102"/>
      <c r="AL793" s="102"/>
      <c r="AM793" s="102"/>
      <c r="AN793" s="102"/>
      <c r="AO793" s="102"/>
      <c r="AP793" s="102"/>
      <c r="AQ793" s="102"/>
      <c r="AR793" s="102"/>
      <c r="AS793" s="102"/>
      <c r="AT793" s="102"/>
      <c r="AU793" s="102"/>
      <c r="AV793" s="102"/>
      <c r="AW793" s="102"/>
      <c r="AX793" s="102"/>
      <c r="AY793" s="102"/>
      <c r="AZ793" s="102"/>
      <c r="BA793" s="102"/>
      <c r="BB793" s="102"/>
      <c r="BC793" s="102"/>
      <c r="BD793" s="102"/>
      <c r="BE793" s="102"/>
      <c r="BF793" s="102"/>
      <c r="BG793" s="102"/>
      <c r="BH793" s="102"/>
      <c r="BI793" s="102"/>
      <c r="BJ793" s="102"/>
      <c r="BK793" s="102"/>
      <c r="BL793" s="102"/>
      <c r="BM793" s="102"/>
      <c r="BN793" s="102"/>
      <c r="BO793" s="102"/>
      <c r="BP793" s="102"/>
      <c r="BQ793" s="102"/>
      <c r="BR793" s="102"/>
      <c r="BS793" s="102"/>
      <c r="BT793" s="102"/>
      <c r="BU793" s="102"/>
      <c r="BV793" s="102"/>
      <c r="BW793" s="102"/>
      <c r="BX793" s="102"/>
      <c r="BY793" s="102"/>
      <c r="BZ793" s="102"/>
      <c r="CA793" s="464"/>
      <c r="CB793" s="102"/>
      <c r="CC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474">
        <v>791.0</v>
      </c>
      <c r="AB794" s="474">
        <f t="shared" si="10"/>
        <v>796</v>
      </c>
      <c r="AC794" s="476">
        <f t="shared" si="11"/>
        <v>1059</v>
      </c>
      <c r="AD794" s="474">
        <f t="shared" si="12"/>
        <v>1320</v>
      </c>
      <c r="AE794" s="474">
        <f t="shared" si="13"/>
        <v>871</v>
      </c>
      <c r="AF794" s="474">
        <f t="shared" si="14"/>
        <v>1059</v>
      </c>
      <c r="AG794" s="102"/>
      <c r="AH794" s="102"/>
      <c r="AI794" s="102"/>
      <c r="AJ794" s="102"/>
      <c r="AK794" s="102"/>
      <c r="AL794" s="102"/>
      <c r="AM794" s="102"/>
      <c r="AN794" s="102"/>
      <c r="AO794" s="102"/>
      <c r="AP794" s="102"/>
      <c r="AQ794" s="102"/>
      <c r="AR794" s="102"/>
      <c r="AS794" s="102"/>
      <c r="AT794" s="102"/>
      <c r="AU794" s="102"/>
      <c r="AV794" s="102"/>
      <c r="AW794" s="102"/>
      <c r="AX794" s="102"/>
      <c r="AY794" s="102"/>
      <c r="AZ794" s="102"/>
      <c r="BA794" s="102"/>
      <c r="BB794" s="102"/>
      <c r="BC794" s="102"/>
      <c r="BD794" s="102"/>
      <c r="BE794" s="102"/>
      <c r="BF794" s="102"/>
      <c r="BG794" s="102"/>
      <c r="BH794" s="102"/>
      <c r="BI794" s="102"/>
      <c r="BJ794" s="102"/>
      <c r="BK794" s="102"/>
      <c r="BL794" s="102"/>
      <c r="BM794" s="102"/>
      <c r="BN794" s="102"/>
      <c r="BO794" s="102"/>
      <c r="BP794" s="102"/>
      <c r="BQ794" s="102"/>
      <c r="BR794" s="102"/>
      <c r="BS794" s="102"/>
      <c r="BT794" s="102"/>
      <c r="BU794" s="102"/>
      <c r="BV794" s="102"/>
      <c r="BW794" s="102"/>
      <c r="BX794" s="102"/>
      <c r="BY794" s="102"/>
      <c r="BZ794" s="102"/>
      <c r="CA794" s="464"/>
      <c r="CB794" s="102"/>
      <c r="CC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474">
        <v>792.0</v>
      </c>
      <c r="AB795" s="474">
        <f t="shared" si="10"/>
        <v>797</v>
      </c>
      <c r="AC795" s="476">
        <f t="shared" si="11"/>
        <v>1061</v>
      </c>
      <c r="AD795" s="474">
        <f t="shared" si="12"/>
        <v>1322</v>
      </c>
      <c r="AE795" s="474">
        <f t="shared" si="13"/>
        <v>872</v>
      </c>
      <c r="AF795" s="474">
        <f t="shared" si="14"/>
        <v>1061</v>
      </c>
      <c r="AG795" s="102"/>
      <c r="AH795" s="102"/>
      <c r="AI795" s="102"/>
      <c r="AJ795" s="102"/>
      <c r="AK795" s="102"/>
      <c r="AL795" s="102"/>
      <c r="AM795" s="102"/>
      <c r="AN795" s="102"/>
      <c r="AO795" s="102"/>
      <c r="AP795" s="102"/>
      <c r="AQ795" s="102"/>
      <c r="AR795" s="102"/>
      <c r="AS795" s="102"/>
      <c r="AT795" s="102"/>
      <c r="AU795" s="102"/>
      <c r="AV795" s="102"/>
      <c r="AW795" s="102"/>
      <c r="AX795" s="102"/>
      <c r="AY795" s="102"/>
      <c r="AZ795" s="102"/>
      <c r="BA795" s="102"/>
      <c r="BB795" s="102"/>
      <c r="BC795" s="102"/>
      <c r="BD795" s="102"/>
      <c r="BE795" s="102"/>
      <c r="BF795" s="102"/>
      <c r="BG795" s="102"/>
      <c r="BH795" s="102"/>
      <c r="BI795" s="102"/>
      <c r="BJ795" s="102"/>
      <c r="BK795" s="102"/>
      <c r="BL795" s="102"/>
      <c r="BM795" s="102"/>
      <c r="BN795" s="102"/>
      <c r="BO795" s="102"/>
      <c r="BP795" s="102"/>
      <c r="BQ795" s="102"/>
      <c r="BR795" s="102"/>
      <c r="BS795" s="102"/>
      <c r="BT795" s="102"/>
      <c r="BU795" s="102"/>
      <c r="BV795" s="102"/>
      <c r="BW795" s="102"/>
      <c r="BX795" s="102"/>
      <c r="BY795" s="102"/>
      <c r="BZ795" s="102"/>
      <c r="CA795" s="464"/>
      <c r="CB795" s="102"/>
      <c r="CC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474">
        <v>793.0</v>
      </c>
      <c r="AB796" s="474">
        <f t="shared" si="10"/>
        <v>798</v>
      </c>
      <c r="AC796" s="476">
        <f t="shared" si="11"/>
        <v>1062</v>
      </c>
      <c r="AD796" s="474">
        <f t="shared" si="12"/>
        <v>1324</v>
      </c>
      <c r="AE796" s="474">
        <f t="shared" si="13"/>
        <v>873</v>
      </c>
      <c r="AF796" s="474">
        <f t="shared" si="14"/>
        <v>1062</v>
      </c>
      <c r="AG796" s="102"/>
      <c r="AH796" s="102"/>
      <c r="AI796" s="102"/>
      <c r="AJ796" s="102"/>
      <c r="AK796" s="102"/>
      <c r="AL796" s="102"/>
      <c r="AM796" s="102"/>
      <c r="AN796" s="102"/>
      <c r="AO796" s="102"/>
      <c r="AP796" s="102"/>
      <c r="AQ796" s="102"/>
      <c r="AR796" s="102"/>
      <c r="AS796" s="102"/>
      <c r="AT796" s="102"/>
      <c r="AU796" s="102"/>
      <c r="AV796" s="102"/>
      <c r="AW796" s="102"/>
      <c r="AX796" s="102"/>
      <c r="AY796" s="102"/>
      <c r="AZ796" s="102"/>
      <c r="BA796" s="102"/>
      <c r="BB796" s="102"/>
      <c r="BC796" s="102"/>
      <c r="BD796" s="102"/>
      <c r="BE796" s="102"/>
      <c r="BF796" s="102"/>
      <c r="BG796" s="102"/>
      <c r="BH796" s="102"/>
      <c r="BI796" s="102"/>
      <c r="BJ796" s="102"/>
      <c r="BK796" s="102"/>
      <c r="BL796" s="102"/>
      <c r="BM796" s="102"/>
      <c r="BN796" s="102"/>
      <c r="BO796" s="102"/>
      <c r="BP796" s="102"/>
      <c r="BQ796" s="102"/>
      <c r="BR796" s="102"/>
      <c r="BS796" s="102"/>
      <c r="BT796" s="102"/>
      <c r="BU796" s="102"/>
      <c r="BV796" s="102"/>
      <c r="BW796" s="102"/>
      <c r="BX796" s="102"/>
      <c r="BY796" s="102"/>
      <c r="BZ796" s="102"/>
      <c r="CA796" s="464"/>
      <c r="CB796" s="102"/>
      <c r="CC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474">
        <v>794.0</v>
      </c>
      <c r="AB797" s="474">
        <f t="shared" si="10"/>
        <v>799</v>
      </c>
      <c r="AC797" s="476">
        <f t="shared" si="11"/>
        <v>1063</v>
      </c>
      <c r="AD797" s="474">
        <f t="shared" si="12"/>
        <v>1325</v>
      </c>
      <c r="AE797" s="474">
        <f t="shared" si="13"/>
        <v>874</v>
      </c>
      <c r="AF797" s="474">
        <f t="shared" si="14"/>
        <v>1063</v>
      </c>
      <c r="AG797" s="102"/>
      <c r="AH797" s="102"/>
      <c r="AI797" s="102"/>
      <c r="AJ797" s="102"/>
      <c r="AK797" s="102"/>
      <c r="AL797" s="102"/>
      <c r="AM797" s="102"/>
      <c r="AN797" s="102"/>
      <c r="AO797" s="102"/>
      <c r="AP797" s="102"/>
      <c r="AQ797" s="102"/>
      <c r="AR797" s="102"/>
      <c r="AS797" s="102"/>
      <c r="AT797" s="102"/>
      <c r="AU797" s="102"/>
      <c r="AV797" s="102"/>
      <c r="AW797" s="102"/>
      <c r="AX797" s="102"/>
      <c r="AY797" s="102"/>
      <c r="AZ797" s="102"/>
      <c r="BA797" s="102"/>
      <c r="BB797" s="102"/>
      <c r="BC797" s="102"/>
      <c r="BD797" s="102"/>
      <c r="BE797" s="102"/>
      <c r="BF797" s="102"/>
      <c r="BG797" s="102"/>
      <c r="BH797" s="102"/>
      <c r="BI797" s="102"/>
      <c r="BJ797" s="102"/>
      <c r="BK797" s="102"/>
      <c r="BL797" s="102"/>
      <c r="BM797" s="102"/>
      <c r="BN797" s="102"/>
      <c r="BO797" s="102"/>
      <c r="BP797" s="102"/>
      <c r="BQ797" s="102"/>
      <c r="BR797" s="102"/>
      <c r="BS797" s="102"/>
      <c r="BT797" s="102"/>
      <c r="BU797" s="102"/>
      <c r="BV797" s="102"/>
      <c r="BW797" s="102"/>
      <c r="BX797" s="102"/>
      <c r="BY797" s="102"/>
      <c r="BZ797" s="102"/>
      <c r="CA797" s="464"/>
      <c r="CB797" s="102"/>
      <c r="CC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474">
        <v>795.0</v>
      </c>
      <c r="AB798" s="474">
        <f t="shared" si="10"/>
        <v>800</v>
      </c>
      <c r="AC798" s="476">
        <f t="shared" si="11"/>
        <v>1065</v>
      </c>
      <c r="AD798" s="474">
        <f t="shared" si="12"/>
        <v>1327</v>
      </c>
      <c r="AE798" s="474">
        <f t="shared" si="13"/>
        <v>875</v>
      </c>
      <c r="AF798" s="474">
        <f t="shared" si="14"/>
        <v>1065</v>
      </c>
      <c r="AG798" s="102"/>
      <c r="AH798" s="102"/>
      <c r="AI798" s="102"/>
      <c r="AJ798" s="102"/>
      <c r="AK798" s="102"/>
      <c r="AL798" s="102"/>
      <c r="AM798" s="102"/>
      <c r="AN798" s="102"/>
      <c r="AO798" s="102"/>
      <c r="AP798" s="102"/>
      <c r="AQ798" s="102"/>
      <c r="AR798" s="102"/>
      <c r="AS798" s="102"/>
      <c r="AT798" s="102"/>
      <c r="AU798" s="102"/>
      <c r="AV798" s="102"/>
      <c r="AW798" s="102"/>
      <c r="AX798" s="102"/>
      <c r="AY798" s="102"/>
      <c r="AZ798" s="102"/>
      <c r="BA798" s="102"/>
      <c r="BB798" s="102"/>
      <c r="BC798" s="102"/>
      <c r="BD798" s="102"/>
      <c r="BE798" s="102"/>
      <c r="BF798" s="102"/>
      <c r="BG798" s="102"/>
      <c r="BH798" s="102"/>
      <c r="BI798" s="102"/>
      <c r="BJ798" s="102"/>
      <c r="BK798" s="102"/>
      <c r="BL798" s="102"/>
      <c r="BM798" s="102"/>
      <c r="BN798" s="102"/>
      <c r="BO798" s="102"/>
      <c r="BP798" s="102"/>
      <c r="BQ798" s="102"/>
      <c r="BR798" s="102"/>
      <c r="BS798" s="102"/>
      <c r="BT798" s="102"/>
      <c r="BU798" s="102"/>
      <c r="BV798" s="102"/>
      <c r="BW798" s="102"/>
      <c r="BX798" s="102"/>
      <c r="BY798" s="102"/>
      <c r="BZ798" s="102"/>
      <c r="CA798" s="464"/>
      <c r="CB798" s="102"/>
      <c r="CC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474">
        <v>796.0</v>
      </c>
      <c r="AB799" s="474">
        <f t="shared" si="10"/>
        <v>801</v>
      </c>
      <c r="AC799" s="476">
        <f t="shared" si="11"/>
        <v>1066</v>
      </c>
      <c r="AD799" s="474">
        <f t="shared" si="12"/>
        <v>1329</v>
      </c>
      <c r="AE799" s="474">
        <f t="shared" si="13"/>
        <v>876</v>
      </c>
      <c r="AF799" s="474">
        <f t="shared" si="14"/>
        <v>1066</v>
      </c>
      <c r="AG799" s="102"/>
      <c r="AH799" s="102"/>
      <c r="AI799" s="102"/>
      <c r="AJ799" s="102"/>
      <c r="AK799" s="102"/>
      <c r="AL799" s="102"/>
      <c r="AM799" s="102"/>
      <c r="AN799" s="102"/>
      <c r="AO799" s="102"/>
      <c r="AP799" s="102"/>
      <c r="AQ799" s="102"/>
      <c r="AR799" s="102"/>
      <c r="AS799" s="102"/>
      <c r="AT799" s="102"/>
      <c r="AU799" s="102"/>
      <c r="AV799" s="102"/>
      <c r="AW799" s="102"/>
      <c r="AX799" s="102"/>
      <c r="AY799" s="102"/>
      <c r="AZ799" s="102"/>
      <c r="BA799" s="102"/>
      <c r="BB799" s="102"/>
      <c r="BC799" s="102"/>
      <c r="BD799" s="102"/>
      <c r="BE799" s="102"/>
      <c r="BF799" s="102"/>
      <c r="BG799" s="102"/>
      <c r="BH799" s="102"/>
      <c r="BI799" s="102"/>
      <c r="BJ799" s="102"/>
      <c r="BK799" s="102"/>
      <c r="BL799" s="102"/>
      <c r="BM799" s="102"/>
      <c r="BN799" s="102"/>
      <c r="BO799" s="102"/>
      <c r="BP799" s="102"/>
      <c r="BQ799" s="102"/>
      <c r="BR799" s="102"/>
      <c r="BS799" s="102"/>
      <c r="BT799" s="102"/>
      <c r="BU799" s="102"/>
      <c r="BV799" s="102"/>
      <c r="BW799" s="102"/>
      <c r="BX799" s="102"/>
      <c r="BY799" s="102"/>
      <c r="BZ799" s="102"/>
      <c r="CA799" s="464"/>
      <c r="CB799" s="102"/>
      <c r="CC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474">
        <v>797.0</v>
      </c>
      <c r="AB800" s="474">
        <f t="shared" si="10"/>
        <v>802</v>
      </c>
      <c r="AC800" s="476">
        <f t="shared" si="11"/>
        <v>1067</v>
      </c>
      <c r="AD800" s="474">
        <f t="shared" si="12"/>
        <v>1330</v>
      </c>
      <c r="AE800" s="474">
        <f t="shared" si="13"/>
        <v>877</v>
      </c>
      <c r="AF800" s="474">
        <f t="shared" si="14"/>
        <v>1067</v>
      </c>
      <c r="AG800" s="102"/>
      <c r="AH800" s="102"/>
      <c r="AI800" s="102"/>
      <c r="AJ800" s="102"/>
      <c r="AK800" s="102"/>
      <c r="AL800" s="102"/>
      <c r="AM800" s="102"/>
      <c r="AN800" s="102"/>
      <c r="AO800" s="102"/>
      <c r="AP800" s="102"/>
      <c r="AQ800" s="102"/>
      <c r="AR800" s="102"/>
      <c r="AS800" s="102"/>
      <c r="AT800" s="102"/>
      <c r="AU800" s="102"/>
      <c r="AV800" s="102"/>
      <c r="AW800" s="102"/>
      <c r="AX800" s="102"/>
      <c r="AY800" s="102"/>
      <c r="AZ800" s="102"/>
      <c r="BA800" s="102"/>
      <c r="BB800" s="102"/>
      <c r="BC800" s="102"/>
      <c r="BD800" s="102"/>
      <c r="BE800" s="102"/>
      <c r="BF800" s="102"/>
      <c r="BG800" s="102"/>
      <c r="BH800" s="102"/>
      <c r="BI800" s="102"/>
      <c r="BJ800" s="102"/>
      <c r="BK800" s="102"/>
      <c r="BL800" s="102"/>
      <c r="BM800" s="102"/>
      <c r="BN800" s="102"/>
      <c r="BO800" s="102"/>
      <c r="BP800" s="102"/>
      <c r="BQ800" s="102"/>
      <c r="BR800" s="102"/>
      <c r="BS800" s="102"/>
      <c r="BT800" s="102"/>
      <c r="BU800" s="102"/>
      <c r="BV800" s="102"/>
      <c r="BW800" s="102"/>
      <c r="BX800" s="102"/>
      <c r="BY800" s="102"/>
      <c r="BZ800" s="102"/>
      <c r="CA800" s="464"/>
      <c r="CB800" s="102"/>
      <c r="CC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474">
        <v>798.0</v>
      </c>
      <c r="AB801" s="474">
        <f t="shared" si="10"/>
        <v>803</v>
      </c>
      <c r="AC801" s="476">
        <f t="shared" si="11"/>
        <v>1069</v>
      </c>
      <c r="AD801" s="474">
        <f t="shared" si="12"/>
        <v>1332</v>
      </c>
      <c r="AE801" s="474">
        <f t="shared" si="13"/>
        <v>878</v>
      </c>
      <c r="AF801" s="474">
        <f t="shared" si="14"/>
        <v>1069</v>
      </c>
      <c r="AG801" s="102"/>
      <c r="AH801" s="102"/>
      <c r="AI801" s="102"/>
      <c r="AJ801" s="102"/>
      <c r="AK801" s="102"/>
      <c r="AL801" s="102"/>
      <c r="AM801" s="102"/>
      <c r="AN801" s="102"/>
      <c r="AO801" s="102"/>
      <c r="AP801" s="102"/>
      <c r="AQ801" s="102"/>
      <c r="AR801" s="102"/>
      <c r="AS801" s="102"/>
      <c r="AT801" s="102"/>
      <c r="AU801" s="102"/>
      <c r="AV801" s="102"/>
      <c r="AW801" s="102"/>
      <c r="AX801" s="102"/>
      <c r="AY801" s="102"/>
      <c r="AZ801" s="102"/>
      <c r="BA801" s="102"/>
      <c r="BB801" s="102"/>
      <c r="BC801" s="102"/>
      <c r="BD801" s="102"/>
      <c r="BE801" s="102"/>
      <c r="BF801" s="102"/>
      <c r="BG801" s="102"/>
      <c r="BH801" s="102"/>
      <c r="BI801" s="102"/>
      <c r="BJ801" s="102"/>
      <c r="BK801" s="102"/>
      <c r="BL801" s="102"/>
      <c r="BM801" s="102"/>
      <c r="BN801" s="102"/>
      <c r="BO801" s="102"/>
      <c r="BP801" s="102"/>
      <c r="BQ801" s="102"/>
      <c r="BR801" s="102"/>
      <c r="BS801" s="102"/>
      <c r="BT801" s="102"/>
      <c r="BU801" s="102"/>
      <c r="BV801" s="102"/>
      <c r="BW801" s="102"/>
      <c r="BX801" s="102"/>
      <c r="BY801" s="102"/>
      <c r="BZ801" s="102"/>
      <c r="CA801" s="464"/>
      <c r="CB801" s="102"/>
      <c r="CC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474">
        <v>799.0</v>
      </c>
      <c r="AB802" s="474">
        <f t="shared" si="10"/>
        <v>804</v>
      </c>
      <c r="AC802" s="476">
        <f t="shared" si="11"/>
        <v>1070</v>
      </c>
      <c r="AD802" s="474">
        <f t="shared" si="12"/>
        <v>1334</v>
      </c>
      <c r="AE802" s="474">
        <f t="shared" si="13"/>
        <v>879</v>
      </c>
      <c r="AF802" s="474">
        <f t="shared" si="14"/>
        <v>1070</v>
      </c>
      <c r="AG802" s="102"/>
      <c r="AH802" s="102"/>
      <c r="AI802" s="102"/>
      <c r="AJ802" s="102"/>
      <c r="AK802" s="102"/>
      <c r="AL802" s="102"/>
      <c r="AM802" s="102"/>
      <c r="AN802" s="102"/>
      <c r="AO802" s="102"/>
      <c r="AP802" s="102"/>
      <c r="AQ802" s="102"/>
      <c r="AR802" s="102"/>
      <c r="AS802" s="102"/>
      <c r="AT802" s="102"/>
      <c r="AU802" s="102"/>
      <c r="AV802" s="102"/>
      <c r="AW802" s="102"/>
      <c r="AX802" s="102"/>
      <c r="AY802" s="102"/>
      <c r="AZ802" s="102"/>
      <c r="BA802" s="102"/>
      <c r="BB802" s="102"/>
      <c r="BC802" s="102"/>
      <c r="BD802" s="102"/>
      <c r="BE802" s="102"/>
      <c r="BF802" s="102"/>
      <c r="BG802" s="102"/>
      <c r="BH802" s="102"/>
      <c r="BI802" s="102"/>
      <c r="BJ802" s="102"/>
      <c r="BK802" s="102"/>
      <c r="BL802" s="102"/>
      <c r="BM802" s="102"/>
      <c r="BN802" s="102"/>
      <c r="BO802" s="102"/>
      <c r="BP802" s="102"/>
      <c r="BQ802" s="102"/>
      <c r="BR802" s="102"/>
      <c r="BS802" s="102"/>
      <c r="BT802" s="102"/>
      <c r="BU802" s="102"/>
      <c r="BV802" s="102"/>
      <c r="BW802" s="102"/>
      <c r="BX802" s="102"/>
      <c r="BY802" s="102"/>
      <c r="BZ802" s="102"/>
      <c r="CA802" s="464"/>
      <c r="CB802" s="102"/>
      <c r="CC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474">
        <v>800.0</v>
      </c>
      <c r="AB803" s="474">
        <f t="shared" si="10"/>
        <v>805</v>
      </c>
      <c r="AC803" s="476">
        <f t="shared" si="11"/>
        <v>1072</v>
      </c>
      <c r="AD803" s="474">
        <f t="shared" si="12"/>
        <v>1336</v>
      </c>
      <c r="AE803" s="474">
        <f t="shared" si="13"/>
        <v>880</v>
      </c>
      <c r="AF803" s="474">
        <f t="shared" si="14"/>
        <v>1072</v>
      </c>
      <c r="AG803" s="102"/>
      <c r="AH803" s="102"/>
      <c r="AI803" s="102"/>
      <c r="AJ803" s="102"/>
      <c r="AK803" s="102"/>
      <c r="AL803" s="102"/>
      <c r="AM803" s="102"/>
      <c r="AN803" s="102"/>
      <c r="AO803" s="102"/>
      <c r="AP803" s="102"/>
      <c r="AQ803" s="102"/>
      <c r="AR803" s="102"/>
      <c r="AS803" s="102"/>
      <c r="AT803" s="102"/>
      <c r="AU803" s="102"/>
      <c r="AV803" s="102"/>
      <c r="AW803" s="102"/>
      <c r="AX803" s="102"/>
      <c r="AY803" s="102"/>
      <c r="AZ803" s="102"/>
      <c r="BA803" s="102"/>
      <c r="BB803" s="102"/>
      <c r="BC803" s="102"/>
      <c r="BD803" s="102"/>
      <c r="BE803" s="102"/>
      <c r="BF803" s="102"/>
      <c r="BG803" s="102"/>
      <c r="BH803" s="102"/>
      <c r="BI803" s="102"/>
      <c r="BJ803" s="102"/>
      <c r="BK803" s="102"/>
      <c r="BL803" s="102"/>
      <c r="BM803" s="102"/>
      <c r="BN803" s="102"/>
      <c r="BO803" s="102"/>
      <c r="BP803" s="102"/>
      <c r="BQ803" s="102"/>
      <c r="BR803" s="102"/>
      <c r="BS803" s="102"/>
      <c r="BT803" s="102"/>
      <c r="BU803" s="102"/>
      <c r="BV803" s="102"/>
      <c r="BW803" s="102"/>
      <c r="BX803" s="102"/>
      <c r="BY803" s="102"/>
      <c r="BZ803" s="102"/>
      <c r="CA803" s="464"/>
      <c r="CB803" s="102"/>
      <c r="CC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474">
        <v>801.0</v>
      </c>
      <c r="AB804" s="474">
        <f t="shared" si="10"/>
        <v>806</v>
      </c>
      <c r="AC804" s="476">
        <f t="shared" si="11"/>
        <v>1073</v>
      </c>
      <c r="AD804" s="474">
        <f t="shared" si="12"/>
        <v>1337</v>
      </c>
      <c r="AE804" s="474">
        <f t="shared" si="13"/>
        <v>882</v>
      </c>
      <c r="AF804" s="474">
        <f t="shared" si="14"/>
        <v>1073</v>
      </c>
      <c r="AG804" s="102"/>
      <c r="AH804" s="102"/>
      <c r="AI804" s="102"/>
      <c r="AJ804" s="102"/>
      <c r="AK804" s="102"/>
      <c r="AL804" s="102"/>
      <c r="AM804" s="102"/>
      <c r="AN804" s="102"/>
      <c r="AO804" s="102"/>
      <c r="AP804" s="102"/>
      <c r="AQ804" s="102"/>
      <c r="AR804" s="102"/>
      <c r="AS804" s="102"/>
      <c r="AT804" s="102"/>
      <c r="AU804" s="102"/>
      <c r="AV804" s="102"/>
      <c r="AW804" s="102"/>
      <c r="AX804" s="102"/>
      <c r="AY804" s="102"/>
      <c r="AZ804" s="102"/>
      <c r="BA804" s="102"/>
      <c r="BB804" s="102"/>
      <c r="BC804" s="102"/>
      <c r="BD804" s="102"/>
      <c r="BE804" s="102"/>
      <c r="BF804" s="102"/>
      <c r="BG804" s="102"/>
      <c r="BH804" s="102"/>
      <c r="BI804" s="102"/>
      <c r="BJ804" s="102"/>
      <c r="BK804" s="102"/>
      <c r="BL804" s="102"/>
      <c r="BM804" s="102"/>
      <c r="BN804" s="102"/>
      <c r="BO804" s="102"/>
      <c r="BP804" s="102"/>
      <c r="BQ804" s="102"/>
      <c r="BR804" s="102"/>
      <c r="BS804" s="102"/>
      <c r="BT804" s="102"/>
      <c r="BU804" s="102"/>
      <c r="BV804" s="102"/>
      <c r="BW804" s="102"/>
      <c r="BX804" s="102"/>
      <c r="BY804" s="102"/>
      <c r="BZ804" s="102"/>
      <c r="CA804" s="464"/>
      <c r="CB804" s="102"/>
      <c r="CC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474">
        <v>802.0</v>
      </c>
      <c r="AB805" s="474">
        <f t="shared" si="10"/>
        <v>807</v>
      </c>
      <c r="AC805" s="476">
        <f t="shared" si="11"/>
        <v>1074</v>
      </c>
      <c r="AD805" s="474">
        <f t="shared" si="12"/>
        <v>1339</v>
      </c>
      <c r="AE805" s="474">
        <f t="shared" si="13"/>
        <v>883</v>
      </c>
      <c r="AF805" s="474">
        <f t="shared" si="14"/>
        <v>1074</v>
      </c>
      <c r="AG805" s="102"/>
      <c r="AH805" s="102"/>
      <c r="AI805" s="102"/>
      <c r="AJ805" s="102"/>
      <c r="AK805" s="102"/>
      <c r="AL805" s="102"/>
      <c r="AM805" s="102"/>
      <c r="AN805" s="102"/>
      <c r="AO805" s="102"/>
      <c r="AP805" s="102"/>
      <c r="AQ805" s="102"/>
      <c r="AR805" s="102"/>
      <c r="AS805" s="102"/>
      <c r="AT805" s="102"/>
      <c r="AU805" s="102"/>
      <c r="AV805" s="102"/>
      <c r="AW805" s="102"/>
      <c r="AX805" s="102"/>
      <c r="AY805" s="102"/>
      <c r="AZ805" s="102"/>
      <c r="BA805" s="102"/>
      <c r="BB805" s="102"/>
      <c r="BC805" s="102"/>
      <c r="BD805" s="102"/>
      <c r="BE805" s="102"/>
      <c r="BF805" s="102"/>
      <c r="BG805" s="102"/>
      <c r="BH805" s="102"/>
      <c r="BI805" s="102"/>
      <c r="BJ805" s="102"/>
      <c r="BK805" s="102"/>
      <c r="BL805" s="102"/>
      <c r="BM805" s="102"/>
      <c r="BN805" s="102"/>
      <c r="BO805" s="102"/>
      <c r="BP805" s="102"/>
      <c r="BQ805" s="102"/>
      <c r="BR805" s="102"/>
      <c r="BS805" s="102"/>
      <c r="BT805" s="102"/>
      <c r="BU805" s="102"/>
      <c r="BV805" s="102"/>
      <c r="BW805" s="102"/>
      <c r="BX805" s="102"/>
      <c r="BY805" s="102"/>
      <c r="BZ805" s="102"/>
      <c r="CA805" s="464"/>
      <c r="CB805" s="102"/>
      <c r="CC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474">
        <v>803.0</v>
      </c>
      <c r="AB806" s="474">
        <f t="shared" si="10"/>
        <v>808</v>
      </c>
      <c r="AC806" s="476">
        <f t="shared" si="11"/>
        <v>1076</v>
      </c>
      <c r="AD806" s="474">
        <f t="shared" si="12"/>
        <v>1341</v>
      </c>
      <c r="AE806" s="474">
        <f t="shared" si="13"/>
        <v>884</v>
      </c>
      <c r="AF806" s="474">
        <f t="shared" si="14"/>
        <v>1076</v>
      </c>
      <c r="AG806" s="102"/>
      <c r="AH806" s="102"/>
      <c r="AI806" s="102"/>
      <c r="AJ806" s="102"/>
      <c r="AK806" s="102"/>
      <c r="AL806" s="102"/>
      <c r="AM806" s="102"/>
      <c r="AN806" s="102"/>
      <c r="AO806" s="102"/>
      <c r="AP806" s="102"/>
      <c r="AQ806" s="102"/>
      <c r="AR806" s="102"/>
      <c r="AS806" s="102"/>
      <c r="AT806" s="102"/>
      <c r="AU806" s="102"/>
      <c r="AV806" s="102"/>
      <c r="AW806" s="102"/>
      <c r="AX806" s="102"/>
      <c r="AY806" s="102"/>
      <c r="AZ806" s="102"/>
      <c r="BA806" s="102"/>
      <c r="BB806" s="102"/>
      <c r="BC806" s="102"/>
      <c r="BD806" s="102"/>
      <c r="BE806" s="102"/>
      <c r="BF806" s="102"/>
      <c r="BG806" s="102"/>
      <c r="BH806" s="102"/>
      <c r="BI806" s="102"/>
      <c r="BJ806" s="102"/>
      <c r="BK806" s="102"/>
      <c r="BL806" s="102"/>
      <c r="BM806" s="102"/>
      <c r="BN806" s="102"/>
      <c r="BO806" s="102"/>
      <c r="BP806" s="102"/>
      <c r="BQ806" s="102"/>
      <c r="BR806" s="102"/>
      <c r="BS806" s="102"/>
      <c r="BT806" s="102"/>
      <c r="BU806" s="102"/>
      <c r="BV806" s="102"/>
      <c r="BW806" s="102"/>
      <c r="BX806" s="102"/>
      <c r="BY806" s="102"/>
      <c r="BZ806" s="102"/>
      <c r="CA806" s="464"/>
      <c r="CB806" s="102"/>
      <c r="CC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474">
        <v>804.0</v>
      </c>
      <c r="AB807" s="474">
        <f t="shared" si="10"/>
        <v>809</v>
      </c>
      <c r="AC807" s="476">
        <f t="shared" si="11"/>
        <v>1077</v>
      </c>
      <c r="AD807" s="474">
        <f t="shared" si="12"/>
        <v>1342</v>
      </c>
      <c r="AE807" s="474">
        <f t="shared" si="13"/>
        <v>885</v>
      </c>
      <c r="AF807" s="474">
        <f t="shared" si="14"/>
        <v>1077</v>
      </c>
      <c r="AG807" s="102"/>
      <c r="AH807" s="102"/>
      <c r="AI807" s="102"/>
      <c r="AJ807" s="102"/>
      <c r="AK807" s="102"/>
      <c r="AL807" s="102"/>
      <c r="AM807" s="102"/>
      <c r="AN807" s="102"/>
      <c r="AO807" s="102"/>
      <c r="AP807" s="102"/>
      <c r="AQ807" s="102"/>
      <c r="AR807" s="102"/>
      <c r="AS807" s="102"/>
      <c r="AT807" s="102"/>
      <c r="AU807" s="102"/>
      <c r="AV807" s="102"/>
      <c r="AW807" s="102"/>
      <c r="AX807" s="102"/>
      <c r="AY807" s="102"/>
      <c r="AZ807" s="102"/>
      <c r="BA807" s="102"/>
      <c r="BB807" s="102"/>
      <c r="BC807" s="102"/>
      <c r="BD807" s="102"/>
      <c r="BE807" s="102"/>
      <c r="BF807" s="102"/>
      <c r="BG807" s="102"/>
      <c r="BH807" s="102"/>
      <c r="BI807" s="102"/>
      <c r="BJ807" s="102"/>
      <c r="BK807" s="102"/>
      <c r="BL807" s="102"/>
      <c r="BM807" s="102"/>
      <c r="BN807" s="102"/>
      <c r="BO807" s="102"/>
      <c r="BP807" s="102"/>
      <c r="BQ807" s="102"/>
      <c r="BR807" s="102"/>
      <c r="BS807" s="102"/>
      <c r="BT807" s="102"/>
      <c r="BU807" s="102"/>
      <c r="BV807" s="102"/>
      <c r="BW807" s="102"/>
      <c r="BX807" s="102"/>
      <c r="BY807" s="102"/>
      <c r="BZ807" s="102"/>
      <c r="CA807" s="464"/>
      <c r="CB807" s="102"/>
      <c r="CC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474">
        <v>805.0</v>
      </c>
      <c r="AB808" s="474">
        <f t="shared" si="10"/>
        <v>810</v>
      </c>
      <c r="AC808" s="476">
        <f t="shared" si="11"/>
        <v>1078</v>
      </c>
      <c r="AD808" s="474">
        <f t="shared" si="12"/>
        <v>1344</v>
      </c>
      <c r="AE808" s="474">
        <f t="shared" si="13"/>
        <v>886</v>
      </c>
      <c r="AF808" s="474">
        <f t="shared" si="14"/>
        <v>1078</v>
      </c>
      <c r="AG808" s="102"/>
      <c r="AH808" s="102"/>
      <c r="AI808" s="102"/>
      <c r="AJ808" s="102"/>
      <c r="AK808" s="102"/>
      <c r="AL808" s="102"/>
      <c r="AM808" s="102"/>
      <c r="AN808" s="102"/>
      <c r="AO808" s="102"/>
      <c r="AP808" s="102"/>
      <c r="AQ808" s="102"/>
      <c r="AR808" s="102"/>
      <c r="AS808" s="102"/>
      <c r="AT808" s="102"/>
      <c r="AU808" s="102"/>
      <c r="AV808" s="102"/>
      <c r="AW808" s="102"/>
      <c r="AX808" s="102"/>
      <c r="AY808" s="102"/>
      <c r="AZ808" s="102"/>
      <c r="BA808" s="102"/>
      <c r="BB808" s="102"/>
      <c r="BC808" s="102"/>
      <c r="BD808" s="102"/>
      <c r="BE808" s="102"/>
      <c r="BF808" s="102"/>
      <c r="BG808" s="102"/>
      <c r="BH808" s="102"/>
      <c r="BI808" s="102"/>
      <c r="BJ808" s="102"/>
      <c r="BK808" s="102"/>
      <c r="BL808" s="102"/>
      <c r="BM808" s="102"/>
      <c r="BN808" s="102"/>
      <c r="BO808" s="102"/>
      <c r="BP808" s="102"/>
      <c r="BQ808" s="102"/>
      <c r="BR808" s="102"/>
      <c r="BS808" s="102"/>
      <c r="BT808" s="102"/>
      <c r="BU808" s="102"/>
      <c r="BV808" s="102"/>
      <c r="BW808" s="102"/>
      <c r="BX808" s="102"/>
      <c r="BY808" s="102"/>
      <c r="BZ808" s="102"/>
      <c r="CA808" s="464"/>
      <c r="CB808" s="102"/>
      <c r="CC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474">
        <v>806.0</v>
      </c>
      <c r="AB809" s="474">
        <f t="shared" si="10"/>
        <v>811</v>
      </c>
      <c r="AC809" s="476">
        <f t="shared" si="11"/>
        <v>1080</v>
      </c>
      <c r="AD809" s="474">
        <f t="shared" si="12"/>
        <v>1346</v>
      </c>
      <c r="AE809" s="474">
        <f t="shared" si="13"/>
        <v>887</v>
      </c>
      <c r="AF809" s="474">
        <f t="shared" si="14"/>
        <v>1080</v>
      </c>
      <c r="AG809" s="102"/>
      <c r="AH809" s="102"/>
      <c r="AI809" s="102"/>
      <c r="AJ809" s="102"/>
      <c r="AK809" s="102"/>
      <c r="AL809" s="102"/>
      <c r="AM809" s="102"/>
      <c r="AN809" s="102"/>
      <c r="AO809" s="102"/>
      <c r="AP809" s="102"/>
      <c r="AQ809" s="102"/>
      <c r="AR809" s="102"/>
      <c r="AS809" s="102"/>
      <c r="AT809" s="102"/>
      <c r="AU809" s="102"/>
      <c r="AV809" s="102"/>
      <c r="AW809" s="102"/>
      <c r="AX809" s="102"/>
      <c r="AY809" s="102"/>
      <c r="AZ809" s="102"/>
      <c r="BA809" s="102"/>
      <c r="BB809" s="102"/>
      <c r="BC809" s="102"/>
      <c r="BD809" s="102"/>
      <c r="BE809" s="102"/>
      <c r="BF809" s="102"/>
      <c r="BG809" s="102"/>
      <c r="BH809" s="102"/>
      <c r="BI809" s="102"/>
      <c r="BJ809" s="102"/>
      <c r="BK809" s="102"/>
      <c r="BL809" s="102"/>
      <c r="BM809" s="102"/>
      <c r="BN809" s="102"/>
      <c r="BO809" s="102"/>
      <c r="BP809" s="102"/>
      <c r="BQ809" s="102"/>
      <c r="BR809" s="102"/>
      <c r="BS809" s="102"/>
      <c r="BT809" s="102"/>
      <c r="BU809" s="102"/>
      <c r="BV809" s="102"/>
      <c r="BW809" s="102"/>
      <c r="BX809" s="102"/>
      <c r="BY809" s="102"/>
      <c r="BZ809" s="102"/>
      <c r="CA809" s="464"/>
      <c r="CB809" s="102"/>
      <c r="CC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474">
        <v>807.0</v>
      </c>
      <c r="AB810" s="474">
        <f t="shared" si="10"/>
        <v>812</v>
      </c>
      <c r="AC810" s="476">
        <f t="shared" si="11"/>
        <v>1081</v>
      </c>
      <c r="AD810" s="474">
        <f t="shared" si="12"/>
        <v>1347</v>
      </c>
      <c r="AE810" s="474">
        <f t="shared" si="13"/>
        <v>888</v>
      </c>
      <c r="AF810" s="474">
        <f t="shared" si="14"/>
        <v>1081</v>
      </c>
      <c r="AG810" s="102"/>
      <c r="AH810" s="102"/>
      <c r="AI810" s="102"/>
      <c r="AJ810" s="102"/>
      <c r="AK810" s="102"/>
      <c r="AL810" s="102"/>
      <c r="AM810" s="102"/>
      <c r="AN810" s="102"/>
      <c r="AO810" s="102"/>
      <c r="AP810" s="102"/>
      <c r="AQ810" s="102"/>
      <c r="AR810" s="102"/>
      <c r="AS810" s="102"/>
      <c r="AT810" s="102"/>
      <c r="AU810" s="102"/>
      <c r="AV810" s="102"/>
      <c r="AW810" s="102"/>
      <c r="AX810" s="102"/>
      <c r="AY810" s="102"/>
      <c r="AZ810" s="102"/>
      <c r="BA810" s="102"/>
      <c r="BB810" s="102"/>
      <c r="BC810" s="102"/>
      <c r="BD810" s="102"/>
      <c r="BE810" s="102"/>
      <c r="BF810" s="102"/>
      <c r="BG810" s="102"/>
      <c r="BH810" s="102"/>
      <c r="BI810" s="102"/>
      <c r="BJ810" s="102"/>
      <c r="BK810" s="102"/>
      <c r="BL810" s="102"/>
      <c r="BM810" s="102"/>
      <c r="BN810" s="102"/>
      <c r="BO810" s="102"/>
      <c r="BP810" s="102"/>
      <c r="BQ810" s="102"/>
      <c r="BR810" s="102"/>
      <c r="BS810" s="102"/>
      <c r="BT810" s="102"/>
      <c r="BU810" s="102"/>
      <c r="BV810" s="102"/>
      <c r="BW810" s="102"/>
      <c r="BX810" s="102"/>
      <c r="BY810" s="102"/>
      <c r="BZ810" s="102"/>
      <c r="CA810" s="464"/>
      <c r="CB810" s="102"/>
      <c r="CC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474">
        <v>808.0</v>
      </c>
      <c r="AB811" s="474">
        <f t="shared" si="10"/>
        <v>813</v>
      </c>
      <c r="AC811" s="476">
        <f t="shared" si="11"/>
        <v>1082</v>
      </c>
      <c r="AD811" s="474">
        <f t="shared" si="12"/>
        <v>1349</v>
      </c>
      <c r="AE811" s="474">
        <f t="shared" si="13"/>
        <v>889</v>
      </c>
      <c r="AF811" s="474">
        <f t="shared" si="14"/>
        <v>1082</v>
      </c>
      <c r="AG811" s="102"/>
      <c r="AH811" s="102"/>
      <c r="AI811" s="102"/>
      <c r="AJ811" s="102"/>
      <c r="AK811" s="102"/>
      <c r="AL811" s="102"/>
      <c r="AM811" s="102"/>
      <c r="AN811" s="102"/>
      <c r="AO811" s="102"/>
      <c r="AP811" s="102"/>
      <c r="AQ811" s="102"/>
      <c r="AR811" s="102"/>
      <c r="AS811" s="102"/>
      <c r="AT811" s="102"/>
      <c r="AU811" s="102"/>
      <c r="AV811" s="102"/>
      <c r="AW811" s="102"/>
      <c r="AX811" s="102"/>
      <c r="AY811" s="102"/>
      <c r="AZ811" s="102"/>
      <c r="BA811" s="102"/>
      <c r="BB811" s="102"/>
      <c r="BC811" s="102"/>
      <c r="BD811" s="102"/>
      <c r="BE811" s="102"/>
      <c r="BF811" s="102"/>
      <c r="BG811" s="102"/>
      <c r="BH811" s="102"/>
      <c r="BI811" s="102"/>
      <c r="BJ811" s="102"/>
      <c r="BK811" s="102"/>
      <c r="BL811" s="102"/>
      <c r="BM811" s="102"/>
      <c r="BN811" s="102"/>
      <c r="BO811" s="102"/>
      <c r="BP811" s="102"/>
      <c r="BQ811" s="102"/>
      <c r="BR811" s="102"/>
      <c r="BS811" s="102"/>
      <c r="BT811" s="102"/>
      <c r="BU811" s="102"/>
      <c r="BV811" s="102"/>
      <c r="BW811" s="102"/>
      <c r="BX811" s="102"/>
      <c r="BY811" s="102"/>
      <c r="BZ811" s="102"/>
      <c r="CA811" s="464"/>
      <c r="CB811" s="102"/>
      <c r="CC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474">
        <v>809.0</v>
      </c>
      <c r="AB812" s="474">
        <f t="shared" si="10"/>
        <v>814</v>
      </c>
      <c r="AC812" s="476">
        <f t="shared" si="11"/>
        <v>1084</v>
      </c>
      <c r="AD812" s="474">
        <f t="shared" si="12"/>
        <v>1351</v>
      </c>
      <c r="AE812" s="474">
        <f t="shared" si="13"/>
        <v>890</v>
      </c>
      <c r="AF812" s="474">
        <f t="shared" si="14"/>
        <v>1084</v>
      </c>
      <c r="AG812" s="102"/>
      <c r="AH812" s="102"/>
      <c r="AI812" s="102"/>
      <c r="AJ812" s="102"/>
      <c r="AK812" s="102"/>
      <c r="AL812" s="102"/>
      <c r="AM812" s="102"/>
      <c r="AN812" s="102"/>
      <c r="AO812" s="102"/>
      <c r="AP812" s="102"/>
      <c r="AQ812" s="102"/>
      <c r="AR812" s="102"/>
      <c r="AS812" s="102"/>
      <c r="AT812" s="102"/>
      <c r="AU812" s="102"/>
      <c r="AV812" s="102"/>
      <c r="AW812" s="102"/>
      <c r="AX812" s="102"/>
      <c r="AY812" s="102"/>
      <c r="AZ812" s="102"/>
      <c r="BA812" s="102"/>
      <c r="BB812" s="102"/>
      <c r="BC812" s="102"/>
      <c r="BD812" s="102"/>
      <c r="BE812" s="102"/>
      <c r="BF812" s="102"/>
      <c r="BG812" s="102"/>
      <c r="BH812" s="102"/>
      <c r="BI812" s="102"/>
      <c r="BJ812" s="102"/>
      <c r="BK812" s="102"/>
      <c r="BL812" s="102"/>
      <c r="BM812" s="102"/>
      <c r="BN812" s="102"/>
      <c r="BO812" s="102"/>
      <c r="BP812" s="102"/>
      <c r="BQ812" s="102"/>
      <c r="BR812" s="102"/>
      <c r="BS812" s="102"/>
      <c r="BT812" s="102"/>
      <c r="BU812" s="102"/>
      <c r="BV812" s="102"/>
      <c r="BW812" s="102"/>
      <c r="BX812" s="102"/>
      <c r="BY812" s="102"/>
      <c r="BZ812" s="102"/>
      <c r="CA812" s="464"/>
      <c r="CB812" s="102"/>
      <c r="CC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474">
        <v>810.0</v>
      </c>
      <c r="AB813" s="474">
        <f t="shared" si="10"/>
        <v>815</v>
      </c>
      <c r="AC813" s="476">
        <f t="shared" si="11"/>
        <v>1085</v>
      </c>
      <c r="AD813" s="474">
        <f t="shared" si="12"/>
        <v>1352</v>
      </c>
      <c r="AE813" s="474">
        <f t="shared" si="13"/>
        <v>891</v>
      </c>
      <c r="AF813" s="474">
        <f t="shared" si="14"/>
        <v>1085</v>
      </c>
      <c r="AG813" s="102"/>
      <c r="AH813" s="102"/>
      <c r="AI813" s="102"/>
      <c r="AJ813" s="102"/>
      <c r="AK813" s="102"/>
      <c r="AL813" s="102"/>
      <c r="AM813" s="102"/>
      <c r="AN813" s="102"/>
      <c r="AO813" s="102"/>
      <c r="AP813" s="102"/>
      <c r="AQ813" s="102"/>
      <c r="AR813" s="102"/>
      <c r="AS813" s="102"/>
      <c r="AT813" s="102"/>
      <c r="AU813" s="102"/>
      <c r="AV813" s="102"/>
      <c r="AW813" s="102"/>
      <c r="AX813" s="102"/>
      <c r="AY813" s="102"/>
      <c r="AZ813" s="102"/>
      <c r="BA813" s="102"/>
      <c r="BB813" s="102"/>
      <c r="BC813" s="102"/>
      <c r="BD813" s="102"/>
      <c r="BE813" s="102"/>
      <c r="BF813" s="102"/>
      <c r="BG813" s="102"/>
      <c r="BH813" s="102"/>
      <c r="BI813" s="102"/>
      <c r="BJ813" s="102"/>
      <c r="BK813" s="102"/>
      <c r="BL813" s="102"/>
      <c r="BM813" s="102"/>
      <c r="BN813" s="102"/>
      <c r="BO813" s="102"/>
      <c r="BP813" s="102"/>
      <c r="BQ813" s="102"/>
      <c r="BR813" s="102"/>
      <c r="BS813" s="102"/>
      <c r="BT813" s="102"/>
      <c r="BU813" s="102"/>
      <c r="BV813" s="102"/>
      <c r="BW813" s="102"/>
      <c r="BX813" s="102"/>
      <c r="BY813" s="102"/>
      <c r="BZ813" s="102"/>
      <c r="CA813" s="464"/>
      <c r="CB813" s="102"/>
      <c r="CC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474">
        <v>811.0</v>
      </c>
      <c r="AB814" s="474">
        <f t="shared" si="10"/>
        <v>816</v>
      </c>
      <c r="AC814" s="476">
        <f t="shared" si="11"/>
        <v>1086</v>
      </c>
      <c r="AD814" s="474">
        <f t="shared" si="12"/>
        <v>1354</v>
      </c>
      <c r="AE814" s="474">
        <f t="shared" si="13"/>
        <v>893</v>
      </c>
      <c r="AF814" s="474">
        <f t="shared" si="14"/>
        <v>1086</v>
      </c>
      <c r="AG814" s="102"/>
      <c r="AH814" s="102"/>
      <c r="AI814" s="102"/>
      <c r="AJ814" s="102"/>
      <c r="AK814" s="102"/>
      <c r="AL814" s="102"/>
      <c r="AM814" s="102"/>
      <c r="AN814" s="102"/>
      <c r="AO814" s="102"/>
      <c r="AP814" s="102"/>
      <c r="AQ814" s="102"/>
      <c r="AR814" s="102"/>
      <c r="AS814" s="102"/>
      <c r="AT814" s="102"/>
      <c r="AU814" s="102"/>
      <c r="AV814" s="102"/>
      <c r="AW814" s="102"/>
      <c r="AX814" s="102"/>
      <c r="AY814" s="102"/>
      <c r="AZ814" s="102"/>
      <c r="BA814" s="102"/>
      <c r="BB814" s="102"/>
      <c r="BC814" s="102"/>
      <c r="BD814" s="102"/>
      <c r="BE814" s="102"/>
      <c r="BF814" s="102"/>
      <c r="BG814" s="102"/>
      <c r="BH814" s="102"/>
      <c r="BI814" s="102"/>
      <c r="BJ814" s="102"/>
      <c r="BK814" s="102"/>
      <c r="BL814" s="102"/>
      <c r="BM814" s="102"/>
      <c r="BN814" s="102"/>
      <c r="BO814" s="102"/>
      <c r="BP814" s="102"/>
      <c r="BQ814" s="102"/>
      <c r="BR814" s="102"/>
      <c r="BS814" s="102"/>
      <c r="BT814" s="102"/>
      <c r="BU814" s="102"/>
      <c r="BV814" s="102"/>
      <c r="BW814" s="102"/>
      <c r="BX814" s="102"/>
      <c r="BY814" s="102"/>
      <c r="BZ814" s="102"/>
      <c r="CA814" s="464"/>
      <c r="CB814" s="102"/>
      <c r="CC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474">
        <v>812.0</v>
      </c>
      <c r="AB815" s="474">
        <f t="shared" si="10"/>
        <v>817</v>
      </c>
      <c r="AC815" s="476">
        <f t="shared" si="11"/>
        <v>1088</v>
      </c>
      <c r="AD815" s="474">
        <f t="shared" si="12"/>
        <v>1356</v>
      </c>
      <c r="AE815" s="474">
        <f t="shared" si="13"/>
        <v>894</v>
      </c>
      <c r="AF815" s="474">
        <f t="shared" si="14"/>
        <v>1088</v>
      </c>
      <c r="AG815" s="102"/>
      <c r="AH815" s="102"/>
      <c r="AI815" s="102"/>
      <c r="AJ815" s="102"/>
      <c r="AK815" s="102"/>
      <c r="AL815" s="102"/>
      <c r="AM815" s="102"/>
      <c r="AN815" s="102"/>
      <c r="AO815" s="102"/>
      <c r="AP815" s="102"/>
      <c r="AQ815" s="102"/>
      <c r="AR815" s="102"/>
      <c r="AS815" s="102"/>
      <c r="AT815" s="102"/>
      <c r="AU815" s="102"/>
      <c r="AV815" s="102"/>
      <c r="AW815" s="102"/>
      <c r="AX815" s="102"/>
      <c r="AY815" s="102"/>
      <c r="AZ815" s="102"/>
      <c r="BA815" s="102"/>
      <c r="BB815" s="102"/>
      <c r="BC815" s="102"/>
      <c r="BD815" s="102"/>
      <c r="BE815" s="102"/>
      <c r="BF815" s="102"/>
      <c r="BG815" s="102"/>
      <c r="BH815" s="102"/>
      <c r="BI815" s="102"/>
      <c r="BJ815" s="102"/>
      <c r="BK815" s="102"/>
      <c r="BL815" s="102"/>
      <c r="BM815" s="102"/>
      <c r="BN815" s="102"/>
      <c r="BO815" s="102"/>
      <c r="BP815" s="102"/>
      <c r="BQ815" s="102"/>
      <c r="BR815" s="102"/>
      <c r="BS815" s="102"/>
      <c r="BT815" s="102"/>
      <c r="BU815" s="102"/>
      <c r="BV815" s="102"/>
      <c r="BW815" s="102"/>
      <c r="BX815" s="102"/>
      <c r="BY815" s="102"/>
      <c r="BZ815" s="102"/>
      <c r="CA815" s="464"/>
      <c r="CB815" s="102"/>
      <c r="CC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474">
        <v>813.0</v>
      </c>
      <c r="AB816" s="474">
        <f t="shared" si="10"/>
        <v>818</v>
      </c>
      <c r="AC816" s="476">
        <f t="shared" si="11"/>
        <v>1089</v>
      </c>
      <c r="AD816" s="474">
        <f t="shared" si="12"/>
        <v>1357</v>
      </c>
      <c r="AE816" s="474">
        <f t="shared" si="13"/>
        <v>895</v>
      </c>
      <c r="AF816" s="474">
        <f t="shared" si="14"/>
        <v>1089</v>
      </c>
      <c r="AG816" s="102"/>
      <c r="AH816" s="102"/>
      <c r="AI816" s="102"/>
      <c r="AJ816" s="102"/>
      <c r="AK816" s="102"/>
      <c r="AL816" s="102"/>
      <c r="AM816" s="102"/>
      <c r="AN816" s="102"/>
      <c r="AO816" s="102"/>
      <c r="AP816" s="102"/>
      <c r="AQ816" s="102"/>
      <c r="AR816" s="102"/>
      <c r="AS816" s="102"/>
      <c r="AT816" s="102"/>
      <c r="AU816" s="102"/>
      <c r="AV816" s="102"/>
      <c r="AW816" s="102"/>
      <c r="AX816" s="102"/>
      <c r="AY816" s="102"/>
      <c r="AZ816" s="102"/>
      <c r="BA816" s="102"/>
      <c r="BB816" s="102"/>
      <c r="BC816" s="102"/>
      <c r="BD816" s="102"/>
      <c r="BE816" s="102"/>
      <c r="BF816" s="102"/>
      <c r="BG816" s="102"/>
      <c r="BH816" s="102"/>
      <c r="BI816" s="102"/>
      <c r="BJ816" s="102"/>
      <c r="BK816" s="102"/>
      <c r="BL816" s="102"/>
      <c r="BM816" s="102"/>
      <c r="BN816" s="102"/>
      <c r="BO816" s="102"/>
      <c r="BP816" s="102"/>
      <c r="BQ816" s="102"/>
      <c r="BR816" s="102"/>
      <c r="BS816" s="102"/>
      <c r="BT816" s="102"/>
      <c r="BU816" s="102"/>
      <c r="BV816" s="102"/>
      <c r="BW816" s="102"/>
      <c r="BX816" s="102"/>
      <c r="BY816" s="102"/>
      <c r="BZ816" s="102"/>
      <c r="CA816" s="464"/>
      <c r="CB816" s="102"/>
      <c r="CC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474">
        <v>814.0</v>
      </c>
      <c r="AB817" s="474">
        <f t="shared" si="10"/>
        <v>819</v>
      </c>
      <c r="AC817" s="476">
        <f t="shared" si="11"/>
        <v>1090</v>
      </c>
      <c r="AD817" s="474">
        <f t="shared" si="12"/>
        <v>1359</v>
      </c>
      <c r="AE817" s="474">
        <f t="shared" si="13"/>
        <v>896</v>
      </c>
      <c r="AF817" s="474">
        <f t="shared" si="14"/>
        <v>1090</v>
      </c>
      <c r="AG817" s="102"/>
      <c r="AH817" s="102"/>
      <c r="AI817" s="102"/>
      <c r="AJ817" s="102"/>
      <c r="AK817" s="102"/>
      <c r="AL817" s="102"/>
      <c r="AM817" s="102"/>
      <c r="AN817" s="102"/>
      <c r="AO817" s="102"/>
      <c r="AP817" s="102"/>
      <c r="AQ817" s="102"/>
      <c r="AR817" s="102"/>
      <c r="AS817" s="102"/>
      <c r="AT817" s="102"/>
      <c r="AU817" s="102"/>
      <c r="AV817" s="102"/>
      <c r="AW817" s="102"/>
      <c r="AX817" s="102"/>
      <c r="AY817" s="102"/>
      <c r="AZ817" s="102"/>
      <c r="BA817" s="102"/>
      <c r="BB817" s="102"/>
      <c r="BC817" s="102"/>
      <c r="BD817" s="102"/>
      <c r="BE817" s="102"/>
      <c r="BF817" s="102"/>
      <c r="BG817" s="102"/>
      <c r="BH817" s="102"/>
      <c r="BI817" s="102"/>
      <c r="BJ817" s="102"/>
      <c r="BK817" s="102"/>
      <c r="BL817" s="102"/>
      <c r="BM817" s="102"/>
      <c r="BN817" s="102"/>
      <c r="BO817" s="102"/>
      <c r="BP817" s="102"/>
      <c r="BQ817" s="102"/>
      <c r="BR817" s="102"/>
      <c r="BS817" s="102"/>
      <c r="BT817" s="102"/>
      <c r="BU817" s="102"/>
      <c r="BV817" s="102"/>
      <c r="BW817" s="102"/>
      <c r="BX817" s="102"/>
      <c r="BY817" s="102"/>
      <c r="BZ817" s="102"/>
      <c r="CA817" s="464"/>
      <c r="CB817" s="102"/>
      <c r="CC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474">
        <v>815.0</v>
      </c>
      <c r="AB818" s="474">
        <f t="shared" si="10"/>
        <v>820</v>
      </c>
      <c r="AC818" s="476">
        <f t="shared" si="11"/>
        <v>1092</v>
      </c>
      <c r="AD818" s="474">
        <f t="shared" si="12"/>
        <v>1361</v>
      </c>
      <c r="AE818" s="474">
        <f t="shared" si="13"/>
        <v>897</v>
      </c>
      <c r="AF818" s="474">
        <f t="shared" si="14"/>
        <v>1092</v>
      </c>
      <c r="AG818" s="102"/>
      <c r="AH818" s="102"/>
      <c r="AI818" s="102"/>
      <c r="AJ818" s="102"/>
      <c r="AK818" s="102"/>
      <c r="AL818" s="102"/>
      <c r="AM818" s="102"/>
      <c r="AN818" s="102"/>
      <c r="AO818" s="102"/>
      <c r="AP818" s="102"/>
      <c r="AQ818" s="102"/>
      <c r="AR818" s="102"/>
      <c r="AS818" s="102"/>
      <c r="AT818" s="102"/>
      <c r="AU818" s="102"/>
      <c r="AV818" s="102"/>
      <c r="AW818" s="102"/>
      <c r="AX818" s="102"/>
      <c r="AY818" s="102"/>
      <c r="AZ818" s="102"/>
      <c r="BA818" s="102"/>
      <c r="BB818" s="102"/>
      <c r="BC818" s="102"/>
      <c r="BD818" s="102"/>
      <c r="BE818" s="102"/>
      <c r="BF818" s="102"/>
      <c r="BG818" s="102"/>
      <c r="BH818" s="102"/>
      <c r="BI818" s="102"/>
      <c r="BJ818" s="102"/>
      <c r="BK818" s="102"/>
      <c r="BL818" s="102"/>
      <c r="BM818" s="102"/>
      <c r="BN818" s="102"/>
      <c r="BO818" s="102"/>
      <c r="BP818" s="102"/>
      <c r="BQ818" s="102"/>
      <c r="BR818" s="102"/>
      <c r="BS818" s="102"/>
      <c r="BT818" s="102"/>
      <c r="BU818" s="102"/>
      <c r="BV818" s="102"/>
      <c r="BW818" s="102"/>
      <c r="BX818" s="102"/>
      <c r="BY818" s="102"/>
      <c r="BZ818" s="102"/>
      <c r="CA818" s="464"/>
      <c r="CB818" s="102"/>
      <c r="CC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474">
        <v>816.0</v>
      </c>
      <c r="AB819" s="474">
        <f t="shared" si="10"/>
        <v>821</v>
      </c>
      <c r="AC819" s="476">
        <f t="shared" si="11"/>
        <v>1093</v>
      </c>
      <c r="AD819" s="474">
        <f t="shared" si="12"/>
        <v>1362</v>
      </c>
      <c r="AE819" s="474">
        <f t="shared" si="13"/>
        <v>898</v>
      </c>
      <c r="AF819" s="474">
        <f t="shared" si="14"/>
        <v>1093</v>
      </c>
      <c r="AG819" s="102"/>
      <c r="AH819" s="102"/>
      <c r="AI819" s="102"/>
      <c r="AJ819" s="102"/>
      <c r="AK819" s="102"/>
      <c r="AL819" s="102"/>
      <c r="AM819" s="102"/>
      <c r="AN819" s="102"/>
      <c r="AO819" s="102"/>
      <c r="AP819" s="102"/>
      <c r="AQ819" s="102"/>
      <c r="AR819" s="102"/>
      <c r="AS819" s="102"/>
      <c r="AT819" s="102"/>
      <c r="AU819" s="102"/>
      <c r="AV819" s="102"/>
      <c r="AW819" s="102"/>
      <c r="AX819" s="102"/>
      <c r="AY819" s="102"/>
      <c r="AZ819" s="102"/>
      <c r="BA819" s="102"/>
      <c r="BB819" s="102"/>
      <c r="BC819" s="102"/>
      <c r="BD819" s="102"/>
      <c r="BE819" s="102"/>
      <c r="BF819" s="102"/>
      <c r="BG819" s="102"/>
      <c r="BH819" s="102"/>
      <c r="BI819" s="102"/>
      <c r="BJ819" s="102"/>
      <c r="BK819" s="102"/>
      <c r="BL819" s="102"/>
      <c r="BM819" s="102"/>
      <c r="BN819" s="102"/>
      <c r="BO819" s="102"/>
      <c r="BP819" s="102"/>
      <c r="BQ819" s="102"/>
      <c r="BR819" s="102"/>
      <c r="BS819" s="102"/>
      <c r="BT819" s="102"/>
      <c r="BU819" s="102"/>
      <c r="BV819" s="102"/>
      <c r="BW819" s="102"/>
      <c r="BX819" s="102"/>
      <c r="BY819" s="102"/>
      <c r="BZ819" s="102"/>
      <c r="CA819" s="464"/>
      <c r="CB819" s="102"/>
      <c r="CC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474">
        <v>817.0</v>
      </c>
      <c r="AB820" s="474">
        <f t="shared" si="10"/>
        <v>822</v>
      </c>
      <c r="AC820" s="476">
        <f t="shared" si="11"/>
        <v>1094</v>
      </c>
      <c r="AD820" s="474">
        <f t="shared" si="12"/>
        <v>1364</v>
      </c>
      <c r="AE820" s="474">
        <f t="shared" si="13"/>
        <v>899</v>
      </c>
      <c r="AF820" s="474">
        <f t="shared" si="14"/>
        <v>1094</v>
      </c>
      <c r="AG820" s="102"/>
      <c r="AH820" s="102"/>
      <c r="AI820" s="102"/>
      <c r="AJ820" s="102"/>
      <c r="AK820" s="102"/>
      <c r="AL820" s="102"/>
      <c r="AM820" s="102"/>
      <c r="AN820" s="102"/>
      <c r="AO820" s="102"/>
      <c r="AP820" s="102"/>
      <c r="AQ820" s="102"/>
      <c r="AR820" s="102"/>
      <c r="AS820" s="102"/>
      <c r="AT820" s="102"/>
      <c r="AU820" s="102"/>
      <c r="AV820" s="102"/>
      <c r="AW820" s="102"/>
      <c r="AX820" s="102"/>
      <c r="AY820" s="102"/>
      <c r="AZ820" s="102"/>
      <c r="BA820" s="102"/>
      <c r="BB820" s="102"/>
      <c r="BC820" s="102"/>
      <c r="BD820" s="102"/>
      <c r="BE820" s="102"/>
      <c r="BF820" s="102"/>
      <c r="BG820" s="102"/>
      <c r="BH820" s="102"/>
      <c r="BI820" s="102"/>
      <c r="BJ820" s="102"/>
      <c r="BK820" s="102"/>
      <c r="BL820" s="102"/>
      <c r="BM820" s="102"/>
      <c r="BN820" s="102"/>
      <c r="BO820" s="102"/>
      <c r="BP820" s="102"/>
      <c r="BQ820" s="102"/>
      <c r="BR820" s="102"/>
      <c r="BS820" s="102"/>
      <c r="BT820" s="102"/>
      <c r="BU820" s="102"/>
      <c r="BV820" s="102"/>
      <c r="BW820" s="102"/>
      <c r="BX820" s="102"/>
      <c r="BY820" s="102"/>
      <c r="BZ820" s="102"/>
      <c r="CA820" s="464"/>
      <c r="CB820" s="102"/>
      <c r="CC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474">
        <v>818.0</v>
      </c>
      <c r="AB821" s="474">
        <f t="shared" si="10"/>
        <v>823</v>
      </c>
      <c r="AC821" s="476">
        <f t="shared" si="11"/>
        <v>1096</v>
      </c>
      <c r="AD821" s="474">
        <f t="shared" si="12"/>
        <v>1366</v>
      </c>
      <c r="AE821" s="474">
        <f t="shared" si="13"/>
        <v>900</v>
      </c>
      <c r="AF821" s="474">
        <f t="shared" si="14"/>
        <v>1096</v>
      </c>
      <c r="AG821" s="102"/>
      <c r="AH821" s="102"/>
      <c r="AI821" s="102"/>
      <c r="AJ821" s="102"/>
      <c r="AK821" s="102"/>
      <c r="AL821" s="102"/>
      <c r="AM821" s="102"/>
      <c r="AN821" s="102"/>
      <c r="AO821" s="102"/>
      <c r="AP821" s="102"/>
      <c r="AQ821" s="102"/>
      <c r="AR821" s="102"/>
      <c r="AS821" s="102"/>
      <c r="AT821" s="102"/>
      <c r="AU821" s="102"/>
      <c r="AV821" s="102"/>
      <c r="AW821" s="102"/>
      <c r="AX821" s="102"/>
      <c r="AY821" s="102"/>
      <c r="AZ821" s="102"/>
      <c r="BA821" s="102"/>
      <c r="BB821" s="102"/>
      <c r="BC821" s="102"/>
      <c r="BD821" s="102"/>
      <c r="BE821" s="102"/>
      <c r="BF821" s="102"/>
      <c r="BG821" s="102"/>
      <c r="BH821" s="102"/>
      <c r="BI821" s="102"/>
      <c r="BJ821" s="102"/>
      <c r="BK821" s="102"/>
      <c r="BL821" s="102"/>
      <c r="BM821" s="102"/>
      <c r="BN821" s="102"/>
      <c r="BO821" s="102"/>
      <c r="BP821" s="102"/>
      <c r="BQ821" s="102"/>
      <c r="BR821" s="102"/>
      <c r="BS821" s="102"/>
      <c r="BT821" s="102"/>
      <c r="BU821" s="102"/>
      <c r="BV821" s="102"/>
      <c r="BW821" s="102"/>
      <c r="BX821" s="102"/>
      <c r="BY821" s="102"/>
      <c r="BZ821" s="102"/>
      <c r="CA821" s="464"/>
      <c r="CB821" s="102"/>
      <c r="CC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474">
        <v>819.0</v>
      </c>
      <c r="AB822" s="474">
        <f t="shared" si="10"/>
        <v>824</v>
      </c>
      <c r="AC822" s="476">
        <f t="shared" si="11"/>
        <v>1097</v>
      </c>
      <c r="AD822" s="474">
        <f t="shared" si="12"/>
        <v>1367</v>
      </c>
      <c r="AE822" s="474">
        <f t="shared" si="13"/>
        <v>901</v>
      </c>
      <c r="AF822" s="474">
        <f t="shared" si="14"/>
        <v>1097</v>
      </c>
      <c r="AG822" s="102"/>
      <c r="AH822" s="102"/>
      <c r="AI822" s="102"/>
      <c r="AJ822" s="102"/>
      <c r="AK822" s="102"/>
      <c r="AL822" s="102"/>
      <c r="AM822" s="102"/>
      <c r="AN822" s="102"/>
      <c r="AO822" s="102"/>
      <c r="AP822" s="102"/>
      <c r="AQ822" s="102"/>
      <c r="AR822" s="102"/>
      <c r="AS822" s="102"/>
      <c r="AT822" s="102"/>
      <c r="AU822" s="102"/>
      <c r="AV822" s="102"/>
      <c r="AW822" s="102"/>
      <c r="AX822" s="102"/>
      <c r="AY822" s="102"/>
      <c r="AZ822" s="102"/>
      <c r="BA822" s="102"/>
      <c r="BB822" s="102"/>
      <c r="BC822" s="102"/>
      <c r="BD822" s="102"/>
      <c r="BE822" s="102"/>
      <c r="BF822" s="102"/>
      <c r="BG822" s="102"/>
      <c r="BH822" s="102"/>
      <c r="BI822" s="102"/>
      <c r="BJ822" s="102"/>
      <c r="BK822" s="102"/>
      <c r="BL822" s="102"/>
      <c r="BM822" s="102"/>
      <c r="BN822" s="102"/>
      <c r="BO822" s="102"/>
      <c r="BP822" s="102"/>
      <c r="BQ822" s="102"/>
      <c r="BR822" s="102"/>
      <c r="BS822" s="102"/>
      <c r="BT822" s="102"/>
      <c r="BU822" s="102"/>
      <c r="BV822" s="102"/>
      <c r="BW822" s="102"/>
      <c r="BX822" s="102"/>
      <c r="BY822" s="102"/>
      <c r="BZ822" s="102"/>
      <c r="CA822" s="464"/>
      <c r="CB822" s="102"/>
      <c r="CC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474">
        <v>820.0</v>
      </c>
      <c r="AB823" s="474">
        <f t="shared" si="10"/>
        <v>825</v>
      </c>
      <c r="AC823" s="476">
        <f t="shared" si="11"/>
        <v>1098</v>
      </c>
      <c r="AD823" s="474">
        <f t="shared" si="12"/>
        <v>1369</v>
      </c>
      <c r="AE823" s="474">
        <f t="shared" si="13"/>
        <v>902</v>
      </c>
      <c r="AF823" s="474">
        <f t="shared" si="14"/>
        <v>1098</v>
      </c>
      <c r="AG823" s="102"/>
      <c r="AH823" s="102"/>
      <c r="AI823" s="102"/>
      <c r="AJ823" s="102"/>
      <c r="AK823" s="102"/>
      <c r="AL823" s="102"/>
      <c r="AM823" s="102"/>
      <c r="AN823" s="102"/>
      <c r="AO823" s="102"/>
      <c r="AP823" s="102"/>
      <c r="AQ823" s="102"/>
      <c r="AR823" s="102"/>
      <c r="AS823" s="102"/>
      <c r="AT823" s="102"/>
      <c r="AU823" s="102"/>
      <c r="AV823" s="102"/>
      <c r="AW823" s="102"/>
      <c r="AX823" s="102"/>
      <c r="AY823" s="102"/>
      <c r="AZ823" s="102"/>
      <c r="BA823" s="102"/>
      <c r="BB823" s="102"/>
      <c r="BC823" s="102"/>
      <c r="BD823" s="102"/>
      <c r="BE823" s="102"/>
      <c r="BF823" s="102"/>
      <c r="BG823" s="102"/>
      <c r="BH823" s="102"/>
      <c r="BI823" s="102"/>
      <c r="BJ823" s="102"/>
      <c r="BK823" s="102"/>
      <c r="BL823" s="102"/>
      <c r="BM823" s="102"/>
      <c r="BN823" s="102"/>
      <c r="BO823" s="102"/>
      <c r="BP823" s="102"/>
      <c r="BQ823" s="102"/>
      <c r="BR823" s="102"/>
      <c r="BS823" s="102"/>
      <c r="BT823" s="102"/>
      <c r="BU823" s="102"/>
      <c r="BV823" s="102"/>
      <c r="BW823" s="102"/>
      <c r="BX823" s="102"/>
      <c r="BY823" s="102"/>
      <c r="BZ823" s="102"/>
      <c r="CA823" s="464"/>
      <c r="CB823" s="102"/>
      <c r="CC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474">
        <v>821.0</v>
      </c>
      <c r="AB824" s="474">
        <f t="shared" si="10"/>
        <v>826</v>
      </c>
      <c r="AC824" s="476">
        <f t="shared" si="11"/>
        <v>1100</v>
      </c>
      <c r="AD824" s="474">
        <f t="shared" si="12"/>
        <v>1371</v>
      </c>
      <c r="AE824" s="474">
        <f t="shared" si="13"/>
        <v>904</v>
      </c>
      <c r="AF824" s="474">
        <f t="shared" si="14"/>
        <v>1100</v>
      </c>
      <c r="AG824" s="102"/>
      <c r="AH824" s="102"/>
      <c r="AI824" s="102"/>
      <c r="AJ824" s="102"/>
      <c r="AK824" s="102"/>
      <c r="AL824" s="102"/>
      <c r="AM824" s="102"/>
      <c r="AN824" s="102"/>
      <c r="AO824" s="102"/>
      <c r="AP824" s="102"/>
      <c r="AQ824" s="102"/>
      <c r="AR824" s="102"/>
      <c r="AS824" s="102"/>
      <c r="AT824" s="102"/>
      <c r="AU824" s="102"/>
      <c r="AV824" s="102"/>
      <c r="AW824" s="102"/>
      <c r="AX824" s="102"/>
      <c r="AY824" s="102"/>
      <c r="AZ824" s="102"/>
      <c r="BA824" s="102"/>
      <c r="BB824" s="102"/>
      <c r="BC824" s="102"/>
      <c r="BD824" s="102"/>
      <c r="BE824" s="102"/>
      <c r="BF824" s="102"/>
      <c r="BG824" s="102"/>
      <c r="BH824" s="102"/>
      <c r="BI824" s="102"/>
      <c r="BJ824" s="102"/>
      <c r="BK824" s="102"/>
      <c r="BL824" s="102"/>
      <c r="BM824" s="102"/>
      <c r="BN824" s="102"/>
      <c r="BO824" s="102"/>
      <c r="BP824" s="102"/>
      <c r="BQ824" s="102"/>
      <c r="BR824" s="102"/>
      <c r="BS824" s="102"/>
      <c r="BT824" s="102"/>
      <c r="BU824" s="102"/>
      <c r="BV824" s="102"/>
      <c r="BW824" s="102"/>
      <c r="BX824" s="102"/>
      <c r="BY824" s="102"/>
      <c r="BZ824" s="102"/>
      <c r="CA824" s="464"/>
      <c r="CB824" s="102"/>
      <c r="CC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474">
        <v>822.0</v>
      </c>
      <c r="AB825" s="474">
        <f t="shared" si="10"/>
        <v>827</v>
      </c>
      <c r="AC825" s="476">
        <f t="shared" si="11"/>
        <v>1101</v>
      </c>
      <c r="AD825" s="474">
        <f t="shared" si="12"/>
        <v>1372</v>
      </c>
      <c r="AE825" s="474">
        <f t="shared" si="13"/>
        <v>905</v>
      </c>
      <c r="AF825" s="474">
        <f t="shared" si="14"/>
        <v>1101</v>
      </c>
      <c r="AG825" s="102"/>
      <c r="AH825" s="102"/>
      <c r="AI825" s="102"/>
      <c r="AJ825" s="102"/>
      <c r="AK825" s="102"/>
      <c r="AL825" s="102"/>
      <c r="AM825" s="102"/>
      <c r="AN825" s="102"/>
      <c r="AO825" s="102"/>
      <c r="AP825" s="102"/>
      <c r="AQ825" s="102"/>
      <c r="AR825" s="102"/>
      <c r="AS825" s="102"/>
      <c r="AT825" s="102"/>
      <c r="AU825" s="102"/>
      <c r="AV825" s="102"/>
      <c r="AW825" s="102"/>
      <c r="AX825" s="102"/>
      <c r="AY825" s="102"/>
      <c r="AZ825" s="102"/>
      <c r="BA825" s="102"/>
      <c r="BB825" s="102"/>
      <c r="BC825" s="102"/>
      <c r="BD825" s="102"/>
      <c r="BE825" s="102"/>
      <c r="BF825" s="102"/>
      <c r="BG825" s="102"/>
      <c r="BH825" s="102"/>
      <c r="BI825" s="102"/>
      <c r="BJ825" s="102"/>
      <c r="BK825" s="102"/>
      <c r="BL825" s="102"/>
      <c r="BM825" s="102"/>
      <c r="BN825" s="102"/>
      <c r="BO825" s="102"/>
      <c r="BP825" s="102"/>
      <c r="BQ825" s="102"/>
      <c r="BR825" s="102"/>
      <c r="BS825" s="102"/>
      <c r="BT825" s="102"/>
      <c r="BU825" s="102"/>
      <c r="BV825" s="102"/>
      <c r="BW825" s="102"/>
      <c r="BX825" s="102"/>
      <c r="BY825" s="102"/>
      <c r="BZ825" s="102"/>
      <c r="CA825" s="464"/>
      <c r="CB825" s="102"/>
      <c r="CC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474">
        <v>823.0</v>
      </c>
      <c r="AB826" s="474">
        <f t="shared" si="10"/>
        <v>828</v>
      </c>
      <c r="AC826" s="476">
        <f t="shared" si="11"/>
        <v>1102</v>
      </c>
      <c r="AD826" s="474">
        <f t="shared" si="12"/>
        <v>1374</v>
      </c>
      <c r="AE826" s="474">
        <f t="shared" si="13"/>
        <v>906</v>
      </c>
      <c r="AF826" s="474">
        <f t="shared" si="14"/>
        <v>1102</v>
      </c>
      <c r="AG826" s="102"/>
      <c r="AH826" s="102"/>
      <c r="AI826" s="102"/>
      <c r="AJ826" s="102"/>
      <c r="AK826" s="102"/>
      <c r="AL826" s="102"/>
      <c r="AM826" s="102"/>
      <c r="AN826" s="102"/>
      <c r="AO826" s="102"/>
      <c r="AP826" s="102"/>
      <c r="AQ826" s="102"/>
      <c r="AR826" s="102"/>
      <c r="AS826" s="102"/>
      <c r="AT826" s="102"/>
      <c r="AU826" s="102"/>
      <c r="AV826" s="102"/>
      <c r="AW826" s="102"/>
      <c r="AX826" s="102"/>
      <c r="AY826" s="102"/>
      <c r="AZ826" s="102"/>
      <c r="BA826" s="102"/>
      <c r="BB826" s="102"/>
      <c r="BC826" s="102"/>
      <c r="BD826" s="102"/>
      <c r="BE826" s="102"/>
      <c r="BF826" s="102"/>
      <c r="BG826" s="102"/>
      <c r="BH826" s="102"/>
      <c r="BI826" s="102"/>
      <c r="BJ826" s="102"/>
      <c r="BK826" s="102"/>
      <c r="BL826" s="102"/>
      <c r="BM826" s="102"/>
      <c r="BN826" s="102"/>
      <c r="BO826" s="102"/>
      <c r="BP826" s="102"/>
      <c r="BQ826" s="102"/>
      <c r="BR826" s="102"/>
      <c r="BS826" s="102"/>
      <c r="BT826" s="102"/>
      <c r="BU826" s="102"/>
      <c r="BV826" s="102"/>
      <c r="BW826" s="102"/>
      <c r="BX826" s="102"/>
      <c r="BY826" s="102"/>
      <c r="BZ826" s="102"/>
      <c r="CA826" s="464"/>
      <c r="CB826" s="102"/>
      <c r="CC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474">
        <v>824.0</v>
      </c>
      <c r="AB827" s="474">
        <f t="shared" si="10"/>
        <v>829</v>
      </c>
      <c r="AC827" s="476">
        <f t="shared" si="11"/>
        <v>1104</v>
      </c>
      <c r="AD827" s="474">
        <f t="shared" si="12"/>
        <v>1376</v>
      </c>
      <c r="AE827" s="474">
        <f t="shared" si="13"/>
        <v>907</v>
      </c>
      <c r="AF827" s="474">
        <f t="shared" si="14"/>
        <v>1104</v>
      </c>
      <c r="AG827" s="102"/>
      <c r="AH827" s="102"/>
      <c r="AI827" s="102"/>
      <c r="AJ827" s="102"/>
      <c r="AK827" s="102"/>
      <c r="AL827" s="102"/>
      <c r="AM827" s="102"/>
      <c r="AN827" s="102"/>
      <c r="AO827" s="102"/>
      <c r="AP827" s="102"/>
      <c r="AQ827" s="102"/>
      <c r="AR827" s="102"/>
      <c r="AS827" s="102"/>
      <c r="AT827" s="102"/>
      <c r="AU827" s="102"/>
      <c r="AV827" s="102"/>
      <c r="AW827" s="102"/>
      <c r="AX827" s="102"/>
      <c r="AY827" s="102"/>
      <c r="AZ827" s="102"/>
      <c r="BA827" s="102"/>
      <c r="BB827" s="102"/>
      <c r="BC827" s="102"/>
      <c r="BD827" s="102"/>
      <c r="BE827" s="102"/>
      <c r="BF827" s="102"/>
      <c r="BG827" s="102"/>
      <c r="BH827" s="102"/>
      <c r="BI827" s="102"/>
      <c r="BJ827" s="102"/>
      <c r="BK827" s="102"/>
      <c r="BL827" s="102"/>
      <c r="BM827" s="102"/>
      <c r="BN827" s="102"/>
      <c r="BO827" s="102"/>
      <c r="BP827" s="102"/>
      <c r="BQ827" s="102"/>
      <c r="BR827" s="102"/>
      <c r="BS827" s="102"/>
      <c r="BT827" s="102"/>
      <c r="BU827" s="102"/>
      <c r="BV827" s="102"/>
      <c r="BW827" s="102"/>
      <c r="BX827" s="102"/>
      <c r="BY827" s="102"/>
      <c r="BZ827" s="102"/>
      <c r="CA827" s="464"/>
      <c r="CB827" s="102"/>
      <c r="CC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474">
        <v>825.0</v>
      </c>
      <c r="AB828" s="474">
        <f t="shared" si="10"/>
        <v>830</v>
      </c>
      <c r="AC828" s="476">
        <f t="shared" si="11"/>
        <v>1105</v>
      </c>
      <c r="AD828" s="474">
        <f t="shared" si="12"/>
        <v>1377</v>
      </c>
      <c r="AE828" s="474">
        <f t="shared" si="13"/>
        <v>908</v>
      </c>
      <c r="AF828" s="474">
        <f t="shared" si="14"/>
        <v>1105</v>
      </c>
      <c r="AG828" s="102"/>
      <c r="AH828" s="102"/>
      <c r="AI828" s="102"/>
      <c r="AJ828" s="102"/>
      <c r="AK828" s="102"/>
      <c r="AL828" s="102"/>
      <c r="AM828" s="102"/>
      <c r="AN828" s="102"/>
      <c r="AO828" s="102"/>
      <c r="AP828" s="102"/>
      <c r="AQ828" s="102"/>
      <c r="AR828" s="102"/>
      <c r="AS828" s="102"/>
      <c r="AT828" s="102"/>
      <c r="AU828" s="102"/>
      <c r="AV828" s="102"/>
      <c r="AW828" s="102"/>
      <c r="AX828" s="102"/>
      <c r="AY828" s="102"/>
      <c r="AZ828" s="102"/>
      <c r="BA828" s="102"/>
      <c r="BB828" s="102"/>
      <c r="BC828" s="102"/>
      <c r="BD828" s="102"/>
      <c r="BE828" s="102"/>
      <c r="BF828" s="102"/>
      <c r="BG828" s="102"/>
      <c r="BH828" s="102"/>
      <c r="BI828" s="102"/>
      <c r="BJ828" s="102"/>
      <c r="BK828" s="102"/>
      <c r="BL828" s="102"/>
      <c r="BM828" s="102"/>
      <c r="BN828" s="102"/>
      <c r="BO828" s="102"/>
      <c r="BP828" s="102"/>
      <c r="BQ828" s="102"/>
      <c r="BR828" s="102"/>
      <c r="BS828" s="102"/>
      <c r="BT828" s="102"/>
      <c r="BU828" s="102"/>
      <c r="BV828" s="102"/>
      <c r="BW828" s="102"/>
      <c r="BX828" s="102"/>
      <c r="BY828" s="102"/>
      <c r="BZ828" s="102"/>
      <c r="CA828" s="464"/>
      <c r="CB828" s="102"/>
      <c r="CC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474">
        <v>826.0</v>
      </c>
      <c r="AB829" s="474">
        <f t="shared" si="10"/>
        <v>831</v>
      </c>
      <c r="AC829" s="476">
        <f t="shared" si="11"/>
        <v>1106</v>
      </c>
      <c r="AD829" s="474">
        <f t="shared" si="12"/>
        <v>1379</v>
      </c>
      <c r="AE829" s="474">
        <f t="shared" si="13"/>
        <v>909</v>
      </c>
      <c r="AF829" s="474">
        <f t="shared" si="14"/>
        <v>1106</v>
      </c>
      <c r="AG829" s="102"/>
      <c r="AH829" s="102"/>
      <c r="AI829" s="102"/>
      <c r="AJ829" s="102"/>
      <c r="AK829" s="102"/>
      <c r="AL829" s="102"/>
      <c r="AM829" s="102"/>
      <c r="AN829" s="102"/>
      <c r="AO829" s="102"/>
      <c r="AP829" s="102"/>
      <c r="AQ829" s="102"/>
      <c r="AR829" s="102"/>
      <c r="AS829" s="102"/>
      <c r="AT829" s="102"/>
      <c r="AU829" s="102"/>
      <c r="AV829" s="102"/>
      <c r="AW829" s="102"/>
      <c r="AX829" s="102"/>
      <c r="AY829" s="102"/>
      <c r="AZ829" s="102"/>
      <c r="BA829" s="102"/>
      <c r="BB829" s="102"/>
      <c r="BC829" s="102"/>
      <c r="BD829" s="102"/>
      <c r="BE829" s="102"/>
      <c r="BF829" s="102"/>
      <c r="BG829" s="102"/>
      <c r="BH829" s="102"/>
      <c r="BI829" s="102"/>
      <c r="BJ829" s="102"/>
      <c r="BK829" s="102"/>
      <c r="BL829" s="102"/>
      <c r="BM829" s="102"/>
      <c r="BN829" s="102"/>
      <c r="BO829" s="102"/>
      <c r="BP829" s="102"/>
      <c r="BQ829" s="102"/>
      <c r="BR829" s="102"/>
      <c r="BS829" s="102"/>
      <c r="BT829" s="102"/>
      <c r="BU829" s="102"/>
      <c r="BV829" s="102"/>
      <c r="BW829" s="102"/>
      <c r="BX829" s="102"/>
      <c r="BY829" s="102"/>
      <c r="BZ829" s="102"/>
      <c r="CA829" s="464"/>
      <c r="CB829" s="102"/>
      <c r="CC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474">
        <v>827.0</v>
      </c>
      <c r="AB830" s="474">
        <f t="shared" si="10"/>
        <v>832</v>
      </c>
      <c r="AC830" s="476">
        <f t="shared" si="11"/>
        <v>1108</v>
      </c>
      <c r="AD830" s="474">
        <f t="shared" si="12"/>
        <v>1381</v>
      </c>
      <c r="AE830" s="474">
        <f t="shared" si="13"/>
        <v>910</v>
      </c>
      <c r="AF830" s="474">
        <f t="shared" si="14"/>
        <v>1108</v>
      </c>
      <c r="AG830" s="102"/>
      <c r="AH830" s="102"/>
      <c r="AI830" s="102"/>
      <c r="AJ830" s="102"/>
      <c r="AK830" s="102"/>
      <c r="AL830" s="102"/>
      <c r="AM830" s="102"/>
      <c r="AN830" s="102"/>
      <c r="AO830" s="102"/>
      <c r="AP830" s="102"/>
      <c r="AQ830" s="102"/>
      <c r="AR830" s="102"/>
      <c r="AS830" s="102"/>
      <c r="AT830" s="102"/>
      <c r="AU830" s="102"/>
      <c r="AV830" s="102"/>
      <c r="AW830" s="102"/>
      <c r="AX830" s="102"/>
      <c r="AY830" s="102"/>
      <c r="AZ830" s="102"/>
      <c r="BA830" s="102"/>
      <c r="BB830" s="102"/>
      <c r="BC830" s="102"/>
      <c r="BD830" s="102"/>
      <c r="BE830" s="102"/>
      <c r="BF830" s="102"/>
      <c r="BG830" s="102"/>
      <c r="BH830" s="102"/>
      <c r="BI830" s="102"/>
      <c r="BJ830" s="102"/>
      <c r="BK830" s="102"/>
      <c r="BL830" s="102"/>
      <c r="BM830" s="102"/>
      <c r="BN830" s="102"/>
      <c r="BO830" s="102"/>
      <c r="BP830" s="102"/>
      <c r="BQ830" s="102"/>
      <c r="BR830" s="102"/>
      <c r="BS830" s="102"/>
      <c r="BT830" s="102"/>
      <c r="BU830" s="102"/>
      <c r="BV830" s="102"/>
      <c r="BW830" s="102"/>
      <c r="BX830" s="102"/>
      <c r="BY830" s="102"/>
      <c r="BZ830" s="102"/>
      <c r="CA830" s="464"/>
      <c r="CB830" s="102"/>
      <c r="CC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474">
        <v>828.0</v>
      </c>
      <c r="AB831" s="474">
        <f t="shared" si="10"/>
        <v>833</v>
      </c>
      <c r="AC831" s="476">
        <f t="shared" si="11"/>
        <v>1109</v>
      </c>
      <c r="AD831" s="474">
        <f t="shared" si="12"/>
        <v>1382</v>
      </c>
      <c r="AE831" s="474">
        <f t="shared" si="13"/>
        <v>911</v>
      </c>
      <c r="AF831" s="474">
        <f t="shared" si="14"/>
        <v>1109</v>
      </c>
      <c r="AG831" s="102"/>
      <c r="AH831" s="102"/>
      <c r="AI831" s="102"/>
      <c r="AJ831" s="102"/>
      <c r="AK831" s="102"/>
      <c r="AL831" s="102"/>
      <c r="AM831" s="102"/>
      <c r="AN831" s="102"/>
      <c r="AO831" s="102"/>
      <c r="AP831" s="102"/>
      <c r="AQ831" s="102"/>
      <c r="AR831" s="102"/>
      <c r="AS831" s="102"/>
      <c r="AT831" s="102"/>
      <c r="AU831" s="102"/>
      <c r="AV831" s="102"/>
      <c r="AW831" s="102"/>
      <c r="AX831" s="102"/>
      <c r="AY831" s="102"/>
      <c r="AZ831" s="102"/>
      <c r="BA831" s="102"/>
      <c r="BB831" s="102"/>
      <c r="BC831" s="102"/>
      <c r="BD831" s="102"/>
      <c r="BE831" s="102"/>
      <c r="BF831" s="102"/>
      <c r="BG831" s="102"/>
      <c r="BH831" s="102"/>
      <c r="BI831" s="102"/>
      <c r="BJ831" s="102"/>
      <c r="BK831" s="102"/>
      <c r="BL831" s="102"/>
      <c r="BM831" s="102"/>
      <c r="BN831" s="102"/>
      <c r="BO831" s="102"/>
      <c r="BP831" s="102"/>
      <c r="BQ831" s="102"/>
      <c r="BR831" s="102"/>
      <c r="BS831" s="102"/>
      <c r="BT831" s="102"/>
      <c r="BU831" s="102"/>
      <c r="BV831" s="102"/>
      <c r="BW831" s="102"/>
      <c r="BX831" s="102"/>
      <c r="BY831" s="102"/>
      <c r="BZ831" s="102"/>
      <c r="CA831" s="464"/>
      <c r="CB831" s="102"/>
      <c r="CC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474">
        <v>829.0</v>
      </c>
      <c r="AB832" s="474">
        <f t="shared" si="10"/>
        <v>834</v>
      </c>
      <c r="AC832" s="476">
        <f t="shared" si="11"/>
        <v>1110</v>
      </c>
      <c r="AD832" s="474">
        <f t="shared" si="12"/>
        <v>1384</v>
      </c>
      <c r="AE832" s="474">
        <f t="shared" si="13"/>
        <v>912</v>
      </c>
      <c r="AF832" s="474">
        <f t="shared" si="14"/>
        <v>1110</v>
      </c>
      <c r="AG832" s="102"/>
      <c r="AH832" s="102"/>
      <c r="AI832" s="102"/>
      <c r="AJ832" s="102"/>
      <c r="AK832" s="102"/>
      <c r="AL832" s="102"/>
      <c r="AM832" s="102"/>
      <c r="AN832" s="102"/>
      <c r="AO832" s="102"/>
      <c r="AP832" s="102"/>
      <c r="AQ832" s="102"/>
      <c r="AR832" s="102"/>
      <c r="AS832" s="102"/>
      <c r="AT832" s="102"/>
      <c r="AU832" s="102"/>
      <c r="AV832" s="102"/>
      <c r="AW832" s="102"/>
      <c r="AX832" s="102"/>
      <c r="AY832" s="102"/>
      <c r="AZ832" s="102"/>
      <c r="BA832" s="102"/>
      <c r="BB832" s="102"/>
      <c r="BC832" s="102"/>
      <c r="BD832" s="102"/>
      <c r="BE832" s="102"/>
      <c r="BF832" s="102"/>
      <c r="BG832" s="102"/>
      <c r="BH832" s="102"/>
      <c r="BI832" s="102"/>
      <c r="BJ832" s="102"/>
      <c r="BK832" s="102"/>
      <c r="BL832" s="102"/>
      <c r="BM832" s="102"/>
      <c r="BN832" s="102"/>
      <c r="BO832" s="102"/>
      <c r="BP832" s="102"/>
      <c r="BQ832" s="102"/>
      <c r="BR832" s="102"/>
      <c r="BS832" s="102"/>
      <c r="BT832" s="102"/>
      <c r="BU832" s="102"/>
      <c r="BV832" s="102"/>
      <c r="BW832" s="102"/>
      <c r="BX832" s="102"/>
      <c r="BY832" s="102"/>
      <c r="BZ832" s="102"/>
      <c r="CA832" s="464"/>
      <c r="CB832" s="102"/>
      <c r="CC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474">
        <v>830.0</v>
      </c>
      <c r="AB833" s="474">
        <f t="shared" si="10"/>
        <v>835</v>
      </c>
      <c r="AC833" s="476">
        <f t="shared" si="11"/>
        <v>1112</v>
      </c>
      <c r="AD833" s="474">
        <f t="shared" si="12"/>
        <v>1386</v>
      </c>
      <c r="AE833" s="474">
        <f t="shared" si="13"/>
        <v>913</v>
      </c>
      <c r="AF833" s="474">
        <f t="shared" si="14"/>
        <v>1112</v>
      </c>
      <c r="AG833" s="102"/>
      <c r="AH833" s="102"/>
      <c r="AI833" s="102"/>
      <c r="AJ833" s="102"/>
      <c r="AK833" s="102"/>
      <c r="AL833" s="102"/>
      <c r="AM833" s="102"/>
      <c r="AN833" s="102"/>
      <c r="AO833" s="102"/>
      <c r="AP833" s="102"/>
      <c r="AQ833" s="102"/>
      <c r="AR833" s="102"/>
      <c r="AS833" s="102"/>
      <c r="AT833" s="102"/>
      <c r="AU833" s="102"/>
      <c r="AV833" s="102"/>
      <c r="AW833" s="102"/>
      <c r="AX833" s="102"/>
      <c r="AY833" s="102"/>
      <c r="AZ833" s="102"/>
      <c r="BA833" s="102"/>
      <c r="BB833" s="102"/>
      <c r="BC833" s="102"/>
      <c r="BD833" s="102"/>
      <c r="BE833" s="102"/>
      <c r="BF833" s="102"/>
      <c r="BG833" s="102"/>
      <c r="BH833" s="102"/>
      <c r="BI833" s="102"/>
      <c r="BJ833" s="102"/>
      <c r="BK833" s="102"/>
      <c r="BL833" s="102"/>
      <c r="BM833" s="102"/>
      <c r="BN833" s="102"/>
      <c r="BO833" s="102"/>
      <c r="BP833" s="102"/>
      <c r="BQ833" s="102"/>
      <c r="BR833" s="102"/>
      <c r="BS833" s="102"/>
      <c r="BT833" s="102"/>
      <c r="BU833" s="102"/>
      <c r="BV833" s="102"/>
      <c r="BW833" s="102"/>
      <c r="BX833" s="102"/>
      <c r="BY833" s="102"/>
      <c r="BZ833" s="102"/>
      <c r="CA833" s="464"/>
      <c r="CB833" s="102"/>
      <c r="CC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474">
        <v>831.0</v>
      </c>
      <c r="AB834" s="474">
        <f t="shared" si="10"/>
        <v>836</v>
      </c>
      <c r="AC834" s="476">
        <f t="shared" si="11"/>
        <v>1113</v>
      </c>
      <c r="AD834" s="474">
        <f t="shared" si="12"/>
        <v>1387</v>
      </c>
      <c r="AE834" s="474">
        <f t="shared" si="13"/>
        <v>915</v>
      </c>
      <c r="AF834" s="474">
        <f t="shared" si="14"/>
        <v>1113</v>
      </c>
      <c r="AG834" s="102"/>
      <c r="AH834" s="102"/>
      <c r="AI834" s="102"/>
      <c r="AJ834" s="102"/>
      <c r="AK834" s="102"/>
      <c r="AL834" s="102"/>
      <c r="AM834" s="102"/>
      <c r="AN834" s="102"/>
      <c r="AO834" s="102"/>
      <c r="AP834" s="102"/>
      <c r="AQ834" s="102"/>
      <c r="AR834" s="102"/>
      <c r="AS834" s="102"/>
      <c r="AT834" s="102"/>
      <c r="AU834" s="102"/>
      <c r="AV834" s="102"/>
      <c r="AW834" s="102"/>
      <c r="AX834" s="102"/>
      <c r="AY834" s="102"/>
      <c r="AZ834" s="102"/>
      <c r="BA834" s="102"/>
      <c r="BB834" s="102"/>
      <c r="BC834" s="102"/>
      <c r="BD834" s="102"/>
      <c r="BE834" s="102"/>
      <c r="BF834" s="102"/>
      <c r="BG834" s="102"/>
      <c r="BH834" s="102"/>
      <c r="BI834" s="102"/>
      <c r="BJ834" s="102"/>
      <c r="BK834" s="102"/>
      <c r="BL834" s="102"/>
      <c r="BM834" s="102"/>
      <c r="BN834" s="102"/>
      <c r="BO834" s="102"/>
      <c r="BP834" s="102"/>
      <c r="BQ834" s="102"/>
      <c r="BR834" s="102"/>
      <c r="BS834" s="102"/>
      <c r="BT834" s="102"/>
      <c r="BU834" s="102"/>
      <c r="BV834" s="102"/>
      <c r="BW834" s="102"/>
      <c r="BX834" s="102"/>
      <c r="BY834" s="102"/>
      <c r="BZ834" s="102"/>
      <c r="CA834" s="464"/>
      <c r="CB834" s="102"/>
      <c r="CC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474">
        <v>832.0</v>
      </c>
      <c r="AB835" s="474">
        <f t="shared" si="10"/>
        <v>837</v>
      </c>
      <c r="AC835" s="476">
        <f t="shared" si="11"/>
        <v>1114</v>
      </c>
      <c r="AD835" s="474">
        <f t="shared" si="12"/>
        <v>1389</v>
      </c>
      <c r="AE835" s="474">
        <f t="shared" si="13"/>
        <v>916</v>
      </c>
      <c r="AF835" s="474">
        <f t="shared" si="14"/>
        <v>1114</v>
      </c>
      <c r="AG835" s="102"/>
      <c r="AH835" s="102"/>
      <c r="AI835" s="102"/>
      <c r="AJ835" s="102"/>
      <c r="AK835" s="102"/>
      <c r="AL835" s="102"/>
      <c r="AM835" s="102"/>
      <c r="AN835" s="102"/>
      <c r="AO835" s="102"/>
      <c r="AP835" s="102"/>
      <c r="AQ835" s="102"/>
      <c r="AR835" s="102"/>
      <c r="AS835" s="102"/>
      <c r="AT835" s="102"/>
      <c r="AU835" s="102"/>
      <c r="AV835" s="102"/>
      <c r="AW835" s="102"/>
      <c r="AX835" s="102"/>
      <c r="AY835" s="102"/>
      <c r="AZ835" s="102"/>
      <c r="BA835" s="102"/>
      <c r="BB835" s="102"/>
      <c r="BC835" s="102"/>
      <c r="BD835" s="102"/>
      <c r="BE835" s="102"/>
      <c r="BF835" s="102"/>
      <c r="BG835" s="102"/>
      <c r="BH835" s="102"/>
      <c r="BI835" s="102"/>
      <c r="BJ835" s="102"/>
      <c r="BK835" s="102"/>
      <c r="BL835" s="102"/>
      <c r="BM835" s="102"/>
      <c r="BN835" s="102"/>
      <c r="BO835" s="102"/>
      <c r="BP835" s="102"/>
      <c r="BQ835" s="102"/>
      <c r="BR835" s="102"/>
      <c r="BS835" s="102"/>
      <c r="BT835" s="102"/>
      <c r="BU835" s="102"/>
      <c r="BV835" s="102"/>
      <c r="BW835" s="102"/>
      <c r="BX835" s="102"/>
      <c r="BY835" s="102"/>
      <c r="BZ835" s="102"/>
      <c r="CA835" s="464"/>
      <c r="CB835" s="102"/>
      <c r="CC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474">
        <v>833.0</v>
      </c>
      <c r="AB836" s="474">
        <f t="shared" si="10"/>
        <v>838</v>
      </c>
      <c r="AC836" s="476">
        <f t="shared" si="11"/>
        <v>1116</v>
      </c>
      <c r="AD836" s="474">
        <f t="shared" si="12"/>
        <v>1391</v>
      </c>
      <c r="AE836" s="474">
        <f t="shared" si="13"/>
        <v>917</v>
      </c>
      <c r="AF836" s="474">
        <f t="shared" si="14"/>
        <v>1116</v>
      </c>
      <c r="AG836" s="102"/>
      <c r="AH836" s="102"/>
      <c r="AI836" s="102"/>
      <c r="AJ836" s="102"/>
      <c r="AK836" s="102"/>
      <c r="AL836" s="102"/>
      <c r="AM836" s="102"/>
      <c r="AN836" s="102"/>
      <c r="AO836" s="102"/>
      <c r="AP836" s="102"/>
      <c r="AQ836" s="102"/>
      <c r="AR836" s="102"/>
      <c r="AS836" s="102"/>
      <c r="AT836" s="102"/>
      <c r="AU836" s="102"/>
      <c r="AV836" s="102"/>
      <c r="AW836" s="102"/>
      <c r="AX836" s="102"/>
      <c r="AY836" s="102"/>
      <c r="AZ836" s="102"/>
      <c r="BA836" s="102"/>
      <c r="BB836" s="102"/>
      <c r="BC836" s="102"/>
      <c r="BD836" s="102"/>
      <c r="BE836" s="102"/>
      <c r="BF836" s="102"/>
      <c r="BG836" s="102"/>
      <c r="BH836" s="102"/>
      <c r="BI836" s="102"/>
      <c r="BJ836" s="102"/>
      <c r="BK836" s="102"/>
      <c r="BL836" s="102"/>
      <c r="BM836" s="102"/>
      <c r="BN836" s="102"/>
      <c r="BO836" s="102"/>
      <c r="BP836" s="102"/>
      <c r="BQ836" s="102"/>
      <c r="BR836" s="102"/>
      <c r="BS836" s="102"/>
      <c r="BT836" s="102"/>
      <c r="BU836" s="102"/>
      <c r="BV836" s="102"/>
      <c r="BW836" s="102"/>
      <c r="BX836" s="102"/>
      <c r="BY836" s="102"/>
      <c r="BZ836" s="102"/>
      <c r="CA836" s="464"/>
      <c r="CB836" s="102"/>
      <c r="CC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474">
        <v>834.0</v>
      </c>
      <c r="AB837" s="474">
        <f t="shared" si="10"/>
        <v>839</v>
      </c>
      <c r="AC837" s="476">
        <f t="shared" si="11"/>
        <v>1117</v>
      </c>
      <c r="AD837" s="474">
        <f t="shared" si="12"/>
        <v>1392</v>
      </c>
      <c r="AE837" s="474">
        <f t="shared" si="13"/>
        <v>918</v>
      </c>
      <c r="AF837" s="474">
        <f t="shared" si="14"/>
        <v>1117</v>
      </c>
      <c r="AG837" s="102"/>
      <c r="AH837" s="102"/>
      <c r="AI837" s="102"/>
      <c r="AJ837" s="102"/>
      <c r="AK837" s="102"/>
      <c r="AL837" s="102"/>
      <c r="AM837" s="102"/>
      <c r="AN837" s="102"/>
      <c r="AO837" s="102"/>
      <c r="AP837" s="102"/>
      <c r="AQ837" s="102"/>
      <c r="AR837" s="102"/>
      <c r="AS837" s="102"/>
      <c r="AT837" s="102"/>
      <c r="AU837" s="102"/>
      <c r="AV837" s="102"/>
      <c r="AW837" s="102"/>
      <c r="AX837" s="102"/>
      <c r="AY837" s="102"/>
      <c r="AZ837" s="102"/>
      <c r="BA837" s="102"/>
      <c r="BB837" s="102"/>
      <c r="BC837" s="102"/>
      <c r="BD837" s="102"/>
      <c r="BE837" s="102"/>
      <c r="BF837" s="102"/>
      <c r="BG837" s="102"/>
      <c r="BH837" s="102"/>
      <c r="BI837" s="102"/>
      <c r="BJ837" s="102"/>
      <c r="BK837" s="102"/>
      <c r="BL837" s="102"/>
      <c r="BM837" s="102"/>
      <c r="BN837" s="102"/>
      <c r="BO837" s="102"/>
      <c r="BP837" s="102"/>
      <c r="BQ837" s="102"/>
      <c r="BR837" s="102"/>
      <c r="BS837" s="102"/>
      <c r="BT837" s="102"/>
      <c r="BU837" s="102"/>
      <c r="BV837" s="102"/>
      <c r="BW837" s="102"/>
      <c r="BX837" s="102"/>
      <c r="BY837" s="102"/>
      <c r="BZ837" s="102"/>
      <c r="CA837" s="464"/>
      <c r="CB837" s="102"/>
      <c r="CC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474">
        <v>835.0</v>
      </c>
      <c r="AB838" s="474">
        <f t="shared" si="10"/>
        <v>840</v>
      </c>
      <c r="AC838" s="476">
        <f t="shared" si="11"/>
        <v>1118</v>
      </c>
      <c r="AD838" s="474">
        <f t="shared" si="12"/>
        <v>1394</v>
      </c>
      <c r="AE838" s="474">
        <f t="shared" si="13"/>
        <v>919</v>
      </c>
      <c r="AF838" s="474">
        <f t="shared" si="14"/>
        <v>1118</v>
      </c>
      <c r="AG838" s="102"/>
      <c r="AH838" s="102"/>
      <c r="AI838" s="102"/>
      <c r="AJ838" s="102"/>
      <c r="AK838" s="102"/>
      <c r="AL838" s="102"/>
      <c r="AM838" s="102"/>
      <c r="AN838" s="102"/>
      <c r="AO838" s="102"/>
      <c r="AP838" s="102"/>
      <c r="AQ838" s="102"/>
      <c r="AR838" s="102"/>
      <c r="AS838" s="102"/>
      <c r="AT838" s="102"/>
      <c r="AU838" s="102"/>
      <c r="AV838" s="102"/>
      <c r="AW838" s="102"/>
      <c r="AX838" s="102"/>
      <c r="AY838" s="102"/>
      <c r="AZ838" s="102"/>
      <c r="BA838" s="102"/>
      <c r="BB838" s="102"/>
      <c r="BC838" s="102"/>
      <c r="BD838" s="102"/>
      <c r="BE838" s="102"/>
      <c r="BF838" s="102"/>
      <c r="BG838" s="102"/>
      <c r="BH838" s="102"/>
      <c r="BI838" s="102"/>
      <c r="BJ838" s="102"/>
      <c r="BK838" s="102"/>
      <c r="BL838" s="102"/>
      <c r="BM838" s="102"/>
      <c r="BN838" s="102"/>
      <c r="BO838" s="102"/>
      <c r="BP838" s="102"/>
      <c r="BQ838" s="102"/>
      <c r="BR838" s="102"/>
      <c r="BS838" s="102"/>
      <c r="BT838" s="102"/>
      <c r="BU838" s="102"/>
      <c r="BV838" s="102"/>
      <c r="BW838" s="102"/>
      <c r="BX838" s="102"/>
      <c r="BY838" s="102"/>
      <c r="BZ838" s="102"/>
      <c r="CA838" s="464"/>
      <c r="CB838" s="102"/>
      <c r="CC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474">
        <v>836.0</v>
      </c>
      <c r="AB839" s="474">
        <f t="shared" si="10"/>
        <v>841</v>
      </c>
      <c r="AC839" s="476">
        <f t="shared" si="11"/>
        <v>1120</v>
      </c>
      <c r="AD839" s="474">
        <f t="shared" si="12"/>
        <v>1396</v>
      </c>
      <c r="AE839" s="474">
        <f t="shared" si="13"/>
        <v>920</v>
      </c>
      <c r="AF839" s="474">
        <f t="shared" si="14"/>
        <v>1120</v>
      </c>
      <c r="AG839" s="102"/>
      <c r="AH839" s="102"/>
      <c r="AI839" s="102"/>
      <c r="AJ839" s="102"/>
      <c r="AK839" s="102"/>
      <c r="AL839" s="102"/>
      <c r="AM839" s="102"/>
      <c r="AN839" s="102"/>
      <c r="AO839" s="102"/>
      <c r="AP839" s="102"/>
      <c r="AQ839" s="102"/>
      <c r="AR839" s="102"/>
      <c r="AS839" s="102"/>
      <c r="AT839" s="102"/>
      <c r="AU839" s="102"/>
      <c r="AV839" s="102"/>
      <c r="AW839" s="102"/>
      <c r="AX839" s="102"/>
      <c r="AY839" s="102"/>
      <c r="AZ839" s="102"/>
      <c r="BA839" s="102"/>
      <c r="BB839" s="102"/>
      <c r="BC839" s="102"/>
      <c r="BD839" s="102"/>
      <c r="BE839" s="102"/>
      <c r="BF839" s="102"/>
      <c r="BG839" s="102"/>
      <c r="BH839" s="102"/>
      <c r="BI839" s="102"/>
      <c r="BJ839" s="102"/>
      <c r="BK839" s="102"/>
      <c r="BL839" s="102"/>
      <c r="BM839" s="102"/>
      <c r="BN839" s="102"/>
      <c r="BO839" s="102"/>
      <c r="BP839" s="102"/>
      <c r="BQ839" s="102"/>
      <c r="BR839" s="102"/>
      <c r="BS839" s="102"/>
      <c r="BT839" s="102"/>
      <c r="BU839" s="102"/>
      <c r="BV839" s="102"/>
      <c r="BW839" s="102"/>
      <c r="BX839" s="102"/>
      <c r="BY839" s="102"/>
      <c r="BZ839" s="102"/>
      <c r="CA839" s="464"/>
      <c r="CB839" s="102"/>
      <c r="CC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474">
        <v>837.0</v>
      </c>
      <c r="AB840" s="474">
        <f t="shared" si="10"/>
        <v>842</v>
      </c>
      <c r="AC840" s="476">
        <f t="shared" si="11"/>
        <v>1121</v>
      </c>
      <c r="AD840" s="474">
        <f t="shared" si="12"/>
        <v>1397</v>
      </c>
      <c r="AE840" s="474">
        <f t="shared" si="13"/>
        <v>921</v>
      </c>
      <c r="AF840" s="474">
        <f t="shared" si="14"/>
        <v>1121</v>
      </c>
      <c r="AG840" s="102"/>
      <c r="AH840" s="102"/>
      <c r="AI840" s="102"/>
      <c r="AJ840" s="102"/>
      <c r="AK840" s="102"/>
      <c r="AL840" s="102"/>
      <c r="AM840" s="102"/>
      <c r="AN840" s="102"/>
      <c r="AO840" s="102"/>
      <c r="AP840" s="102"/>
      <c r="AQ840" s="102"/>
      <c r="AR840" s="102"/>
      <c r="AS840" s="102"/>
      <c r="AT840" s="102"/>
      <c r="AU840" s="102"/>
      <c r="AV840" s="102"/>
      <c r="AW840" s="102"/>
      <c r="AX840" s="102"/>
      <c r="AY840" s="102"/>
      <c r="AZ840" s="102"/>
      <c r="BA840" s="102"/>
      <c r="BB840" s="102"/>
      <c r="BC840" s="102"/>
      <c r="BD840" s="102"/>
      <c r="BE840" s="102"/>
      <c r="BF840" s="102"/>
      <c r="BG840" s="102"/>
      <c r="BH840" s="102"/>
      <c r="BI840" s="102"/>
      <c r="BJ840" s="102"/>
      <c r="BK840" s="102"/>
      <c r="BL840" s="102"/>
      <c r="BM840" s="102"/>
      <c r="BN840" s="102"/>
      <c r="BO840" s="102"/>
      <c r="BP840" s="102"/>
      <c r="BQ840" s="102"/>
      <c r="BR840" s="102"/>
      <c r="BS840" s="102"/>
      <c r="BT840" s="102"/>
      <c r="BU840" s="102"/>
      <c r="BV840" s="102"/>
      <c r="BW840" s="102"/>
      <c r="BX840" s="102"/>
      <c r="BY840" s="102"/>
      <c r="BZ840" s="102"/>
      <c r="CA840" s="464"/>
      <c r="CB840" s="102"/>
      <c r="CC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474">
        <v>838.0</v>
      </c>
      <c r="AB841" s="474">
        <f t="shared" si="10"/>
        <v>843</v>
      </c>
      <c r="AC841" s="476">
        <f t="shared" si="11"/>
        <v>1122</v>
      </c>
      <c r="AD841" s="474">
        <f t="shared" si="12"/>
        <v>1399</v>
      </c>
      <c r="AE841" s="474">
        <f t="shared" si="13"/>
        <v>922</v>
      </c>
      <c r="AF841" s="474">
        <f t="shared" si="14"/>
        <v>1122</v>
      </c>
      <c r="AG841" s="102"/>
      <c r="AH841" s="102"/>
      <c r="AI841" s="102"/>
      <c r="AJ841" s="102"/>
      <c r="AK841" s="102"/>
      <c r="AL841" s="102"/>
      <c r="AM841" s="102"/>
      <c r="AN841" s="102"/>
      <c r="AO841" s="102"/>
      <c r="AP841" s="102"/>
      <c r="AQ841" s="102"/>
      <c r="AR841" s="102"/>
      <c r="AS841" s="102"/>
      <c r="AT841" s="102"/>
      <c r="AU841" s="102"/>
      <c r="AV841" s="102"/>
      <c r="AW841" s="102"/>
      <c r="AX841" s="102"/>
      <c r="AY841" s="102"/>
      <c r="AZ841" s="102"/>
      <c r="BA841" s="102"/>
      <c r="BB841" s="102"/>
      <c r="BC841" s="102"/>
      <c r="BD841" s="102"/>
      <c r="BE841" s="102"/>
      <c r="BF841" s="102"/>
      <c r="BG841" s="102"/>
      <c r="BH841" s="102"/>
      <c r="BI841" s="102"/>
      <c r="BJ841" s="102"/>
      <c r="BK841" s="102"/>
      <c r="BL841" s="102"/>
      <c r="BM841" s="102"/>
      <c r="BN841" s="102"/>
      <c r="BO841" s="102"/>
      <c r="BP841" s="102"/>
      <c r="BQ841" s="102"/>
      <c r="BR841" s="102"/>
      <c r="BS841" s="102"/>
      <c r="BT841" s="102"/>
      <c r="BU841" s="102"/>
      <c r="BV841" s="102"/>
      <c r="BW841" s="102"/>
      <c r="BX841" s="102"/>
      <c r="BY841" s="102"/>
      <c r="BZ841" s="102"/>
      <c r="CA841" s="464"/>
      <c r="CB841" s="102"/>
      <c r="CC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474">
        <v>839.0</v>
      </c>
      <c r="AB842" s="474">
        <f t="shared" si="10"/>
        <v>844</v>
      </c>
      <c r="AC842" s="476">
        <f t="shared" si="11"/>
        <v>1124</v>
      </c>
      <c r="AD842" s="474">
        <f t="shared" si="12"/>
        <v>1401</v>
      </c>
      <c r="AE842" s="474">
        <f t="shared" si="13"/>
        <v>923</v>
      </c>
      <c r="AF842" s="474">
        <f t="shared" si="14"/>
        <v>1124</v>
      </c>
      <c r="AG842" s="102"/>
      <c r="AH842" s="102"/>
      <c r="AI842" s="102"/>
      <c r="AJ842" s="102"/>
      <c r="AK842" s="102"/>
      <c r="AL842" s="102"/>
      <c r="AM842" s="102"/>
      <c r="AN842" s="102"/>
      <c r="AO842" s="102"/>
      <c r="AP842" s="102"/>
      <c r="AQ842" s="102"/>
      <c r="AR842" s="102"/>
      <c r="AS842" s="102"/>
      <c r="AT842" s="102"/>
      <c r="AU842" s="102"/>
      <c r="AV842" s="102"/>
      <c r="AW842" s="102"/>
      <c r="AX842" s="102"/>
      <c r="AY842" s="102"/>
      <c r="AZ842" s="102"/>
      <c r="BA842" s="102"/>
      <c r="BB842" s="102"/>
      <c r="BC842" s="102"/>
      <c r="BD842" s="102"/>
      <c r="BE842" s="102"/>
      <c r="BF842" s="102"/>
      <c r="BG842" s="102"/>
      <c r="BH842" s="102"/>
      <c r="BI842" s="102"/>
      <c r="BJ842" s="102"/>
      <c r="BK842" s="102"/>
      <c r="BL842" s="102"/>
      <c r="BM842" s="102"/>
      <c r="BN842" s="102"/>
      <c r="BO842" s="102"/>
      <c r="BP842" s="102"/>
      <c r="BQ842" s="102"/>
      <c r="BR842" s="102"/>
      <c r="BS842" s="102"/>
      <c r="BT842" s="102"/>
      <c r="BU842" s="102"/>
      <c r="BV842" s="102"/>
      <c r="BW842" s="102"/>
      <c r="BX842" s="102"/>
      <c r="BY842" s="102"/>
      <c r="BZ842" s="102"/>
      <c r="CA842" s="464"/>
      <c r="CB842" s="102"/>
      <c r="CC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474">
        <v>840.0</v>
      </c>
      <c r="AB843" s="474">
        <f t="shared" si="10"/>
        <v>845</v>
      </c>
      <c r="AC843" s="476">
        <f t="shared" si="11"/>
        <v>1125</v>
      </c>
      <c r="AD843" s="474">
        <f t="shared" si="12"/>
        <v>1402</v>
      </c>
      <c r="AE843" s="474">
        <f t="shared" si="13"/>
        <v>924</v>
      </c>
      <c r="AF843" s="474">
        <f t="shared" si="14"/>
        <v>1125</v>
      </c>
      <c r="AG843" s="102"/>
      <c r="AH843" s="102"/>
      <c r="AI843" s="102"/>
      <c r="AJ843" s="102"/>
      <c r="AK843" s="102"/>
      <c r="AL843" s="102"/>
      <c r="AM843" s="102"/>
      <c r="AN843" s="102"/>
      <c r="AO843" s="102"/>
      <c r="AP843" s="102"/>
      <c r="AQ843" s="102"/>
      <c r="AR843" s="102"/>
      <c r="AS843" s="102"/>
      <c r="AT843" s="102"/>
      <c r="AU843" s="102"/>
      <c r="AV843" s="102"/>
      <c r="AW843" s="102"/>
      <c r="AX843" s="102"/>
      <c r="AY843" s="102"/>
      <c r="AZ843" s="102"/>
      <c r="BA843" s="102"/>
      <c r="BB843" s="102"/>
      <c r="BC843" s="102"/>
      <c r="BD843" s="102"/>
      <c r="BE843" s="102"/>
      <c r="BF843" s="102"/>
      <c r="BG843" s="102"/>
      <c r="BH843" s="102"/>
      <c r="BI843" s="102"/>
      <c r="BJ843" s="102"/>
      <c r="BK843" s="102"/>
      <c r="BL843" s="102"/>
      <c r="BM843" s="102"/>
      <c r="BN843" s="102"/>
      <c r="BO843" s="102"/>
      <c r="BP843" s="102"/>
      <c r="BQ843" s="102"/>
      <c r="BR843" s="102"/>
      <c r="BS843" s="102"/>
      <c r="BT843" s="102"/>
      <c r="BU843" s="102"/>
      <c r="BV843" s="102"/>
      <c r="BW843" s="102"/>
      <c r="BX843" s="102"/>
      <c r="BY843" s="102"/>
      <c r="BZ843" s="102"/>
      <c r="CA843" s="464"/>
      <c r="CB843" s="102"/>
      <c r="CC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474">
        <v>841.0</v>
      </c>
      <c r="AB844" s="474">
        <f t="shared" si="10"/>
        <v>846</v>
      </c>
      <c r="AC844" s="476">
        <f t="shared" si="11"/>
        <v>1126</v>
      </c>
      <c r="AD844" s="474">
        <f t="shared" si="12"/>
        <v>1404</v>
      </c>
      <c r="AE844" s="474">
        <f t="shared" si="13"/>
        <v>926</v>
      </c>
      <c r="AF844" s="474">
        <f t="shared" si="14"/>
        <v>1126</v>
      </c>
      <c r="AG844" s="102"/>
      <c r="AH844" s="102"/>
      <c r="AI844" s="102"/>
      <c r="AJ844" s="102"/>
      <c r="AK844" s="102"/>
      <c r="AL844" s="102"/>
      <c r="AM844" s="102"/>
      <c r="AN844" s="102"/>
      <c r="AO844" s="102"/>
      <c r="AP844" s="102"/>
      <c r="AQ844" s="102"/>
      <c r="AR844" s="102"/>
      <c r="AS844" s="102"/>
      <c r="AT844" s="102"/>
      <c r="AU844" s="102"/>
      <c r="AV844" s="102"/>
      <c r="AW844" s="102"/>
      <c r="AX844" s="102"/>
      <c r="AY844" s="102"/>
      <c r="AZ844" s="102"/>
      <c r="BA844" s="102"/>
      <c r="BB844" s="102"/>
      <c r="BC844" s="102"/>
      <c r="BD844" s="102"/>
      <c r="BE844" s="102"/>
      <c r="BF844" s="102"/>
      <c r="BG844" s="102"/>
      <c r="BH844" s="102"/>
      <c r="BI844" s="102"/>
      <c r="BJ844" s="102"/>
      <c r="BK844" s="102"/>
      <c r="BL844" s="102"/>
      <c r="BM844" s="102"/>
      <c r="BN844" s="102"/>
      <c r="BO844" s="102"/>
      <c r="BP844" s="102"/>
      <c r="BQ844" s="102"/>
      <c r="BR844" s="102"/>
      <c r="BS844" s="102"/>
      <c r="BT844" s="102"/>
      <c r="BU844" s="102"/>
      <c r="BV844" s="102"/>
      <c r="BW844" s="102"/>
      <c r="BX844" s="102"/>
      <c r="BY844" s="102"/>
      <c r="BZ844" s="102"/>
      <c r="CA844" s="464"/>
      <c r="CB844" s="102"/>
      <c r="CC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474">
        <v>842.0</v>
      </c>
      <c r="AB845" s="474">
        <f t="shared" si="10"/>
        <v>847</v>
      </c>
      <c r="AC845" s="476">
        <f t="shared" si="11"/>
        <v>1128</v>
      </c>
      <c r="AD845" s="474">
        <f t="shared" si="12"/>
        <v>1406</v>
      </c>
      <c r="AE845" s="474">
        <f t="shared" si="13"/>
        <v>927</v>
      </c>
      <c r="AF845" s="474">
        <f t="shared" si="14"/>
        <v>1128</v>
      </c>
      <c r="AG845" s="102"/>
      <c r="AH845" s="102"/>
      <c r="AI845" s="102"/>
      <c r="AJ845" s="102"/>
      <c r="AK845" s="102"/>
      <c r="AL845" s="102"/>
      <c r="AM845" s="102"/>
      <c r="AN845" s="102"/>
      <c r="AO845" s="102"/>
      <c r="AP845" s="102"/>
      <c r="AQ845" s="102"/>
      <c r="AR845" s="102"/>
      <c r="AS845" s="102"/>
      <c r="AT845" s="102"/>
      <c r="AU845" s="102"/>
      <c r="AV845" s="102"/>
      <c r="AW845" s="102"/>
      <c r="AX845" s="102"/>
      <c r="AY845" s="102"/>
      <c r="AZ845" s="102"/>
      <c r="BA845" s="102"/>
      <c r="BB845" s="102"/>
      <c r="BC845" s="102"/>
      <c r="BD845" s="102"/>
      <c r="BE845" s="102"/>
      <c r="BF845" s="102"/>
      <c r="BG845" s="102"/>
      <c r="BH845" s="102"/>
      <c r="BI845" s="102"/>
      <c r="BJ845" s="102"/>
      <c r="BK845" s="102"/>
      <c r="BL845" s="102"/>
      <c r="BM845" s="102"/>
      <c r="BN845" s="102"/>
      <c r="BO845" s="102"/>
      <c r="BP845" s="102"/>
      <c r="BQ845" s="102"/>
      <c r="BR845" s="102"/>
      <c r="BS845" s="102"/>
      <c r="BT845" s="102"/>
      <c r="BU845" s="102"/>
      <c r="BV845" s="102"/>
      <c r="BW845" s="102"/>
      <c r="BX845" s="102"/>
      <c r="BY845" s="102"/>
      <c r="BZ845" s="102"/>
      <c r="CA845" s="464"/>
      <c r="CB845" s="102"/>
      <c r="CC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474">
        <v>843.0</v>
      </c>
      <c r="AB846" s="474">
        <f t="shared" si="10"/>
        <v>848</v>
      </c>
      <c r="AC846" s="476">
        <f t="shared" si="11"/>
        <v>1129</v>
      </c>
      <c r="AD846" s="474">
        <f t="shared" si="12"/>
        <v>1407</v>
      </c>
      <c r="AE846" s="474">
        <f t="shared" si="13"/>
        <v>928</v>
      </c>
      <c r="AF846" s="474">
        <f t="shared" si="14"/>
        <v>1129</v>
      </c>
      <c r="AG846" s="102"/>
      <c r="AH846" s="102"/>
      <c r="AI846" s="102"/>
      <c r="AJ846" s="102"/>
      <c r="AK846" s="102"/>
      <c r="AL846" s="102"/>
      <c r="AM846" s="102"/>
      <c r="AN846" s="102"/>
      <c r="AO846" s="102"/>
      <c r="AP846" s="102"/>
      <c r="AQ846" s="102"/>
      <c r="AR846" s="102"/>
      <c r="AS846" s="102"/>
      <c r="AT846" s="102"/>
      <c r="AU846" s="102"/>
      <c r="AV846" s="102"/>
      <c r="AW846" s="102"/>
      <c r="AX846" s="102"/>
      <c r="AY846" s="102"/>
      <c r="AZ846" s="102"/>
      <c r="BA846" s="102"/>
      <c r="BB846" s="102"/>
      <c r="BC846" s="102"/>
      <c r="BD846" s="102"/>
      <c r="BE846" s="102"/>
      <c r="BF846" s="102"/>
      <c r="BG846" s="102"/>
      <c r="BH846" s="102"/>
      <c r="BI846" s="102"/>
      <c r="BJ846" s="102"/>
      <c r="BK846" s="102"/>
      <c r="BL846" s="102"/>
      <c r="BM846" s="102"/>
      <c r="BN846" s="102"/>
      <c r="BO846" s="102"/>
      <c r="BP846" s="102"/>
      <c r="BQ846" s="102"/>
      <c r="BR846" s="102"/>
      <c r="BS846" s="102"/>
      <c r="BT846" s="102"/>
      <c r="BU846" s="102"/>
      <c r="BV846" s="102"/>
      <c r="BW846" s="102"/>
      <c r="BX846" s="102"/>
      <c r="BY846" s="102"/>
      <c r="BZ846" s="102"/>
      <c r="CA846" s="464"/>
      <c r="CB846" s="102"/>
      <c r="CC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474">
        <v>844.0</v>
      </c>
      <c r="AB847" s="474">
        <f t="shared" si="10"/>
        <v>849</v>
      </c>
      <c r="AC847" s="476">
        <f t="shared" si="11"/>
        <v>1130</v>
      </c>
      <c r="AD847" s="474">
        <f t="shared" si="12"/>
        <v>1409</v>
      </c>
      <c r="AE847" s="474">
        <f t="shared" si="13"/>
        <v>929</v>
      </c>
      <c r="AF847" s="474">
        <f t="shared" si="14"/>
        <v>1130</v>
      </c>
      <c r="AG847" s="102"/>
      <c r="AH847" s="102"/>
      <c r="AI847" s="102"/>
      <c r="AJ847" s="102"/>
      <c r="AK847" s="102"/>
      <c r="AL847" s="102"/>
      <c r="AM847" s="102"/>
      <c r="AN847" s="102"/>
      <c r="AO847" s="102"/>
      <c r="AP847" s="102"/>
      <c r="AQ847" s="102"/>
      <c r="AR847" s="102"/>
      <c r="AS847" s="102"/>
      <c r="AT847" s="102"/>
      <c r="AU847" s="102"/>
      <c r="AV847" s="102"/>
      <c r="AW847" s="102"/>
      <c r="AX847" s="102"/>
      <c r="AY847" s="102"/>
      <c r="AZ847" s="102"/>
      <c r="BA847" s="102"/>
      <c r="BB847" s="102"/>
      <c r="BC847" s="102"/>
      <c r="BD847" s="102"/>
      <c r="BE847" s="102"/>
      <c r="BF847" s="102"/>
      <c r="BG847" s="102"/>
      <c r="BH847" s="102"/>
      <c r="BI847" s="102"/>
      <c r="BJ847" s="102"/>
      <c r="BK847" s="102"/>
      <c r="BL847" s="102"/>
      <c r="BM847" s="102"/>
      <c r="BN847" s="102"/>
      <c r="BO847" s="102"/>
      <c r="BP847" s="102"/>
      <c r="BQ847" s="102"/>
      <c r="BR847" s="102"/>
      <c r="BS847" s="102"/>
      <c r="BT847" s="102"/>
      <c r="BU847" s="102"/>
      <c r="BV847" s="102"/>
      <c r="BW847" s="102"/>
      <c r="BX847" s="102"/>
      <c r="BY847" s="102"/>
      <c r="BZ847" s="102"/>
      <c r="CA847" s="464"/>
      <c r="CB847" s="102"/>
      <c r="CC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474">
        <v>845.0</v>
      </c>
      <c r="AB848" s="474">
        <f t="shared" si="10"/>
        <v>850</v>
      </c>
      <c r="AC848" s="476">
        <f t="shared" si="11"/>
        <v>1132</v>
      </c>
      <c r="AD848" s="474">
        <f t="shared" si="12"/>
        <v>1411</v>
      </c>
      <c r="AE848" s="474">
        <f t="shared" si="13"/>
        <v>930</v>
      </c>
      <c r="AF848" s="474">
        <f t="shared" si="14"/>
        <v>1132</v>
      </c>
      <c r="AG848" s="102"/>
      <c r="AH848" s="102"/>
      <c r="AI848" s="102"/>
      <c r="AJ848" s="102"/>
      <c r="AK848" s="102"/>
      <c r="AL848" s="102"/>
      <c r="AM848" s="102"/>
      <c r="AN848" s="102"/>
      <c r="AO848" s="102"/>
      <c r="AP848" s="102"/>
      <c r="AQ848" s="102"/>
      <c r="AR848" s="102"/>
      <c r="AS848" s="102"/>
      <c r="AT848" s="102"/>
      <c r="AU848" s="102"/>
      <c r="AV848" s="102"/>
      <c r="AW848" s="102"/>
      <c r="AX848" s="102"/>
      <c r="AY848" s="102"/>
      <c r="AZ848" s="102"/>
      <c r="BA848" s="102"/>
      <c r="BB848" s="102"/>
      <c r="BC848" s="102"/>
      <c r="BD848" s="102"/>
      <c r="BE848" s="102"/>
      <c r="BF848" s="102"/>
      <c r="BG848" s="102"/>
      <c r="BH848" s="102"/>
      <c r="BI848" s="102"/>
      <c r="BJ848" s="102"/>
      <c r="BK848" s="102"/>
      <c r="BL848" s="102"/>
      <c r="BM848" s="102"/>
      <c r="BN848" s="102"/>
      <c r="BO848" s="102"/>
      <c r="BP848" s="102"/>
      <c r="BQ848" s="102"/>
      <c r="BR848" s="102"/>
      <c r="BS848" s="102"/>
      <c r="BT848" s="102"/>
      <c r="BU848" s="102"/>
      <c r="BV848" s="102"/>
      <c r="BW848" s="102"/>
      <c r="BX848" s="102"/>
      <c r="BY848" s="102"/>
      <c r="BZ848" s="102"/>
      <c r="CA848" s="464"/>
      <c r="CB848" s="102"/>
      <c r="CC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474">
        <v>846.0</v>
      </c>
      <c r="AB849" s="474">
        <f t="shared" si="10"/>
        <v>851</v>
      </c>
      <c r="AC849" s="476">
        <f t="shared" si="11"/>
        <v>1133</v>
      </c>
      <c r="AD849" s="474">
        <f t="shared" si="12"/>
        <v>1412</v>
      </c>
      <c r="AE849" s="474">
        <f t="shared" si="13"/>
        <v>931</v>
      </c>
      <c r="AF849" s="474">
        <f t="shared" si="14"/>
        <v>1133</v>
      </c>
      <c r="AG849" s="102"/>
      <c r="AH849" s="102"/>
      <c r="AI849" s="102"/>
      <c r="AJ849" s="102"/>
      <c r="AK849" s="102"/>
      <c r="AL849" s="102"/>
      <c r="AM849" s="102"/>
      <c r="AN849" s="102"/>
      <c r="AO849" s="102"/>
      <c r="AP849" s="102"/>
      <c r="AQ849" s="102"/>
      <c r="AR849" s="102"/>
      <c r="AS849" s="102"/>
      <c r="AT849" s="102"/>
      <c r="AU849" s="102"/>
      <c r="AV849" s="102"/>
      <c r="AW849" s="102"/>
      <c r="AX849" s="102"/>
      <c r="AY849" s="102"/>
      <c r="AZ849" s="102"/>
      <c r="BA849" s="102"/>
      <c r="BB849" s="102"/>
      <c r="BC849" s="102"/>
      <c r="BD849" s="102"/>
      <c r="BE849" s="102"/>
      <c r="BF849" s="102"/>
      <c r="BG849" s="102"/>
      <c r="BH849" s="102"/>
      <c r="BI849" s="102"/>
      <c r="BJ849" s="102"/>
      <c r="BK849" s="102"/>
      <c r="BL849" s="102"/>
      <c r="BM849" s="102"/>
      <c r="BN849" s="102"/>
      <c r="BO849" s="102"/>
      <c r="BP849" s="102"/>
      <c r="BQ849" s="102"/>
      <c r="BR849" s="102"/>
      <c r="BS849" s="102"/>
      <c r="BT849" s="102"/>
      <c r="BU849" s="102"/>
      <c r="BV849" s="102"/>
      <c r="BW849" s="102"/>
      <c r="BX849" s="102"/>
      <c r="BY849" s="102"/>
      <c r="BZ849" s="102"/>
      <c r="CA849" s="464"/>
      <c r="CB849" s="102"/>
      <c r="CC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474">
        <v>847.0</v>
      </c>
      <c r="AB850" s="474">
        <f t="shared" si="10"/>
        <v>852</v>
      </c>
      <c r="AC850" s="476">
        <f t="shared" si="11"/>
        <v>1134</v>
      </c>
      <c r="AD850" s="474">
        <f t="shared" si="12"/>
        <v>1414</v>
      </c>
      <c r="AE850" s="474">
        <f t="shared" si="13"/>
        <v>932</v>
      </c>
      <c r="AF850" s="474">
        <f t="shared" si="14"/>
        <v>1134</v>
      </c>
      <c r="AG850" s="102"/>
      <c r="AH850" s="102"/>
      <c r="AI850" s="102"/>
      <c r="AJ850" s="102"/>
      <c r="AK850" s="102"/>
      <c r="AL850" s="102"/>
      <c r="AM850" s="102"/>
      <c r="AN850" s="102"/>
      <c r="AO850" s="102"/>
      <c r="AP850" s="102"/>
      <c r="AQ850" s="102"/>
      <c r="AR850" s="102"/>
      <c r="AS850" s="102"/>
      <c r="AT850" s="102"/>
      <c r="AU850" s="102"/>
      <c r="AV850" s="102"/>
      <c r="AW850" s="102"/>
      <c r="AX850" s="102"/>
      <c r="AY850" s="102"/>
      <c r="AZ850" s="102"/>
      <c r="BA850" s="102"/>
      <c r="BB850" s="102"/>
      <c r="BC850" s="102"/>
      <c r="BD850" s="102"/>
      <c r="BE850" s="102"/>
      <c r="BF850" s="102"/>
      <c r="BG850" s="102"/>
      <c r="BH850" s="102"/>
      <c r="BI850" s="102"/>
      <c r="BJ850" s="102"/>
      <c r="BK850" s="102"/>
      <c r="BL850" s="102"/>
      <c r="BM850" s="102"/>
      <c r="BN850" s="102"/>
      <c r="BO850" s="102"/>
      <c r="BP850" s="102"/>
      <c r="BQ850" s="102"/>
      <c r="BR850" s="102"/>
      <c r="BS850" s="102"/>
      <c r="BT850" s="102"/>
      <c r="BU850" s="102"/>
      <c r="BV850" s="102"/>
      <c r="BW850" s="102"/>
      <c r="BX850" s="102"/>
      <c r="BY850" s="102"/>
      <c r="BZ850" s="102"/>
      <c r="CA850" s="464"/>
      <c r="CB850" s="102"/>
      <c r="CC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474">
        <v>848.0</v>
      </c>
      <c r="AB851" s="474">
        <f t="shared" si="10"/>
        <v>853</v>
      </c>
      <c r="AC851" s="476">
        <f t="shared" si="11"/>
        <v>1136</v>
      </c>
      <c r="AD851" s="474">
        <f t="shared" si="12"/>
        <v>1416</v>
      </c>
      <c r="AE851" s="474">
        <f t="shared" si="13"/>
        <v>933</v>
      </c>
      <c r="AF851" s="474">
        <f t="shared" si="14"/>
        <v>1136</v>
      </c>
      <c r="AG851" s="102"/>
      <c r="AH851" s="102"/>
      <c r="AI851" s="102"/>
      <c r="AJ851" s="102"/>
      <c r="AK851" s="102"/>
      <c r="AL851" s="102"/>
      <c r="AM851" s="102"/>
      <c r="AN851" s="102"/>
      <c r="AO851" s="102"/>
      <c r="AP851" s="102"/>
      <c r="AQ851" s="102"/>
      <c r="AR851" s="102"/>
      <c r="AS851" s="102"/>
      <c r="AT851" s="102"/>
      <c r="AU851" s="102"/>
      <c r="AV851" s="102"/>
      <c r="AW851" s="102"/>
      <c r="AX851" s="102"/>
      <c r="AY851" s="102"/>
      <c r="AZ851" s="102"/>
      <c r="BA851" s="102"/>
      <c r="BB851" s="102"/>
      <c r="BC851" s="102"/>
      <c r="BD851" s="102"/>
      <c r="BE851" s="102"/>
      <c r="BF851" s="102"/>
      <c r="BG851" s="102"/>
      <c r="BH851" s="102"/>
      <c r="BI851" s="102"/>
      <c r="BJ851" s="102"/>
      <c r="BK851" s="102"/>
      <c r="BL851" s="102"/>
      <c r="BM851" s="102"/>
      <c r="BN851" s="102"/>
      <c r="BO851" s="102"/>
      <c r="BP851" s="102"/>
      <c r="BQ851" s="102"/>
      <c r="BR851" s="102"/>
      <c r="BS851" s="102"/>
      <c r="BT851" s="102"/>
      <c r="BU851" s="102"/>
      <c r="BV851" s="102"/>
      <c r="BW851" s="102"/>
      <c r="BX851" s="102"/>
      <c r="BY851" s="102"/>
      <c r="BZ851" s="102"/>
      <c r="CA851" s="464"/>
      <c r="CB851" s="102"/>
      <c r="CC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474">
        <v>849.0</v>
      </c>
      <c r="AB852" s="474">
        <f t="shared" si="10"/>
        <v>854</v>
      </c>
      <c r="AC852" s="476">
        <f t="shared" si="11"/>
        <v>1137</v>
      </c>
      <c r="AD852" s="474">
        <f t="shared" si="12"/>
        <v>1417</v>
      </c>
      <c r="AE852" s="474">
        <f t="shared" si="13"/>
        <v>934</v>
      </c>
      <c r="AF852" s="474">
        <f t="shared" si="14"/>
        <v>1137</v>
      </c>
      <c r="AG852" s="102"/>
      <c r="AH852" s="102"/>
      <c r="AI852" s="102"/>
      <c r="AJ852" s="102"/>
      <c r="AK852" s="102"/>
      <c r="AL852" s="102"/>
      <c r="AM852" s="102"/>
      <c r="AN852" s="102"/>
      <c r="AO852" s="102"/>
      <c r="AP852" s="102"/>
      <c r="AQ852" s="102"/>
      <c r="AR852" s="102"/>
      <c r="AS852" s="102"/>
      <c r="AT852" s="102"/>
      <c r="AU852" s="102"/>
      <c r="AV852" s="102"/>
      <c r="AW852" s="102"/>
      <c r="AX852" s="102"/>
      <c r="AY852" s="102"/>
      <c r="AZ852" s="102"/>
      <c r="BA852" s="102"/>
      <c r="BB852" s="102"/>
      <c r="BC852" s="102"/>
      <c r="BD852" s="102"/>
      <c r="BE852" s="102"/>
      <c r="BF852" s="102"/>
      <c r="BG852" s="102"/>
      <c r="BH852" s="102"/>
      <c r="BI852" s="102"/>
      <c r="BJ852" s="102"/>
      <c r="BK852" s="102"/>
      <c r="BL852" s="102"/>
      <c r="BM852" s="102"/>
      <c r="BN852" s="102"/>
      <c r="BO852" s="102"/>
      <c r="BP852" s="102"/>
      <c r="BQ852" s="102"/>
      <c r="BR852" s="102"/>
      <c r="BS852" s="102"/>
      <c r="BT852" s="102"/>
      <c r="BU852" s="102"/>
      <c r="BV852" s="102"/>
      <c r="BW852" s="102"/>
      <c r="BX852" s="102"/>
      <c r="BY852" s="102"/>
      <c r="BZ852" s="102"/>
      <c r="CA852" s="464"/>
      <c r="CB852" s="102"/>
      <c r="CC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474">
        <v>850.0</v>
      </c>
      <c r="AB853" s="474">
        <f t="shared" si="10"/>
        <v>855</v>
      </c>
      <c r="AC853" s="476">
        <f t="shared" si="11"/>
        <v>1139</v>
      </c>
      <c r="AD853" s="474">
        <f t="shared" si="12"/>
        <v>1419</v>
      </c>
      <c r="AE853" s="474">
        <f t="shared" si="13"/>
        <v>935</v>
      </c>
      <c r="AF853" s="474">
        <f t="shared" si="14"/>
        <v>1139</v>
      </c>
      <c r="AG853" s="102"/>
      <c r="AH853" s="102"/>
      <c r="AI853" s="102"/>
      <c r="AJ853" s="102"/>
      <c r="AK853" s="102"/>
      <c r="AL853" s="102"/>
      <c r="AM853" s="102"/>
      <c r="AN853" s="102"/>
      <c r="AO853" s="102"/>
      <c r="AP853" s="102"/>
      <c r="AQ853" s="102"/>
      <c r="AR853" s="102"/>
      <c r="AS853" s="102"/>
      <c r="AT853" s="102"/>
      <c r="AU853" s="102"/>
      <c r="AV853" s="102"/>
      <c r="AW853" s="102"/>
      <c r="AX853" s="102"/>
      <c r="AY853" s="102"/>
      <c r="AZ853" s="102"/>
      <c r="BA853" s="102"/>
      <c r="BB853" s="102"/>
      <c r="BC853" s="102"/>
      <c r="BD853" s="102"/>
      <c r="BE853" s="102"/>
      <c r="BF853" s="102"/>
      <c r="BG853" s="102"/>
      <c r="BH853" s="102"/>
      <c r="BI853" s="102"/>
      <c r="BJ853" s="102"/>
      <c r="BK853" s="102"/>
      <c r="BL853" s="102"/>
      <c r="BM853" s="102"/>
      <c r="BN853" s="102"/>
      <c r="BO853" s="102"/>
      <c r="BP853" s="102"/>
      <c r="BQ853" s="102"/>
      <c r="BR853" s="102"/>
      <c r="BS853" s="102"/>
      <c r="BT853" s="102"/>
      <c r="BU853" s="102"/>
      <c r="BV853" s="102"/>
      <c r="BW853" s="102"/>
      <c r="BX853" s="102"/>
      <c r="BY853" s="102"/>
      <c r="BZ853" s="102"/>
      <c r="CA853" s="464"/>
      <c r="CB853" s="102"/>
      <c r="CC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474">
        <v>851.0</v>
      </c>
      <c r="AB854" s="474">
        <f t="shared" si="10"/>
        <v>856</v>
      </c>
      <c r="AC854" s="476">
        <f t="shared" si="11"/>
        <v>1140</v>
      </c>
      <c r="AD854" s="474">
        <f t="shared" si="12"/>
        <v>1421</v>
      </c>
      <c r="AE854" s="474">
        <f t="shared" si="13"/>
        <v>937</v>
      </c>
      <c r="AF854" s="474">
        <f t="shared" si="14"/>
        <v>1140</v>
      </c>
      <c r="AG854" s="102"/>
      <c r="AH854" s="102"/>
      <c r="AI854" s="102"/>
      <c r="AJ854" s="102"/>
      <c r="AK854" s="102"/>
      <c r="AL854" s="102"/>
      <c r="AM854" s="102"/>
      <c r="AN854" s="102"/>
      <c r="AO854" s="102"/>
      <c r="AP854" s="102"/>
      <c r="AQ854" s="102"/>
      <c r="AR854" s="102"/>
      <c r="AS854" s="102"/>
      <c r="AT854" s="102"/>
      <c r="AU854" s="102"/>
      <c r="AV854" s="102"/>
      <c r="AW854" s="102"/>
      <c r="AX854" s="102"/>
      <c r="AY854" s="102"/>
      <c r="AZ854" s="102"/>
      <c r="BA854" s="102"/>
      <c r="BB854" s="102"/>
      <c r="BC854" s="102"/>
      <c r="BD854" s="102"/>
      <c r="BE854" s="102"/>
      <c r="BF854" s="102"/>
      <c r="BG854" s="102"/>
      <c r="BH854" s="102"/>
      <c r="BI854" s="102"/>
      <c r="BJ854" s="102"/>
      <c r="BK854" s="102"/>
      <c r="BL854" s="102"/>
      <c r="BM854" s="102"/>
      <c r="BN854" s="102"/>
      <c r="BO854" s="102"/>
      <c r="BP854" s="102"/>
      <c r="BQ854" s="102"/>
      <c r="BR854" s="102"/>
      <c r="BS854" s="102"/>
      <c r="BT854" s="102"/>
      <c r="BU854" s="102"/>
      <c r="BV854" s="102"/>
      <c r="BW854" s="102"/>
      <c r="BX854" s="102"/>
      <c r="BY854" s="102"/>
      <c r="BZ854" s="102"/>
      <c r="CA854" s="464"/>
      <c r="CB854" s="102"/>
      <c r="CC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474">
        <v>852.0</v>
      </c>
      <c r="AB855" s="474">
        <f t="shared" si="10"/>
        <v>857</v>
      </c>
      <c r="AC855" s="476">
        <f t="shared" si="11"/>
        <v>1141</v>
      </c>
      <c r="AD855" s="474">
        <f t="shared" si="12"/>
        <v>1422</v>
      </c>
      <c r="AE855" s="474">
        <f t="shared" si="13"/>
        <v>938</v>
      </c>
      <c r="AF855" s="474">
        <f t="shared" si="14"/>
        <v>1141</v>
      </c>
      <c r="AG855" s="102"/>
      <c r="AH855" s="102"/>
      <c r="AI855" s="102"/>
      <c r="AJ855" s="102"/>
      <c r="AK855" s="102"/>
      <c r="AL855" s="102"/>
      <c r="AM855" s="102"/>
      <c r="AN855" s="102"/>
      <c r="AO855" s="102"/>
      <c r="AP855" s="102"/>
      <c r="AQ855" s="102"/>
      <c r="AR855" s="102"/>
      <c r="AS855" s="102"/>
      <c r="AT855" s="102"/>
      <c r="AU855" s="102"/>
      <c r="AV855" s="102"/>
      <c r="AW855" s="102"/>
      <c r="AX855" s="102"/>
      <c r="AY855" s="102"/>
      <c r="AZ855" s="102"/>
      <c r="BA855" s="102"/>
      <c r="BB855" s="102"/>
      <c r="BC855" s="102"/>
      <c r="BD855" s="102"/>
      <c r="BE855" s="102"/>
      <c r="BF855" s="102"/>
      <c r="BG855" s="102"/>
      <c r="BH855" s="102"/>
      <c r="BI855" s="102"/>
      <c r="BJ855" s="102"/>
      <c r="BK855" s="102"/>
      <c r="BL855" s="102"/>
      <c r="BM855" s="102"/>
      <c r="BN855" s="102"/>
      <c r="BO855" s="102"/>
      <c r="BP855" s="102"/>
      <c r="BQ855" s="102"/>
      <c r="BR855" s="102"/>
      <c r="BS855" s="102"/>
      <c r="BT855" s="102"/>
      <c r="BU855" s="102"/>
      <c r="BV855" s="102"/>
      <c r="BW855" s="102"/>
      <c r="BX855" s="102"/>
      <c r="BY855" s="102"/>
      <c r="BZ855" s="102"/>
      <c r="CA855" s="464"/>
      <c r="CB855" s="102"/>
      <c r="CC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474">
        <v>853.0</v>
      </c>
      <c r="AB856" s="474">
        <f t="shared" si="10"/>
        <v>858</v>
      </c>
      <c r="AC856" s="476">
        <f t="shared" si="11"/>
        <v>1143</v>
      </c>
      <c r="AD856" s="474">
        <f t="shared" si="12"/>
        <v>1424</v>
      </c>
      <c r="AE856" s="474">
        <f t="shared" si="13"/>
        <v>939</v>
      </c>
      <c r="AF856" s="474">
        <f t="shared" si="14"/>
        <v>1143</v>
      </c>
      <c r="AG856" s="102"/>
      <c r="AH856" s="102"/>
      <c r="AI856" s="102"/>
      <c r="AJ856" s="102"/>
      <c r="AK856" s="102"/>
      <c r="AL856" s="102"/>
      <c r="AM856" s="102"/>
      <c r="AN856" s="102"/>
      <c r="AO856" s="102"/>
      <c r="AP856" s="102"/>
      <c r="AQ856" s="102"/>
      <c r="AR856" s="102"/>
      <c r="AS856" s="102"/>
      <c r="AT856" s="102"/>
      <c r="AU856" s="102"/>
      <c r="AV856" s="102"/>
      <c r="AW856" s="102"/>
      <c r="AX856" s="102"/>
      <c r="AY856" s="102"/>
      <c r="AZ856" s="102"/>
      <c r="BA856" s="102"/>
      <c r="BB856" s="102"/>
      <c r="BC856" s="102"/>
      <c r="BD856" s="102"/>
      <c r="BE856" s="102"/>
      <c r="BF856" s="102"/>
      <c r="BG856" s="102"/>
      <c r="BH856" s="102"/>
      <c r="BI856" s="102"/>
      <c r="BJ856" s="102"/>
      <c r="BK856" s="102"/>
      <c r="BL856" s="102"/>
      <c r="BM856" s="102"/>
      <c r="BN856" s="102"/>
      <c r="BO856" s="102"/>
      <c r="BP856" s="102"/>
      <c r="BQ856" s="102"/>
      <c r="BR856" s="102"/>
      <c r="BS856" s="102"/>
      <c r="BT856" s="102"/>
      <c r="BU856" s="102"/>
      <c r="BV856" s="102"/>
      <c r="BW856" s="102"/>
      <c r="BX856" s="102"/>
      <c r="BY856" s="102"/>
      <c r="BZ856" s="102"/>
      <c r="CA856" s="464"/>
      <c r="CB856" s="102"/>
      <c r="CC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474">
        <v>854.0</v>
      </c>
      <c r="AB857" s="474">
        <f t="shared" si="10"/>
        <v>859</v>
      </c>
      <c r="AC857" s="476">
        <f t="shared" si="11"/>
        <v>1144</v>
      </c>
      <c r="AD857" s="474">
        <f t="shared" si="12"/>
        <v>1426</v>
      </c>
      <c r="AE857" s="474">
        <f t="shared" si="13"/>
        <v>940</v>
      </c>
      <c r="AF857" s="474">
        <f t="shared" si="14"/>
        <v>1144</v>
      </c>
      <c r="AG857" s="102"/>
      <c r="AH857" s="102"/>
      <c r="AI857" s="102"/>
      <c r="AJ857" s="102"/>
      <c r="AK857" s="102"/>
      <c r="AL857" s="102"/>
      <c r="AM857" s="102"/>
      <c r="AN857" s="102"/>
      <c r="AO857" s="102"/>
      <c r="AP857" s="102"/>
      <c r="AQ857" s="102"/>
      <c r="AR857" s="102"/>
      <c r="AS857" s="102"/>
      <c r="AT857" s="102"/>
      <c r="AU857" s="102"/>
      <c r="AV857" s="102"/>
      <c r="AW857" s="102"/>
      <c r="AX857" s="102"/>
      <c r="AY857" s="102"/>
      <c r="AZ857" s="102"/>
      <c r="BA857" s="102"/>
      <c r="BB857" s="102"/>
      <c r="BC857" s="102"/>
      <c r="BD857" s="102"/>
      <c r="BE857" s="102"/>
      <c r="BF857" s="102"/>
      <c r="BG857" s="102"/>
      <c r="BH857" s="102"/>
      <c r="BI857" s="102"/>
      <c r="BJ857" s="102"/>
      <c r="BK857" s="102"/>
      <c r="BL857" s="102"/>
      <c r="BM857" s="102"/>
      <c r="BN857" s="102"/>
      <c r="BO857" s="102"/>
      <c r="BP857" s="102"/>
      <c r="BQ857" s="102"/>
      <c r="BR857" s="102"/>
      <c r="BS857" s="102"/>
      <c r="BT857" s="102"/>
      <c r="BU857" s="102"/>
      <c r="BV857" s="102"/>
      <c r="BW857" s="102"/>
      <c r="BX857" s="102"/>
      <c r="BY857" s="102"/>
      <c r="BZ857" s="102"/>
      <c r="CA857" s="464"/>
      <c r="CB857" s="102"/>
      <c r="CC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474">
        <v>855.0</v>
      </c>
      <c r="AB858" s="474">
        <f t="shared" si="10"/>
        <v>860</v>
      </c>
      <c r="AC858" s="476">
        <f t="shared" si="11"/>
        <v>1145</v>
      </c>
      <c r="AD858" s="474">
        <f t="shared" si="12"/>
        <v>1427</v>
      </c>
      <c r="AE858" s="474">
        <f t="shared" si="13"/>
        <v>941</v>
      </c>
      <c r="AF858" s="474">
        <f t="shared" si="14"/>
        <v>1145</v>
      </c>
      <c r="AG858" s="102"/>
      <c r="AH858" s="102"/>
      <c r="AI858" s="102"/>
      <c r="AJ858" s="102"/>
      <c r="AK858" s="102"/>
      <c r="AL858" s="102"/>
      <c r="AM858" s="102"/>
      <c r="AN858" s="102"/>
      <c r="AO858" s="102"/>
      <c r="AP858" s="102"/>
      <c r="AQ858" s="102"/>
      <c r="AR858" s="102"/>
      <c r="AS858" s="102"/>
      <c r="AT858" s="102"/>
      <c r="AU858" s="102"/>
      <c r="AV858" s="102"/>
      <c r="AW858" s="102"/>
      <c r="AX858" s="102"/>
      <c r="AY858" s="102"/>
      <c r="AZ858" s="102"/>
      <c r="BA858" s="102"/>
      <c r="BB858" s="102"/>
      <c r="BC858" s="102"/>
      <c r="BD858" s="102"/>
      <c r="BE858" s="102"/>
      <c r="BF858" s="102"/>
      <c r="BG858" s="102"/>
      <c r="BH858" s="102"/>
      <c r="BI858" s="102"/>
      <c r="BJ858" s="102"/>
      <c r="BK858" s="102"/>
      <c r="BL858" s="102"/>
      <c r="BM858" s="102"/>
      <c r="BN858" s="102"/>
      <c r="BO858" s="102"/>
      <c r="BP858" s="102"/>
      <c r="BQ858" s="102"/>
      <c r="BR858" s="102"/>
      <c r="BS858" s="102"/>
      <c r="BT858" s="102"/>
      <c r="BU858" s="102"/>
      <c r="BV858" s="102"/>
      <c r="BW858" s="102"/>
      <c r="BX858" s="102"/>
      <c r="BY858" s="102"/>
      <c r="BZ858" s="102"/>
      <c r="CA858" s="464"/>
      <c r="CB858" s="102"/>
      <c r="CC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474">
        <v>856.0</v>
      </c>
      <c r="AB859" s="474">
        <f t="shared" si="10"/>
        <v>861</v>
      </c>
      <c r="AC859" s="476">
        <f t="shared" si="11"/>
        <v>1147</v>
      </c>
      <c r="AD859" s="474">
        <f t="shared" si="12"/>
        <v>1429</v>
      </c>
      <c r="AE859" s="474">
        <f t="shared" si="13"/>
        <v>942</v>
      </c>
      <c r="AF859" s="474">
        <f t="shared" si="14"/>
        <v>1147</v>
      </c>
      <c r="AG859" s="102"/>
      <c r="AH859" s="102"/>
      <c r="AI859" s="102"/>
      <c r="AJ859" s="102"/>
      <c r="AK859" s="102"/>
      <c r="AL859" s="102"/>
      <c r="AM859" s="102"/>
      <c r="AN859" s="102"/>
      <c r="AO859" s="102"/>
      <c r="AP859" s="102"/>
      <c r="AQ859" s="102"/>
      <c r="AR859" s="102"/>
      <c r="AS859" s="102"/>
      <c r="AT859" s="102"/>
      <c r="AU859" s="102"/>
      <c r="AV859" s="102"/>
      <c r="AW859" s="102"/>
      <c r="AX859" s="102"/>
      <c r="AY859" s="102"/>
      <c r="AZ859" s="102"/>
      <c r="BA859" s="102"/>
      <c r="BB859" s="102"/>
      <c r="BC859" s="102"/>
      <c r="BD859" s="102"/>
      <c r="BE859" s="102"/>
      <c r="BF859" s="102"/>
      <c r="BG859" s="102"/>
      <c r="BH859" s="102"/>
      <c r="BI859" s="102"/>
      <c r="BJ859" s="102"/>
      <c r="BK859" s="102"/>
      <c r="BL859" s="102"/>
      <c r="BM859" s="102"/>
      <c r="BN859" s="102"/>
      <c r="BO859" s="102"/>
      <c r="BP859" s="102"/>
      <c r="BQ859" s="102"/>
      <c r="BR859" s="102"/>
      <c r="BS859" s="102"/>
      <c r="BT859" s="102"/>
      <c r="BU859" s="102"/>
      <c r="BV859" s="102"/>
      <c r="BW859" s="102"/>
      <c r="BX859" s="102"/>
      <c r="BY859" s="102"/>
      <c r="BZ859" s="102"/>
      <c r="CA859" s="464"/>
      <c r="CB859" s="102"/>
      <c r="CC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474">
        <v>857.0</v>
      </c>
      <c r="AB860" s="474">
        <f t="shared" si="10"/>
        <v>862</v>
      </c>
      <c r="AC860" s="476">
        <f t="shared" si="11"/>
        <v>1148</v>
      </c>
      <c r="AD860" s="474">
        <f t="shared" si="12"/>
        <v>1431</v>
      </c>
      <c r="AE860" s="474">
        <f t="shared" si="13"/>
        <v>943</v>
      </c>
      <c r="AF860" s="474">
        <f t="shared" si="14"/>
        <v>1148</v>
      </c>
      <c r="AG860" s="102"/>
      <c r="AH860" s="102"/>
      <c r="AI860" s="102"/>
      <c r="AJ860" s="102"/>
      <c r="AK860" s="102"/>
      <c r="AL860" s="102"/>
      <c r="AM860" s="102"/>
      <c r="AN860" s="102"/>
      <c r="AO860" s="102"/>
      <c r="AP860" s="102"/>
      <c r="AQ860" s="102"/>
      <c r="AR860" s="102"/>
      <c r="AS860" s="102"/>
      <c r="AT860" s="102"/>
      <c r="AU860" s="102"/>
      <c r="AV860" s="102"/>
      <c r="AW860" s="102"/>
      <c r="AX860" s="102"/>
      <c r="AY860" s="102"/>
      <c r="AZ860" s="102"/>
      <c r="BA860" s="102"/>
      <c r="BB860" s="102"/>
      <c r="BC860" s="102"/>
      <c r="BD860" s="102"/>
      <c r="BE860" s="102"/>
      <c r="BF860" s="102"/>
      <c r="BG860" s="102"/>
      <c r="BH860" s="102"/>
      <c r="BI860" s="102"/>
      <c r="BJ860" s="102"/>
      <c r="BK860" s="102"/>
      <c r="BL860" s="102"/>
      <c r="BM860" s="102"/>
      <c r="BN860" s="102"/>
      <c r="BO860" s="102"/>
      <c r="BP860" s="102"/>
      <c r="BQ860" s="102"/>
      <c r="BR860" s="102"/>
      <c r="BS860" s="102"/>
      <c r="BT860" s="102"/>
      <c r="BU860" s="102"/>
      <c r="BV860" s="102"/>
      <c r="BW860" s="102"/>
      <c r="BX860" s="102"/>
      <c r="BY860" s="102"/>
      <c r="BZ860" s="102"/>
      <c r="CA860" s="464"/>
      <c r="CB860" s="102"/>
      <c r="CC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474">
        <v>858.0</v>
      </c>
      <c r="AB861" s="474">
        <f t="shared" si="10"/>
        <v>863</v>
      </c>
      <c r="AC861" s="476">
        <f t="shared" si="11"/>
        <v>1149</v>
      </c>
      <c r="AD861" s="474">
        <f t="shared" si="12"/>
        <v>1432</v>
      </c>
      <c r="AE861" s="474">
        <f t="shared" si="13"/>
        <v>944</v>
      </c>
      <c r="AF861" s="474">
        <f t="shared" si="14"/>
        <v>1149</v>
      </c>
      <c r="AG861" s="102"/>
      <c r="AH861" s="102"/>
      <c r="AI861" s="102"/>
      <c r="AJ861" s="102"/>
      <c r="AK861" s="102"/>
      <c r="AL861" s="102"/>
      <c r="AM861" s="102"/>
      <c r="AN861" s="102"/>
      <c r="AO861" s="102"/>
      <c r="AP861" s="102"/>
      <c r="AQ861" s="102"/>
      <c r="AR861" s="102"/>
      <c r="AS861" s="102"/>
      <c r="AT861" s="102"/>
      <c r="AU861" s="102"/>
      <c r="AV861" s="102"/>
      <c r="AW861" s="102"/>
      <c r="AX861" s="102"/>
      <c r="AY861" s="102"/>
      <c r="AZ861" s="102"/>
      <c r="BA861" s="102"/>
      <c r="BB861" s="102"/>
      <c r="BC861" s="102"/>
      <c r="BD861" s="102"/>
      <c r="BE861" s="102"/>
      <c r="BF861" s="102"/>
      <c r="BG861" s="102"/>
      <c r="BH861" s="102"/>
      <c r="BI861" s="102"/>
      <c r="BJ861" s="102"/>
      <c r="BK861" s="102"/>
      <c r="BL861" s="102"/>
      <c r="BM861" s="102"/>
      <c r="BN861" s="102"/>
      <c r="BO861" s="102"/>
      <c r="BP861" s="102"/>
      <c r="BQ861" s="102"/>
      <c r="BR861" s="102"/>
      <c r="BS861" s="102"/>
      <c r="BT861" s="102"/>
      <c r="BU861" s="102"/>
      <c r="BV861" s="102"/>
      <c r="BW861" s="102"/>
      <c r="BX861" s="102"/>
      <c r="BY861" s="102"/>
      <c r="BZ861" s="102"/>
      <c r="CA861" s="464"/>
      <c r="CB861" s="102"/>
      <c r="CC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474">
        <v>859.0</v>
      </c>
      <c r="AB862" s="474">
        <f t="shared" si="10"/>
        <v>864</v>
      </c>
      <c r="AC862" s="476">
        <f t="shared" si="11"/>
        <v>1151</v>
      </c>
      <c r="AD862" s="474">
        <f t="shared" si="12"/>
        <v>1434</v>
      </c>
      <c r="AE862" s="474">
        <f t="shared" si="13"/>
        <v>945</v>
      </c>
      <c r="AF862" s="474">
        <f t="shared" si="14"/>
        <v>1151</v>
      </c>
      <c r="AG862" s="102"/>
      <c r="AH862" s="102"/>
      <c r="AI862" s="102"/>
      <c r="AJ862" s="102"/>
      <c r="AK862" s="102"/>
      <c r="AL862" s="102"/>
      <c r="AM862" s="102"/>
      <c r="AN862" s="102"/>
      <c r="AO862" s="102"/>
      <c r="AP862" s="102"/>
      <c r="AQ862" s="102"/>
      <c r="AR862" s="102"/>
      <c r="AS862" s="102"/>
      <c r="AT862" s="102"/>
      <c r="AU862" s="102"/>
      <c r="AV862" s="102"/>
      <c r="AW862" s="102"/>
      <c r="AX862" s="102"/>
      <c r="AY862" s="102"/>
      <c r="AZ862" s="102"/>
      <c r="BA862" s="102"/>
      <c r="BB862" s="102"/>
      <c r="BC862" s="102"/>
      <c r="BD862" s="102"/>
      <c r="BE862" s="102"/>
      <c r="BF862" s="102"/>
      <c r="BG862" s="102"/>
      <c r="BH862" s="102"/>
      <c r="BI862" s="102"/>
      <c r="BJ862" s="102"/>
      <c r="BK862" s="102"/>
      <c r="BL862" s="102"/>
      <c r="BM862" s="102"/>
      <c r="BN862" s="102"/>
      <c r="BO862" s="102"/>
      <c r="BP862" s="102"/>
      <c r="BQ862" s="102"/>
      <c r="BR862" s="102"/>
      <c r="BS862" s="102"/>
      <c r="BT862" s="102"/>
      <c r="BU862" s="102"/>
      <c r="BV862" s="102"/>
      <c r="BW862" s="102"/>
      <c r="BX862" s="102"/>
      <c r="BY862" s="102"/>
      <c r="BZ862" s="102"/>
      <c r="CA862" s="464"/>
      <c r="CB862" s="102"/>
      <c r="CC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474">
        <v>860.0</v>
      </c>
      <c r="AB863" s="474">
        <f t="shared" si="10"/>
        <v>865</v>
      </c>
      <c r="AC863" s="476">
        <f t="shared" si="11"/>
        <v>1152</v>
      </c>
      <c r="AD863" s="474">
        <f t="shared" si="12"/>
        <v>1436</v>
      </c>
      <c r="AE863" s="474">
        <f t="shared" si="13"/>
        <v>946</v>
      </c>
      <c r="AF863" s="474">
        <f t="shared" si="14"/>
        <v>1152</v>
      </c>
      <c r="AG863" s="102"/>
      <c r="AH863" s="102"/>
      <c r="AI863" s="102"/>
      <c r="AJ863" s="102"/>
      <c r="AK863" s="102"/>
      <c r="AL863" s="102"/>
      <c r="AM863" s="102"/>
      <c r="AN863" s="102"/>
      <c r="AO863" s="102"/>
      <c r="AP863" s="102"/>
      <c r="AQ863" s="102"/>
      <c r="AR863" s="102"/>
      <c r="AS863" s="102"/>
      <c r="AT863" s="102"/>
      <c r="AU863" s="102"/>
      <c r="AV863" s="102"/>
      <c r="AW863" s="102"/>
      <c r="AX863" s="102"/>
      <c r="AY863" s="102"/>
      <c r="AZ863" s="102"/>
      <c r="BA863" s="102"/>
      <c r="BB863" s="102"/>
      <c r="BC863" s="102"/>
      <c r="BD863" s="102"/>
      <c r="BE863" s="102"/>
      <c r="BF863" s="102"/>
      <c r="BG863" s="102"/>
      <c r="BH863" s="102"/>
      <c r="BI863" s="102"/>
      <c r="BJ863" s="102"/>
      <c r="BK863" s="102"/>
      <c r="BL863" s="102"/>
      <c r="BM863" s="102"/>
      <c r="BN863" s="102"/>
      <c r="BO863" s="102"/>
      <c r="BP863" s="102"/>
      <c r="BQ863" s="102"/>
      <c r="BR863" s="102"/>
      <c r="BS863" s="102"/>
      <c r="BT863" s="102"/>
      <c r="BU863" s="102"/>
      <c r="BV863" s="102"/>
      <c r="BW863" s="102"/>
      <c r="BX863" s="102"/>
      <c r="BY863" s="102"/>
      <c r="BZ863" s="102"/>
      <c r="CA863" s="464"/>
      <c r="CB863" s="102"/>
      <c r="CC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474">
        <v>861.0</v>
      </c>
      <c r="AB864" s="474">
        <f t="shared" si="10"/>
        <v>866</v>
      </c>
      <c r="AC864" s="476">
        <f t="shared" si="11"/>
        <v>1153</v>
      </c>
      <c r="AD864" s="474">
        <f t="shared" si="12"/>
        <v>1437</v>
      </c>
      <c r="AE864" s="474">
        <f t="shared" si="13"/>
        <v>948</v>
      </c>
      <c r="AF864" s="474">
        <f t="shared" si="14"/>
        <v>1153</v>
      </c>
      <c r="AG864" s="102"/>
      <c r="AH864" s="102"/>
      <c r="AI864" s="102"/>
      <c r="AJ864" s="102"/>
      <c r="AK864" s="102"/>
      <c r="AL864" s="102"/>
      <c r="AM864" s="102"/>
      <c r="AN864" s="102"/>
      <c r="AO864" s="102"/>
      <c r="AP864" s="102"/>
      <c r="AQ864" s="102"/>
      <c r="AR864" s="102"/>
      <c r="AS864" s="102"/>
      <c r="AT864" s="102"/>
      <c r="AU864" s="102"/>
      <c r="AV864" s="102"/>
      <c r="AW864" s="102"/>
      <c r="AX864" s="102"/>
      <c r="AY864" s="102"/>
      <c r="AZ864" s="102"/>
      <c r="BA864" s="102"/>
      <c r="BB864" s="102"/>
      <c r="BC864" s="102"/>
      <c r="BD864" s="102"/>
      <c r="BE864" s="102"/>
      <c r="BF864" s="102"/>
      <c r="BG864" s="102"/>
      <c r="BH864" s="102"/>
      <c r="BI864" s="102"/>
      <c r="BJ864" s="102"/>
      <c r="BK864" s="102"/>
      <c r="BL864" s="102"/>
      <c r="BM864" s="102"/>
      <c r="BN864" s="102"/>
      <c r="BO864" s="102"/>
      <c r="BP864" s="102"/>
      <c r="BQ864" s="102"/>
      <c r="BR864" s="102"/>
      <c r="BS864" s="102"/>
      <c r="BT864" s="102"/>
      <c r="BU864" s="102"/>
      <c r="BV864" s="102"/>
      <c r="BW864" s="102"/>
      <c r="BX864" s="102"/>
      <c r="BY864" s="102"/>
      <c r="BZ864" s="102"/>
      <c r="CA864" s="464"/>
      <c r="CB864" s="102"/>
      <c r="CC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474">
        <v>862.0</v>
      </c>
      <c r="AB865" s="474">
        <f t="shared" si="10"/>
        <v>867</v>
      </c>
      <c r="AC865" s="476">
        <f t="shared" si="11"/>
        <v>1155</v>
      </c>
      <c r="AD865" s="474">
        <f t="shared" si="12"/>
        <v>1439</v>
      </c>
      <c r="AE865" s="474">
        <f t="shared" si="13"/>
        <v>949</v>
      </c>
      <c r="AF865" s="474">
        <f t="shared" si="14"/>
        <v>1155</v>
      </c>
      <c r="AG865" s="102"/>
      <c r="AH865" s="102"/>
      <c r="AI865" s="102"/>
      <c r="AJ865" s="102"/>
      <c r="AK865" s="102"/>
      <c r="AL865" s="102"/>
      <c r="AM865" s="102"/>
      <c r="AN865" s="102"/>
      <c r="AO865" s="102"/>
      <c r="AP865" s="102"/>
      <c r="AQ865" s="102"/>
      <c r="AR865" s="102"/>
      <c r="AS865" s="102"/>
      <c r="AT865" s="102"/>
      <c r="AU865" s="102"/>
      <c r="AV865" s="102"/>
      <c r="AW865" s="102"/>
      <c r="AX865" s="102"/>
      <c r="AY865" s="102"/>
      <c r="AZ865" s="102"/>
      <c r="BA865" s="102"/>
      <c r="BB865" s="102"/>
      <c r="BC865" s="102"/>
      <c r="BD865" s="102"/>
      <c r="BE865" s="102"/>
      <c r="BF865" s="102"/>
      <c r="BG865" s="102"/>
      <c r="BH865" s="102"/>
      <c r="BI865" s="102"/>
      <c r="BJ865" s="102"/>
      <c r="BK865" s="102"/>
      <c r="BL865" s="102"/>
      <c r="BM865" s="102"/>
      <c r="BN865" s="102"/>
      <c r="BO865" s="102"/>
      <c r="BP865" s="102"/>
      <c r="BQ865" s="102"/>
      <c r="BR865" s="102"/>
      <c r="BS865" s="102"/>
      <c r="BT865" s="102"/>
      <c r="BU865" s="102"/>
      <c r="BV865" s="102"/>
      <c r="BW865" s="102"/>
      <c r="BX865" s="102"/>
      <c r="BY865" s="102"/>
      <c r="BZ865" s="102"/>
      <c r="CA865" s="464"/>
      <c r="CB865" s="102"/>
      <c r="CC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474">
        <v>863.0</v>
      </c>
      <c r="AB866" s="474">
        <f t="shared" si="10"/>
        <v>868</v>
      </c>
      <c r="AC866" s="476">
        <f t="shared" si="11"/>
        <v>1156</v>
      </c>
      <c r="AD866" s="474">
        <f t="shared" si="12"/>
        <v>1441</v>
      </c>
      <c r="AE866" s="474">
        <f t="shared" si="13"/>
        <v>950</v>
      </c>
      <c r="AF866" s="474">
        <f t="shared" si="14"/>
        <v>1156</v>
      </c>
      <c r="AG866" s="102"/>
      <c r="AH866" s="102"/>
      <c r="AI866" s="102"/>
      <c r="AJ866" s="102"/>
      <c r="AK866" s="102"/>
      <c r="AL866" s="102"/>
      <c r="AM866" s="102"/>
      <c r="AN866" s="102"/>
      <c r="AO866" s="102"/>
      <c r="AP866" s="102"/>
      <c r="AQ866" s="102"/>
      <c r="AR866" s="102"/>
      <c r="AS866" s="102"/>
      <c r="AT866" s="102"/>
      <c r="AU866" s="102"/>
      <c r="AV866" s="102"/>
      <c r="AW866" s="102"/>
      <c r="AX866" s="102"/>
      <c r="AY866" s="102"/>
      <c r="AZ866" s="102"/>
      <c r="BA866" s="102"/>
      <c r="BB866" s="102"/>
      <c r="BC866" s="102"/>
      <c r="BD866" s="102"/>
      <c r="BE866" s="102"/>
      <c r="BF866" s="102"/>
      <c r="BG866" s="102"/>
      <c r="BH866" s="102"/>
      <c r="BI866" s="102"/>
      <c r="BJ866" s="102"/>
      <c r="BK866" s="102"/>
      <c r="BL866" s="102"/>
      <c r="BM866" s="102"/>
      <c r="BN866" s="102"/>
      <c r="BO866" s="102"/>
      <c r="BP866" s="102"/>
      <c r="BQ866" s="102"/>
      <c r="BR866" s="102"/>
      <c r="BS866" s="102"/>
      <c r="BT866" s="102"/>
      <c r="BU866" s="102"/>
      <c r="BV866" s="102"/>
      <c r="BW866" s="102"/>
      <c r="BX866" s="102"/>
      <c r="BY866" s="102"/>
      <c r="BZ866" s="102"/>
      <c r="CA866" s="464"/>
      <c r="CB866" s="102"/>
      <c r="CC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474">
        <v>864.0</v>
      </c>
      <c r="AB867" s="474">
        <f t="shared" si="10"/>
        <v>869</v>
      </c>
      <c r="AC867" s="476">
        <f t="shared" si="11"/>
        <v>1157</v>
      </c>
      <c r="AD867" s="474">
        <f t="shared" si="12"/>
        <v>1442</v>
      </c>
      <c r="AE867" s="474">
        <f t="shared" si="13"/>
        <v>951</v>
      </c>
      <c r="AF867" s="474">
        <f t="shared" si="14"/>
        <v>1157</v>
      </c>
      <c r="AG867" s="102"/>
      <c r="AH867" s="102"/>
      <c r="AI867" s="102"/>
      <c r="AJ867" s="102"/>
      <c r="AK867" s="102"/>
      <c r="AL867" s="102"/>
      <c r="AM867" s="102"/>
      <c r="AN867" s="102"/>
      <c r="AO867" s="102"/>
      <c r="AP867" s="102"/>
      <c r="AQ867" s="102"/>
      <c r="AR867" s="102"/>
      <c r="AS867" s="102"/>
      <c r="AT867" s="102"/>
      <c r="AU867" s="102"/>
      <c r="AV867" s="102"/>
      <c r="AW867" s="102"/>
      <c r="AX867" s="102"/>
      <c r="AY867" s="102"/>
      <c r="AZ867" s="102"/>
      <c r="BA867" s="102"/>
      <c r="BB867" s="102"/>
      <c r="BC867" s="102"/>
      <c r="BD867" s="102"/>
      <c r="BE867" s="102"/>
      <c r="BF867" s="102"/>
      <c r="BG867" s="102"/>
      <c r="BH867" s="102"/>
      <c r="BI867" s="102"/>
      <c r="BJ867" s="102"/>
      <c r="BK867" s="102"/>
      <c r="BL867" s="102"/>
      <c r="BM867" s="102"/>
      <c r="BN867" s="102"/>
      <c r="BO867" s="102"/>
      <c r="BP867" s="102"/>
      <c r="BQ867" s="102"/>
      <c r="BR867" s="102"/>
      <c r="BS867" s="102"/>
      <c r="BT867" s="102"/>
      <c r="BU867" s="102"/>
      <c r="BV867" s="102"/>
      <c r="BW867" s="102"/>
      <c r="BX867" s="102"/>
      <c r="BY867" s="102"/>
      <c r="BZ867" s="102"/>
      <c r="CA867" s="464"/>
      <c r="CB867" s="102"/>
      <c r="CC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474">
        <v>865.0</v>
      </c>
      <c r="AB868" s="474">
        <f t="shared" si="10"/>
        <v>870</v>
      </c>
      <c r="AC868" s="476">
        <f t="shared" si="11"/>
        <v>1159</v>
      </c>
      <c r="AD868" s="474">
        <f t="shared" si="12"/>
        <v>1444</v>
      </c>
      <c r="AE868" s="474">
        <f t="shared" si="13"/>
        <v>952</v>
      </c>
      <c r="AF868" s="474">
        <f t="shared" si="14"/>
        <v>1159</v>
      </c>
      <c r="AG868" s="102"/>
      <c r="AH868" s="102"/>
      <c r="AI868" s="102"/>
      <c r="AJ868" s="102"/>
      <c r="AK868" s="102"/>
      <c r="AL868" s="102"/>
      <c r="AM868" s="102"/>
      <c r="AN868" s="102"/>
      <c r="AO868" s="102"/>
      <c r="AP868" s="102"/>
      <c r="AQ868" s="102"/>
      <c r="AR868" s="102"/>
      <c r="AS868" s="102"/>
      <c r="AT868" s="102"/>
      <c r="AU868" s="102"/>
      <c r="AV868" s="102"/>
      <c r="AW868" s="102"/>
      <c r="AX868" s="102"/>
      <c r="AY868" s="102"/>
      <c r="AZ868" s="102"/>
      <c r="BA868" s="102"/>
      <c r="BB868" s="102"/>
      <c r="BC868" s="102"/>
      <c r="BD868" s="102"/>
      <c r="BE868" s="102"/>
      <c r="BF868" s="102"/>
      <c r="BG868" s="102"/>
      <c r="BH868" s="102"/>
      <c r="BI868" s="102"/>
      <c r="BJ868" s="102"/>
      <c r="BK868" s="102"/>
      <c r="BL868" s="102"/>
      <c r="BM868" s="102"/>
      <c r="BN868" s="102"/>
      <c r="BO868" s="102"/>
      <c r="BP868" s="102"/>
      <c r="BQ868" s="102"/>
      <c r="BR868" s="102"/>
      <c r="BS868" s="102"/>
      <c r="BT868" s="102"/>
      <c r="BU868" s="102"/>
      <c r="BV868" s="102"/>
      <c r="BW868" s="102"/>
      <c r="BX868" s="102"/>
      <c r="BY868" s="102"/>
      <c r="BZ868" s="102"/>
      <c r="CA868" s="464"/>
      <c r="CB868" s="102"/>
      <c r="CC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474">
        <v>866.0</v>
      </c>
      <c r="AB869" s="474">
        <f t="shared" si="10"/>
        <v>871</v>
      </c>
      <c r="AC869" s="476">
        <f t="shared" si="11"/>
        <v>1160</v>
      </c>
      <c r="AD869" s="474">
        <f t="shared" si="12"/>
        <v>1446</v>
      </c>
      <c r="AE869" s="474">
        <f t="shared" si="13"/>
        <v>953</v>
      </c>
      <c r="AF869" s="474">
        <f t="shared" si="14"/>
        <v>1160</v>
      </c>
      <c r="AG869" s="102"/>
      <c r="AH869" s="102"/>
      <c r="AI869" s="102"/>
      <c r="AJ869" s="102"/>
      <c r="AK869" s="102"/>
      <c r="AL869" s="102"/>
      <c r="AM869" s="102"/>
      <c r="AN869" s="102"/>
      <c r="AO869" s="102"/>
      <c r="AP869" s="102"/>
      <c r="AQ869" s="102"/>
      <c r="AR869" s="102"/>
      <c r="AS869" s="102"/>
      <c r="AT869" s="102"/>
      <c r="AU869" s="102"/>
      <c r="AV869" s="102"/>
      <c r="AW869" s="102"/>
      <c r="AX869" s="102"/>
      <c r="AY869" s="102"/>
      <c r="AZ869" s="102"/>
      <c r="BA869" s="102"/>
      <c r="BB869" s="102"/>
      <c r="BC869" s="102"/>
      <c r="BD869" s="102"/>
      <c r="BE869" s="102"/>
      <c r="BF869" s="102"/>
      <c r="BG869" s="102"/>
      <c r="BH869" s="102"/>
      <c r="BI869" s="102"/>
      <c r="BJ869" s="102"/>
      <c r="BK869" s="102"/>
      <c r="BL869" s="102"/>
      <c r="BM869" s="102"/>
      <c r="BN869" s="102"/>
      <c r="BO869" s="102"/>
      <c r="BP869" s="102"/>
      <c r="BQ869" s="102"/>
      <c r="BR869" s="102"/>
      <c r="BS869" s="102"/>
      <c r="BT869" s="102"/>
      <c r="BU869" s="102"/>
      <c r="BV869" s="102"/>
      <c r="BW869" s="102"/>
      <c r="BX869" s="102"/>
      <c r="BY869" s="102"/>
      <c r="BZ869" s="102"/>
      <c r="CA869" s="464"/>
      <c r="CB869" s="102"/>
      <c r="CC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474">
        <v>867.0</v>
      </c>
      <c r="AB870" s="474">
        <f t="shared" si="10"/>
        <v>872</v>
      </c>
      <c r="AC870" s="476">
        <f t="shared" si="11"/>
        <v>1161</v>
      </c>
      <c r="AD870" s="474">
        <f t="shared" si="12"/>
        <v>1447</v>
      </c>
      <c r="AE870" s="474">
        <f t="shared" si="13"/>
        <v>954</v>
      </c>
      <c r="AF870" s="474">
        <f t="shared" si="14"/>
        <v>1161</v>
      </c>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2"/>
      <c r="BJ870" s="102"/>
      <c r="BK870" s="102"/>
      <c r="BL870" s="102"/>
      <c r="BM870" s="102"/>
      <c r="BN870" s="102"/>
      <c r="BO870" s="102"/>
      <c r="BP870" s="102"/>
      <c r="BQ870" s="102"/>
      <c r="BR870" s="102"/>
      <c r="BS870" s="102"/>
      <c r="BT870" s="102"/>
      <c r="BU870" s="102"/>
      <c r="BV870" s="102"/>
      <c r="BW870" s="102"/>
      <c r="BX870" s="102"/>
      <c r="BY870" s="102"/>
      <c r="BZ870" s="102"/>
      <c r="CA870" s="464"/>
      <c r="CB870" s="102"/>
      <c r="CC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474">
        <v>868.0</v>
      </c>
      <c r="AB871" s="474">
        <f t="shared" si="10"/>
        <v>873</v>
      </c>
      <c r="AC871" s="476">
        <f t="shared" si="11"/>
        <v>1163</v>
      </c>
      <c r="AD871" s="474">
        <f t="shared" si="12"/>
        <v>1449</v>
      </c>
      <c r="AE871" s="474">
        <f t="shared" si="13"/>
        <v>955</v>
      </c>
      <c r="AF871" s="474">
        <f t="shared" si="14"/>
        <v>1163</v>
      </c>
      <c r="AG871" s="102"/>
      <c r="AH871" s="102"/>
      <c r="AI871" s="102"/>
      <c r="AJ871" s="102"/>
      <c r="AK871" s="102"/>
      <c r="AL871" s="102"/>
      <c r="AM871" s="102"/>
      <c r="AN871" s="102"/>
      <c r="AO871" s="102"/>
      <c r="AP871" s="102"/>
      <c r="AQ871" s="102"/>
      <c r="AR871" s="102"/>
      <c r="AS871" s="102"/>
      <c r="AT871" s="102"/>
      <c r="AU871" s="102"/>
      <c r="AV871" s="102"/>
      <c r="AW871" s="102"/>
      <c r="AX871" s="102"/>
      <c r="AY871" s="102"/>
      <c r="AZ871" s="102"/>
      <c r="BA871" s="102"/>
      <c r="BB871" s="102"/>
      <c r="BC871" s="102"/>
      <c r="BD871" s="102"/>
      <c r="BE871" s="102"/>
      <c r="BF871" s="102"/>
      <c r="BG871" s="102"/>
      <c r="BH871" s="102"/>
      <c r="BI871" s="102"/>
      <c r="BJ871" s="102"/>
      <c r="BK871" s="102"/>
      <c r="BL871" s="102"/>
      <c r="BM871" s="102"/>
      <c r="BN871" s="102"/>
      <c r="BO871" s="102"/>
      <c r="BP871" s="102"/>
      <c r="BQ871" s="102"/>
      <c r="BR871" s="102"/>
      <c r="BS871" s="102"/>
      <c r="BT871" s="102"/>
      <c r="BU871" s="102"/>
      <c r="BV871" s="102"/>
      <c r="BW871" s="102"/>
      <c r="BX871" s="102"/>
      <c r="BY871" s="102"/>
      <c r="BZ871" s="102"/>
      <c r="CA871" s="464"/>
      <c r="CB871" s="102"/>
      <c r="CC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474">
        <v>869.0</v>
      </c>
      <c r="AB872" s="474">
        <f t="shared" si="10"/>
        <v>874</v>
      </c>
      <c r="AC872" s="476">
        <f t="shared" si="11"/>
        <v>1164</v>
      </c>
      <c r="AD872" s="474">
        <f t="shared" si="12"/>
        <v>1451</v>
      </c>
      <c r="AE872" s="474">
        <f t="shared" si="13"/>
        <v>956</v>
      </c>
      <c r="AF872" s="474">
        <f t="shared" si="14"/>
        <v>1164</v>
      </c>
      <c r="AG872" s="102"/>
      <c r="AH872" s="102"/>
      <c r="AI872" s="102"/>
      <c r="AJ872" s="102"/>
      <c r="AK872" s="102"/>
      <c r="AL872" s="102"/>
      <c r="AM872" s="102"/>
      <c r="AN872" s="102"/>
      <c r="AO872" s="102"/>
      <c r="AP872" s="102"/>
      <c r="AQ872" s="102"/>
      <c r="AR872" s="102"/>
      <c r="AS872" s="102"/>
      <c r="AT872" s="102"/>
      <c r="AU872" s="102"/>
      <c r="AV872" s="102"/>
      <c r="AW872" s="102"/>
      <c r="AX872" s="102"/>
      <c r="AY872" s="102"/>
      <c r="AZ872" s="102"/>
      <c r="BA872" s="102"/>
      <c r="BB872" s="102"/>
      <c r="BC872" s="102"/>
      <c r="BD872" s="102"/>
      <c r="BE872" s="102"/>
      <c r="BF872" s="102"/>
      <c r="BG872" s="102"/>
      <c r="BH872" s="102"/>
      <c r="BI872" s="102"/>
      <c r="BJ872" s="102"/>
      <c r="BK872" s="102"/>
      <c r="BL872" s="102"/>
      <c r="BM872" s="102"/>
      <c r="BN872" s="102"/>
      <c r="BO872" s="102"/>
      <c r="BP872" s="102"/>
      <c r="BQ872" s="102"/>
      <c r="BR872" s="102"/>
      <c r="BS872" s="102"/>
      <c r="BT872" s="102"/>
      <c r="BU872" s="102"/>
      <c r="BV872" s="102"/>
      <c r="BW872" s="102"/>
      <c r="BX872" s="102"/>
      <c r="BY872" s="102"/>
      <c r="BZ872" s="102"/>
      <c r="CA872" s="464"/>
      <c r="CB872" s="102"/>
      <c r="CC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474">
        <v>870.0</v>
      </c>
      <c r="AB873" s="474">
        <f t="shared" si="10"/>
        <v>875</v>
      </c>
      <c r="AC873" s="476">
        <f t="shared" si="11"/>
        <v>1165</v>
      </c>
      <c r="AD873" s="474">
        <f t="shared" si="12"/>
        <v>1452</v>
      </c>
      <c r="AE873" s="474">
        <f t="shared" si="13"/>
        <v>957</v>
      </c>
      <c r="AF873" s="474">
        <f t="shared" si="14"/>
        <v>1165</v>
      </c>
      <c r="AG873" s="102"/>
      <c r="AH873" s="102"/>
      <c r="AI873" s="102"/>
      <c r="AJ873" s="102"/>
      <c r="AK873" s="102"/>
      <c r="AL873" s="102"/>
      <c r="AM873" s="102"/>
      <c r="AN873" s="102"/>
      <c r="AO873" s="102"/>
      <c r="AP873" s="102"/>
      <c r="AQ873" s="102"/>
      <c r="AR873" s="102"/>
      <c r="AS873" s="102"/>
      <c r="AT873" s="102"/>
      <c r="AU873" s="102"/>
      <c r="AV873" s="102"/>
      <c r="AW873" s="102"/>
      <c r="AX873" s="102"/>
      <c r="AY873" s="102"/>
      <c r="AZ873" s="102"/>
      <c r="BA873" s="102"/>
      <c r="BB873" s="102"/>
      <c r="BC873" s="102"/>
      <c r="BD873" s="102"/>
      <c r="BE873" s="102"/>
      <c r="BF873" s="102"/>
      <c r="BG873" s="102"/>
      <c r="BH873" s="102"/>
      <c r="BI873" s="102"/>
      <c r="BJ873" s="102"/>
      <c r="BK873" s="102"/>
      <c r="BL873" s="102"/>
      <c r="BM873" s="102"/>
      <c r="BN873" s="102"/>
      <c r="BO873" s="102"/>
      <c r="BP873" s="102"/>
      <c r="BQ873" s="102"/>
      <c r="BR873" s="102"/>
      <c r="BS873" s="102"/>
      <c r="BT873" s="102"/>
      <c r="BU873" s="102"/>
      <c r="BV873" s="102"/>
      <c r="BW873" s="102"/>
      <c r="BX873" s="102"/>
      <c r="BY873" s="102"/>
      <c r="BZ873" s="102"/>
      <c r="CA873" s="464"/>
      <c r="CB873" s="102"/>
      <c r="CC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474">
        <v>871.0</v>
      </c>
      <c r="AB874" s="474">
        <f t="shared" si="10"/>
        <v>876</v>
      </c>
      <c r="AC874" s="476">
        <f t="shared" si="11"/>
        <v>1167</v>
      </c>
      <c r="AD874" s="474">
        <f t="shared" si="12"/>
        <v>1454</v>
      </c>
      <c r="AE874" s="474">
        <f t="shared" si="13"/>
        <v>959</v>
      </c>
      <c r="AF874" s="474">
        <f t="shared" si="14"/>
        <v>1167</v>
      </c>
      <c r="AG874" s="102"/>
      <c r="AH874" s="102"/>
      <c r="AI874" s="102"/>
      <c r="AJ874" s="102"/>
      <c r="AK874" s="102"/>
      <c r="AL874" s="102"/>
      <c r="AM874" s="102"/>
      <c r="AN874" s="102"/>
      <c r="AO874" s="102"/>
      <c r="AP874" s="102"/>
      <c r="AQ874" s="102"/>
      <c r="AR874" s="102"/>
      <c r="AS874" s="102"/>
      <c r="AT874" s="102"/>
      <c r="AU874" s="102"/>
      <c r="AV874" s="102"/>
      <c r="AW874" s="102"/>
      <c r="AX874" s="102"/>
      <c r="AY874" s="102"/>
      <c r="AZ874" s="102"/>
      <c r="BA874" s="102"/>
      <c r="BB874" s="102"/>
      <c r="BC874" s="102"/>
      <c r="BD874" s="102"/>
      <c r="BE874" s="102"/>
      <c r="BF874" s="102"/>
      <c r="BG874" s="102"/>
      <c r="BH874" s="102"/>
      <c r="BI874" s="102"/>
      <c r="BJ874" s="102"/>
      <c r="BK874" s="102"/>
      <c r="BL874" s="102"/>
      <c r="BM874" s="102"/>
      <c r="BN874" s="102"/>
      <c r="BO874" s="102"/>
      <c r="BP874" s="102"/>
      <c r="BQ874" s="102"/>
      <c r="BR874" s="102"/>
      <c r="BS874" s="102"/>
      <c r="BT874" s="102"/>
      <c r="BU874" s="102"/>
      <c r="BV874" s="102"/>
      <c r="BW874" s="102"/>
      <c r="BX874" s="102"/>
      <c r="BY874" s="102"/>
      <c r="BZ874" s="102"/>
      <c r="CA874" s="464"/>
      <c r="CB874" s="102"/>
      <c r="CC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474">
        <v>872.0</v>
      </c>
      <c r="AB875" s="474">
        <f t="shared" si="10"/>
        <v>877</v>
      </c>
      <c r="AC875" s="476">
        <f t="shared" si="11"/>
        <v>1168</v>
      </c>
      <c r="AD875" s="474">
        <f t="shared" si="12"/>
        <v>1456</v>
      </c>
      <c r="AE875" s="474">
        <f t="shared" si="13"/>
        <v>960</v>
      </c>
      <c r="AF875" s="474">
        <f t="shared" si="14"/>
        <v>1168</v>
      </c>
      <c r="AG875" s="102"/>
      <c r="AH875" s="102"/>
      <c r="AI875" s="102"/>
      <c r="AJ875" s="102"/>
      <c r="AK875" s="102"/>
      <c r="AL875" s="102"/>
      <c r="AM875" s="102"/>
      <c r="AN875" s="102"/>
      <c r="AO875" s="102"/>
      <c r="AP875" s="102"/>
      <c r="AQ875" s="102"/>
      <c r="AR875" s="102"/>
      <c r="AS875" s="102"/>
      <c r="AT875" s="102"/>
      <c r="AU875" s="102"/>
      <c r="AV875" s="102"/>
      <c r="AW875" s="102"/>
      <c r="AX875" s="102"/>
      <c r="AY875" s="102"/>
      <c r="AZ875" s="102"/>
      <c r="BA875" s="102"/>
      <c r="BB875" s="102"/>
      <c r="BC875" s="102"/>
      <c r="BD875" s="102"/>
      <c r="BE875" s="102"/>
      <c r="BF875" s="102"/>
      <c r="BG875" s="102"/>
      <c r="BH875" s="102"/>
      <c r="BI875" s="102"/>
      <c r="BJ875" s="102"/>
      <c r="BK875" s="102"/>
      <c r="BL875" s="102"/>
      <c r="BM875" s="102"/>
      <c r="BN875" s="102"/>
      <c r="BO875" s="102"/>
      <c r="BP875" s="102"/>
      <c r="BQ875" s="102"/>
      <c r="BR875" s="102"/>
      <c r="BS875" s="102"/>
      <c r="BT875" s="102"/>
      <c r="BU875" s="102"/>
      <c r="BV875" s="102"/>
      <c r="BW875" s="102"/>
      <c r="BX875" s="102"/>
      <c r="BY875" s="102"/>
      <c r="BZ875" s="102"/>
      <c r="CA875" s="464"/>
      <c r="CB875" s="102"/>
      <c r="CC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474">
        <v>873.0</v>
      </c>
      <c r="AB876" s="474">
        <f t="shared" si="10"/>
        <v>878</v>
      </c>
      <c r="AC876" s="476">
        <f t="shared" si="11"/>
        <v>1169</v>
      </c>
      <c r="AD876" s="474">
        <f t="shared" si="12"/>
        <v>1457</v>
      </c>
      <c r="AE876" s="474">
        <f t="shared" si="13"/>
        <v>961</v>
      </c>
      <c r="AF876" s="474">
        <f t="shared" si="14"/>
        <v>1169</v>
      </c>
      <c r="AG876" s="102"/>
      <c r="AH876" s="102"/>
      <c r="AI876" s="102"/>
      <c r="AJ876" s="102"/>
      <c r="AK876" s="102"/>
      <c r="AL876" s="102"/>
      <c r="AM876" s="102"/>
      <c r="AN876" s="102"/>
      <c r="AO876" s="102"/>
      <c r="AP876" s="102"/>
      <c r="AQ876" s="102"/>
      <c r="AR876" s="102"/>
      <c r="AS876" s="102"/>
      <c r="AT876" s="102"/>
      <c r="AU876" s="102"/>
      <c r="AV876" s="102"/>
      <c r="AW876" s="102"/>
      <c r="AX876" s="102"/>
      <c r="AY876" s="102"/>
      <c r="AZ876" s="102"/>
      <c r="BA876" s="102"/>
      <c r="BB876" s="102"/>
      <c r="BC876" s="102"/>
      <c r="BD876" s="102"/>
      <c r="BE876" s="102"/>
      <c r="BF876" s="102"/>
      <c r="BG876" s="102"/>
      <c r="BH876" s="102"/>
      <c r="BI876" s="102"/>
      <c r="BJ876" s="102"/>
      <c r="BK876" s="102"/>
      <c r="BL876" s="102"/>
      <c r="BM876" s="102"/>
      <c r="BN876" s="102"/>
      <c r="BO876" s="102"/>
      <c r="BP876" s="102"/>
      <c r="BQ876" s="102"/>
      <c r="BR876" s="102"/>
      <c r="BS876" s="102"/>
      <c r="BT876" s="102"/>
      <c r="BU876" s="102"/>
      <c r="BV876" s="102"/>
      <c r="BW876" s="102"/>
      <c r="BX876" s="102"/>
      <c r="BY876" s="102"/>
      <c r="BZ876" s="102"/>
      <c r="CA876" s="464"/>
      <c r="CB876" s="102"/>
      <c r="CC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474">
        <v>874.0</v>
      </c>
      <c r="AB877" s="474">
        <f t="shared" si="10"/>
        <v>879</v>
      </c>
      <c r="AC877" s="476">
        <f t="shared" si="11"/>
        <v>1171</v>
      </c>
      <c r="AD877" s="474">
        <f t="shared" si="12"/>
        <v>1459</v>
      </c>
      <c r="AE877" s="474">
        <f t="shared" si="13"/>
        <v>962</v>
      </c>
      <c r="AF877" s="474">
        <f t="shared" si="14"/>
        <v>1171</v>
      </c>
      <c r="AG877" s="102"/>
      <c r="AH877" s="102"/>
      <c r="AI877" s="102"/>
      <c r="AJ877" s="102"/>
      <c r="AK877" s="102"/>
      <c r="AL877" s="102"/>
      <c r="AM877" s="102"/>
      <c r="AN877" s="102"/>
      <c r="AO877" s="102"/>
      <c r="AP877" s="102"/>
      <c r="AQ877" s="102"/>
      <c r="AR877" s="102"/>
      <c r="AS877" s="102"/>
      <c r="AT877" s="102"/>
      <c r="AU877" s="102"/>
      <c r="AV877" s="102"/>
      <c r="AW877" s="102"/>
      <c r="AX877" s="102"/>
      <c r="AY877" s="102"/>
      <c r="AZ877" s="102"/>
      <c r="BA877" s="102"/>
      <c r="BB877" s="102"/>
      <c r="BC877" s="102"/>
      <c r="BD877" s="102"/>
      <c r="BE877" s="102"/>
      <c r="BF877" s="102"/>
      <c r="BG877" s="102"/>
      <c r="BH877" s="102"/>
      <c r="BI877" s="102"/>
      <c r="BJ877" s="102"/>
      <c r="BK877" s="102"/>
      <c r="BL877" s="102"/>
      <c r="BM877" s="102"/>
      <c r="BN877" s="102"/>
      <c r="BO877" s="102"/>
      <c r="BP877" s="102"/>
      <c r="BQ877" s="102"/>
      <c r="BR877" s="102"/>
      <c r="BS877" s="102"/>
      <c r="BT877" s="102"/>
      <c r="BU877" s="102"/>
      <c r="BV877" s="102"/>
      <c r="BW877" s="102"/>
      <c r="BX877" s="102"/>
      <c r="BY877" s="102"/>
      <c r="BZ877" s="102"/>
      <c r="CA877" s="464"/>
      <c r="CB877" s="102"/>
      <c r="CC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474">
        <v>875.0</v>
      </c>
      <c r="AB878" s="474">
        <f t="shared" si="10"/>
        <v>880</v>
      </c>
      <c r="AC878" s="476">
        <f t="shared" si="11"/>
        <v>1172</v>
      </c>
      <c r="AD878" s="474">
        <f t="shared" si="12"/>
        <v>1461</v>
      </c>
      <c r="AE878" s="474">
        <f t="shared" si="13"/>
        <v>963</v>
      </c>
      <c r="AF878" s="474">
        <f t="shared" si="14"/>
        <v>1172</v>
      </c>
      <c r="AG878" s="102"/>
      <c r="AH878" s="102"/>
      <c r="AI878" s="102"/>
      <c r="AJ878" s="102"/>
      <c r="AK878" s="102"/>
      <c r="AL878" s="102"/>
      <c r="AM878" s="102"/>
      <c r="AN878" s="102"/>
      <c r="AO878" s="102"/>
      <c r="AP878" s="102"/>
      <c r="AQ878" s="102"/>
      <c r="AR878" s="102"/>
      <c r="AS878" s="102"/>
      <c r="AT878" s="102"/>
      <c r="AU878" s="102"/>
      <c r="AV878" s="102"/>
      <c r="AW878" s="102"/>
      <c r="AX878" s="102"/>
      <c r="AY878" s="102"/>
      <c r="AZ878" s="102"/>
      <c r="BA878" s="102"/>
      <c r="BB878" s="102"/>
      <c r="BC878" s="102"/>
      <c r="BD878" s="102"/>
      <c r="BE878" s="102"/>
      <c r="BF878" s="102"/>
      <c r="BG878" s="102"/>
      <c r="BH878" s="102"/>
      <c r="BI878" s="102"/>
      <c r="BJ878" s="102"/>
      <c r="BK878" s="102"/>
      <c r="BL878" s="102"/>
      <c r="BM878" s="102"/>
      <c r="BN878" s="102"/>
      <c r="BO878" s="102"/>
      <c r="BP878" s="102"/>
      <c r="BQ878" s="102"/>
      <c r="BR878" s="102"/>
      <c r="BS878" s="102"/>
      <c r="BT878" s="102"/>
      <c r="BU878" s="102"/>
      <c r="BV878" s="102"/>
      <c r="BW878" s="102"/>
      <c r="BX878" s="102"/>
      <c r="BY878" s="102"/>
      <c r="BZ878" s="102"/>
      <c r="CA878" s="464"/>
      <c r="CB878" s="102"/>
      <c r="CC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474">
        <v>876.0</v>
      </c>
      <c r="AB879" s="474">
        <f t="shared" si="10"/>
        <v>881</v>
      </c>
      <c r="AC879" s="476">
        <f t="shared" si="11"/>
        <v>1173</v>
      </c>
      <c r="AD879" s="474">
        <f t="shared" si="12"/>
        <v>1462</v>
      </c>
      <c r="AE879" s="474">
        <f t="shared" si="13"/>
        <v>964</v>
      </c>
      <c r="AF879" s="474">
        <f t="shared" si="14"/>
        <v>1173</v>
      </c>
      <c r="AG879" s="102"/>
      <c r="AH879" s="102"/>
      <c r="AI879" s="102"/>
      <c r="AJ879" s="102"/>
      <c r="AK879" s="102"/>
      <c r="AL879" s="102"/>
      <c r="AM879" s="102"/>
      <c r="AN879" s="102"/>
      <c r="AO879" s="102"/>
      <c r="AP879" s="102"/>
      <c r="AQ879" s="102"/>
      <c r="AR879" s="102"/>
      <c r="AS879" s="102"/>
      <c r="AT879" s="102"/>
      <c r="AU879" s="102"/>
      <c r="AV879" s="102"/>
      <c r="AW879" s="102"/>
      <c r="AX879" s="102"/>
      <c r="AY879" s="102"/>
      <c r="AZ879" s="102"/>
      <c r="BA879" s="102"/>
      <c r="BB879" s="102"/>
      <c r="BC879" s="102"/>
      <c r="BD879" s="102"/>
      <c r="BE879" s="102"/>
      <c r="BF879" s="102"/>
      <c r="BG879" s="102"/>
      <c r="BH879" s="102"/>
      <c r="BI879" s="102"/>
      <c r="BJ879" s="102"/>
      <c r="BK879" s="102"/>
      <c r="BL879" s="102"/>
      <c r="BM879" s="102"/>
      <c r="BN879" s="102"/>
      <c r="BO879" s="102"/>
      <c r="BP879" s="102"/>
      <c r="BQ879" s="102"/>
      <c r="BR879" s="102"/>
      <c r="BS879" s="102"/>
      <c r="BT879" s="102"/>
      <c r="BU879" s="102"/>
      <c r="BV879" s="102"/>
      <c r="BW879" s="102"/>
      <c r="BX879" s="102"/>
      <c r="BY879" s="102"/>
      <c r="BZ879" s="102"/>
      <c r="CA879" s="464"/>
      <c r="CB879" s="102"/>
      <c r="CC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474">
        <v>877.0</v>
      </c>
      <c r="AB880" s="474">
        <f t="shared" si="10"/>
        <v>882</v>
      </c>
      <c r="AC880" s="476">
        <f t="shared" si="11"/>
        <v>1175</v>
      </c>
      <c r="AD880" s="474">
        <f t="shared" si="12"/>
        <v>1464</v>
      </c>
      <c r="AE880" s="474">
        <f t="shared" si="13"/>
        <v>965</v>
      </c>
      <c r="AF880" s="474">
        <f t="shared" si="14"/>
        <v>1175</v>
      </c>
      <c r="AG880" s="102"/>
      <c r="AH880" s="102"/>
      <c r="AI880" s="102"/>
      <c r="AJ880" s="102"/>
      <c r="AK880" s="102"/>
      <c r="AL880" s="102"/>
      <c r="AM880" s="102"/>
      <c r="AN880" s="102"/>
      <c r="AO880" s="102"/>
      <c r="AP880" s="102"/>
      <c r="AQ880" s="102"/>
      <c r="AR880" s="102"/>
      <c r="AS880" s="102"/>
      <c r="AT880" s="102"/>
      <c r="AU880" s="102"/>
      <c r="AV880" s="102"/>
      <c r="AW880" s="102"/>
      <c r="AX880" s="102"/>
      <c r="AY880" s="102"/>
      <c r="AZ880" s="102"/>
      <c r="BA880" s="102"/>
      <c r="BB880" s="102"/>
      <c r="BC880" s="102"/>
      <c r="BD880" s="102"/>
      <c r="BE880" s="102"/>
      <c r="BF880" s="102"/>
      <c r="BG880" s="102"/>
      <c r="BH880" s="102"/>
      <c r="BI880" s="102"/>
      <c r="BJ880" s="102"/>
      <c r="BK880" s="102"/>
      <c r="BL880" s="102"/>
      <c r="BM880" s="102"/>
      <c r="BN880" s="102"/>
      <c r="BO880" s="102"/>
      <c r="BP880" s="102"/>
      <c r="BQ880" s="102"/>
      <c r="BR880" s="102"/>
      <c r="BS880" s="102"/>
      <c r="BT880" s="102"/>
      <c r="BU880" s="102"/>
      <c r="BV880" s="102"/>
      <c r="BW880" s="102"/>
      <c r="BX880" s="102"/>
      <c r="BY880" s="102"/>
      <c r="BZ880" s="102"/>
      <c r="CA880" s="464"/>
      <c r="CB880" s="102"/>
      <c r="CC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474">
        <v>878.0</v>
      </c>
      <c r="AB881" s="474">
        <f t="shared" si="10"/>
        <v>883</v>
      </c>
      <c r="AC881" s="476">
        <f t="shared" si="11"/>
        <v>1176</v>
      </c>
      <c r="AD881" s="474">
        <f t="shared" si="12"/>
        <v>1466</v>
      </c>
      <c r="AE881" s="474">
        <f t="shared" si="13"/>
        <v>966</v>
      </c>
      <c r="AF881" s="474">
        <f t="shared" si="14"/>
        <v>1176</v>
      </c>
      <c r="AG881" s="102"/>
      <c r="AH881" s="102"/>
      <c r="AI881" s="102"/>
      <c r="AJ881" s="102"/>
      <c r="AK881" s="102"/>
      <c r="AL881" s="102"/>
      <c r="AM881" s="102"/>
      <c r="AN881" s="102"/>
      <c r="AO881" s="102"/>
      <c r="AP881" s="102"/>
      <c r="AQ881" s="102"/>
      <c r="AR881" s="102"/>
      <c r="AS881" s="102"/>
      <c r="AT881" s="102"/>
      <c r="AU881" s="102"/>
      <c r="AV881" s="102"/>
      <c r="AW881" s="102"/>
      <c r="AX881" s="102"/>
      <c r="AY881" s="102"/>
      <c r="AZ881" s="102"/>
      <c r="BA881" s="102"/>
      <c r="BB881" s="102"/>
      <c r="BC881" s="102"/>
      <c r="BD881" s="102"/>
      <c r="BE881" s="102"/>
      <c r="BF881" s="102"/>
      <c r="BG881" s="102"/>
      <c r="BH881" s="102"/>
      <c r="BI881" s="102"/>
      <c r="BJ881" s="102"/>
      <c r="BK881" s="102"/>
      <c r="BL881" s="102"/>
      <c r="BM881" s="102"/>
      <c r="BN881" s="102"/>
      <c r="BO881" s="102"/>
      <c r="BP881" s="102"/>
      <c r="BQ881" s="102"/>
      <c r="BR881" s="102"/>
      <c r="BS881" s="102"/>
      <c r="BT881" s="102"/>
      <c r="BU881" s="102"/>
      <c r="BV881" s="102"/>
      <c r="BW881" s="102"/>
      <c r="BX881" s="102"/>
      <c r="BY881" s="102"/>
      <c r="BZ881" s="102"/>
      <c r="CA881" s="464"/>
      <c r="CB881" s="102"/>
      <c r="CC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474">
        <v>879.0</v>
      </c>
      <c r="AB882" s="474">
        <f t="shared" si="10"/>
        <v>884</v>
      </c>
      <c r="AC882" s="476">
        <f t="shared" si="11"/>
        <v>1177</v>
      </c>
      <c r="AD882" s="474">
        <f t="shared" si="12"/>
        <v>1467</v>
      </c>
      <c r="AE882" s="474">
        <f t="shared" si="13"/>
        <v>967</v>
      </c>
      <c r="AF882" s="474">
        <f t="shared" si="14"/>
        <v>1177</v>
      </c>
      <c r="AG882" s="102"/>
      <c r="AH882" s="102"/>
      <c r="AI882" s="102"/>
      <c r="AJ882" s="102"/>
      <c r="AK882" s="102"/>
      <c r="AL882" s="102"/>
      <c r="AM882" s="102"/>
      <c r="AN882" s="102"/>
      <c r="AO882" s="102"/>
      <c r="AP882" s="102"/>
      <c r="AQ882" s="102"/>
      <c r="AR882" s="102"/>
      <c r="AS882" s="102"/>
      <c r="AT882" s="102"/>
      <c r="AU882" s="102"/>
      <c r="AV882" s="102"/>
      <c r="AW882" s="102"/>
      <c r="AX882" s="102"/>
      <c r="AY882" s="102"/>
      <c r="AZ882" s="102"/>
      <c r="BA882" s="102"/>
      <c r="BB882" s="102"/>
      <c r="BC882" s="102"/>
      <c r="BD882" s="102"/>
      <c r="BE882" s="102"/>
      <c r="BF882" s="102"/>
      <c r="BG882" s="102"/>
      <c r="BH882" s="102"/>
      <c r="BI882" s="102"/>
      <c r="BJ882" s="102"/>
      <c r="BK882" s="102"/>
      <c r="BL882" s="102"/>
      <c r="BM882" s="102"/>
      <c r="BN882" s="102"/>
      <c r="BO882" s="102"/>
      <c r="BP882" s="102"/>
      <c r="BQ882" s="102"/>
      <c r="BR882" s="102"/>
      <c r="BS882" s="102"/>
      <c r="BT882" s="102"/>
      <c r="BU882" s="102"/>
      <c r="BV882" s="102"/>
      <c r="BW882" s="102"/>
      <c r="BX882" s="102"/>
      <c r="BY882" s="102"/>
      <c r="BZ882" s="102"/>
      <c r="CA882" s="464"/>
      <c r="CB882" s="102"/>
      <c r="CC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474">
        <v>880.0</v>
      </c>
      <c r="AB883" s="474">
        <f t="shared" si="10"/>
        <v>885</v>
      </c>
      <c r="AC883" s="476">
        <f t="shared" si="11"/>
        <v>1179</v>
      </c>
      <c r="AD883" s="474">
        <f t="shared" si="12"/>
        <v>1469</v>
      </c>
      <c r="AE883" s="474">
        <f t="shared" si="13"/>
        <v>968</v>
      </c>
      <c r="AF883" s="474">
        <f t="shared" si="14"/>
        <v>1179</v>
      </c>
      <c r="AG883" s="102"/>
      <c r="AH883" s="102"/>
      <c r="AI883" s="102"/>
      <c r="AJ883" s="102"/>
      <c r="AK883" s="102"/>
      <c r="AL883" s="102"/>
      <c r="AM883" s="102"/>
      <c r="AN883" s="102"/>
      <c r="AO883" s="102"/>
      <c r="AP883" s="102"/>
      <c r="AQ883" s="102"/>
      <c r="AR883" s="102"/>
      <c r="AS883" s="102"/>
      <c r="AT883" s="102"/>
      <c r="AU883" s="102"/>
      <c r="AV883" s="102"/>
      <c r="AW883" s="102"/>
      <c r="AX883" s="102"/>
      <c r="AY883" s="102"/>
      <c r="AZ883" s="102"/>
      <c r="BA883" s="102"/>
      <c r="BB883" s="102"/>
      <c r="BC883" s="102"/>
      <c r="BD883" s="102"/>
      <c r="BE883" s="102"/>
      <c r="BF883" s="102"/>
      <c r="BG883" s="102"/>
      <c r="BH883" s="102"/>
      <c r="BI883" s="102"/>
      <c r="BJ883" s="102"/>
      <c r="BK883" s="102"/>
      <c r="BL883" s="102"/>
      <c r="BM883" s="102"/>
      <c r="BN883" s="102"/>
      <c r="BO883" s="102"/>
      <c r="BP883" s="102"/>
      <c r="BQ883" s="102"/>
      <c r="BR883" s="102"/>
      <c r="BS883" s="102"/>
      <c r="BT883" s="102"/>
      <c r="BU883" s="102"/>
      <c r="BV883" s="102"/>
      <c r="BW883" s="102"/>
      <c r="BX883" s="102"/>
      <c r="BY883" s="102"/>
      <c r="BZ883" s="102"/>
      <c r="CA883" s="464"/>
      <c r="CB883" s="102"/>
      <c r="CC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474">
        <v>881.0</v>
      </c>
      <c r="AB884" s="474">
        <f t="shared" si="10"/>
        <v>886</v>
      </c>
      <c r="AC884" s="476">
        <f t="shared" si="11"/>
        <v>1180</v>
      </c>
      <c r="AD884" s="474">
        <f t="shared" si="12"/>
        <v>1471</v>
      </c>
      <c r="AE884" s="474">
        <f t="shared" si="13"/>
        <v>970</v>
      </c>
      <c r="AF884" s="474">
        <f t="shared" si="14"/>
        <v>1180</v>
      </c>
      <c r="AG884" s="102"/>
      <c r="AH884" s="102"/>
      <c r="AI884" s="102"/>
      <c r="AJ884" s="102"/>
      <c r="AK884" s="102"/>
      <c r="AL884" s="102"/>
      <c r="AM884" s="102"/>
      <c r="AN884" s="102"/>
      <c r="AO884" s="102"/>
      <c r="AP884" s="102"/>
      <c r="AQ884" s="102"/>
      <c r="AR884" s="102"/>
      <c r="AS884" s="102"/>
      <c r="AT884" s="102"/>
      <c r="AU884" s="102"/>
      <c r="AV884" s="102"/>
      <c r="AW884" s="102"/>
      <c r="AX884" s="102"/>
      <c r="AY884" s="102"/>
      <c r="AZ884" s="102"/>
      <c r="BA884" s="102"/>
      <c r="BB884" s="102"/>
      <c r="BC884" s="102"/>
      <c r="BD884" s="102"/>
      <c r="BE884" s="102"/>
      <c r="BF884" s="102"/>
      <c r="BG884" s="102"/>
      <c r="BH884" s="102"/>
      <c r="BI884" s="102"/>
      <c r="BJ884" s="102"/>
      <c r="BK884" s="102"/>
      <c r="BL884" s="102"/>
      <c r="BM884" s="102"/>
      <c r="BN884" s="102"/>
      <c r="BO884" s="102"/>
      <c r="BP884" s="102"/>
      <c r="BQ884" s="102"/>
      <c r="BR884" s="102"/>
      <c r="BS884" s="102"/>
      <c r="BT884" s="102"/>
      <c r="BU884" s="102"/>
      <c r="BV884" s="102"/>
      <c r="BW884" s="102"/>
      <c r="BX884" s="102"/>
      <c r="BY884" s="102"/>
      <c r="BZ884" s="102"/>
      <c r="CA884" s="464"/>
      <c r="CB884" s="102"/>
      <c r="CC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474">
        <v>882.0</v>
      </c>
      <c r="AB885" s="474">
        <f t="shared" si="10"/>
        <v>887</v>
      </c>
      <c r="AC885" s="476">
        <f t="shared" si="11"/>
        <v>1181</v>
      </c>
      <c r="AD885" s="474">
        <f t="shared" si="12"/>
        <v>1472</v>
      </c>
      <c r="AE885" s="474">
        <f t="shared" si="13"/>
        <v>971</v>
      </c>
      <c r="AF885" s="474">
        <f t="shared" si="14"/>
        <v>1181</v>
      </c>
      <c r="AG885" s="102"/>
      <c r="AH885" s="102"/>
      <c r="AI885" s="102"/>
      <c r="AJ885" s="102"/>
      <c r="AK885" s="102"/>
      <c r="AL885" s="102"/>
      <c r="AM885" s="102"/>
      <c r="AN885" s="102"/>
      <c r="AO885" s="102"/>
      <c r="AP885" s="102"/>
      <c r="AQ885" s="102"/>
      <c r="AR885" s="102"/>
      <c r="AS885" s="102"/>
      <c r="AT885" s="102"/>
      <c r="AU885" s="102"/>
      <c r="AV885" s="102"/>
      <c r="AW885" s="102"/>
      <c r="AX885" s="102"/>
      <c r="AY885" s="102"/>
      <c r="AZ885" s="102"/>
      <c r="BA885" s="102"/>
      <c r="BB885" s="102"/>
      <c r="BC885" s="102"/>
      <c r="BD885" s="102"/>
      <c r="BE885" s="102"/>
      <c r="BF885" s="102"/>
      <c r="BG885" s="102"/>
      <c r="BH885" s="102"/>
      <c r="BI885" s="102"/>
      <c r="BJ885" s="102"/>
      <c r="BK885" s="102"/>
      <c r="BL885" s="102"/>
      <c r="BM885" s="102"/>
      <c r="BN885" s="102"/>
      <c r="BO885" s="102"/>
      <c r="BP885" s="102"/>
      <c r="BQ885" s="102"/>
      <c r="BR885" s="102"/>
      <c r="BS885" s="102"/>
      <c r="BT885" s="102"/>
      <c r="BU885" s="102"/>
      <c r="BV885" s="102"/>
      <c r="BW885" s="102"/>
      <c r="BX885" s="102"/>
      <c r="BY885" s="102"/>
      <c r="BZ885" s="102"/>
      <c r="CA885" s="464"/>
      <c r="CB885" s="102"/>
      <c r="CC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474">
        <v>883.0</v>
      </c>
      <c r="AB886" s="474">
        <f t="shared" si="10"/>
        <v>888</v>
      </c>
      <c r="AC886" s="476">
        <f t="shared" si="11"/>
        <v>1183</v>
      </c>
      <c r="AD886" s="474">
        <f t="shared" si="12"/>
        <v>1474</v>
      </c>
      <c r="AE886" s="474">
        <f t="shared" si="13"/>
        <v>972</v>
      </c>
      <c r="AF886" s="474">
        <f t="shared" si="14"/>
        <v>1183</v>
      </c>
      <c r="AG886" s="102"/>
      <c r="AH886" s="102"/>
      <c r="AI886" s="102"/>
      <c r="AJ886" s="102"/>
      <c r="AK886" s="102"/>
      <c r="AL886" s="102"/>
      <c r="AM886" s="102"/>
      <c r="AN886" s="102"/>
      <c r="AO886" s="102"/>
      <c r="AP886" s="102"/>
      <c r="AQ886" s="102"/>
      <c r="AR886" s="102"/>
      <c r="AS886" s="102"/>
      <c r="AT886" s="102"/>
      <c r="AU886" s="102"/>
      <c r="AV886" s="102"/>
      <c r="AW886" s="102"/>
      <c r="AX886" s="102"/>
      <c r="AY886" s="102"/>
      <c r="AZ886" s="102"/>
      <c r="BA886" s="102"/>
      <c r="BB886" s="102"/>
      <c r="BC886" s="102"/>
      <c r="BD886" s="102"/>
      <c r="BE886" s="102"/>
      <c r="BF886" s="102"/>
      <c r="BG886" s="102"/>
      <c r="BH886" s="102"/>
      <c r="BI886" s="102"/>
      <c r="BJ886" s="102"/>
      <c r="BK886" s="102"/>
      <c r="BL886" s="102"/>
      <c r="BM886" s="102"/>
      <c r="BN886" s="102"/>
      <c r="BO886" s="102"/>
      <c r="BP886" s="102"/>
      <c r="BQ886" s="102"/>
      <c r="BR886" s="102"/>
      <c r="BS886" s="102"/>
      <c r="BT886" s="102"/>
      <c r="BU886" s="102"/>
      <c r="BV886" s="102"/>
      <c r="BW886" s="102"/>
      <c r="BX886" s="102"/>
      <c r="BY886" s="102"/>
      <c r="BZ886" s="102"/>
      <c r="CA886" s="464"/>
      <c r="CB886" s="102"/>
      <c r="CC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474">
        <v>884.0</v>
      </c>
      <c r="AB887" s="474">
        <f t="shared" si="10"/>
        <v>889</v>
      </c>
      <c r="AC887" s="476">
        <f t="shared" si="11"/>
        <v>1184</v>
      </c>
      <c r="AD887" s="474">
        <f t="shared" si="12"/>
        <v>1476</v>
      </c>
      <c r="AE887" s="474">
        <f t="shared" si="13"/>
        <v>973</v>
      </c>
      <c r="AF887" s="474">
        <f t="shared" si="14"/>
        <v>1184</v>
      </c>
      <c r="AG887" s="102"/>
      <c r="AH887" s="102"/>
      <c r="AI887" s="102"/>
      <c r="AJ887" s="102"/>
      <c r="AK887" s="102"/>
      <c r="AL887" s="102"/>
      <c r="AM887" s="102"/>
      <c r="AN887" s="102"/>
      <c r="AO887" s="102"/>
      <c r="AP887" s="102"/>
      <c r="AQ887" s="102"/>
      <c r="AR887" s="102"/>
      <c r="AS887" s="102"/>
      <c r="AT887" s="102"/>
      <c r="AU887" s="102"/>
      <c r="AV887" s="102"/>
      <c r="AW887" s="102"/>
      <c r="AX887" s="102"/>
      <c r="AY887" s="102"/>
      <c r="AZ887" s="102"/>
      <c r="BA887" s="102"/>
      <c r="BB887" s="102"/>
      <c r="BC887" s="102"/>
      <c r="BD887" s="102"/>
      <c r="BE887" s="102"/>
      <c r="BF887" s="102"/>
      <c r="BG887" s="102"/>
      <c r="BH887" s="102"/>
      <c r="BI887" s="102"/>
      <c r="BJ887" s="102"/>
      <c r="BK887" s="102"/>
      <c r="BL887" s="102"/>
      <c r="BM887" s="102"/>
      <c r="BN887" s="102"/>
      <c r="BO887" s="102"/>
      <c r="BP887" s="102"/>
      <c r="BQ887" s="102"/>
      <c r="BR887" s="102"/>
      <c r="BS887" s="102"/>
      <c r="BT887" s="102"/>
      <c r="BU887" s="102"/>
      <c r="BV887" s="102"/>
      <c r="BW887" s="102"/>
      <c r="BX887" s="102"/>
      <c r="BY887" s="102"/>
      <c r="BZ887" s="102"/>
      <c r="CA887" s="464"/>
      <c r="CB887" s="102"/>
      <c r="CC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474">
        <v>885.0</v>
      </c>
      <c r="AB888" s="474">
        <f t="shared" si="10"/>
        <v>890</v>
      </c>
      <c r="AC888" s="476">
        <f t="shared" si="11"/>
        <v>1185</v>
      </c>
      <c r="AD888" s="474">
        <f t="shared" si="12"/>
        <v>1477</v>
      </c>
      <c r="AE888" s="474">
        <f t="shared" si="13"/>
        <v>974</v>
      </c>
      <c r="AF888" s="474">
        <f t="shared" si="14"/>
        <v>1185</v>
      </c>
      <c r="AG888" s="102"/>
      <c r="AH888" s="102"/>
      <c r="AI888" s="102"/>
      <c r="AJ888" s="102"/>
      <c r="AK888" s="102"/>
      <c r="AL888" s="102"/>
      <c r="AM888" s="102"/>
      <c r="AN888" s="102"/>
      <c r="AO888" s="102"/>
      <c r="AP888" s="102"/>
      <c r="AQ888" s="102"/>
      <c r="AR888" s="102"/>
      <c r="AS888" s="102"/>
      <c r="AT888" s="102"/>
      <c r="AU888" s="102"/>
      <c r="AV888" s="102"/>
      <c r="AW888" s="102"/>
      <c r="AX888" s="102"/>
      <c r="AY888" s="102"/>
      <c r="AZ888" s="102"/>
      <c r="BA888" s="102"/>
      <c r="BB888" s="102"/>
      <c r="BC888" s="102"/>
      <c r="BD888" s="102"/>
      <c r="BE888" s="102"/>
      <c r="BF888" s="102"/>
      <c r="BG888" s="102"/>
      <c r="BH888" s="102"/>
      <c r="BI888" s="102"/>
      <c r="BJ888" s="102"/>
      <c r="BK888" s="102"/>
      <c r="BL888" s="102"/>
      <c r="BM888" s="102"/>
      <c r="BN888" s="102"/>
      <c r="BO888" s="102"/>
      <c r="BP888" s="102"/>
      <c r="BQ888" s="102"/>
      <c r="BR888" s="102"/>
      <c r="BS888" s="102"/>
      <c r="BT888" s="102"/>
      <c r="BU888" s="102"/>
      <c r="BV888" s="102"/>
      <c r="BW888" s="102"/>
      <c r="BX888" s="102"/>
      <c r="BY888" s="102"/>
      <c r="BZ888" s="102"/>
      <c r="CA888" s="464"/>
      <c r="CB888" s="102"/>
      <c r="CC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474">
        <v>886.0</v>
      </c>
      <c r="AB889" s="474">
        <f t="shared" si="10"/>
        <v>891</v>
      </c>
      <c r="AC889" s="476">
        <f t="shared" si="11"/>
        <v>1187</v>
      </c>
      <c r="AD889" s="474">
        <f t="shared" si="12"/>
        <v>1479</v>
      </c>
      <c r="AE889" s="474">
        <f t="shared" si="13"/>
        <v>975</v>
      </c>
      <c r="AF889" s="474">
        <f t="shared" si="14"/>
        <v>1187</v>
      </c>
      <c r="AG889" s="102"/>
      <c r="AH889" s="102"/>
      <c r="AI889" s="102"/>
      <c r="AJ889" s="102"/>
      <c r="AK889" s="102"/>
      <c r="AL889" s="102"/>
      <c r="AM889" s="102"/>
      <c r="AN889" s="102"/>
      <c r="AO889" s="102"/>
      <c r="AP889" s="102"/>
      <c r="AQ889" s="102"/>
      <c r="AR889" s="102"/>
      <c r="AS889" s="102"/>
      <c r="AT889" s="102"/>
      <c r="AU889" s="102"/>
      <c r="AV889" s="102"/>
      <c r="AW889" s="102"/>
      <c r="AX889" s="102"/>
      <c r="AY889" s="102"/>
      <c r="AZ889" s="102"/>
      <c r="BA889" s="102"/>
      <c r="BB889" s="102"/>
      <c r="BC889" s="102"/>
      <c r="BD889" s="102"/>
      <c r="BE889" s="102"/>
      <c r="BF889" s="102"/>
      <c r="BG889" s="102"/>
      <c r="BH889" s="102"/>
      <c r="BI889" s="102"/>
      <c r="BJ889" s="102"/>
      <c r="BK889" s="102"/>
      <c r="BL889" s="102"/>
      <c r="BM889" s="102"/>
      <c r="BN889" s="102"/>
      <c r="BO889" s="102"/>
      <c r="BP889" s="102"/>
      <c r="BQ889" s="102"/>
      <c r="BR889" s="102"/>
      <c r="BS889" s="102"/>
      <c r="BT889" s="102"/>
      <c r="BU889" s="102"/>
      <c r="BV889" s="102"/>
      <c r="BW889" s="102"/>
      <c r="BX889" s="102"/>
      <c r="BY889" s="102"/>
      <c r="BZ889" s="102"/>
      <c r="CA889" s="464"/>
      <c r="CB889" s="102"/>
      <c r="CC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474">
        <v>887.0</v>
      </c>
      <c r="AB890" s="474">
        <f t="shared" si="10"/>
        <v>892</v>
      </c>
      <c r="AC890" s="476">
        <f t="shared" si="11"/>
        <v>1188</v>
      </c>
      <c r="AD890" s="474">
        <f t="shared" si="12"/>
        <v>1481</v>
      </c>
      <c r="AE890" s="474">
        <f t="shared" si="13"/>
        <v>976</v>
      </c>
      <c r="AF890" s="474">
        <f t="shared" si="14"/>
        <v>1188</v>
      </c>
      <c r="AG890" s="102"/>
      <c r="AH890" s="102"/>
      <c r="AI890" s="102"/>
      <c r="AJ890" s="102"/>
      <c r="AK890" s="102"/>
      <c r="AL890" s="102"/>
      <c r="AM890" s="102"/>
      <c r="AN890" s="102"/>
      <c r="AO890" s="102"/>
      <c r="AP890" s="102"/>
      <c r="AQ890" s="102"/>
      <c r="AR890" s="102"/>
      <c r="AS890" s="102"/>
      <c r="AT890" s="102"/>
      <c r="AU890" s="102"/>
      <c r="AV890" s="102"/>
      <c r="AW890" s="102"/>
      <c r="AX890" s="102"/>
      <c r="AY890" s="102"/>
      <c r="AZ890" s="102"/>
      <c r="BA890" s="102"/>
      <c r="BB890" s="102"/>
      <c r="BC890" s="102"/>
      <c r="BD890" s="102"/>
      <c r="BE890" s="102"/>
      <c r="BF890" s="102"/>
      <c r="BG890" s="102"/>
      <c r="BH890" s="102"/>
      <c r="BI890" s="102"/>
      <c r="BJ890" s="102"/>
      <c r="BK890" s="102"/>
      <c r="BL890" s="102"/>
      <c r="BM890" s="102"/>
      <c r="BN890" s="102"/>
      <c r="BO890" s="102"/>
      <c r="BP890" s="102"/>
      <c r="BQ890" s="102"/>
      <c r="BR890" s="102"/>
      <c r="BS890" s="102"/>
      <c r="BT890" s="102"/>
      <c r="BU890" s="102"/>
      <c r="BV890" s="102"/>
      <c r="BW890" s="102"/>
      <c r="BX890" s="102"/>
      <c r="BY890" s="102"/>
      <c r="BZ890" s="102"/>
      <c r="CA890" s="464"/>
      <c r="CB890" s="102"/>
      <c r="CC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474">
        <v>888.0</v>
      </c>
      <c r="AB891" s="474">
        <f t="shared" si="10"/>
        <v>893</v>
      </c>
      <c r="AC891" s="476">
        <f t="shared" si="11"/>
        <v>1189</v>
      </c>
      <c r="AD891" s="474">
        <f t="shared" si="12"/>
        <v>1482</v>
      </c>
      <c r="AE891" s="474">
        <f t="shared" si="13"/>
        <v>977</v>
      </c>
      <c r="AF891" s="474">
        <f t="shared" si="14"/>
        <v>1189</v>
      </c>
      <c r="AG891" s="102"/>
      <c r="AH891" s="102"/>
      <c r="AI891" s="102"/>
      <c r="AJ891" s="102"/>
      <c r="AK891" s="102"/>
      <c r="AL891" s="102"/>
      <c r="AM891" s="102"/>
      <c r="AN891" s="102"/>
      <c r="AO891" s="102"/>
      <c r="AP891" s="102"/>
      <c r="AQ891" s="102"/>
      <c r="AR891" s="102"/>
      <c r="AS891" s="102"/>
      <c r="AT891" s="102"/>
      <c r="AU891" s="102"/>
      <c r="AV891" s="102"/>
      <c r="AW891" s="102"/>
      <c r="AX891" s="102"/>
      <c r="AY891" s="102"/>
      <c r="AZ891" s="102"/>
      <c r="BA891" s="102"/>
      <c r="BB891" s="102"/>
      <c r="BC891" s="102"/>
      <c r="BD891" s="102"/>
      <c r="BE891" s="102"/>
      <c r="BF891" s="102"/>
      <c r="BG891" s="102"/>
      <c r="BH891" s="102"/>
      <c r="BI891" s="102"/>
      <c r="BJ891" s="102"/>
      <c r="BK891" s="102"/>
      <c r="BL891" s="102"/>
      <c r="BM891" s="102"/>
      <c r="BN891" s="102"/>
      <c r="BO891" s="102"/>
      <c r="BP891" s="102"/>
      <c r="BQ891" s="102"/>
      <c r="BR891" s="102"/>
      <c r="BS891" s="102"/>
      <c r="BT891" s="102"/>
      <c r="BU891" s="102"/>
      <c r="BV891" s="102"/>
      <c r="BW891" s="102"/>
      <c r="BX891" s="102"/>
      <c r="BY891" s="102"/>
      <c r="BZ891" s="102"/>
      <c r="CA891" s="464"/>
      <c r="CB891" s="102"/>
      <c r="CC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474">
        <v>889.0</v>
      </c>
      <c r="AB892" s="474">
        <f t="shared" si="10"/>
        <v>894</v>
      </c>
      <c r="AC892" s="476">
        <f t="shared" si="11"/>
        <v>1191</v>
      </c>
      <c r="AD892" s="474">
        <f t="shared" si="12"/>
        <v>1484</v>
      </c>
      <c r="AE892" s="474">
        <f t="shared" si="13"/>
        <v>978</v>
      </c>
      <c r="AF892" s="474">
        <f t="shared" si="14"/>
        <v>1191</v>
      </c>
      <c r="AG892" s="102"/>
      <c r="AH892" s="102"/>
      <c r="AI892" s="102"/>
      <c r="AJ892" s="102"/>
      <c r="AK892" s="102"/>
      <c r="AL892" s="102"/>
      <c r="AM892" s="102"/>
      <c r="AN892" s="102"/>
      <c r="AO892" s="102"/>
      <c r="AP892" s="102"/>
      <c r="AQ892" s="102"/>
      <c r="AR892" s="102"/>
      <c r="AS892" s="102"/>
      <c r="AT892" s="102"/>
      <c r="AU892" s="102"/>
      <c r="AV892" s="102"/>
      <c r="AW892" s="102"/>
      <c r="AX892" s="102"/>
      <c r="AY892" s="102"/>
      <c r="AZ892" s="102"/>
      <c r="BA892" s="102"/>
      <c r="BB892" s="102"/>
      <c r="BC892" s="102"/>
      <c r="BD892" s="102"/>
      <c r="BE892" s="102"/>
      <c r="BF892" s="102"/>
      <c r="BG892" s="102"/>
      <c r="BH892" s="102"/>
      <c r="BI892" s="102"/>
      <c r="BJ892" s="102"/>
      <c r="BK892" s="102"/>
      <c r="BL892" s="102"/>
      <c r="BM892" s="102"/>
      <c r="BN892" s="102"/>
      <c r="BO892" s="102"/>
      <c r="BP892" s="102"/>
      <c r="BQ892" s="102"/>
      <c r="BR892" s="102"/>
      <c r="BS892" s="102"/>
      <c r="BT892" s="102"/>
      <c r="BU892" s="102"/>
      <c r="BV892" s="102"/>
      <c r="BW892" s="102"/>
      <c r="BX892" s="102"/>
      <c r="BY892" s="102"/>
      <c r="BZ892" s="102"/>
      <c r="CA892" s="464"/>
      <c r="CB892" s="102"/>
      <c r="CC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474">
        <v>890.0</v>
      </c>
      <c r="AB893" s="474">
        <f t="shared" si="10"/>
        <v>895</v>
      </c>
      <c r="AC893" s="476">
        <f t="shared" si="11"/>
        <v>1192</v>
      </c>
      <c r="AD893" s="474">
        <f t="shared" si="12"/>
        <v>1486</v>
      </c>
      <c r="AE893" s="474">
        <f t="shared" si="13"/>
        <v>979</v>
      </c>
      <c r="AF893" s="474">
        <f t="shared" si="14"/>
        <v>1192</v>
      </c>
      <c r="AG893" s="102"/>
      <c r="AH893" s="102"/>
      <c r="AI893" s="102"/>
      <c r="AJ893" s="102"/>
      <c r="AK893" s="102"/>
      <c r="AL893" s="102"/>
      <c r="AM893" s="102"/>
      <c r="AN893" s="102"/>
      <c r="AO893" s="102"/>
      <c r="AP893" s="102"/>
      <c r="AQ893" s="102"/>
      <c r="AR893" s="102"/>
      <c r="AS893" s="102"/>
      <c r="AT893" s="102"/>
      <c r="AU893" s="102"/>
      <c r="AV893" s="102"/>
      <c r="AW893" s="102"/>
      <c r="AX893" s="102"/>
      <c r="AY893" s="102"/>
      <c r="AZ893" s="102"/>
      <c r="BA893" s="102"/>
      <c r="BB893" s="102"/>
      <c r="BC893" s="102"/>
      <c r="BD893" s="102"/>
      <c r="BE893" s="102"/>
      <c r="BF893" s="102"/>
      <c r="BG893" s="102"/>
      <c r="BH893" s="102"/>
      <c r="BI893" s="102"/>
      <c r="BJ893" s="102"/>
      <c r="BK893" s="102"/>
      <c r="BL893" s="102"/>
      <c r="BM893" s="102"/>
      <c r="BN893" s="102"/>
      <c r="BO893" s="102"/>
      <c r="BP893" s="102"/>
      <c r="BQ893" s="102"/>
      <c r="BR893" s="102"/>
      <c r="BS893" s="102"/>
      <c r="BT893" s="102"/>
      <c r="BU893" s="102"/>
      <c r="BV893" s="102"/>
      <c r="BW893" s="102"/>
      <c r="BX893" s="102"/>
      <c r="BY893" s="102"/>
      <c r="BZ893" s="102"/>
      <c r="CA893" s="464"/>
      <c r="CB893" s="102"/>
      <c r="CC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474">
        <v>891.0</v>
      </c>
      <c r="AB894" s="474">
        <f t="shared" si="10"/>
        <v>896</v>
      </c>
      <c r="AC894" s="476">
        <f t="shared" si="11"/>
        <v>1193</v>
      </c>
      <c r="AD894" s="474">
        <f t="shared" si="12"/>
        <v>1487</v>
      </c>
      <c r="AE894" s="474">
        <f t="shared" si="13"/>
        <v>981</v>
      </c>
      <c r="AF894" s="474">
        <f t="shared" si="14"/>
        <v>1193</v>
      </c>
      <c r="AG894" s="102"/>
      <c r="AH894" s="102"/>
      <c r="AI894" s="102"/>
      <c r="AJ894" s="102"/>
      <c r="AK894" s="102"/>
      <c r="AL894" s="102"/>
      <c r="AM894" s="102"/>
      <c r="AN894" s="102"/>
      <c r="AO894" s="102"/>
      <c r="AP894" s="102"/>
      <c r="AQ894" s="102"/>
      <c r="AR894" s="102"/>
      <c r="AS894" s="102"/>
      <c r="AT894" s="102"/>
      <c r="AU894" s="102"/>
      <c r="AV894" s="102"/>
      <c r="AW894" s="102"/>
      <c r="AX894" s="102"/>
      <c r="AY894" s="102"/>
      <c r="AZ894" s="102"/>
      <c r="BA894" s="102"/>
      <c r="BB894" s="102"/>
      <c r="BC894" s="102"/>
      <c r="BD894" s="102"/>
      <c r="BE894" s="102"/>
      <c r="BF894" s="102"/>
      <c r="BG894" s="102"/>
      <c r="BH894" s="102"/>
      <c r="BI894" s="102"/>
      <c r="BJ894" s="102"/>
      <c r="BK894" s="102"/>
      <c r="BL894" s="102"/>
      <c r="BM894" s="102"/>
      <c r="BN894" s="102"/>
      <c r="BO894" s="102"/>
      <c r="BP894" s="102"/>
      <c r="BQ894" s="102"/>
      <c r="BR894" s="102"/>
      <c r="BS894" s="102"/>
      <c r="BT894" s="102"/>
      <c r="BU894" s="102"/>
      <c r="BV894" s="102"/>
      <c r="BW894" s="102"/>
      <c r="BX894" s="102"/>
      <c r="BY894" s="102"/>
      <c r="BZ894" s="102"/>
      <c r="CA894" s="464"/>
      <c r="CB894" s="102"/>
      <c r="CC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474">
        <v>892.0</v>
      </c>
      <c r="AB895" s="474">
        <f t="shared" si="10"/>
        <v>897</v>
      </c>
      <c r="AC895" s="476">
        <f t="shared" si="11"/>
        <v>1195</v>
      </c>
      <c r="AD895" s="474">
        <f t="shared" si="12"/>
        <v>1489</v>
      </c>
      <c r="AE895" s="474">
        <f t="shared" si="13"/>
        <v>982</v>
      </c>
      <c r="AF895" s="474">
        <f t="shared" si="14"/>
        <v>1195</v>
      </c>
      <c r="AG895" s="102"/>
      <c r="AH895" s="102"/>
      <c r="AI895" s="102"/>
      <c r="AJ895" s="102"/>
      <c r="AK895" s="102"/>
      <c r="AL895" s="102"/>
      <c r="AM895" s="102"/>
      <c r="AN895" s="102"/>
      <c r="AO895" s="102"/>
      <c r="AP895" s="102"/>
      <c r="AQ895" s="102"/>
      <c r="AR895" s="102"/>
      <c r="AS895" s="102"/>
      <c r="AT895" s="102"/>
      <c r="AU895" s="102"/>
      <c r="AV895" s="102"/>
      <c r="AW895" s="102"/>
      <c r="AX895" s="102"/>
      <c r="AY895" s="102"/>
      <c r="AZ895" s="102"/>
      <c r="BA895" s="102"/>
      <c r="BB895" s="102"/>
      <c r="BC895" s="102"/>
      <c r="BD895" s="102"/>
      <c r="BE895" s="102"/>
      <c r="BF895" s="102"/>
      <c r="BG895" s="102"/>
      <c r="BH895" s="102"/>
      <c r="BI895" s="102"/>
      <c r="BJ895" s="102"/>
      <c r="BK895" s="102"/>
      <c r="BL895" s="102"/>
      <c r="BM895" s="102"/>
      <c r="BN895" s="102"/>
      <c r="BO895" s="102"/>
      <c r="BP895" s="102"/>
      <c r="BQ895" s="102"/>
      <c r="BR895" s="102"/>
      <c r="BS895" s="102"/>
      <c r="BT895" s="102"/>
      <c r="BU895" s="102"/>
      <c r="BV895" s="102"/>
      <c r="BW895" s="102"/>
      <c r="BX895" s="102"/>
      <c r="BY895" s="102"/>
      <c r="BZ895" s="102"/>
      <c r="CA895" s="464"/>
      <c r="CB895" s="102"/>
      <c r="CC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474">
        <v>893.0</v>
      </c>
      <c r="AB896" s="474">
        <f t="shared" si="10"/>
        <v>898</v>
      </c>
      <c r="AC896" s="476">
        <f t="shared" si="11"/>
        <v>1196</v>
      </c>
      <c r="AD896" s="474">
        <f t="shared" si="12"/>
        <v>1491</v>
      </c>
      <c r="AE896" s="474">
        <f t="shared" si="13"/>
        <v>983</v>
      </c>
      <c r="AF896" s="474">
        <f t="shared" si="14"/>
        <v>1196</v>
      </c>
      <c r="AG896" s="102"/>
      <c r="AH896" s="102"/>
      <c r="AI896" s="102"/>
      <c r="AJ896" s="102"/>
      <c r="AK896" s="102"/>
      <c r="AL896" s="102"/>
      <c r="AM896" s="102"/>
      <c r="AN896" s="102"/>
      <c r="AO896" s="102"/>
      <c r="AP896" s="102"/>
      <c r="AQ896" s="102"/>
      <c r="AR896" s="102"/>
      <c r="AS896" s="102"/>
      <c r="AT896" s="102"/>
      <c r="AU896" s="102"/>
      <c r="AV896" s="102"/>
      <c r="AW896" s="102"/>
      <c r="AX896" s="102"/>
      <c r="AY896" s="102"/>
      <c r="AZ896" s="102"/>
      <c r="BA896" s="102"/>
      <c r="BB896" s="102"/>
      <c r="BC896" s="102"/>
      <c r="BD896" s="102"/>
      <c r="BE896" s="102"/>
      <c r="BF896" s="102"/>
      <c r="BG896" s="102"/>
      <c r="BH896" s="102"/>
      <c r="BI896" s="102"/>
      <c r="BJ896" s="102"/>
      <c r="BK896" s="102"/>
      <c r="BL896" s="102"/>
      <c r="BM896" s="102"/>
      <c r="BN896" s="102"/>
      <c r="BO896" s="102"/>
      <c r="BP896" s="102"/>
      <c r="BQ896" s="102"/>
      <c r="BR896" s="102"/>
      <c r="BS896" s="102"/>
      <c r="BT896" s="102"/>
      <c r="BU896" s="102"/>
      <c r="BV896" s="102"/>
      <c r="BW896" s="102"/>
      <c r="BX896" s="102"/>
      <c r="BY896" s="102"/>
      <c r="BZ896" s="102"/>
      <c r="CA896" s="464"/>
      <c r="CB896" s="102"/>
      <c r="CC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474">
        <v>894.0</v>
      </c>
      <c r="AB897" s="474">
        <f t="shared" si="10"/>
        <v>899</v>
      </c>
      <c r="AC897" s="476">
        <f t="shared" si="11"/>
        <v>1197</v>
      </c>
      <c r="AD897" s="474">
        <f t="shared" si="12"/>
        <v>1492</v>
      </c>
      <c r="AE897" s="474">
        <f t="shared" si="13"/>
        <v>984</v>
      </c>
      <c r="AF897" s="474">
        <f t="shared" si="14"/>
        <v>1197</v>
      </c>
      <c r="AG897" s="102"/>
      <c r="AH897" s="102"/>
      <c r="AI897" s="102"/>
      <c r="AJ897" s="102"/>
      <c r="AK897" s="102"/>
      <c r="AL897" s="102"/>
      <c r="AM897" s="102"/>
      <c r="AN897" s="102"/>
      <c r="AO897" s="102"/>
      <c r="AP897" s="102"/>
      <c r="AQ897" s="102"/>
      <c r="AR897" s="102"/>
      <c r="AS897" s="102"/>
      <c r="AT897" s="102"/>
      <c r="AU897" s="102"/>
      <c r="AV897" s="102"/>
      <c r="AW897" s="102"/>
      <c r="AX897" s="102"/>
      <c r="AY897" s="102"/>
      <c r="AZ897" s="102"/>
      <c r="BA897" s="102"/>
      <c r="BB897" s="102"/>
      <c r="BC897" s="102"/>
      <c r="BD897" s="102"/>
      <c r="BE897" s="102"/>
      <c r="BF897" s="102"/>
      <c r="BG897" s="102"/>
      <c r="BH897" s="102"/>
      <c r="BI897" s="102"/>
      <c r="BJ897" s="102"/>
      <c r="BK897" s="102"/>
      <c r="BL897" s="102"/>
      <c r="BM897" s="102"/>
      <c r="BN897" s="102"/>
      <c r="BO897" s="102"/>
      <c r="BP897" s="102"/>
      <c r="BQ897" s="102"/>
      <c r="BR897" s="102"/>
      <c r="BS897" s="102"/>
      <c r="BT897" s="102"/>
      <c r="BU897" s="102"/>
      <c r="BV897" s="102"/>
      <c r="BW897" s="102"/>
      <c r="BX897" s="102"/>
      <c r="BY897" s="102"/>
      <c r="BZ897" s="102"/>
      <c r="CA897" s="464"/>
      <c r="CB897" s="102"/>
      <c r="CC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474">
        <v>895.0</v>
      </c>
      <c r="AB898" s="474">
        <f t="shared" si="10"/>
        <v>900</v>
      </c>
      <c r="AC898" s="476">
        <f t="shared" si="11"/>
        <v>1199</v>
      </c>
      <c r="AD898" s="474">
        <f t="shared" si="12"/>
        <v>1494</v>
      </c>
      <c r="AE898" s="474">
        <f t="shared" si="13"/>
        <v>985</v>
      </c>
      <c r="AF898" s="474">
        <f t="shared" si="14"/>
        <v>1199</v>
      </c>
      <c r="AG898" s="102"/>
      <c r="AH898" s="102"/>
      <c r="AI898" s="102"/>
      <c r="AJ898" s="102"/>
      <c r="AK898" s="102"/>
      <c r="AL898" s="102"/>
      <c r="AM898" s="102"/>
      <c r="AN898" s="102"/>
      <c r="AO898" s="102"/>
      <c r="AP898" s="102"/>
      <c r="AQ898" s="102"/>
      <c r="AR898" s="102"/>
      <c r="AS898" s="102"/>
      <c r="AT898" s="102"/>
      <c r="AU898" s="102"/>
      <c r="AV898" s="102"/>
      <c r="AW898" s="102"/>
      <c r="AX898" s="102"/>
      <c r="AY898" s="102"/>
      <c r="AZ898" s="102"/>
      <c r="BA898" s="102"/>
      <c r="BB898" s="102"/>
      <c r="BC898" s="102"/>
      <c r="BD898" s="102"/>
      <c r="BE898" s="102"/>
      <c r="BF898" s="102"/>
      <c r="BG898" s="102"/>
      <c r="BH898" s="102"/>
      <c r="BI898" s="102"/>
      <c r="BJ898" s="102"/>
      <c r="BK898" s="102"/>
      <c r="BL898" s="102"/>
      <c r="BM898" s="102"/>
      <c r="BN898" s="102"/>
      <c r="BO898" s="102"/>
      <c r="BP898" s="102"/>
      <c r="BQ898" s="102"/>
      <c r="BR898" s="102"/>
      <c r="BS898" s="102"/>
      <c r="BT898" s="102"/>
      <c r="BU898" s="102"/>
      <c r="BV898" s="102"/>
      <c r="BW898" s="102"/>
      <c r="BX898" s="102"/>
      <c r="BY898" s="102"/>
      <c r="BZ898" s="102"/>
      <c r="CA898" s="464"/>
      <c r="CB898" s="102"/>
      <c r="CC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474">
        <v>896.0</v>
      </c>
      <c r="AB899" s="474">
        <f t="shared" si="10"/>
        <v>901</v>
      </c>
      <c r="AC899" s="476">
        <f t="shared" si="11"/>
        <v>1200</v>
      </c>
      <c r="AD899" s="474">
        <f t="shared" si="12"/>
        <v>1496</v>
      </c>
      <c r="AE899" s="474">
        <f t="shared" si="13"/>
        <v>986</v>
      </c>
      <c r="AF899" s="474">
        <f t="shared" si="14"/>
        <v>1200</v>
      </c>
      <c r="AG899" s="102"/>
      <c r="AH899" s="102"/>
      <c r="AI899" s="102"/>
      <c r="AJ899" s="102"/>
      <c r="AK899" s="102"/>
      <c r="AL899" s="102"/>
      <c r="AM899" s="102"/>
      <c r="AN899" s="102"/>
      <c r="AO899" s="102"/>
      <c r="AP899" s="102"/>
      <c r="AQ899" s="102"/>
      <c r="AR899" s="102"/>
      <c r="AS899" s="102"/>
      <c r="AT899" s="102"/>
      <c r="AU899" s="102"/>
      <c r="AV899" s="102"/>
      <c r="AW899" s="102"/>
      <c r="AX899" s="102"/>
      <c r="AY899" s="102"/>
      <c r="AZ899" s="102"/>
      <c r="BA899" s="102"/>
      <c r="BB899" s="102"/>
      <c r="BC899" s="102"/>
      <c r="BD899" s="102"/>
      <c r="BE899" s="102"/>
      <c r="BF899" s="102"/>
      <c r="BG899" s="102"/>
      <c r="BH899" s="102"/>
      <c r="BI899" s="102"/>
      <c r="BJ899" s="102"/>
      <c r="BK899" s="102"/>
      <c r="BL899" s="102"/>
      <c r="BM899" s="102"/>
      <c r="BN899" s="102"/>
      <c r="BO899" s="102"/>
      <c r="BP899" s="102"/>
      <c r="BQ899" s="102"/>
      <c r="BR899" s="102"/>
      <c r="BS899" s="102"/>
      <c r="BT899" s="102"/>
      <c r="BU899" s="102"/>
      <c r="BV899" s="102"/>
      <c r="BW899" s="102"/>
      <c r="BX899" s="102"/>
      <c r="BY899" s="102"/>
      <c r="BZ899" s="102"/>
      <c r="CA899" s="464"/>
      <c r="CB899" s="102"/>
      <c r="CC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474">
        <v>897.0</v>
      </c>
      <c r="AB900" s="474">
        <f t="shared" si="10"/>
        <v>902</v>
      </c>
      <c r="AC900" s="476">
        <f t="shared" si="11"/>
        <v>1201</v>
      </c>
      <c r="AD900" s="474">
        <f t="shared" si="12"/>
        <v>1497</v>
      </c>
      <c r="AE900" s="474">
        <f t="shared" si="13"/>
        <v>987</v>
      </c>
      <c r="AF900" s="474">
        <f t="shared" si="14"/>
        <v>1201</v>
      </c>
      <c r="AG900" s="102"/>
      <c r="AH900" s="102"/>
      <c r="AI900" s="102"/>
      <c r="AJ900" s="102"/>
      <c r="AK900" s="102"/>
      <c r="AL900" s="102"/>
      <c r="AM900" s="102"/>
      <c r="AN900" s="102"/>
      <c r="AO900" s="102"/>
      <c r="AP900" s="102"/>
      <c r="AQ900" s="102"/>
      <c r="AR900" s="102"/>
      <c r="AS900" s="102"/>
      <c r="AT900" s="102"/>
      <c r="AU900" s="102"/>
      <c r="AV900" s="102"/>
      <c r="AW900" s="102"/>
      <c r="AX900" s="102"/>
      <c r="AY900" s="102"/>
      <c r="AZ900" s="102"/>
      <c r="BA900" s="102"/>
      <c r="BB900" s="102"/>
      <c r="BC900" s="102"/>
      <c r="BD900" s="102"/>
      <c r="BE900" s="102"/>
      <c r="BF900" s="102"/>
      <c r="BG900" s="102"/>
      <c r="BH900" s="102"/>
      <c r="BI900" s="102"/>
      <c r="BJ900" s="102"/>
      <c r="BK900" s="102"/>
      <c r="BL900" s="102"/>
      <c r="BM900" s="102"/>
      <c r="BN900" s="102"/>
      <c r="BO900" s="102"/>
      <c r="BP900" s="102"/>
      <c r="BQ900" s="102"/>
      <c r="BR900" s="102"/>
      <c r="BS900" s="102"/>
      <c r="BT900" s="102"/>
      <c r="BU900" s="102"/>
      <c r="BV900" s="102"/>
      <c r="BW900" s="102"/>
      <c r="BX900" s="102"/>
      <c r="BY900" s="102"/>
      <c r="BZ900" s="102"/>
      <c r="CA900" s="464"/>
      <c r="CB900" s="102"/>
      <c r="CC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474">
        <v>898.0</v>
      </c>
      <c r="AB901" s="474">
        <f t="shared" si="10"/>
        <v>903</v>
      </c>
      <c r="AC901" s="476">
        <f t="shared" si="11"/>
        <v>1203</v>
      </c>
      <c r="AD901" s="474">
        <f t="shared" si="12"/>
        <v>1499</v>
      </c>
      <c r="AE901" s="474">
        <f t="shared" si="13"/>
        <v>988</v>
      </c>
      <c r="AF901" s="474">
        <f t="shared" si="14"/>
        <v>1203</v>
      </c>
      <c r="AG901" s="102"/>
      <c r="AH901" s="102"/>
      <c r="AI901" s="102"/>
      <c r="AJ901" s="102"/>
      <c r="AK901" s="102"/>
      <c r="AL901" s="102"/>
      <c r="AM901" s="102"/>
      <c r="AN901" s="102"/>
      <c r="AO901" s="102"/>
      <c r="AP901" s="102"/>
      <c r="AQ901" s="102"/>
      <c r="AR901" s="102"/>
      <c r="AS901" s="102"/>
      <c r="AT901" s="102"/>
      <c r="AU901" s="102"/>
      <c r="AV901" s="102"/>
      <c r="AW901" s="102"/>
      <c r="AX901" s="102"/>
      <c r="AY901" s="102"/>
      <c r="AZ901" s="102"/>
      <c r="BA901" s="102"/>
      <c r="BB901" s="102"/>
      <c r="BC901" s="102"/>
      <c r="BD901" s="102"/>
      <c r="BE901" s="102"/>
      <c r="BF901" s="102"/>
      <c r="BG901" s="102"/>
      <c r="BH901" s="102"/>
      <c r="BI901" s="102"/>
      <c r="BJ901" s="102"/>
      <c r="BK901" s="102"/>
      <c r="BL901" s="102"/>
      <c r="BM901" s="102"/>
      <c r="BN901" s="102"/>
      <c r="BO901" s="102"/>
      <c r="BP901" s="102"/>
      <c r="BQ901" s="102"/>
      <c r="BR901" s="102"/>
      <c r="BS901" s="102"/>
      <c r="BT901" s="102"/>
      <c r="BU901" s="102"/>
      <c r="BV901" s="102"/>
      <c r="BW901" s="102"/>
      <c r="BX901" s="102"/>
      <c r="BY901" s="102"/>
      <c r="BZ901" s="102"/>
      <c r="CA901" s="464"/>
      <c r="CB901" s="102"/>
      <c r="CC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474">
        <v>899.0</v>
      </c>
      <c r="AB902" s="474">
        <f t="shared" si="10"/>
        <v>904</v>
      </c>
      <c r="AC902" s="476">
        <f t="shared" si="11"/>
        <v>1204</v>
      </c>
      <c r="AD902" s="474">
        <f t="shared" si="12"/>
        <v>1501</v>
      </c>
      <c r="AE902" s="474">
        <f t="shared" si="13"/>
        <v>989</v>
      </c>
      <c r="AF902" s="474">
        <f t="shared" si="14"/>
        <v>1204</v>
      </c>
      <c r="AG902" s="102"/>
      <c r="AH902" s="102"/>
      <c r="AI902" s="102"/>
      <c r="AJ902" s="102"/>
      <c r="AK902" s="102"/>
      <c r="AL902" s="102"/>
      <c r="AM902" s="102"/>
      <c r="AN902" s="102"/>
      <c r="AO902" s="102"/>
      <c r="AP902" s="102"/>
      <c r="AQ902" s="102"/>
      <c r="AR902" s="102"/>
      <c r="AS902" s="102"/>
      <c r="AT902" s="102"/>
      <c r="AU902" s="102"/>
      <c r="AV902" s="102"/>
      <c r="AW902" s="102"/>
      <c r="AX902" s="102"/>
      <c r="AY902" s="102"/>
      <c r="AZ902" s="102"/>
      <c r="BA902" s="102"/>
      <c r="BB902" s="102"/>
      <c r="BC902" s="102"/>
      <c r="BD902" s="102"/>
      <c r="BE902" s="102"/>
      <c r="BF902" s="102"/>
      <c r="BG902" s="102"/>
      <c r="BH902" s="102"/>
      <c r="BI902" s="102"/>
      <c r="BJ902" s="102"/>
      <c r="BK902" s="102"/>
      <c r="BL902" s="102"/>
      <c r="BM902" s="102"/>
      <c r="BN902" s="102"/>
      <c r="BO902" s="102"/>
      <c r="BP902" s="102"/>
      <c r="BQ902" s="102"/>
      <c r="BR902" s="102"/>
      <c r="BS902" s="102"/>
      <c r="BT902" s="102"/>
      <c r="BU902" s="102"/>
      <c r="BV902" s="102"/>
      <c r="BW902" s="102"/>
      <c r="BX902" s="102"/>
      <c r="BY902" s="102"/>
      <c r="BZ902" s="102"/>
      <c r="CA902" s="464"/>
      <c r="CB902" s="102"/>
      <c r="CC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474">
        <v>900.0</v>
      </c>
      <c r="AB903" s="474">
        <f t="shared" si="10"/>
        <v>905</v>
      </c>
      <c r="AC903" s="476">
        <f t="shared" si="11"/>
        <v>1206</v>
      </c>
      <c r="AD903" s="474">
        <f t="shared" si="12"/>
        <v>1503</v>
      </c>
      <c r="AE903" s="474">
        <f t="shared" si="13"/>
        <v>990</v>
      </c>
      <c r="AF903" s="474">
        <f t="shared" si="14"/>
        <v>1206</v>
      </c>
      <c r="AG903" s="102"/>
      <c r="AH903" s="102"/>
      <c r="AI903" s="102"/>
      <c r="AJ903" s="102"/>
      <c r="AK903" s="102"/>
      <c r="AL903" s="102"/>
      <c r="AM903" s="102"/>
      <c r="AN903" s="102"/>
      <c r="AO903" s="102"/>
      <c r="AP903" s="102"/>
      <c r="AQ903" s="102"/>
      <c r="AR903" s="102"/>
      <c r="AS903" s="102"/>
      <c r="AT903" s="102"/>
      <c r="AU903" s="102"/>
      <c r="AV903" s="102"/>
      <c r="AW903" s="102"/>
      <c r="AX903" s="102"/>
      <c r="AY903" s="102"/>
      <c r="AZ903" s="102"/>
      <c r="BA903" s="102"/>
      <c r="BB903" s="102"/>
      <c r="BC903" s="102"/>
      <c r="BD903" s="102"/>
      <c r="BE903" s="102"/>
      <c r="BF903" s="102"/>
      <c r="BG903" s="102"/>
      <c r="BH903" s="102"/>
      <c r="BI903" s="102"/>
      <c r="BJ903" s="102"/>
      <c r="BK903" s="102"/>
      <c r="BL903" s="102"/>
      <c r="BM903" s="102"/>
      <c r="BN903" s="102"/>
      <c r="BO903" s="102"/>
      <c r="BP903" s="102"/>
      <c r="BQ903" s="102"/>
      <c r="BR903" s="102"/>
      <c r="BS903" s="102"/>
      <c r="BT903" s="102"/>
      <c r="BU903" s="102"/>
      <c r="BV903" s="102"/>
      <c r="BW903" s="102"/>
      <c r="BX903" s="102"/>
      <c r="BY903" s="102"/>
      <c r="BZ903" s="102"/>
      <c r="CA903" s="464"/>
      <c r="CB903" s="102"/>
      <c r="CC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474">
        <v>901.0</v>
      </c>
      <c r="AB904" s="474">
        <f t="shared" si="10"/>
        <v>906</v>
      </c>
      <c r="AC904" s="476">
        <f t="shared" si="11"/>
        <v>1207</v>
      </c>
      <c r="AD904" s="474">
        <f t="shared" si="12"/>
        <v>1504</v>
      </c>
      <c r="AE904" s="474">
        <f t="shared" si="13"/>
        <v>992</v>
      </c>
      <c r="AF904" s="474">
        <f t="shared" si="14"/>
        <v>1207</v>
      </c>
      <c r="AG904" s="102"/>
      <c r="AH904" s="102"/>
      <c r="AI904" s="102"/>
      <c r="AJ904" s="102"/>
      <c r="AK904" s="102"/>
      <c r="AL904" s="102"/>
      <c r="AM904" s="102"/>
      <c r="AN904" s="102"/>
      <c r="AO904" s="102"/>
      <c r="AP904" s="102"/>
      <c r="AQ904" s="102"/>
      <c r="AR904" s="102"/>
      <c r="AS904" s="102"/>
      <c r="AT904" s="102"/>
      <c r="AU904" s="102"/>
      <c r="AV904" s="102"/>
      <c r="AW904" s="102"/>
      <c r="AX904" s="102"/>
      <c r="AY904" s="102"/>
      <c r="AZ904" s="102"/>
      <c r="BA904" s="102"/>
      <c r="BB904" s="102"/>
      <c r="BC904" s="102"/>
      <c r="BD904" s="102"/>
      <c r="BE904" s="102"/>
      <c r="BF904" s="102"/>
      <c r="BG904" s="102"/>
      <c r="BH904" s="102"/>
      <c r="BI904" s="102"/>
      <c r="BJ904" s="102"/>
      <c r="BK904" s="102"/>
      <c r="BL904" s="102"/>
      <c r="BM904" s="102"/>
      <c r="BN904" s="102"/>
      <c r="BO904" s="102"/>
      <c r="BP904" s="102"/>
      <c r="BQ904" s="102"/>
      <c r="BR904" s="102"/>
      <c r="BS904" s="102"/>
      <c r="BT904" s="102"/>
      <c r="BU904" s="102"/>
      <c r="BV904" s="102"/>
      <c r="BW904" s="102"/>
      <c r="BX904" s="102"/>
      <c r="BY904" s="102"/>
      <c r="BZ904" s="102"/>
      <c r="CA904" s="464"/>
      <c r="CB904" s="102"/>
      <c r="CC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474">
        <v>902.0</v>
      </c>
      <c r="AB905" s="474">
        <f t="shared" si="10"/>
        <v>907</v>
      </c>
      <c r="AC905" s="476">
        <f t="shared" si="11"/>
        <v>1208</v>
      </c>
      <c r="AD905" s="474">
        <f t="shared" si="12"/>
        <v>1506</v>
      </c>
      <c r="AE905" s="474">
        <f t="shared" si="13"/>
        <v>993</v>
      </c>
      <c r="AF905" s="474">
        <f t="shared" si="14"/>
        <v>1208</v>
      </c>
      <c r="AG905" s="102"/>
      <c r="AH905" s="102"/>
      <c r="AI905" s="102"/>
      <c r="AJ905" s="102"/>
      <c r="AK905" s="102"/>
      <c r="AL905" s="102"/>
      <c r="AM905" s="102"/>
      <c r="AN905" s="102"/>
      <c r="AO905" s="102"/>
      <c r="AP905" s="102"/>
      <c r="AQ905" s="102"/>
      <c r="AR905" s="102"/>
      <c r="AS905" s="102"/>
      <c r="AT905" s="102"/>
      <c r="AU905" s="102"/>
      <c r="AV905" s="102"/>
      <c r="AW905" s="102"/>
      <c r="AX905" s="102"/>
      <c r="AY905" s="102"/>
      <c r="AZ905" s="102"/>
      <c r="BA905" s="102"/>
      <c r="BB905" s="102"/>
      <c r="BC905" s="102"/>
      <c r="BD905" s="102"/>
      <c r="BE905" s="102"/>
      <c r="BF905" s="102"/>
      <c r="BG905" s="102"/>
      <c r="BH905" s="102"/>
      <c r="BI905" s="102"/>
      <c r="BJ905" s="102"/>
      <c r="BK905" s="102"/>
      <c r="BL905" s="102"/>
      <c r="BM905" s="102"/>
      <c r="BN905" s="102"/>
      <c r="BO905" s="102"/>
      <c r="BP905" s="102"/>
      <c r="BQ905" s="102"/>
      <c r="BR905" s="102"/>
      <c r="BS905" s="102"/>
      <c r="BT905" s="102"/>
      <c r="BU905" s="102"/>
      <c r="BV905" s="102"/>
      <c r="BW905" s="102"/>
      <c r="BX905" s="102"/>
      <c r="BY905" s="102"/>
      <c r="BZ905" s="102"/>
      <c r="CA905" s="464"/>
      <c r="CB905" s="102"/>
      <c r="CC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474">
        <v>903.0</v>
      </c>
      <c r="AB906" s="474">
        <f t="shared" si="10"/>
        <v>908</v>
      </c>
      <c r="AC906" s="476">
        <f t="shared" si="11"/>
        <v>1210</v>
      </c>
      <c r="AD906" s="474">
        <f t="shared" si="12"/>
        <v>1508</v>
      </c>
      <c r="AE906" s="474">
        <f t="shared" si="13"/>
        <v>994</v>
      </c>
      <c r="AF906" s="474">
        <f t="shared" si="14"/>
        <v>1210</v>
      </c>
      <c r="AG906" s="102"/>
      <c r="AH906" s="102"/>
      <c r="AI906" s="102"/>
      <c r="AJ906" s="102"/>
      <c r="AK906" s="102"/>
      <c r="AL906" s="102"/>
      <c r="AM906" s="102"/>
      <c r="AN906" s="102"/>
      <c r="AO906" s="102"/>
      <c r="AP906" s="102"/>
      <c r="AQ906" s="102"/>
      <c r="AR906" s="102"/>
      <c r="AS906" s="102"/>
      <c r="AT906" s="102"/>
      <c r="AU906" s="102"/>
      <c r="AV906" s="102"/>
      <c r="AW906" s="102"/>
      <c r="AX906" s="102"/>
      <c r="AY906" s="102"/>
      <c r="AZ906" s="102"/>
      <c r="BA906" s="102"/>
      <c r="BB906" s="102"/>
      <c r="BC906" s="102"/>
      <c r="BD906" s="102"/>
      <c r="BE906" s="102"/>
      <c r="BF906" s="102"/>
      <c r="BG906" s="102"/>
      <c r="BH906" s="102"/>
      <c r="BI906" s="102"/>
      <c r="BJ906" s="102"/>
      <c r="BK906" s="102"/>
      <c r="BL906" s="102"/>
      <c r="BM906" s="102"/>
      <c r="BN906" s="102"/>
      <c r="BO906" s="102"/>
      <c r="BP906" s="102"/>
      <c r="BQ906" s="102"/>
      <c r="BR906" s="102"/>
      <c r="BS906" s="102"/>
      <c r="BT906" s="102"/>
      <c r="BU906" s="102"/>
      <c r="BV906" s="102"/>
      <c r="BW906" s="102"/>
      <c r="BX906" s="102"/>
      <c r="BY906" s="102"/>
      <c r="BZ906" s="102"/>
      <c r="CA906" s="464"/>
      <c r="CB906" s="102"/>
      <c r="CC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474">
        <v>904.0</v>
      </c>
      <c r="AB907" s="474">
        <f t="shared" si="10"/>
        <v>909</v>
      </c>
      <c r="AC907" s="476">
        <f t="shared" si="11"/>
        <v>1211</v>
      </c>
      <c r="AD907" s="474">
        <f t="shared" si="12"/>
        <v>1509</v>
      </c>
      <c r="AE907" s="474">
        <f t="shared" si="13"/>
        <v>995</v>
      </c>
      <c r="AF907" s="474">
        <f t="shared" si="14"/>
        <v>1211</v>
      </c>
      <c r="AG907" s="102"/>
      <c r="AH907" s="102"/>
      <c r="AI907" s="102"/>
      <c r="AJ907" s="102"/>
      <c r="AK907" s="102"/>
      <c r="AL907" s="102"/>
      <c r="AM907" s="102"/>
      <c r="AN907" s="102"/>
      <c r="AO907" s="102"/>
      <c r="AP907" s="102"/>
      <c r="AQ907" s="102"/>
      <c r="AR907" s="102"/>
      <c r="AS907" s="102"/>
      <c r="AT907" s="102"/>
      <c r="AU907" s="102"/>
      <c r="AV907" s="102"/>
      <c r="AW907" s="102"/>
      <c r="AX907" s="102"/>
      <c r="AY907" s="102"/>
      <c r="AZ907" s="102"/>
      <c r="BA907" s="102"/>
      <c r="BB907" s="102"/>
      <c r="BC907" s="102"/>
      <c r="BD907" s="102"/>
      <c r="BE907" s="102"/>
      <c r="BF907" s="102"/>
      <c r="BG907" s="102"/>
      <c r="BH907" s="102"/>
      <c r="BI907" s="102"/>
      <c r="BJ907" s="102"/>
      <c r="BK907" s="102"/>
      <c r="BL907" s="102"/>
      <c r="BM907" s="102"/>
      <c r="BN907" s="102"/>
      <c r="BO907" s="102"/>
      <c r="BP907" s="102"/>
      <c r="BQ907" s="102"/>
      <c r="BR907" s="102"/>
      <c r="BS907" s="102"/>
      <c r="BT907" s="102"/>
      <c r="BU907" s="102"/>
      <c r="BV907" s="102"/>
      <c r="BW907" s="102"/>
      <c r="BX907" s="102"/>
      <c r="BY907" s="102"/>
      <c r="BZ907" s="102"/>
      <c r="CA907" s="464"/>
      <c r="CB907" s="102"/>
      <c r="CC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474">
        <v>905.0</v>
      </c>
      <c r="AB908" s="474">
        <f t="shared" si="10"/>
        <v>910</v>
      </c>
      <c r="AC908" s="476">
        <f t="shared" si="11"/>
        <v>1212</v>
      </c>
      <c r="AD908" s="474">
        <f t="shared" si="12"/>
        <v>1511</v>
      </c>
      <c r="AE908" s="474">
        <f t="shared" si="13"/>
        <v>996</v>
      </c>
      <c r="AF908" s="474">
        <f t="shared" si="14"/>
        <v>1212</v>
      </c>
      <c r="AG908" s="102"/>
      <c r="AH908" s="102"/>
      <c r="AI908" s="102"/>
      <c r="AJ908" s="102"/>
      <c r="AK908" s="102"/>
      <c r="AL908" s="102"/>
      <c r="AM908" s="102"/>
      <c r="AN908" s="102"/>
      <c r="AO908" s="102"/>
      <c r="AP908" s="102"/>
      <c r="AQ908" s="102"/>
      <c r="AR908" s="102"/>
      <c r="AS908" s="102"/>
      <c r="AT908" s="102"/>
      <c r="AU908" s="102"/>
      <c r="AV908" s="102"/>
      <c r="AW908" s="102"/>
      <c r="AX908" s="102"/>
      <c r="AY908" s="102"/>
      <c r="AZ908" s="102"/>
      <c r="BA908" s="102"/>
      <c r="BB908" s="102"/>
      <c r="BC908" s="102"/>
      <c r="BD908" s="102"/>
      <c r="BE908" s="102"/>
      <c r="BF908" s="102"/>
      <c r="BG908" s="102"/>
      <c r="BH908" s="102"/>
      <c r="BI908" s="102"/>
      <c r="BJ908" s="102"/>
      <c r="BK908" s="102"/>
      <c r="BL908" s="102"/>
      <c r="BM908" s="102"/>
      <c r="BN908" s="102"/>
      <c r="BO908" s="102"/>
      <c r="BP908" s="102"/>
      <c r="BQ908" s="102"/>
      <c r="BR908" s="102"/>
      <c r="BS908" s="102"/>
      <c r="BT908" s="102"/>
      <c r="BU908" s="102"/>
      <c r="BV908" s="102"/>
      <c r="BW908" s="102"/>
      <c r="BX908" s="102"/>
      <c r="BY908" s="102"/>
      <c r="BZ908" s="102"/>
      <c r="CA908" s="464"/>
      <c r="CB908" s="102"/>
      <c r="CC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474">
        <v>906.0</v>
      </c>
      <c r="AB909" s="474">
        <f t="shared" si="10"/>
        <v>911</v>
      </c>
      <c r="AC909" s="476">
        <f t="shared" si="11"/>
        <v>1214</v>
      </c>
      <c r="AD909" s="474">
        <f t="shared" si="12"/>
        <v>1513</v>
      </c>
      <c r="AE909" s="474">
        <f t="shared" si="13"/>
        <v>997</v>
      </c>
      <c r="AF909" s="474">
        <f t="shared" si="14"/>
        <v>1214</v>
      </c>
      <c r="AG909" s="102"/>
      <c r="AH909" s="102"/>
      <c r="AI909" s="102"/>
      <c r="AJ909" s="102"/>
      <c r="AK909" s="102"/>
      <c r="AL909" s="102"/>
      <c r="AM909" s="102"/>
      <c r="AN909" s="102"/>
      <c r="AO909" s="102"/>
      <c r="AP909" s="102"/>
      <c r="AQ909" s="102"/>
      <c r="AR909" s="102"/>
      <c r="AS909" s="102"/>
      <c r="AT909" s="102"/>
      <c r="AU909" s="102"/>
      <c r="AV909" s="102"/>
      <c r="AW909" s="102"/>
      <c r="AX909" s="102"/>
      <c r="AY909" s="102"/>
      <c r="AZ909" s="102"/>
      <c r="BA909" s="102"/>
      <c r="BB909" s="102"/>
      <c r="BC909" s="102"/>
      <c r="BD909" s="102"/>
      <c r="BE909" s="102"/>
      <c r="BF909" s="102"/>
      <c r="BG909" s="102"/>
      <c r="BH909" s="102"/>
      <c r="BI909" s="102"/>
      <c r="BJ909" s="102"/>
      <c r="BK909" s="102"/>
      <c r="BL909" s="102"/>
      <c r="BM909" s="102"/>
      <c r="BN909" s="102"/>
      <c r="BO909" s="102"/>
      <c r="BP909" s="102"/>
      <c r="BQ909" s="102"/>
      <c r="BR909" s="102"/>
      <c r="BS909" s="102"/>
      <c r="BT909" s="102"/>
      <c r="BU909" s="102"/>
      <c r="BV909" s="102"/>
      <c r="BW909" s="102"/>
      <c r="BX909" s="102"/>
      <c r="BY909" s="102"/>
      <c r="BZ909" s="102"/>
      <c r="CA909" s="464"/>
      <c r="CB909" s="102"/>
      <c r="CC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474">
        <v>907.0</v>
      </c>
      <c r="AB910" s="474">
        <f t="shared" si="10"/>
        <v>912</v>
      </c>
      <c r="AC910" s="476">
        <f t="shared" si="11"/>
        <v>1215</v>
      </c>
      <c r="AD910" s="474">
        <f t="shared" si="12"/>
        <v>1514</v>
      </c>
      <c r="AE910" s="474">
        <f t="shared" si="13"/>
        <v>998</v>
      </c>
      <c r="AF910" s="474">
        <f t="shared" si="14"/>
        <v>1215</v>
      </c>
      <c r="AG910" s="102"/>
      <c r="AH910" s="102"/>
      <c r="AI910" s="102"/>
      <c r="AJ910" s="102"/>
      <c r="AK910" s="102"/>
      <c r="AL910" s="102"/>
      <c r="AM910" s="102"/>
      <c r="AN910" s="102"/>
      <c r="AO910" s="102"/>
      <c r="AP910" s="102"/>
      <c r="AQ910" s="102"/>
      <c r="AR910" s="102"/>
      <c r="AS910" s="102"/>
      <c r="AT910" s="102"/>
      <c r="AU910" s="102"/>
      <c r="AV910" s="102"/>
      <c r="AW910" s="102"/>
      <c r="AX910" s="102"/>
      <c r="AY910" s="102"/>
      <c r="AZ910" s="102"/>
      <c r="BA910" s="102"/>
      <c r="BB910" s="102"/>
      <c r="BC910" s="102"/>
      <c r="BD910" s="102"/>
      <c r="BE910" s="102"/>
      <c r="BF910" s="102"/>
      <c r="BG910" s="102"/>
      <c r="BH910" s="102"/>
      <c r="BI910" s="102"/>
      <c r="BJ910" s="102"/>
      <c r="BK910" s="102"/>
      <c r="BL910" s="102"/>
      <c r="BM910" s="102"/>
      <c r="BN910" s="102"/>
      <c r="BO910" s="102"/>
      <c r="BP910" s="102"/>
      <c r="BQ910" s="102"/>
      <c r="BR910" s="102"/>
      <c r="BS910" s="102"/>
      <c r="BT910" s="102"/>
      <c r="BU910" s="102"/>
      <c r="BV910" s="102"/>
      <c r="BW910" s="102"/>
      <c r="BX910" s="102"/>
      <c r="BY910" s="102"/>
      <c r="BZ910" s="102"/>
      <c r="CA910" s="464"/>
      <c r="CB910" s="102"/>
      <c r="CC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474">
        <v>908.0</v>
      </c>
      <c r="AB911" s="474">
        <f t="shared" si="10"/>
        <v>913</v>
      </c>
      <c r="AC911" s="476">
        <f t="shared" si="11"/>
        <v>1216</v>
      </c>
      <c r="AD911" s="474">
        <f t="shared" si="12"/>
        <v>1516</v>
      </c>
      <c r="AE911" s="474">
        <f t="shared" si="13"/>
        <v>999</v>
      </c>
      <c r="AF911" s="474">
        <f t="shared" si="14"/>
        <v>1216</v>
      </c>
      <c r="AG911" s="102"/>
      <c r="AH911" s="102"/>
      <c r="AI911" s="102"/>
      <c r="AJ911" s="102"/>
      <c r="AK911" s="102"/>
      <c r="AL911" s="102"/>
      <c r="AM911" s="102"/>
      <c r="AN911" s="102"/>
      <c r="AO911" s="102"/>
      <c r="AP911" s="102"/>
      <c r="AQ911" s="102"/>
      <c r="AR911" s="102"/>
      <c r="AS911" s="102"/>
      <c r="AT911" s="102"/>
      <c r="AU911" s="102"/>
      <c r="AV911" s="102"/>
      <c r="AW911" s="102"/>
      <c r="AX911" s="102"/>
      <c r="AY911" s="102"/>
      <c r="AZ911" s="102"/>
      <c r="BA911" s="102"/>
      <c r="BB911" s="102"/>
      <c r="BC911" s="102"/>
      <c r="BD911" s="102"/>
      <c r="BE911" s="102"/>
      <c r="BF911" s="102"/>
      <c r="BG911" s="102"/>
      <c r="BH911" s="102"/>
      <c r="BI911" s="102"/>
      <c r="BJ911" s="102"/>
      <c r="BK911" s="102"/>
      <c r="BL911" s="102"/>
      <c r="BM911" s="102"/>
      <c r="BN911" s="102"/>
      <c r="BO911" s="102"/>
      <c r="BP911" s="102"/>
      <c r="BQ911" s="102"/>
      <c r="BR911" s="102"/>
      <c r="BS911" s="102"/>
      <c r="BT911" s="102"/>
      <c r="BU911" s="102"/>
      <c r="BV911" s="102"/>
      <c r="BW911" s="102"/>
      <c r="BX911" s="102"/>
      <c r="BY911" s="102"/>
      <c r="BZ911" s="102"/>
      <c r="CA911" s="464"/>
      <c r="CB911" s="102"/>
      <c r="CC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474">
        <v>909.0</v>
      </c>
      <c r="AB912" s="474">
        <f t="shared" si="10"/>
        <v>914</v>
      </c>
      <c r="AC912" s="476">
        <f t="shared" si="11"/>
        <v>1218</v>
      </c>
      <c r="AD912" s="474">
        <f t="shared" si="12"/>
        <v>1518</v>
      </c>
      <c r="AE912" s="474">
        <f t="shared" si="13"/>
        <v>1000</v>
      </c>
      <c r="AF912" s="474">
        <f t="shared" si="14"/>
        <v>1218</v>
      </c>
      <c r="AG912" s="102"/>
      <c r="AH912" s="102"/>
      <c r="AI912" s="102"/>
      <c r="AJ912" s="102"/>
      <c r="AK912" s="102"/>
      <c r="AL912" s="102"/>
      <c r="AM912" s="102"/>
      <c r="AN912" s="102"/>
      <c r="AO912" s="102"/>
      <c r="AP912" s="102"/>
      <c r="AQ912" s="102"/>
      <c r="AR912" s="102"/>
      <c r="AS912" s="102"/>
      <c r="AT912" s="102"/>
      <c r="AU912" s="102"/>
      <c r="AV912" s="102"/>
      <c r="AW912" s="102"/>
      <c r="AX912" s="102"/>
      <c r="AY912" s="102"/>
      <c r="AZ912" s="102"/>
      <c r="BA912" s="102"/>
      <c r="BB912" s="102"/>
      <c r="BC912" s="102"/>
      <c r="BD912" s="102"/>
      <c r="BE912" s="102"/>
      <c r="BF912" s="102"/>
      <c r="BG912" s="102"/>
      <c r="BH912" s="102"/>
      <c r="BI912" s="102"/>
      <c r="BJ912" s="102"/>
      <c r="BK912" s="102"/>
      <c r="BL912" s="102"/>
      <c r="BM912" s="102"/>
      <c r="BN912" s="102"/>
      <c r="BO912" s="102"/>
      <c r="BP912" s="102"/>
      <c r="BQ912" s="102"/>
      <c r="BR912" s="102"/>
      <c r="BS912" s="102"/>
      <c r="BT912" s="102"/>
      <c r="BU912" s="102"/>
      <c r="BV912" s="102"/>
      <c r="BW912" s="102"/>
      <c r="BX912" s="102"/>
      <c r="BY912" s="102"/>
      <c r="BZ912" s="102"/>
      <c r="CA912" s="464"/>
      <c r="CB912" s="102"/>
      <c r="CC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474">
        <v>910.0</v>
      </c>
      <c r="AB913" s="474">
        <f t="shared" si="10"/>
        <v>915</v>
      </c>
      <c r="AC913" s="476">
        <f t="shared" si="11"/>
        <v>1219</v>
      </c>
      <c r="AD913" s="474">
        <f t="shared" si="12"/>
        <v>1519</v>
      </c>
      <c r="AE913" s="474">
        <f t="shared" si="13"/>
        <v>1001</v>
      </c>
      <c r="AF913" s="474">
        <f t="shared" si="14"/>
        <v>1219</v>
      </c>
      <c r="AG913" s="102"/>
      <c r="AH913" s="102"/>
      <c r="AI913" s="102"/>
      <c r="AJ913" s="102"/>
      <c r="AK913" s="102"/>
      <c r="AL913" s="102"/>
      <c r="AM913" s="102"/>
      <c r="AN913" s="102"/>
      <c r="AO913" s="102"/>
      <c r="AP913" s="102"/>
      <c r="AQ913" s="102"/>
      <c r="AR913" s="102"/>
      <c r="AS913" s="102"/>
      <c r="AT913" s="102"/>
      <c r="AU913" s="102"/>
      <c r="AV913" s="102"/>
      <c r="AW913" s="102"/>
      <c r="AX913" s="102"/>
      <c r="AY913" s="102"/>
      <c r="AZ913" s="102"/>
      <c r="BA913" s="102"/>
      <c r="BB913" s="102"/>
      <c r="BC913" s="102"/>
      <c r="BD913" s="102"/>
      <c r="BE913" s="102"/>
      <c r="BF913" s="102"/>
      <c r="BG913" s="102"/>
      <c r="BH913" s="102"/>
      <c r="BI913" s="102"/>
      <c r="BJ913" s="102"/>
      <c r="BK913" s="102"/>
      <c r="BL913" s="102"/>
      <c r="BM913" s="102"/>
      <c r="BN913" s="102"/>
      <c r="BO913" s="102"/>
      <c r="BP913" s="102"/>
      <c r="BQ913" s="102"/>
      <c r="BR913" s="102"/>
      <c r="BS913" s="102"/>
      <c r="BT913" s="102"/>
      <c r="BU913" s="102"/>
      <c r="BV913" s="102"/>
      <c r="BW913" s="102"/>
      <c r="BX913" s="102"/>
      <c r="BY913" s="102"/>
      <c r="BZ913" s="102"/>
      <c r="CA913" s="464"/>
      <c r="CB913" s="102"/>
      <c r="CC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474">
        <v>911.0</v>
      </c>
      <c r="AB914" s="474">
        <f t="shared" si="10"/>
        <v>916</v>
      </c>
      <c r="AC914" s="476">
        <f t="shared" si="11"/>
        <v>1220</v>
      </c>
      <c r="AD914" s="474">
        <f t="shared" si="12"/>
        <v>1521</v>
      </c>
      <c r="AE914" s="474">
        <f t="shared" si="13"/>
        <v>1003</v>
      </c>
      <c r="AF914" s="474">
        <f t="shared" si="14"/>
        <v>1220</v>
      </c>
      <c r="AG914" s="102"/>
      <c r="AH914" s="102"/>
      <c r="AI914" s="102"/>
      <c r="AJ914" s="102"/>
      <c r="AK914" s="102"/>
      <c r="AL914" s="102"/>
      <c r="AM914" s="102"/>
      <c r="AN914" s="102"/>
      <c r="AO914" s="102"/>
      <c r="AP914" s="102"/>
      <c r="AQ914" s="102"/>
      <c r="AR914" s="102"/>
      <c r="AS914" s="102"/>
      <c r="AT914" s="102"/>
      <c r="AU914" s="102"/>
      <c r="AV914" s="102"/>
      <c r="AW914" s="102"/>
      <c r="AX914" s="102"/>
      <c r="AY914" s="102"/>
      <c r="AZ914" s="102"/>
      <c r="BA914" s="102"/>
      <c r="BB914" s="102"/>
      <c r="BC914" s="102"/>
      <c r="BD914" s="102"/>
      <c r="BE914" s="102"/>
      <c r="BF914" s="102"/>
      <c r="BG914" s="102"/>
      <c r="BH914" s="102"/>
      <c r="BI914" s="102"/>
      <c r="BJ914" s="102"/>
      <c r="BK914" s="102"/>
      <c r="BL914" s="102"/>
      <c r="BM914" s="102"/>
      <c r="BN914" s="102"/>
      <c r="BO914" s="102"/>
      <c r="BP914" s="102"/>
      <c r="BQ914" s="102"/>
      <c r="BR914" s="102"/>
      <c r="BS914" s="102"/>
      <c r="BT914" s="102"/>
      <c r="BU914" s="102"/>
      <c r="BV914" s="102"/>
      <c r="BW914" s="102"/>
      <c r="BX914" s="102"/>
      <c r="BY914" s="102"/>
      <c r="BZ914" s="102"/>
      <c r="CA914" s="464"/>
      <c r="CB914" s="102"/>
      <c r="CC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474">
        <v>912.0</v>
      </c>
      <c r="AB915" s="474">
        <f t="shared" si="10"/>
        <v>917</v>
      </c>
      <c r="AC915" s="476">
        <f t="shared" si="11"/>
        <v>1222</v>
      </c>
      <c r="AD915" s="474">
        <f t="shared" si="12"/>
        <v>1523</v>
      </c>
      <c r="AE915" s="474">
        <f t="shared" si="13"/>
        <v>1004</v>
      </c>
      <c r="AF915" s="474">
        <f t="shared" si="14"/>
        <v>1222</v>
      </c>
      <c r="AG915" s="102"/>
      <c r="AH915" s="102"/>
      <c r="AI915" s="102"/>
      <c r="AJ915" s="102"/>
      <c r="AK915" s="102"/>
      <c r="AL915" s="102"/>
      <c r="AM915" s="102"/>
      <c r="AN915" s="102"/>
      <c r="AO915" s="102"/>
      <c r="AP915" s="102"/>
      <c r="AQ915" s="102"/>
      <c r="AR915" s="102"/>
      <c r="AS915" s="102"/>
      <c r="AT915" s="102"/>
      <c r="AU915" s="102"/>
      <c r="AV915" s="102"/>
      <c r="AW915" s="102"/>
      <c r="AX915" s="102"/>
      <c r="AY915" s="102"/>
      <c r="AZ915" s="102"/>
      <c r="BA915" s="102"/>
      <c r="BB915" s="102"/>
      <c r="BC915" s="102"/>
      <c r="BD915" s="102"/>
      <c r="BE915" s="102"/>
      <c r="BF915" s="102"/>
      <c r="BG915" s="102"/>
      <c r="BH915" s="102"/>
      <c r="BI915" s="102"/>
      <c r="BJ915" s="102"/>
      <c r="BK915" s="102"/>
      <c r="BL915" s="102"/>
      <c r="BM915" s="102"/>
      <c r="BN915" s="102"/>
      <c r="BO915" s="102"/>
      <c r="BP915" s="102"/>
      <c r="BQ915" s="102"/>
      <c r="BR915" s="102"/>
      <c r="BS915" s="102"/>
      <c r="BT915" s="102"/>
      <c r="BU915" s="102"/>
      <c r="BV915" s="102"/>
      <c r="BW915" s="102"/>
      <c r="BX915" s="102"/>
      <c r="BY915" s="102"/>
      <c r="BZ915" s="102"/>
      <c r="CA915" s="464"/>
      <c r="CB915" s="102"/>
      <c r="CC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474">
        <v>913.0</v>
      </c>
      <c r="AB916" s="474">
        <f t="shared" si="10"/>
        <v>918</v>
      </c>
      <c r="AC916" s="476">
        <f t="shared" si="11"/>
        <v>1223</v>
      </c>
      <c r="AD916" s="474">
        <f t="shared" si="12"/>
        <v>1524</v>
      </c>
      <c r="AE916" s="474">
        <f t="shared" si="13"/>
        <v>1005</v>
      </c>
      <c r="AF916" s="474">
        <f t="shared" si="14"/>
        <v>1223</v>
      </c>
      <c r="AG916" s="102"/>
      <c r="AH916" s="102"/>
      <c r="AI916" s="102"/>
      <c r="AJ916" s="102"/>
      <c r="AK916" s="102"/>
      <c r="AL916" s="102"/>
      <c r="AM916" s="102"/>
      <c r="AN916" s="102"/>
      <c r="AO916" s="102"/>
      <c r="AP916" s="102"/>
      <c r="AQ916" s="102"/>
      <c r="AR916" s="102"/>
      <c r="AS916" s="102"/>
      <c r="AT916" s="102"/>
      <c r="AU916" s="102"/>
      <c r="AV916" s="102"/>
      <c r="AW916" s="102"/>
      <c r="AX916" s="102"/>
      <c r="AY916" s="102"/>
      <c r="AZ916" s="102"/>
      <c r="BA916" s="102"/>
      <c r="BB916" s="102"/>
      <c r="BC916" s="102"/>
      <c r="BD916" s="102"/>
      <c r="BE916" s="102"/>
      <c r="BF916" s="102"/>
      <c r="BG916" s="102"/>
      <c r="BH916" s="102"/>
      <c r="BI916" s="102"/>
      <c r="BJ916" s="102"/>
      <c r="BK916" s="102"/>
      <c r="BL916" s="102"/>
      <c r="BM916" s="102"/>
      <c r="BN916" s="102"/>
      <c r="BO916" s="102"/>
      <c r="BP916" s="102"/>
      <c r="BQ916" s="102"/>
      <c r="BR916" s="102"/>
      <c r="BS916" s="102"/>
      <c r="BT916" s="102"/>
      <c r="BU916" s="102"/>
      <c r="BV916" s="102"/>
      <c r="BW916" s="102"/>
      <c r="BX916" s="102"/>
      <c r="BY916" s="102"/>
      <c r="BZ916" s="102"/>
      <c r="CA916" s="464"/>
      <c r="CB916" s="102"/>
      <c r="CC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474">
        <v>914.0</v>
      </c>
      <c r="AB917" s="474">
        <f t="shared" si="10"/>
        <v>919</v>
      </c>
      <c r="AC917" s="476">
        <f t="shared" si="11"/>
        <v>1224</v>
      </c>
      <c r="AD917" s="474">
        <f t="shared" si="12"/>
        <v>1526</v>
      </c>
      <c r="AE917" s="474">
        <f t="shared" si="13"/>
        <v>1006</v>
      </c>
      <c r="AF917" s="474">
        <f t="shared" si="14"/>
        <v>1224</v>
      </c>
      <c r="AG917" s="102"/>
      <c r="AH917" s="102"/>
      <c r="AI917" s="102"/>
      <c r="AJ917" s="102"/>
      <c r="AK917" s="102"/>
      <c r="AL917" s="102"/>
      <c r="AM917" s="102"/>
      <c r="AN917" s="102"/>
      <c r="AO917" s="102"/>
      <c r="AP917" s="102"/>
      <c r="AQ917" s="102"/>
      <c r="AR917" s="102"/>
      <c r="AS917" s="102"/>
      <c r="AT917" s="102"/>
      <c r="AU917" s="102"/>
      <c r="AV917" s="102"/>
      <c r="AW917" s="102"/>
      <c r="AX917" s="102"/>
      <c r="AY917" s="102"/>
      <c r="AZ917" s="102"/>
      <c r="BA917" s="102"/>
      <c r="BB917" s="102"/>
      <c r="BC917" s="102"/>
      <c r="BD917" s="102"/>
      <c r="BE917" s="102"/>
      <c r="BF917" s="102"/>
      <c r="BG917" s="102"/>
      <c r="BH917" s="102"/>
      <c r="BI917" s="102"/>
      <c r="BJ917" s="102"/>
      <c r="BK917" s="102"/>
      <c r="BL917" s="102"/>
      <c r="BM917" s="102"/>
      <c r="BN917" s="102"/>
      <c r="BO917" s="102"/>
      <c r="BP917" s="102"/>
      <c r="BQ917" s="102"/>
      <c r="BR917" s="102"/>
      <c r="BS917" s="102"/>
      <c r="BT917" s="102"/>
      <c r="BU917" s="102"/>
      <c r="BV917" s="102"/>
      <c r="BW917" s="102"/>
      <c r="BX917" s="102"/>
      <c r="BY917" s="102"/>
      <c r="BZ917" s="102"/>
      <c r="CA917" s="464"/>
      <c r="CB917" s="102"/>
      <c r="CC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474">
        <v>915.0</v>
      </c>
      <c r="AB918" s="474">
        <f t="shared" si="10"/>
        <v>920</v>
      </c>
      <c r="AC918" s="476">
        <f t="shared" si="11"/>
        <v>1226</v>
      </c>
      <c r="AD918" s="474">
        <f t="shared" si="12"/>
        <v>1528</v>
      </c>
      <c r="AE918" s="474">
        <f t="shared" si="13"/>
        <v>1007</v>
      </c>
      <c r="AF918" s="474">
        <f t="shared" si="14"/>
        <v>1226</v>
      </c>
      <c r="AG918" s="102"/>
      <c r="AH918" s="102"/>
      <c r="AI918" s="102"/>
      <c r="AJ918" s="102"/>
      <c r="AK918" s="102"/>
      <c r="AL918" s="102"/>
      <c r="AM918" s="102"/>
      <c r="AN918" s="102"/>
      <c r="AO918" s="102"/>
      <c r="AP918" s="102"/>
      <c r="AQ918" s="102"/>
      <c r="AR918" s="102"/>
      <c r="AS918" s="102"/>
      <c r="AT918" s="102"/>
      <c r="AU918" s="102"/>
      <c r="AV918" s="102"/>
      <c r="AW918" s="102"/>
      <c r="AX918" s="102"/>
      <c r="AY918" s="102"/>
      <c r="AZ918" s="102"/>
      <c r="BA918" s="102"/>
      <c r="BB918" s="102"/>
      <c r="BC918" s="102"/>
      <c r="BD918" s="102"/>
      <c r="BE918" s="102"/>
      <c r="BF918" s="102"/>
      <c r="BG918" s="102"/>
      <c r="BH918" s="102"/>
      <c r="BI918" s="102"/>
      <c r="BJ918" s="102"/>
      <c r="BK918" s="102"/>
      <c r="BL918" s="102"/>
      <c r="BM918" s="102"/>
      <c r="BN918" s="102"/>
      <c r="BO918" s="102"/>
      <c r="BP918" s="102"/>
      <c r="BQ918" s="102"/>
      <c r="BR918" s="102"/>
      <c r="BS918" s="102"/>
      <c r="BT918" s="102"/>
      <c r="BU918" s="102"/>
      <c r="BV918" s="102"/>
      <c r="BW918" s="102"/>
      <c r="BX918" s="102"/>
      <c r="BY918" s="102"/>
      <c r="BZ918" s="102"/>
      <c r="CA918" s="464"/>
      <c r="CB918" s="102"/>
      <c r="CC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474">
        <v>916.0</v>
      </c>
      <c r="AB919" s="474">
        <f t="shared" si="10"/>
        <v>921</v>
      </c>
      <c r="AC919" s="476">
        <f t="shared" si="11"/>
        <v>1227</v>
      </c>
      <c r="AD919" s="474">
        <f t="shared" si="12"/>
        <v>1529</v>
      </c>
      <c r="AE919" s="474">
        <f t="shared" si="13"/>
        <v>1008</v>
      </c>
      <c r="AF919" s="474">
        <f t="shared" si="14"/>
        <v>1227</v>
      </c>
      <c r="AG919" s="102"/>
      <c r="AH919" s="102"/>
      <c r="AI919" s="102"/>
      <c r="AJ919" s="102"/>
      <c r="AK919" s="102"/>
      <c r="AL919" s="102"/>
      <c r="AM919" s="102"/>
      <c r="AN919" s="102"/>
      <c r="AO919" s="102"/>
      <c r="AP919" s="102"/>
      <c r="AQ919" s="102"/>
      <c r="AR919" s="102"/>
      <c r="AS919" s="102"/>
      <c r="AT919" s="102"/>
      <c r="AU919" s="102"/>
      <c r="AV919" s="102"/>
      <c r="AW919" s="102"/>
      <c r="AX919" s="102"/>
      <c r="AY919" s="102"/>
      <c r="AZ919" s="102"/>
      <c r="BA919" s="102"/>
      <c r="BB919" s="102"/>
      <c r="BC919" s="102"/>
      <c r="BD919" s="102"/>
      <c r="BE919" s="102"/>
      <c r="BF919" s="102"/>
      <c r="BG919" s="102"/>
      <c r="BH919" s="102"/>
      <c r="BI919" s="102"/>
      <c r="BJ919" s="102"/>
      <c r="BK919" s="102"/>
      <c r="BL919" s="102"/>
      <c r="BM919" s="102"/>
      <c r="BN919" s="102"/>
      <c r="BO919" s="102"/>
      <c r="BP919" s="102"/>
      <c r="BQ919" s="102"/>
      <c r="BR919" s="102"/>
      <c r="BS919" s="102"/>
      <c r="BT919" s="102"/>
      <c r="BU919" s="102"/>
      <c r="BV919" s="102"/>
      <c r="BW919" s="102"/>
      <c r="BX919" s="102"/>
      <c r="BY919" s="102"/>
      <c r="BZ919" s="102"/>
      <c r="CA919" s="464"/>
      <c r="CB919" s="102"/>
      <c r="CC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474">
        <v>917.0</v>
      </c>
      <c r="AB920" s="474">
        <f t="shared" si="10"/>
        <v>922</v>
      </c>
      <c r="AC920" s="476">
        <f t="shared" si="11"/>
        <v>1228</v>
      </c>
      <c r="AD920" s="474">
        <f t="shared" si="12"/>
        <v>1531</v>
      </c>
      <c r="AE920" s="474">
        <f t="shared" si="13"/>
        <v>1009</v>
      </c>
      <c r="AF920" s="474">
        <f t="shared" si="14"/>
        <v>1228</v>
      </c>
      <c r="AG920" s="102"/>
      <c r="AH920" s="102"/>
      <c r="AI920" s="102"/>
      <c r="AJ920" s="102"/>
      <c r="AK920" s="102"/>
      <c r="AL920" s="102"/>
      <c r="AM920" s="102"/>
      <c r="AN920" s="102"/>
      <c r="AO920" s="102"/>
      <c r="AP920" s="102"/>
      <c r="AQ920" s="102"/>
      <c r="AR920" s="102"/>
      <c r="AS920" s="102"/>
      <c r="AT920" s="102"/>
      <c r="AU920" s="102"/>
      <c r="AV920" s="102"/>
      <c r="AW920" s="102"/>
      <c r="AX920" s="102"/>
      <c r="AY920" s="102"/>
      <c r="AZ920" s="102"/>
      <c r="BA920" s="102"/>
      <c r="BB920" s="102"/>
      <c r="BC920" s="102"/>
      <c r="BD920" s="102"/>
      <c r="BE920" s="102"/>
      <c r="BF920" s="102"/>
      <c r="BG920" s="102"/>
      <c r="BH920" s="102"/>
      <c r="BI920" s="102"/>
      <c r="BJ920" s="102"/>
      <c r="BK920" s="102"/>
      <c r="BL920" s="102"/>
      <c r="BM920" s="102"/>
      <c r="BN920" s="102"/>
      <c r="BO920" s="102"/>
      <c r="BP920" s="102"/>
      <c r="BQ920" s="102"/>
      <c r="BR920" s="102"/>
      <c r="BS920" s="102"/>
      <c r="BT920" s="102"/>
      <c r="BU920" s="102"/>
      <c r="BV920" s="102"/>
      <c r="BW920" s="102"/>
      <c r="BX920" s="102"/>
      <c r="BY920" s="102"/>
      <c r="BZ920" s="102"/>
      <c r="CA920" s="464"/>
      <c r="CB920" s="102"/>
      <c r="CC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474">
        <v>918.0</v>
      </c>
      <c r="AB921" s="474">
        <f t="shared" si="10"/>
        <v>923</v>
      </c>
      <c r="AC921" s="476">
        <f t="shared" si="11"/>
        <v>1230</v>
      </c>
      <c r="AD921" s="474">
        <f t="shared" si="12"/>
        <v>1533</v>
      </c>
      <c r="AE921" s="474">
        <f t="shared" si="13"/>
        <v>1010</v>
      </c>
      <c r="AF921" s="474">
        <f t="shared" si="14"/>
        <v>1230</v>
      </c>
      <c r="AG921" s="102"/>
      <c r="AH921" s="102"/>
      <c r="AI921" s="102"/>
      <c r="AJ921" s="102"/>
      <c r="AK921" s="102"/>
      <c r="AL921" s="102"/>
      <c r="AM921" s="102"/>
      <c r="AN921" s="102"/>
      <c r="AO921" s="102"/>
      <c r="AP921" s="102"/>
      <c r="AQ921" s="102"/>
      <c r="AR921" s="102"/>
      <c r="AS921" s="102"/>
      <c r="AT921" s="102"/>
      <c r="AU921" s="102"/>
      <c r="AV921" s="102"/>
      <c r="AW921" s="102"/>
      <c r="AX921" s="102"/>
      <c r="AY921" s="102"/>
      <c r="AZ921" s="102"/>
      <c r="BA921" s="102"/>
      <c r="BB921" s="102"/>
      <c r="BC921" s="102"/>
      <c r="BD921" s="102"/>
      <c r="BE921" s="102"/>
      <c r="BF921" s="102"/>
      <c r="BG921" s="102"/>
      <c r="BH921" s="102"/>
      <c r="BI921" s="102"/>
      <c r="BJ921" s="102"/>
      <c r="BK921" s="102"/>
      <c r="BL921" s="102"/>
      <c r="BM921" s="102"/>
      <c r="BN921" s="102"/>
      <c r="BO921" s="102"/>
      <c r="BP921" s="102"/>
      <c r="BQ921" s="102"/>
      <c r="BR921" s="102"/>
      <c r="BS921" s="102"/>
      <c r="BT921" s="102"/>
      <c r="BU921" s="102"/>
      <c r="BV921" s="102"/>
      <c r="BW921" s="102"/>
      <c r="BX921" s="102"/>
      <c r="BY921" s="102"/>
      <c r="BZ921" s="102"/>
      <c r="CA921" s="464"/>
      <c r="CB921" s="102"/>
      <c r="CC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474">
        <v>919.0</v>
      </c>
      <c r="AB922" s="474">
        <f t="shared" si="10"/>
        <v>924</v>
      </c>
      <c r="AC922" s="476">
        <f t="shared" si="11"/>
        <v>1231</v>
      </c>
      <c r="AD922" s="474">
        <f t="shared" si="12"/>
        <v>1534</v>
      </c>
      <c r="AE922" s="474">
        <f t="shared" si="13"/>
        <v>1011</v>
      </c>
      <c r="AF922" s="474">
        <f t="shared" si="14"/>
        <v>1231</v>
      </c>
      <c r="AG922" s="102"/>
      <c r="AH922" s="102"/>
      <c r="AI922" s="102"/>
      <c r="AJ922" s="102"/>
      <c r="AK922" s="102"/>
      <c r="AL922" s="102"/>
      <c r="AM922" s="102"/>
      <c r="AN922" s="102"/>
      <c r="AO922" s="102"/>
      <c r="AP922" s="102"/>
      <c r="AQ922" s="102"/>
      <c r="AR922" s="102"/>
      <c r="AS922" s="102"/>
      <c r="AT922" s="102"/>
      <c r="AU922" s="102"/>
      <c r="AV922" s="102"/>
      <c r="AW922" s="102"/>
      <c r="AX922" s="102"/>
      <c r="AY922" s="102"/>
      <c r="AZ922" s="102"/>
      <c r="BA922" s="102"/>
      <c r="BB922" s="102"/>
      <c r="BC922" s="102"/>
      <c r="BD922" s="102"/>
      <c r="BE922" s="102"/>
      <c r="BF922" s="102"/>
      <c r="BG922" s="102"/>
      <c r="BH922" s="102"/>
      <c r="BI922" s="102"/>
      <c r="BJ922" s="102"/>
      <c r="BK922" s="102"/>
      <c r="BL922" s="102"/>
      <c r="BM922" s="102"/>
      <c r="BN922" s="102"/>
      <c r="BO922" s="102"/>
      <c r="BP922" s="102"/>
      <c r="BQ922" s="102"/>
      <c r="BR922" s="102"/>
      <c r="BS922" s="102"/>
      <c r="BT922" s="102"/>
      <c r="BU922" s="102"/>
      <c r="BV922" s="102"/>
      <c r="BW922" s="102"/>
      <c r="BX922" s="102"/>
      <c r="BY922" s="102"/>
      <c r="BZ922" s="102"/>
      <c r="CA922" s="464"/>
      <c r="CB922" s="102"/>
      <c r="CC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474">
        <v>920.0</v>
      </c>
      <c r="AB923" s="474">
        <f t="shared" si="10"/>
        <v>925</v>
      </c>
      <c r="AC923" s="476">
        <f t="shared" si="11"/>
        <v>1232</v>
      </c>
      <c r="AD923" s="474">
        <f t="shared" si="12"/>
        <v>1536</v>
      </c>
      <c r="AE923" s="474">
        <f t="shared" si="13"/>
        <v>1012</v>
      </c>
      <c r="AF923" s="474">
        <f t="shared" si="14"/>
        <v>1232</v>
      </c>
      <c r="AG923" s="102"/>
      <c r="AH923" s="102"/>
      <c r="AI923" s="102"/>
      <c r="AJ923" s="102"/>
      <c r="AK923" s="102"/>
      <c r="AL923" s="102"/>
      <c r="AM923" s="102"/>
      <c r="AN923" s="102"/>
      <c r="AO923" s="102"/>
      <c r="AP923" s="102"/>
      <c r="AQ923" s="102"/>
      <c r="AR923" s="102"/>
      <c r="AS923" s="102"/>
      <c r="AT923" s="102"/>
      <c r="AU923" s="102"/>
      <c r="AV923" s="102"/>
      <c r="AW923" s="102"/>
      <c r="AX923" s="102"/>
      <c r="AY923" s="102"/>
      <c r="AZ923" s="102"/>
      <c r="BA923" s="102"/>
      <c r="BB923" s="102"/>
      <c r="BC923" s="102"/>
      <c r="BD923" s="102"/>
      <c r="BE923" s="102"/>
      <c r="BF923" s="102"/>
      <c r="BG923" s="102"/>
      <c r="BH923" s="102"/>
      <c r="BI923" s="102"/>
      <c r="BJ923" s="102"/>
      <c r="BK923" s="102"/>
      <c r="BL923" s="102"/>
      <c r="BM923" s="102"/>
      <c r="BN923" s="102"/>
      <c r="BO923" s="102"/>
      <c r="BP923" s="102"/>
      <c r="BQ923" s="102"/>
      <c r="BR923" s="102"/>
      <c r="BS923" s="102"/>
      <c r="BT923" s="102"/>
      <c r="BU923" s="102"/>
      <c r="BV923" s="102"/>
      <c r="BW923" s="102"/>
      <c r="BX923" s="102"/>
      <c r="BY923" s="102"/>
      <c r="BZ923" s="102"/>
      <c r="CA923" s="464"/>
      <c r="CB923" s="102"/>
      <c r="CC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474">
        <v>921.0</v>
      </c>
      <c r="AB924" s="474">
        <f t="shared" si="10"/>
        <v>926</v>
      </c>
      <c r="AC924" s="476">
        <f t="shared" si="11"/>
        <v>1234</v>
      </c>
      <c r="AD924" s="474">
        <f t="shared" si="12"/>
        <v>1538</v>
      </c>
      <c r="AE924" s="474">
        <f t="shared" si="13"/>
        <v>1014</v>
      </c>
      <c r="AF924" s="474">
        <f t="shared" si="14"/>
        <v>1234</v>
      </c>
      <c r="AG924" s="102"/>
      <c r="AH924" s="102"/>
      <c r="AI924" s="102"/>
      <c r="AJ924" s="102"/>
      <c r="AK924" s="102"/>
      <c r="AL924" s="102"/>
      <c r="AM924" s="102"/>
      <c r="AN924" s="102"/>
      <c r="AO924" s="102"/>
      <c r="AP924" s="102"/>
      <c r="AQ924" s="102"/>
      <c r="AR924" s="102"/>
      <c r="AS924" s="102"/>
      <c r="AT924" s="102"/>
      <c r="AU924" s="102"/>
      <c r="AV924" s="102"/>
      <c r="AW924" s="102"/>
      <c r="AX924" s="102"/>
      <c r="AY924" s="102"/>
      <c r="AZ924" s="102"/>
      <c r="BA924" s="102"/>
      <c r="BB924" s="102"/>
      <c r="BC924" s="102"/>
      <c r="BD924" s="102"/>
      <c r="BE924" s="102"/>
      <c r="BF924" s="102"/>
      <c r="BG924" s="102"/>
      <c r="BH924" s="102"/>
      <c r="BI924" s="102"/>
      <c r="BJ924" s="102"/>
      <c r="BK924" s="102"/>
      <c r="BL924" s="102"/>
      <c r="BM924" s="102"/>
      <c r="BN924" s="102"/>
      <c r="BO924" s="102"/>
      <c r="BP924" s="102"/>
      <c r="BQ924" s="102"/>
      <c r="BR924" s="102"/>
      <c r="BS924" s="102"/>
      <c r="BT924" s="102"/>
      <c r="BU924" s="102"/>
      <c r="BV924" s="102"/>
      <c r="BW924" s="102"/>
      <c r="BX924" s="102"/>
      <c r="BY924" s="102"/>
      <c r="BZ924" s="102"/>
      <c r="CA924" s="464"/>
      <c r="CB924" s="102"/>
      <c r="CC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474">
        <v>922.0</v>
      </c>
      <c r="AB925" s="474">
        <f t="shared" si="10"/>
        <v>927</v>
      </c>
      <c r="AC925" s="476">
        <f t="shared" si="11"/>
        <v>1235</v>
      </c>
      <c r="AD925" s="474">
        <f t="shared" si="12"/>
        <v>1539</v>
      </c>
      <c r="AE925" s="474">
        <f t="shared" si="13"/>
        <v>1015</v>
      </c>
      <c r="AF925" s="474">
        <f t="shared" si="14"/>
        <v>1235</v>
      </c>
      <c r="AG925" s="102"/>
      <c r="AH925" s="102"/>
      <c r="AI925" s="102"/>
      <c r="AJ925" s="102"/>
      <c r="AK925" s="102"/>
      <c r="AL925" s="102"/>
      <c r="AM925" s="102"/>
      <c r="AN925" s="102"/>
      <c r="AO925" s="102"/>
      <c r="AP925" s="102"/>
      <c r="AQ925" s="102"/>
      <c r="AR925" s="102"/>
      <c r="AS925" s="102"/>
      <c r="AT925" s="102"/>
      <c r="AU925" s="102"/>
      <c r="AV925" s="102"/>
      <c r="AW925" s="102"/>
      <c r="AX925" s="102"/>
      <c r="AY925" s="102"/>
      <c r="AZ925" s="102"/>
      <c r="BA925" s="102"/>
      <c r="BB925" s="102"/>
      <c r="BC925" s="102"/>
      <c r="BD925" s="102"/>
      <c r="BE925" s="102"/>
      <c r="BF925" s="102"/>
      <c r="BG925" s="102"/>
      <c r="BH925" s="102"/>
      <c r="BI925" s="102"/>
      <c r="BJ925" s="102"/>
      <c r="BK925" s="102"/>
      <c r="BL925" s="102"/>
      <c r="BM925" s="102"/>
      <c r="BN925" s="102"/>
      <c r="BO925" s="102"/>
      <c r="BP925" s="102"/>
      <c r="BQ925" s="102"/>
      <c r="BR925" s="102"/>
      <c r="BS925" s="102"/>
      <c r="BT925" s="102"/>
      <c r="BU925" s="102"/>
      <c r="BV925" s="102"/>
      <c r="BW925" s="102"/>
      <c r="BX925" s="102"/>
      <c r="BY925" s="102"/>
      <c r="BZ925" s="102"/>
      <c r="CA925" s="464"/>
      <c r="CB925" s="102"/>
      <c r="CC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474">
        <v>923.0</v>
      </c>
      <c r="AB926" s="474">
        <f t="shared" si="10"/>
        <v>928</v>
      </c>
      <c r="AC926" s="476">
        <f t="shared" si="11"/>
        <v>1236</v>
      </c>
      <c r="AD926" s="474">
        <f t="shared" si="12"/>
        <v>1541</v>
      </c>
      <c r="AE926" s="474">
        <f t="shared" si="13"/>
        <v>1016</v>
      </c>
      <c r="AF926" s="474">
        <f t="shared" si="14"/>
        <v>1236</v>
      </c>
      <c r="AG926" s="102"/>
      <c r="AH926" s="102"/>
      <c r="AI926" s="102"/>
      <c r="AJ926" s="102"/>
      <c r="AK926" s="102"/>
      <c r="AL926" s="102"/>
      <c r="AM926" s="102"/>
      <c r="AN926" s="102"/>
      <c r="AO926" s="102"/>
      <c r="AP926" s="102"/>
      <c r="AQ926" s="102"/>
      <c r="AR926" s="102"/>
      <c r="AS926" s="102"/>
      <c r="AT926" s="102"/>
      <c r="AU926" s="102"/>
      <c r="AV926" s="102"/>
      <c r="AW926" s="102"/>
      <c r="AX926" s="102"/>
      <c r="AY926" s="102"/>
      <c r="AZ926" s="102"/>
      <c r="BA926" s="102"/>
      <c r="BB926" s="102"/>
      <c r="BC926" s="102"/>
      <c r="BD926" s="102"/>
      <c r="BE926" s="102"/>
      <c r="BF926" s="102"/>
      <c r="BG926" s="102"/>
      <c r="BH926" s="102"/>
      <c r="BI926" s="102"/>
      <c r="BJ926" s="102"/>
      <c r="BK926" s="102"/>
      <c r="BL926" s="102"/>
      <c r="BM926" s="102"/>
      <c r="BN926" s="102"/>
      <c r="BO926" s="102"/>
      <c r="BP926" s="102"/>
      <c r="BQ926" s="102"/>
      <c r="BR926" s="102"/>
      <c r="BS926" s="102"/>
      <c r="BT926" s="102"/>
      <c r="BU926" s="102"/>
      <c r="BV926" s="102"/>
      <c r="BW926" s="102"/>
      <c r="BX926" s="102"/>
      <c r="BY926" s="102"/>
      <c r="BZ926" s="102"/>
      <c r="CA926" s="464"/>
      <c r="CB926" s="102"/>
      <c r="CC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474">
        <v>924.0</v>
      </c>
      <c r="AB927" s="474">
        <f t="shared" si="10"/>
        <v>929</v>
      </c>
      <c r="AC927" s="476">
        <f t="shared" si="11"/>
        <v>1238</v>
      </c>
      <c r="AD927" s="474">
        <f t="shared" si="12"/>
        <v>1543</v>
      </c>
      <c r="AE927" s="474">
        <f t="shared" si="13"/>
        <v>1017</v>
      </c>
      <c r="AF927" s="474">
        <f t="shared" si="14"/>
        <v>1238</v>
      </c>
      <c r="AG927" s="102"/>
      <c r="AH927" s="102"/>
      <c r="AI927" s="102"/>
      <c r="AJ927" s="102"/>
      <c r="AK927" s="102"/>
      <c r="AL927" s="102"/>
      <c r="AM927" s="102"/>
      <c r="AN927" s="102"/>
      <c r="AO927" s="102"/>
      <c r="AP927" s="102"/>
      <c r="AQ927" s="102"/>
      <c r="AR927" s="102"/>
      <c r="AS927" s="102"/>
      <c r="AT927" s="102"/>
      <c r="AU927" s="102"/>
      <c r="AV927" s="102"/>
      <c r="AW927" s="102"/>
      <c r="AX927" s="102"/>
      <c r="AY927" s="102"/>
      <c r="AZ927" s="102"/>
      <c r="BA927" s="102"/>
      <c r="BB927" s="102"/>
      <c r="BC927" s="102"/>
      <c r="BD927" s="102"/>
      <c r="BE927" s="102"/>
      <c r="BF927" s="102"/>
      <c r="BG927" s="102"/>
      <c r="BH927" s="102"/>
      <c r="BI927" s="102"/>
      <c r="BJ927" s="102"/>
      <c r="BK927" s="102"/>
      <c r="BL927" s="102"/>
      <c r="BM927" s="102"/>
      <c r="BN927" s="102"/>
      <c r="BO927" s="102"/>
      <c r="BP927" s="102"/>
      <c r="BQ927" s="102"/>
      <c r="BR927" s="102"/>
      <c r="BS927" s="102"/>
      <c r="BT927" s="102"/>
      <c r="BU927" s="102"/>
      <c r="BV927" s="102"/>
      <c r="BW927" s="102"/>
      <c r="BX927" s="102"/>
      <c r="BY927" s="102"/>
      <c r="BZ927" s="102"/>
      <c r="CA927" s="464"/>
      <c r="CB927" s="102"/>
      <c r="CC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474">
        <v>925.0</v>
      </c>
      <c r="AB928" s="474">
        <f t="shared" si="10"/>
        <v>930</v>
      </c>
      <c r="AC928" s="476">
        <f t="shared" si="11"/>
        <v>1239</v>
      </c>
      <c r="AD928" s="474">
        <f t="shared" si="12"/>
        <v>1544</v>
      </c>
      <c r="AE928" s="474">
        <f t="shared" si="13"/>
        <v>1018</v>
      </c>
      <c r="AF928" s="474">
        <f t="shared" si="14"/>
        <v>1239</v>
      </c>
      <c r="AG928" s="102"/>
      <c r="AH928" s="102"/>
      <c r="AI928" s="102"/>
      <c r="AJ928" s="102"/>
      <c r="AK928" s="102"/>
      <c r="AL928" s="102"/>
      <c r="AM928" s="102"/>
      <c r="AN928" s="102"/>
      <c r="AO928" s="102"/>
      <c r="AP928" s="102"/>
      <c r="AQ928" s="102"/>
      <c r="AR928" s="102"/>
      <c r="AS928" s="102"/>
      <c r="AT928" s="102"/>
      <c r="AU928" s="102"/>
      <c r="AV928" s="102"/>
      <c r="AW928" s="102"/>
      <c r="AX928" s="102"/>
      <c r="AY928" s="102"/>
      <c r="AZ928" s="102"/>
      <c r="BA928" s="102"/>
      <c r="BB928" s="102"/>
      <c r="BC928" s="102"/>
      <c r="BD928" s="102"/>
      <c r="BE928" s="102"/>
      <c r="BF928" s="102"/>
      <c r="BG928" s="102"/>
      <c r="BH928" s="102"/>
      <c r="BI928" s="102"/>
      <c r="BJ928" s="102"/>
      <c r="BK928" s="102"/>
      <c r="BL928" s="102"/>
      <c r="BM928" s="102"/>
      <c r="BN928" s="102"/>
      <c r="BO928" s="102"/>
      <c r="BP928" s="102"/>
      <c r="BQ928" s="102"/>
      <c r="BR928" s="102"/>
      <c r="BS928" s="102"/>
      <c r="BT928" s="102"/>
      <c r="BU928" s="102"/>
      <c r="BV928" s="102"/>
      <c r="BW928" s="102"/>
      <c r="BX928" s="102"/>
      <c r="BY928" s="102"/>
      <c r="BZ928" s="102"/>
      <c r="CA928" s="464"/>
      <c r="CB928" s="102"/>
      <c r="CC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474">
        <v>926.0</v>
      </c>
      <c r="AB929" s="474">
        <f t="shared" si="10"/>
        <v>931</v>
      </c>
      <c r="AC929" s="476">
        <f t="shared" si="11"/>
        <v>1240</v>
      </c>
      <c r="AD929" s="474">
        <f t="shared" si="12"/>
        <v>1546</v>
      </c>
      <c r="AE929" s="474">
        <f t="shared" si="13"/>
        <v>1019</v>
      </c>
      <c r="AF929" s="474">
        <f t="shared" si="14"/>
        <v>1240</v>
      </c>
      <c r="AG929" s="102"/>
      <c r="AH929" s="102"/>
      <c r="AI929" s="102"/>
      <c r="AJ929" s="102"/>
      <c r="AK929" s="102"/>
      <c r="AL929" s="102"/>
      <c r="AM929" s="102"/>
      <c r="AN929" s="102"/>
      <c r="AO929" s="102"/>
      <c r="AP929" s="102"/>
      <c r="AQ929" s="102"/>
      <c r="AR929" s="102"/>
      <c r="AS929" s="102"/>
      <c r="AT929" s="102"/>
      <c r="AU929" s="102"/>
      <c r="AV929" s="102"/>
      <c r="AW929" s="102"/>
      <c r="AX929" s="102"/>
      <c r="AY929" s="102"/>
      <c r="AZ929" s="102"/>
      <c r="BA929" s="102"/>
      <c r="BB929" s="102"/>
      <c r="BC929" s="102"/>
      <c r="BD929" s="102"/>
      <c r="BE929" s="102"/>
      <c r="BF929" s="102"/>
      <c r="BG929" s="102"/>
      <c r="BH929" s="102"/>
      <c r="BI929" s="102"/>
      <c r="BJ929" s="102"/>
      <c r="BK929" s="102"/>
      <c r="BL929" s="102"/>
      <c r="BM929" s="102"/>
      <c r="BN929" s="102"/>
      <c r="BO929" s="102"/>
      <c r="BP929" s="102"/>
      <c r="BQ929" s="102"/>
      <c r="BR929" s="102"/>
      <c r="BS929" s="102"/>
      <c r="BT929" s="102"/>
      <c r="BU929" s="102"/>
      <c r="BV929" s="102"/>
      <c r="BW929" s="102"/>
      <c r="BX929" s="102"/>
      <c r="BY929" s="102"/>
      <c r="BZ929" s="102"/>
      <c r="CA929" s="464"/>
      <c r="CB929" s="102"/>
      <c r="CC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474">
        <v>927.0</v>
      </c>
      <c r="AB930" s="474">
        <f t="shared" si="10"/>
        <v>932</v>
      </c>
      <c r="AC930" s="476">
        <f t="shared" si="11"/>
        <v>1242</v>
      </c>
      <c r="AD930" s="474">
        <f t="shared" si="12"/>
        <v>1548</v>
      </c>
      <c r="AE930" s="474">
        <f t="shared" si="13"/>
        <v>1020</v>
      </c>
      <c r="AF930" s="474">
        <f t="shared" si="14"/>
        <v>1242</v>
      </c>
      <c r="AG930" s="102"/>
      <c r="AH930" s="102"/>
      <c r="AI930" s="102"/>
      <c r="AJ930" s="102"/>
      <c r="AK930" s="102"/>
      <c r="AL930" s="102"/>
      <c r="AM930" s="102"/>
      <c r="AN930" s="102"/>
      <c r="AO930" s="102"/>
      <c r="AP930" s="102"/>
      <c r="AQ930" s="102"/>
      <c r="AR930" s="102"/>
      <c r="AS930" s="102"/>
      <c r="AT930" s="102"/>
      <c r="AU930" s="102"/>
      <c r="AV930" s="102"/>
      <c r="AW930" s="102"/>
      <c r="AX930" s="102"/>
      <c r="AY930" s="102"/>
      <c r="AZ930" s="102"/>
      <c r="BA930" s="102"/>
      <c r="BB930" s="102"/>
      <c r="BC930" s="102"/>
      <c r="BD930" s="102"/>
      <c r="BE930" s="102"/>
      <c r="BF930" s="102"/>
      <c r="BG930" s="102"/>
      <c r="BH930" s="102"/>
      <c r="BI930" s="102"/>
      <c r="BJ930" s="102"/>
      <c r="BK930" s="102"/>
      <c r="BL930" s="102"/>
      <c r="BM930" s="102"/>
      <c r="BN930" s="102"/>
      <c r="BO930" s="102"/>
      <c r="BP930" s="102"/>
      <c r="BQ930" s="102"/>
      <c r="BR930" s="102"/>
      <c r="BS930" s="102"/>
      <c r="BT930" s="102"/>
      <c r="BU930" s="102"/>
      <c r="BV930" s="102"/>
      <c r="BW930" s="102"/>
      <c r="BX930" s="102"/>
      <c r="BY930" s="102"/>
      <c r="BZ930" s="102"/>
      <c r="CA930" s="464"/>
      <c r="CB930" s="102"/>
      <c r="CC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474">
        <v>928.0</v>
      </c>
      <c r="AB931" s="474">
        <f t="shared" si="10"/>
        <v>933</v>
      </c>
      <c r="AC931" s="476">
        <f t="shared" si="11"/>
        <v>1243</v>
      </c>
      <c r="AD931" s="474">
        <f t="shared" si="12"/>
        <v>1549</v>
      </c>
      <c r="AE931" s="474">
        <f t="shared" si="13"/>
        <v>1021</v>
      </c>
      <c r="AF931" s="474">
        <f t="shared" si="14"/>
        <v>1243</v>
      </c>
      <c r="AG931" s="102"/>
      <c r="AH931" s="102"/>
      <c r="AI931" s="102"/>
      <c r="AJ931" s="102"/>
      <c r="AK931" s="102"/>
      <c r="AL931" s="102"/>
      <c r="AM931" s="102"/>
      <c r="AN931" s="102"/>
      <c r="AO931" s="102"/>
      <c r="AP931" s="102"/>
      <c r="AQ931" s="102"/>
      <c r="AR931" s="102"/>
      <c r="AS931" s="102"/>
      <c r="AT931" s="102"/>
      <c r="AU931" s="102"/>
      <c r="AV931" s="102"/>
      <c r="AW931" s="102"/>
      <c r="AX931" s="102"/>
      <c r="AY931" s="102"/>
      <c r="AZ931" s="102"/>
      <c r="BA931" s="102"/>
      <c r="BB931" s="102"/>
      <c r="BC931" s="102"/>
      <c r="BD931" s="102"/>
      <c r="BE931" s="102"/>
      <c r="BF931" s="102"/>
      <c r="BG931" s="102"/>
      <c r="BH931" s="102"/>
      <c r="BI931" s="102"/>
      <c r="BJ931" s="102"/>
      <c r="BK931" s="102"/>
      <c r="BL931" s="102"/>
      <c r="BM931" s="102"/>
      <c r="BN931" s="102"/>
      <c r="BO931" s="102"/>
      <c r="BP931" s="102"/>
      <c r="BQ931" s="102"/>
      <c r="BR931" s="102"/>
      <c r="BS931" s="102"/>
      <c r="BT931" s="102"/>
      <c r="BU931" s="102"/>
      <c r="BV931" s="102"/>
      <c r="BW931" s="102"/>
      <c r="BX931" s="102"/>
      <c r="BY931" s="102"/>
      <c r="BZ931" s="102"/>
      <c r="CA931" s="464"/>
      <c r="CB931" s="102"/>
      <c r="CC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474">
        <v>929.0</v>
      </c>
      <c r="AB932" s="474">
        <f t="shared" si="10"/>
        <v>934</v>
      </c>
      <c r="AC932" s="476">
        <f t="shared" si="11"/>
        <v>1244</v>
      </c>
      <c r="AD932" s="474">
        <f t="shared" si="12"/>
        <v>1551</v>
      </c>
      <c r="AE932" s="474">
        <f t="shared" si="13"/>
        <v>1022</v>
      </c>
      <c r="AF932" s="474">
        <f t="shared" si="14"/>
        <v>1244</v>
      </c>
      <c r="AG932" s="102"/>
      <c r="AH932" s="102"/>
      <c r="AI932" s="102"/>
      <c r="AJ932" s="102"/>
      <c r="AK932" s="102"/>
      <c r="AL932" s="102"/>
      <c r="AM932" s="102"/>
      <c r="AN932" s="102"/>
      <c r="AO932" s="102"/>
      <c r="AP932" s="102"/>
      <c r="AQ932" s="102"/>
      <c r="AR932" s="102"/>
      <c r="AS932" s="102"/>
      <c r="AT932" s="102"/>
      <c r="AU932" s="102"/>
      <c r="AV932" s="102"/>
      <c r="AW932" s="102"/>
      <c r="AX932" s="102"/>
      <c r="AY932" s="102"/>
      <c r="AZ932" s="102"/>
      <c r="BA932" s="102"/>
      <c r="BB932" s="102"/>
      <c r="BC932" s="102"/>
      <c r="BD932" s="102"/>
      <c r="BE932" s="102"/>
      <c r="BF932" s="102"/>
      <c r="BG932" s="102"/>
      <c r="BH932" s="102"/>
      <c r="BI932" s="102"/>
      <c r="BJ932" s="102"/>
      <c r="BK932" s="102"/>
      <c r="BL932" s="102"/>
      <c r="BM932" s="102"/>
      <c r="BN932" s="102"/>
      <c r="BO932" s="102"/>
      <c r="BP932" s="102"/>
      <c r="BQ932" s="102"/>
      <c r="BR932" s="102"/>
      <c r="BS932" s="102"/>
      <c r="BT932" s="102"/>
      <c r="BU932" s="102"/>
      <c r="BV932" s="102"/>
      <c r="BW932" s="102"/>
      <c r="BX932" s="102"/>
      <c r="BY932" s="102"/>
      <c r="BZ932" s="102"/>
      <c r="CA932" s="464"/>
      <c r="CB932" s="102"/>
      <c r="CC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474">
        <v>930.0</v>
      </c>
      <c r="AB933" s="474">
        <f t="shared" si="10"/>
        <v>935</v>
      </c>
      <c r="AC933" s="476">
        <f t="shared" si="11"/>
        <v>1246</v>
      </c>
      <c r="AD933" s="474">
        <f t="shared" si="12"/>
        <v>1553</v>
      </c>
      <c r="AE933" s="474">
        <f t="shared" si="13"/>
        <v>1023</v>
      </c>
      <c r="AF933" s="474">
        <f t="shared" si="14"/>
        <v>1246</v>
      </c>
      <c r="AG933" s="102"/>
      <c r="AH933" s="102"/>
      <c r="AI933" s="102"/>
      <c r="AJ933" s="102"/>
      <c r="AK933" s="102"/>
      <c r="AL933" s="102"/>
      <c r="AM933" s="102"/>
      <c r="AN933" s="102"/>
      <c r="AO933" s="102"/>
      <c r="AP933" s="102"/>
      <c r="AQ933" s="102"/>
      <c r="AR933" s="102"/>
      <c r="AS933" s="102"/>
      <c r="AT933" s="102"/>
      <c r="AU933" s="102"/>
      <c r="AV933" s="102"/>
      <c r="AW933" s="102"/>
      <c r="AX933" s="102"/>
      <c r="AY933" s="102"/>
      <c r="AZ933" s="102"/>
      <c r="BA933" s="102"/>
      <c r="BB933" s="102"/>
      <c r="BC933" s="102"/>
      <c r="BD933" s="102"/>
      <c r="BE933" s="102"/>
      <c r="BF933" s="102"/>
      <c r="BG933" s="102"/>
      <c r="BH933" s="102"/>
      <c r="BI933" s="102"/>
      <c r="BJ933" s="102"/>
      <c r="BK933" s="102"/>
      <c r="BL933" s="102"/>
      <c r="BM933" s="102"/>
      <c r="BN933" s="102"/>
      <c r="BO933" s="102"/>
      <c r="BP933" s="102"/>
      <c r="BQ933" s="102"/>
      <c r="BR933" s="102"/>
      <c r="BS933" s="102"/>
      <c r="BT933" s="102"/>
      <c r="BU933" s="102"/>
      <c r="BV933" s="102"/>
      <c r="BW933" s="102"/>
      <c r="BX933" s="102"/>
      <c r="BY933" s="102"/>
      <c r="BZ933" s="102"/>
      <c r="CA933" s="464"/>
      <c r="CB933" s="102"/>
      <c r="CC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474">
        <v>931.0</v>
      </c>
      <c r="AB934" s="474">
        <f t="shared" si="10"/>
        <v>936</v>
      </c>
      <c r="AC934" s="476">
        <f t="shared" si="11"/>
        <v>1247</v>
      </c>
      <c r="AD934" s="474">
        <f t="shared" si="12"/>
        <v>1554</v>
      </c>
      <c r="AE934" s="474">
        <f t="shared" si="13"/>
        <v>1025</v>
      </c>
      <c r="AF934" s="474">
        <f t="shared" si="14"/>
        <v>1247</v>
      </c>
      <c r="AG934" s="102"/>
      <c r="AH934" s="102"/>
      <c r="AI934" s="102"/>
      <c r="AJ934" s="102"/>
      <c r="AK934" s="102"/>
      <c r="AL934" s="102"/>
      <c r="AM934" s="102"/>
      <c r="AN934" s="102"/>
      <c r="AO934" s="102"/>
      <c r="AP934" s="102"/>
      <c r="AQ934" s="102"/>
      <c r="AR934" s="102"/>
      <c r="AS934" s="102"/>
      <c r="AT934" s="102"/>
      <c r="AU934" s="102"/>
      <c r="AV934" s="102"/>
      <c r="AW934" s="102"/>
      <c r="AX934" s="102"/>
      <c r="AY934" s="102"/>
      <c r="AZ934" s="102"/>
      <c r="BA934" s="102"/>
      <c r="BB934" s="102"/>
      <c r="BC934" s="102"/>
      <c r="BD934" s="102"/>
      <c r="BE934" s="102"/>
      <c r="BF934" s="102"/>
      <c r="BG934" s="102"/>
      <c r="BH934" s="102"/>
      <c r="BI934" s="102"/>
      <c r="BJ934" s="102"/>
      <c r="BK934" s="102"/>
      <c r="BL934" s="102"/>
      <c r="BM934" s="102"/>
      <c r="BN934" s="102"/>
      <c r="BO934" s="102"/>
      <c r="BP934" s="102"/>
      <c r="BQ934" s="102"/>
      <c r="BR934" s="102"/>
      <c r="BS934" s="102"/>
      <c r="BT934" s="102"/>
      <c r="BU934" s="102"/>
      <c r="BV934" s="102"/>
      <c r="BW934" s="102"/>
      <c r="BX934" s="102"/>
      <c r="BY934" s="102"/>
      <c r="BZ934" s="102"/>
      <c r="CA934" s="464"/>
      <c r="CB934" s="102"/>
      <c r="CC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474">
        <v>932.0</v>
      </c>
      <c r="AB935" s="474">
        <f t="shared" si="10"/>
        <v>937</v>
      </c>
      <c r="AC935" s="476">
        <f t="shared" si="11"/>
        <v>1248</v>
      </c>
      <c r="AD935" s="474">
        <f t="shared" si="12"/>
        <v>1556</v>
      </c>
      <c r="AE935" s="474">
        <f t="shared" si="13"/>
        <v>1026</v>
      </c>
      <c r="AF935" s="474">
        <f t="shared" si="14"/>
        <v>1248</v>
      </c>
      <c r="AG935" s="102"/>
      <c r="AH935" s="102"/>
      <c r="AI935" s="102"/>
      <c r="AJ935" s="102"/>
      <c r="AK935" s="102"/>
      <c r="AL935" s="102"/>
      <c r="AM935" s="102"/>
      <c r="AN935" s="102"/>
      <c r="AO935" s="102"/>
      <c r="AP935" s="102"/>
      <c r="AQ935" s="102"/>
      <c r="AR935" s="102"/>
      <c r="AS935" s="102"/>
      <c r="AT935" s="102"/>
      <c r="AU935" s="102"/>
      <c r="AV935" s="102"/>
      <c r="AW935" s="102"/>
      <c r="AX935" s="102"/>
      <c r="AY935" s="102"/>
      <c r="AZ935" s="102"/>
      <c r="BA935" s="102"/>
      <c r="BB935" s="102"/>
      <c r="BC935" s="102"/>
      <c r="BD935" s="102"/>
      <c r="BE935" s="102"/>
      <c r="BF935" s="102"/>
      <c r="BG935" s="102"/>
      <c r="BH935" s="102"/>
      <c r="BI935" s="102"/>
      <c r="BJ935" s="102"/>
      <c r="BK935" s="102"/>
      <c r="BL935" s="102"/>
      <c r="BM935" s="102"/>
      <c r="BN935" s="102"/>
      <c r="BO935" s="102"/>
      <c r="BP935" s="102"/>
      <c r="BQ935" s="102"/>
      <c r="BR935" s="102"/>
      <c r="BS935" s="102"/>
      <c r="BT935" s="102"/>
      <c r="BU935" s="102"/>
      <c r="BV935" s="102"/>
      <c r="BW935" s="102"/>
      <c r="BX935" s="102"/>
      <c r="BY935" s="102"/>
      <c r="BZ935" s="102"/>
      <c r="CA935" s="464"/>
      <c r="CB935" s="102"/>
      <c r="CC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474">
        <v>933.0</v>
      </c>
      <c r="AB936" s="474">
        <f t="shared" si="10"/>
        <v>938</v>
      </c>
      <c r="AC936" s="476">
        <f t="shared" si="11"/>
        <v>1250</v>
      </c>
      <c r="AD936" s="474">
        <f t="shared" si="12"/>
        <v>1558</v>
      </c>
      <c r="AE936" s="474">
        <f t="shared" si="13"/>
        <v>1027</v>
      </c>
      <c r="AF936" s="474">
        <f t="shared" si="14"/>
        <v>1250</v>
      </c>
      <c r="AG936" s="102"/>
      <c r="AH936" s="102"/>
      <c r="AI936" s="102"/>
      <c r="AJ936" s="102"/>
      <c r="AK936" s="102"/>
      <c r="AL936" s="102"/>
      <c r="AM936" s="102"/>
      <c r="AN936" s="102"/>
      <c r="AO936" s="102"/>
      <c r="AP936" s="102"/>
      <c r="AQ936" s="102"/>
      <c r="AR936" s="102"/>
      <c r="AS936" s="102"/>
      <c r="AT936" s="102"/>
      <c r="AU936" s="102"/>
      <c r="AV936" s="102"/>
      <c r="AW936" s="102"/>
      <c r="AX936" s="102"/>
      <c r="AY936" s="102"/>
      <c r="AZ936" s="102"/>
      <c r="BA936" s="102"/>
      <c r="BB936" s="102"/>
      <c r="BC936" s="102"/>
      <c r="BD936" s="102"/>
      <c r="BE936" s="102"/>
      <c r="BF936" s="102"/>
      <c r="BG936" s="102"/>
      <c r="BH936" s="102"/>
      <c r="BI936" s="102"/>
      <c r="BJ936" s="102"/>
      <c r="BK936" s="102"/>
      <c r="BL936" s="102"/>
      <c r="BM936" s="102"/>
      <c r="BN936" s="102"/>
      <c r="BO936" s="102"/>
      <c r="BP936" s="102"/>
      <c r="BQ936" s="102"/>
      <c r="BR936" s="102"/>
      <c r="BS936" s="102"/>
      <c r="BT936" s="102"/>
      <c r="BU936" s="102"/>
      <c r="BV936" s="102"/>
      <c r="BW936" s="102"/>
      <c r="BX936" s="102"/>
      <c r="BY936" s="102"/>
      <c r="BZ936" s="102"/>
      <c r="CA936" s="464"/>
      <c r="CB936" s="102"/>
      <c r="CC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474">
        <v>934.0</v>
      </c>
      <c r="AB937" s="474">
        <f t="shared" si="10"/>
        <v>939</v>
      </c>
      <c r="AC937" s="476">
        <f t="shared" si="11"/>
        <v>1251</v>
      </c>
      <c r="AD937" s="474">
        <f t="shared" si="12"/>
        <v>1559</v>
      </c>
      <c r="AE937" s="474">
        <f t="shared" si="13"/>
        <v>1028</v>
      </c>
      <c r="AF937" s="474">
        <f t="shared" si="14"/>
        <v>1251</v>
      </c>
      <c r="AG937" s="102"/>
      <c r="AH937" s="102"/>
      <c r="AI937" s="102"/>
      <c r="AJ937" s="102"/>
      <c r="AK937" s="102"/>
      <c r="AL937" s="102"/>
      <c r="AM937" s="102"/>
      <c r="AN937" s="102"/>
      <c r="AO937" s="102"/>
      <c r="AP937" s="102"/>
      <c r="AQ937" s="102"/>
      <c r="AR937" s="102"/>
      <c r="AS937" s="102"/>
      <c r="AT937" s="102"/>
      <c r="AU937" s="102"/>
      <c r="AV937" s="102"/>
      <c r="AW937" s="102"/>
      <c r="AX937" s="102"/>
      <c r="AY937" s="102"/>
      <c r="AZ937" s="102"/>
      <c r="BA937" s="102"/>
      <c r="BB937" s="102"/>
      <c r="BC937" s="102"/>
      <c r="BD937" s="102"/>
      <c r="BE937" s="102"/>
      <c r="BF937" s="102"/>
      <c r="BG937" s="102"/>
      <c r="BH937" s="102"/>
      <c r="BI937" s="102"/>
      <c r="BJ937" s="102"/>
      <c r="BK937" s="102"/>
      <c r="BL937" s="102"/>
      <c r="BM937" s="102"/>
      <c r="BN937" s="102"/>
      <c r="BO937" s="102"/>
      <c r="BP937" s="102"/>
      <c r="BQ937" s="102"/>
      <c r="BR937" s="102"/>
      <c r="BS937" s="102"/>
      <c r="BT937" s="102"/>
      <c r="BU937" s="102"/>
      <c r="BV937" s="102"/>
      <c r="BW937" s="102"/>
      <c r="BX937" s="102"/>
      <c r="BY937" s="102"/>
      <c r="BZ937" s="102"/>
      <c r="CA937" s="464"/>
      <c r="CB937" s="102"/>
      <c r="CC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474">
        <v>935.0</v>
      </c>
      <c r="AB938" s="474">
        <f t="shared" si="10"/>
        <v>940</v>
      </c>
      <c r="AC938" s="476">
        <f t="shared" si="11"/>
        <v>1252</v>
      </c>
      <c r="AD938" s="474">
        <f t="shared" si="12"/>
        <v>1561</v>
      </c>
      <c r="AE938" s="474">
        <f t="shared" si="13"/>
        <v>1029</v>
      </c>
      <c r="AF938" s="474">
        <f t="shared" si="14"/>
        <v>1252</v>
      </c>
      <c r="AG938" s="102"/>
      <c r="AH938" s="102"/>
      <c r="AI938" s="102"/>
      <c r="AJ938" s="102"/>
      <c r="AK938" s="102"/>
      <c r="AL938" s="102"/>
      <c r="AM938" s="102"/>
      <c r="AN938" s="102"/>
      <c r="AO938" s="102"/>
      <c r="AP938" s="102"/>
      <c r="AQ938" s="102"/>
      <c r="AR938" s="102"/>
      <c r="AS938" s="102"/>
      <c r="AT938" s="102"/>
      <c r="AU938" s="102"/>
      <c r="AV938" s="102"/>
      <c r="AW938" s="102"/>
      <c r="AX938" s="102"/>
      <c r="AY938" s="102"/>
      <c r="AZ938" s="102"/>
      <c r="BA938" s="102"/>
      <c r="BB938" s="102"/>
      <c r="BC938" s="102"/>
      <c r="BD938" s="102"/>
      <c r="BE938" s="102"/>
      <c r="BF938" s="102"/>
      <c r="BG938" s="102"/>
      <c r="BH938" s="102"/>
      <c r="BI938" s="102"/>
      <c r="BJ938" s="102"/>
      <c r="BK938" s="102"/>
      <c r="BL938" s="102"/>
      <c r="BM938" s="102"/>
      <c r="BN938" s="102"/>
      <c r="BO938" s="102"/>
      <c r="BP938" s="102"/>
      <c r="BQ938" s="102"/>
      <c r="BR938" s="102"/>
      <c r="BS938" s="102"/>
      <c r="BT938" s="102"/>
      <c r="BU938" s="102"/>
      <c r="BV938" s="102"/>
      <c r="BW938" s="102"/>
      <c r="BX938" s="102"/>
      <c r="BY938" s="102"/>
      <c r="BZ938" s="102"/>
      <c r="CA938" s="464"/>
      <c r="CB938" s="102"/>
      <c r="CC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474">
        <v>936.0</v>
      </c>
      <c r="AB939" s="474">
        <f t="shared" si="10"/>
        <v>941</v>
      </c>
      <c r="AC939" s="476">
        <f t="shared" si="11"/>
        <v>1254</v>
      </c>
      <c r="AD939" s="474">
        <f t="shared" si="12"/>
        <v>1563</v>
      </c>
      <c r="AE939" s="474">
        <f t="shared" si="13"/>
        <v>1030</v>
      </c>
      <c r="AF939" s="474">
        <f t="shared" si="14"/>
        <v>1254</v>
      </c>
      <c r="AG939" s="102"/>
      <c r="AH939" s="102"/>
      <c r="AI939" s="102"/>
      <c r="AJ939" s="102"/>
      <c r="AK939" s="102"/>
      <c r="AL939" s="102"/>
      <c r="AM939" s="102"/>
      <c r="AN939" s="102"/>
      <c r="AO939" s="102"/>
      <c r="AP939" s="102"/>
      <c r="AQ939" s="102"/>
      <c r="AR939" s="102"/>
      <c r="AS939" s="102"/>
      <c r="AT939" s="102"/>
      <c r="AU939" s="102"/>
      <c r="AV939" s="102"/>
      <c r="AW939" s="102"/>
      <c r="AX939" s="102"/>
      <c r="AY939" s="102"/>
      <c r="AZ939" s="102"/>
      <c r="BA939" s="102"/>
      <c r="BB939" s="102"/>
      <c r="BC939" s="102"/>
      <c r="BD939" s="102"/>
      <c r="BE939" s="102"/>
      <c r="BF939" s="102"/>
      <c r="BG939" s="102"/>
      <c r="BH939" s="102"/>
      <c r="BI939" s="102"/>
      <c r="BJ939" s="102"/>
      <c r="BK939" s="102"/>
      <c r="BL939" s="102"/>
      <c r="BM939" s="102"/>
      <c r="BN939" s="102"/>
      <c r="BO939" s="102"/>
      <c r="BP939" s="102"/>
      <c r="BQ939" s="102"/>
      <c r="BR939" s="102"/>
      <c r="BS939" s="102"/>
      <c r="BT939" s="102"/>
      <c r="BU939" s="102"/>
      <c r="BV939" s="102"/>
      <c r="BW939" s="102"/>
      <c r="BX939" s="102"/>
      <c r="BY939" s="102"/>
      <c r="BZ939" s="102"/>
      <c r="CA939" s="464"/>
      <c r="CB939" s="102"/>
      <c r="CC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474">
        <v>937.0</v>
      </c>
      <c r="AB940" s="474">
        <f t="shared" si="10"/>
        <v>942</v>
      </c>
      <c r="AC940" s="476">
        <f t="shared" si="11"/>
        <v>1255</v>
      </c>
      <c r="AD940" s="474">
        <f t="shared" si="12"/>
        <v>1564</v>
      </c>
      <c r="AE940" s="474">
        <f t="shared" si="13"/>
        <v>1031</v>
      </c>
      <c r="AF940" s="474">
        <f t="shared" si="14"/>
        <v>1255</v>
      </c>
      <c r="AG940" s="102"/>
      <c r="AH940" s="102"/>
      <c r="AI940" s="102"/>
      <c r="AJ940" s="102"/>
      <c r="AK940" s="102"/>
      <c r="AL940" s="102"/>
      <c r="AM940" s="102"/>
      <c r="AN940" s="102"/>
      <c r="AO940" s="102"/>
      <c r="AP940" s="102"/>
      <c r="AQ940" s="102"/>
      <c r="AR940" s="102"/>
      <c r="AS940" s="102"/>
      <c r="AT940" s="102"/>
      <c r="AU940" s="102"/>
      <c r="AV940" s="102"/>
      <c r="AW940" s="102"/>
      <c r="AX940" s="102"/>
      <c r="AY940" s="102"/>
      <c r="AZ940" s="102"/>
      <c r="BA940" s="102"/>
      <c r="BB940" s="102"/>
      <c r="BC940" s="102"/>
      <c r="BD940" s="102"/>
      <c r="BE940" s="102"/>
      <c r="BF940" s="102"/>
      <c r="BG940" s="102"/>
      <c r="BH940" s="102"/>
      <c r="BI940" s="102"/>
      <c r="BJ940" s="102"/>
      <c r="BK940" s="102"/>
      <c r="BL940" s="102"/>
      <c r="BM940" s="102"/>
      <c r="BN940" s="102"/>
      <c r="BO940" s="102"/>
      <c r="BP940" s="102"/>
      <c r="BQ940" s="102"/>
      <c r="BR940" s="102"/>
      <c r="BS940" s="102"/>
      <c r="BT940" s="102"/>
      <c r="BU940" s="102"/>
      <c r="BV940" s="102"/>
      <c r="BW940" s="102"/>
      <c r="BX940" s="102"/>
      <c r="BY940" s="102"/>
      <c r="BZ940" s="102"/>
      <c r="CA940" s="464"/>
      <c r="CB940" s="102"/>
      <c r="CC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474">
        <v>938.0</v>
      </c>
      <c r="AB941" s="474">
        <f t="shared" si="10"/>
        <v>943</v>
      </c>
      <c r="AC941" s="476">
        <f t="shared" si="11"/>
        <v>1256</v>
      </c>
      <c r="AD941" s="474">
        <f t="shared" si="12"/>
        <v>1566</v>
      </c>
      <c r="AE941" s="474">
        <f t="shared" si="13"/>
        <v>1032</v>
      </c>
      <c r="AF941" s="474">
        <f t="shared" si="14"/>
        <v>1256</v>
      </c>
      <c r="AG941" s="102"/>
      <c r="AH941" s="102"/>
      <c r="AI941" s="102"/>
      <c r="AJ941" s="102"/>
      <c r="AK941" s="102"/>
      <c r="AL941" s="102"/>
      <c r="AM941" s="102"/>
      <c r="AN941" s="102"/>
      <c r="AO941" s="102"/>
      <c r="AP941" s="102"/>
      <c r="AQ941" s="102"/>
      <c r="AR941" s="102"/>
      <c r="AS941" s="102"/>
      <c r="AT941" s="102"/>
      <c r="AU941" s="102"/>
      <c r="AV941" s="102"/>
      <c r="AW941" s="102"/>
      <c r="AX941" s="102"/>
      <c r="AY941" s="102"/>
      <c r="AZ941" s="102"/>
      <c r="BA941" s="102"/>
      <c r="BB941" s="102"/>
      <c r="BC941" s="102"/>
      <c r="BD941" s="102"/>
      <c r="BE941" s="102"/>
      <c r="BF941" s="102"/>
      <c r="BG941" s="102"/>
      <c r="BH941" s="102"/>
      <c r="BI941" s="102"/>
      <c r="BJ941" s="102"/>
      <c r="BK941" s="102"/>
      <c r="BL941" s="102"/>
      <c r="BM941" s="102"/>
      <c r="BN941" s="102"/>
      <c r="BO941" s="102"/>
      <c r="BP941" s="102"/>
      <c r="BQ941" s="102"/>
      <c r="BR941" s="102"/>
      <c r="BS941" s="102"/>
      <c r="BT941" s="102"/>
      <c r="BU941" s="102"/>
      <c r="BV941" s="102"/>
      <c r="BW941" s="102"/>
      <c r="BX941" s="102"/>
      <c r="BY941" s="102"/>
      <c r="BZ941" s="102"/>
      <c r="CA941" s="464"/>
      <c r="CB941" s="102"/>
      <c r="CC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474">
        <v>939.0</v>
      </c>
      <c r="AB942" s="474">
        <f t="shared" si="10"/>
        <v>944</v>
      </c>
      <c r="AC942" s="476">
        <f t="shared" si="11"/>
        <v>1258</v>
      </c>
      <c r="AD942" s="474">
        <f t="shared" si="12"/>
        <v>1568</v>
      </c>
      <c r="AE942" s="474">
        <f t="shared" si="13"/>
        <v>1033</v>
      </c>
      <c r="AF942" s="474">
        <f t="shared" si="14"/>
        <v>1258</v>
      </c>
      <c r="AG942" s="102"/>
      <c r="AH942" s="102"/>
      <c r="AI942" s="102"/>
      <c r="AJ942" s="102"/>
      <c r="AK942" s="102"/>
      <c r="AL942" s="102"/>
      <c r="AM942" s="102"/>
      <c r="AN942" s="102"/>
      <c r="AO942" s="102"/>
      <c r="AP942" s="102"/>
      <c r="AQ942" s="102"/>
      <c r="AR942" s="102"/>
      <c r="AS942" s="102"/>
      <c r="AT942" s="102"/>
      <c r="AU942" s="102"/>
      <c r="AV942" s="102"/>
      <c r="AW942" s="102"/>
      <c r="AX942" s="102"/>
      <c r="AY942" s="102"/>
      <c r="AZ942" s="102"/>
      <c r="BA942" s="102"/>
      <c r="BB942" s="102"/>
      <c r="BC942" s="102"/>
      <c r="BD942" s="102"/>
      <c r="BE942" s="102"/>
      <c r="BF942" s="102"/>
      <c r="BG942" s="102"/>
      <c r="BH942" s="102"/>
      <c r="BI942" s="102"/>
      <c r="BJ942" s="102"/>
      <c r="BK942" s="102"/>
      <c r="BL942" s="102"/>
      <c r="BM942" s="102"/>
      <c r="BN942" s="102"/>
      <c r="BO942" s="102"/>
      <c r="BP942" s="102"/>
      <c r="BQ942" s="102"/>
      <c r="BR942" s="102"/>
      <c r="BS942" s="102"/>
      <c r="BT942" s="102"/>
      <c r="BU942" s="102"/>
      <c r="BV942" s="102"/>
      <c r="BW942" s="102"/>
      <c r="BX942" s="102"/>
      <c r="BY942" s="102"/>
      <c r="BZ942" s="102"/>
      <c r="CA942" s="464"/>
      <c r="CB942" s="102"/>
      <c r="CC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474">
        <v>940.0</v>
      </c>
      <c r="AB943" s="474">
        <f t="shared" si="10"/>
        <v>945</v>
      </c>
      <c r="AC943" s="476">
        <f t="shared" si="11"/>
        <v>1259</v>
      </c>
      <c r="AD943" s="474">
        <f t="shared" si="12"/>
        <v>1569</v>
      </c>
      <c r="AE943" s="474">
        <f t="shared" si="13"/>
        <v>1034</v>
      </c>
      <c r="AF943" s="474">
        <f t="shared" si="14"/>
        <v>1259</v>
      </c>
      <c r="AG943" s="102"/>
      <c r="AH943" s="102"/>
      <c r="AI943" s="102"/>
      <c r="AJ943" s="102"/>
      <c r="AK943" s="102"/>
      <c r="AL943" s="102"/>
      <c r="AM943" s="102"/>
      <c r="AN943" s="102"/>
      <c r="AO943" s="102"/>
      <c r="AP943" s="102"/>
      <c r="AQ943" s="102"/>
      <c r="AR943" s="102"/>
      <c r="AS943" s="102"/>
      <c r="AT943" s="102"/>
      <c r="AU943" s="102"/>
      <c r="AV943" s="102"/>
      <c r="AW943" s="102"/>
      <c r="AX943" s="102"/>
      <c r="AY943" s="102"/>
      <c r="AZ943" s="102"/>
      <c r="BA943" s="102"/>
      <c r="BB943" s="102"/>
      <c r="BC943" s="102"/>
      <c r="BD943" s="102"/>
      <c r="BE943" s="102"/>
      <c r="BF943" s="102"/>
      <c r="BG943" s="102"/>
      <c r="BH943" s="102"/>
      <c r="BI943" s="102"/>
      <c r="BJ943" s="102"/>
      <c r="BK943" s="102"/>
      <c r="BL943" s="102"/>
      <c r="BM943" s="102"/>
      <c r="BN943" s="102"/>
      <c r="BO943" s="102"/>
      <c r="BP943" s="102"/>
      <c r="BQ943" s="102"/>
      <c r="BR943" s="102"/>
      <c r="BS943" s="102"/>
      <c r="BT943" s="102"/>
      <c r="BU943" s="102"/>
      <c r="BV943" s="102"/>
      <c r="BW943" s="102"/>
      <c r="BX943" s="102"/>
      <c r="BY943" s="102"/>
      <c r="BZ943" s="102"/>
      <c r="CA943" s="464"/>
      <c r="CB943" s="102"/>
      <c r="CC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474">
        <v>941.0</v>
      </c>
      <c r="AB944" s="474">
        <f t="shared" si="10"/>
        <v>946</v>
      </c>
      <c r="AC944" s="476">
        <f t="shared" si="11"/>
        <v>1260</v>
      </c>
      <c r="AD944" s="474">
        <f t="shared" si="12"/>
        <v>1571</v>
      </c>
      <c r="AE944" s="474">
        <f t="shared" si="13"/>
        <v>1036</v>
      </c>
      <c r="AF944" s="474">
        <f t="shared" si="14"/>
        <v>1260</v>
      </c>
      <c r="AG944" s="102"/>
      <c r="AH944" s="102"/>
      <c r="AI944" s="102"/>
      <c r="AJ944" s="102"/>
      <c r="AK944" s="102"/>
      <c r="AL944" s="102"/>
      <c r="AM944" s="102"/>
      <c r="AN944" s="102"/>
      <c r="AO944" s="102"/>
      <c r="AP944" s="102"/>
      <c r="AQ944" s="102"/>
      <c r="AR944" s="102"/>
      <c r="AS944" s="102"/>
      <c r="AT944" s="102"/>
      <c r="AU944" s="102"/>
      <c r="AV944" s="102"/>
      <c r="AW944" s="102"/>
      <c r="AX944" s="102"/>
      <c r="AY944" s="102"/>
      <c r="AZ944" s="102"/>
      <c r="BA944" s="102"/>
      <c r="BB944" s="102"/>
      <c r="BC944" s="102"/>
      <c r="BD944" s="102"/>
      <c r="BE944" s="102"/>
      <c r="BF944" s="102"/>
      <c r="BG944" s="102"/>
      <c r="BH944" s="102"/>
      <c r="BI944" s="102"/>
      <c r="BJ944" s="102"/>
      <c r="BK944" s="102"/>
      <c r="BL944" s="102"/>
      <c r="BM944" s="102"/>
      <c r="BN944" s="102"/>
      <c r="BO944" s="102"/>
      <c r="BP944" s="102"/>
      <c r="BQ944" s="102"/>
      <c r="BR944" s="102"/>
      <c r="BS944" s="102"/>
      <c r="BT944" s="102"/>
      <c r="BU944" s="102"/>
      <c r="BV944" s="102"/>
      <c r="BW944" s="102"/>
      <c r="BX944" s="102"/>
      <c r="BY944" s="102"/>
      <c r="BZ944" s="102"/>
      <c r="CA944" s="464"/>
      <c r="CB944" s="102"/>
      <c r="CC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474">
        <v>942.0</v>
      </c>
      <c r="AB945" s="474">
        <f t="shared" si="10"/>
        <v>947</v>
      </c>
      <c r="AC945" s="476">
        <f t="shared" si="11"/>
        <v>1262</v>
      </c>
      <c r="AD945" s="474">
        <f t="shared" si="12"/>
        <v>1573</v>
      </c>
      <c r="AE945" s="474">
        <f t="shared" si="13"/>
        <v>1037</v>
      </c>
      <c r="AF945" s="474">
        <f t="shared" si="14"/>
        <v>1262</v>
      </c>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c r="BO945" s="102"/>
      <c r="BP945" s="102"/>
      <c r="BQ945" s="102"/>
      <c r="BR945" s="102"/>
      <c r="BS945" s="102"/>
      <c r="BT945" s="102"/>
      <c r="BU945" s="102"/>
      <c r="BV945" s="102"/>
      <c r="BW945" s="102"/>
      <c r="BX945" s="102"/>
      <c r="BY945" s="102"/>
      <c r="BZ945" s="102"/>
      <c r="CA945" s="464"/>
      <c r="CB945" s="102"/>
      <c r="CC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474">
        <v>943.0</v>
      </c>
      <c r="AB946" s="474">
        <f t="shared" si="10"/>
        <v>948</v>
      </c>
      <c r="AC946" s="476">
        <f t="shared" si="11"/>
        <v>1263</v>
      </c>
      <c r="AD946" s="474">
        <f t="shared" si="12"/>
        <v>1574</v>
      </c>
      <c r="AE946" s="474">
        <f t="shared" si="13"/>
        <v>1038</v>
      </c>
      <c r="AF946" s="474">
        <f t="shared" si="14"/>
        <v>1263</v>
      </c>
      <c r="AG946" s="102"/>
      <c r="AH946" s="102"/>
      <c r="AI946" s="102"/>
      <c r="AJ946" s="102"/>
      <c r="AK946" s="102"/>
      <c r="AL946" s="102"/>
      <c r="AM946" s="102"/>
      <c r="AN946" s="102"/>
      <c r="AO946" s="102"/>
      <c r="AP946" s="102"/>
      <c r="AQ946" s="102"/>
      <c r="AR946" s="102"/>
      <c r="AS946" s="102"/>
      <c r="AT946" s="102"/>
      <c r="AU946" s="102"/>
      <c r="AV946" s="102"/>
      <c r="AW946" s="102"/>
      <c r="AX946" s="102"/>
      <c r="AY946" s="102"/>
      <c r="AZ946" s="102"/>
      <c r="BA946" s="102"/>
      <c r="BB946" s="102"/>
      <c r="BC946" s="102"/>
      <c r="BD946" s="102"/>
      <c r="BE946" s="102"/>
      <c r="BF946" s="102"/>
      <c r="BG946" s="102"/>
      <c r="BH946" s="102"/>
      <c r="BI946" s="102"/>
      <c r="BJ946" s="102"/>
      <c r="BK946" s="102"/>
      <c r="BL946" s="102"/>
      <c r="BM946" s="102"/>
      <c r="BN946" s="102"/>
      <c r="BO946" s="102"/>
      <c r="BP946" s="102"/>
      <c r="BQ946" s="102"/>
      <c r="BR946" s="102"/>
      <c r="BS946" s="102"/>
      <c r="BT946" s="102"/>
      <c r="BU946" s="102"/>
      <c r="BV946" s="102"/>
      <c r="BW946" s="102"/>
      <c r="BX946" s="102"/>
      <c r="BY946" s="102"/>
      <c r="BZ946" s="102"/>
      <c r="CA946" s="464"/>
      <c r="CB946" s="102"/>
      <c r="CC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474">
        <v>944.0</v>
      </c>
      <c r="AB947" s="474">
        <f t="shared" si="10"/>
        <v>949</v>
      </c>
      <c r="AC947" s="476">
        <f t="shared" si="11"/>
        <v>1264</v>
      </c>
      <c r="AD947" s="474">
        <f t="shared" si="12"/>
        <v>1576</v>
      </c>
      <c r="AE947" s="474">
        <f t="shared" si="13"/>
        <v>1039</v>
      </c>
      <c r="AF947" s="474">
        <f t="shared" si="14"/>
        <v>1264</v>
      </c>
      <c r="AG947" s="102"/>
      <c r="AH947" s="102"/>
      <c r="AI947" s="102"/>
      <c r="AJ947" s="102"/>
      <c r="AK947" s="102"/>
      <c r="AL947" s="102"/>
      <c r="AM947" s="102"/>
      <c r="AN947" s="102"/>
      <c r="AO947" s="102"/>
      <c r="AP947" s="102"/>
      <c r="AQ947" s="102"/>
      <c r="AR947" s="102"/>
      <c r="AS947" s="102"/>
      <c r="AT947" s="102"/>
      <c r="AU947" s="102"/>
      <c r="AV947" s="102"/>
      <c r="AW947" s="102"/>
      <c r="AX947" s="102"/>
      <c r="AY947" s="102"/>
      <c r="AZ947" s="102"/>
      <c r="BA947" s="102"/>
      <c r="BB947" s="102"/>
      <c r="BC947" s="102"/>
      <c r="BD947" s="102"/>
      <c r="BE947" s="102"/>
      <c r="BF947" s="102"/>
      <c r="BG947" s="102"/>
      <c r="BH947" s="102"/>
      <c r="BI947" s="102"/>
      <c r="BJ947" s="102"/>
      <c r="BK947" s="102"/>
      <c r="BL947" s="102"/>
      <c r="BM947" s="102"/>
      <c r="BN947" s="102"/>
      <c r="BO947" s="102"/>
      <c r="BP947" s="102"/>
      <c r="BQ947" s="102"/>
      <c r="BR947" s="102"/>
      <c r="BS947" s="102"/>
      <c r="BT947" s="102"/>
      <c r="BU947" s="102"/>
      <c r="BV947" s="102"/>
      <c r="BW947" s="102"/>
      <c r="BX947" s="102"/>
      <c r="BY947" s="102"/>
      <c r="BZ947" s="102"/>
      <c r="CA947" s="464"/>
      <c r="CB947" s="102"/>
      <c r="CC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474">
        <v>945.0</v>
      </c>
      <c r="AB948" s="474">
        <f t="shared" si="10"/>
        <v>950</v>
      </c>
      <c r="AC948" s="476">
        <f t="shared" si="11"/>
        <v>1266</v>
      </c>
      <c r="AD948" s="474">
        <f t="shared" si="12"/>
        <v>1578</v>
      </c>
      <c r="AE948" s="474">
        <f t="shared" si="13"/>
        <v>1040</v>
      </c>
      <c r="AF948" s="474">
        <f t="shared" si="14"/>
        <v>1266</v>
      </c>
      <c r="AG948" s="102"/>
      <c r="AH948" s="102"/>
      <c r="AI948" s="102"/>
      <c r="AJ948" s="102"/>
      <c r="AK948" s="102"/>
      <c r="AL948" s="102"/>
      <c r="AM948" s="102"/>
      <c r="AN948" s="102"/>
      <c r="AO948" s="102"/>
      <c r="AP948" s="102"/>
      <c r="AQ948" s="102"/>
      <c r="AR948" s="102"/>
      <c r="AS948" s="102"/>
      <c r="AT948" s="102"/>
      <c r="AU948" s="102"/>
      <c r="AV948" s="102"/>
      <c r="AW948" s="102"/>
      <c r="AX948" s="102"/>
      <c r="AY948" s="102"/>
      <c r="AZ948" s="102"/>
      <c r="BA948" s="102"/>
      <c r="BB948" s="102"/>
      <c r="BC948" s="102"/>
      <c r="BD948" s="102"/>
      <c r="BE948" s="102"/>
      <c r="BF948" s="102"/>
      <c r="BG948" s="102"/>
      <c r="BH948" s="102"/>
      <c r="BI948" s="102"/>
      <c r="BJ948" s="102"/>
      <c r="BK948" s="102"/>
      <c r="BL948" s="102"/>
      <c r="BM948" s="102"/>
      <c r="BN948" s="102"/>
      <c r="BO948" s="102"/>
      <c r="BP948" s="102"/>
      <c r="BQ948" s="102"/>
      <c r="BR948" s="102"/>
      <c r="BS948" s="102"/>
      <c r="BT948" s="102"/>
      <c r="BU948" s="102"/>
      <c r="BV948" s="102"/>
      <c r="BW948" s="102"/>
      <c r="BX948" s="102"/>
      <c r="BY948" s="102"/>
      <c r="BZ948" s="102"/>
      <c r="CA948" s="464"/>
      <c r="CB948" s="102"/>
      <c r="CC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474">
        <v>946.0</v>
      </c>
      <c r="AB949" s="474">
        <f t="shared" si="10"/>
        <v>951</v>
      </c>
      <c r="AC949" s="476">
        <f t="shared" si="11"/>
        <v>1267</v>
      </c>
      <c r="AD949" s="474">
        <f t="shared" si="12"/>
        <v>1579</v>
      </c>
      <c r="AE949" s="474">
        <f t="shared" si="13"/>
        <v>1041</v>
      </c>
      <c r="AF949" s="474">
        <f t="shared" si="14"/>
        <v>1267</v>
      </c>
      <c r="AG949" s="102"/>
      <c r="AH949" s="102"/>
      <c r="AI949" s="102"/>
      <c r="AJ949" s="102"/>
      <c r="AK949" s="102"/>
      <c r="AL949" s="102"/>
      <c r="AM949" s="102"/>
      <c r="AN949" s="102"/>
      <c r="AO949" s="102"/>
      <c r="AP949" s="102"/>
      <c r="AQ949" s="102"/>
      <c r="AR949" s="102"/>
      <c r="AS949" s="102"/>
      <c r="AT949" s="102"/>
      <c r="AU949" s="102"/>
      <c r="AV949" s="102"/>
      <c r="AW949" s="102"/>
      <c r="AX949" s="102"/>
      <c r="AY949" s="102"/>
      <c r="AZ949" s="102"/>
      <c r="BA949" s="102"/>
      <c r="BB949" s="102"/>
      <c r="BC949" s="102"/>
      <c r="BD949" s="102"/>
      <c r="BE949" s="102"/>
      <c r="BF949" s="102"/>
      <c r="BG949" s="102"/>
      <c r="BH949" s="102"/>
      <c r="BI949" s="102"/>
      <c r="BJ949" s="102"/>
      <c r="BK949" s="102"/>
      <c r="BL949" s="102"/>
      <c r="BM949" s="102"/>
      <c r="BN949" s="102"/>
      <c r="BO949" s="102"/>
      <c r="BP949" s="102"/>
      <c r="BQ949" s="102"/>
      <c r="BR949" s="102"/>
      <c r="BS949" s="102"/>
      <c r="BT949" s="102"/>
      <c r="BU949" s="102"/>
      <c r="BV949" s="102"/>
      <c r="BW949" s="102"/>
      <c r="BX949" s="102"/>
      <c r="BY949" s="102"/>
      <c r="BZ949" s="102"/>
      <c r="CA949" s="464"/>
      <c r="CB949" s="102"/>
      <c r="CC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474">
        <v>947.0</v>
      </c>
      <c r="AB950" s="474">
        <f t="shared" si="10"/>
        <v>952</v>
      </c>
      <c r="AC950" s="476">
        <f t="shared" si="11"/>
        <v>1268</v>
      </c>
      <c r="AD950" s="474">
        <f t="shared" si="12"/>
        <v>1581</v>
      </c>
      <c r="AE950" s="474">
        <f t="shared" si="13"/>
        <v>1042</v>
      </c>
      <c r="AF950" s="474">
        <f t="shared" si="14"/>
        <v>1268</v>
      </c>
      <c r="AG950" s="102"/>
      <c r="AH950" s="102"/>
      <c r="AI950" s="102"/>
      <c r="AJ950" s="102"/>
      <c r="AK950" s="102"/>
      <c r="AL950" s="102"/>
      <c r="AM950" s="102"/>
      <c r="AN950" s="102"/>
      <c r="AO950" s="102"/>
      <c r="AP950" s="102"/>
      <c r="AQ950" s="102"/>
      <c r="AR950" s="102"/>
      <c r="AS950" s="102"/>
      <c r="AT950" s="102"/>
      <c r="AU950" s="102"/>
      <c r="AV950" s="102"/>
      <c r="AW950" s="102"/>
      <c r="AX950" s="102"/>
      <c r="AY950" s="102"/>
      <c r="AZ950" s="102"/>
      <c r="BA950" s="102"/>
      <c r="BB950" s="102"/>
      <c r="BC950" s="102"/>
      <c r="BD950" s="102"/>
      <c r="BE950" s="102"/>
      <c r="BF950" s="102"/>
      <c r="BG950" s="102"/>
      <c r="BH950" s="102"/>
      <c r="BI950" s="102"/>
      <c r="BJ950" s="102"/>
      <c r="BK950" s="102"/>
      <c r="BL950" s="102"/>
      <c r="BM950" s="102"/>
      <c r="BN950" s="102"/>
      <c r="BO950" s="102"/>
      <c r="BP950" s="102"/>
      <c r="BQ950" s="102"/>
      <c r="BR950" s="102"/>
      <c r="BS950" s="102"/>
      <c r="BT950" s="102"/>
      <c r="BU950" s="102"/>
      <c r="BV950" s="102"/>
      <c r="BW950" s="102"/>
      <c r="BX950" s="102"/>
      <c r="BY950" s="102"/>
      <c r="BZ950" s="102"/>
      <c r="CA950" s="464"/>
      <c r="CB950" s="102"/>
      <c r="CC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474">
        <v>948.0</v>
      </c>
      <c r="AB951" s="474">
        <f t="shared" si="10"/>
        <v>953</v>
      </c>
      <c r="AC951" s="476">
        <f t="shared" si="11"/>
        <v>1270</v>
      </c>
      <c r="AD951" s="474">
        <f t="shared" si="12"/>
        <v>1583</v>
      </c>
      <c r="AE951" s="474">
        <f t="shared" si="13"/>
        <v>1043</v>
      </c>
      <c r="AF951" s="474">
        <f t="shared" si="14"/>
        <v>1270</v>
      </c>
      <c r="AG951" s="102"/>
      <c r="AH951" s="102"/>
      <c r="AI951" s="102"/>
      <c r="AJ951" s="102"/>
      <c r="AK951" s="102"/>
      <c r="AL951" s="102"/>
      <c r="AM951" s="102"/>
      <c r="AN951" s="102"/>
      <c r="AO951" s="102"/>
      <c r="AP951" s="102"/>
      <c r="AQ951" s="102"/>
      <c r="AR951" s="102"/>
      <c r="AS951" s="102"/>
      <c r="AT951" s="102"/>
      <c r="AU951" s="102"/>
      <c r="AV951" s="102"/>
      <c r="AW951" s="102"/>
      <c r="AX951" s="102"/>
      <c r="AY951" s="102"/>
      <c r="AZ951" s="102"/>
      <c r="BA951" s="102"/>
      <c r="BB951" s="102"/>
      <c r="BC951" s="102"/>
      <c r="BD951" s="102"/>
      <c r="BE951" s="102"/>
      <c r="BF951" s="102"/>
      <c r="BG951" s="102"/>
      <c r="BH951" s="102"/>
      <c r="BI951" s="102"/>
      <c r="BJ951" s="102"/>
      <c r="BK951" s="102"/>
      <c r="BL951" s="102"/>
      <c r="BM951" s="102"/>
      <c r="BN951" s="102"/>
      <c r="BO951" s="102"/>
      <c r="BP951" s="102"/>
      <c r="BQ951" s="102"/>
      <c r="BR951" s="102"/>
      <c r="BS951" s="102"/>
      <c r="BT951" s="102"/>
      <c r="BU951" s="102"/>
      <c r="BV951" s="102"/>
      <c r="BW951" s="102"/>
      <c r="BX951" s="102"/>
      <c r="BY951" s="102"/>
      <c r="BZ951" s="102"/>
      <c r="CA951" s="464"/>
      <c r="CB951" s="102"/>
      <c r="CC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474">
        <v>949.0</v>
      </c>
      <c r="AB952" s="474">
        <f t="shared" si="10"/>
        <v>954</v>
      </c>
      <c r="AC952" s="476">
        <f t="shared" si="11"/>
        <v>1271</v>
      </c>
      <c r="AD952" s="474">
        <f t="shared" si="12"/>
        <v>1584</v>
      </c>
      <c r="AE952" s="474">
        <f t="shared" si="13"/>
        <v>1044</v>
      </c>
      <c r="AF952" s="474">
        <f t="shared" si="14"/>
        <v>1271</v>
      </c>
      <c r="AG952" s="102"/>
      <c r="AH952" s="102"/>
      <c r="AI952" s="102"/>
      <c r="AJ952" s="102"/>
      <c r="AK952" s="102"/>
      <c r="AL952" s="102"/>
      <c r="AM952" s="102"/>
      <c r="AN952" s="102"/>
      <c r="AO952" s="102"/>
      <c r="AP952" s="102"/>
      <c r="AQ952" s="102"/>
      <c r="AR952" s="102"/>
      <c r="AS952" s="102"/>
      <c r="AT952" s="102"/>
      <c r="AU952" s="102"/>
      <c r="AV952" s="102"/>
      <c r="AW952" s="102"/>
      <c r="AX952" s="102"/>
      <c r="AY952" s="102"/>
      <c r="AZ952" s="102"/>
      <c r="BA952" s="102"/>
      <c r="BB952" s="102"/>
      <c r="BC952" s="102"/>
      <c r="BD952" s="102"/>
      <c r="BE952" s="102"/>
      <c r="BF952" s="102"/>
      <c r="BG952" s="102"/>
      <c r="BH952" s="102"/>
      <c r="BI952" s="102"/>
      <c r="BJ952" s="102"/>
      <c r="BK952" s="102"/>
      <c r="BL952" s="102"/>
      <c r="BM952" s="102"/>
      <c r="BN952" s="102"/>
      <c r="BO952" s="102"/>
      <c r="BP952" s="102"/>
      <c r="BQ952" s="102"/>
      <c r="BR952" s="102"/>
      <c r="BS952" s="102"/>
      <c r="BT952" s="102"/>
      <c r="BU952" s="102"/>
      <c r="BV952" s="102"/>
      <c r="BW952" s="102"/>
      <c r="BX952" s="102"/>
      <c r="BY952" s="102"/>
      <c r="BZ952" s="102"/>
      <c r="CA952" s="464"/>
      <c r="CB952" s="102"/>
      <c r="CC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474">
        <v>950.0</v>
      </c>
      <c r="AB953" s="474">
        <f t="shared" si="10"/>
        <v>955</v>
      </c>
      <c r="AC953" s="476">
        <f t="shared" si="11"/>
        <v>1273</v>
      </c>
      <c r="AD953" s="474">
        <f t="shared" si="12"/>
        <v>1586</v>
      </c>
      <c r="AE953" s="474">
        <f t="shared" si="13"/>
        <v>1045</v>
      </c>
      <c r="AF953" s="474">
        <f t="shared" si="14"/>
        <v>1273</v>
      </c>
      <c r="AG953" s="102"/>
      <c r="AH953" s="102"/>
      <c r="AI953" s="102"/>
      <c r="AJ953" s="102"/>
      <c r="AK953" s="102"/>
      <c r="AL953" s="102"/>
      <c r="AM953" s="102"/>
      <c r="AN953" s="102"/>
      <c r="AO953" s="102"/>
      <c r="AP953" s="102"/>
      <c r="AQ953" s="102"/>
      <c r="AR953" s="102"/>
      <c r="AS953" s="102"/>
      <c r="AT953" s="102"/>
      <c r="AU953" s="102"/>
      <c r="AV953" s="102"/>
      <c r="AW953" s="102"/>
      <c r="AX953" s="102"/>
      <c r="AY953" s="102"/>
      <c r="AZ953" s="102"/>
      <c r="BA953" s="102"/>
      <c r="BB953" s="102"/>
      <c r="BC953" s="102"/>
      <c r="BD953" s="102"/>
      <c r="BE953" s="102"/>
      <c r="BF953" s="102"/>
      <c r="BG953" s="102"/>
      <c r="BH953" s="102"/>
      <c r="BI953" s="102"/>
      <c r="BJ953" s="102"/>
      <c r="BK953" s="102"/>
      <c r="BL953" s="102"/>
      <c r="BM953" s="102"/>
      <c r="BN953" s="102"/>
      <c r="BO953" s="102"/>
      <c r="BP953" s="102"/>
      <c r="BQ953" s="102"/>
      <c r="BR953" s="102"/>
      <c r="BS953" s="102"/>
      <c r="BT953" s="102"/>
      <c r="BU953" s="102"/>
      <c r="BV953" s="102"/>
      <c r="BW953" s="102"/>
      <c r="BX953" s="102"/>
      <c r="BY953" s="102"/>
      <c r="BZ953" s="102"/>
      <c r="CA953" s="464"/>
      <c r="CB953" s="102"/>
      <c r="CC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474">
        <v>951.0</v>
      </c>
      <c r="AB954" s="474">
        <f t="shared" si="10"/>
        <v>956</v>
      </c>
      <c r="AC954" s="476">
        <f t="shared" si="11"/>
        <v>1274</v>
      </c>
      <c r="AD954" s="474">
        <f t="shared" si="12"/>
        <v>1588</v>
      </c>
      <c r="AE954" s="474">
        <f t="shared" si="13"/>
        <v>1047</v>
      </c>
      <c r="AF954" s="474">
        <f t="shared" si="14"/>
        <v>1274</v>
      </c>
      <c r="AG954" s="102"/>
      <c r="AH954" s="102"/>
      <c r="AI954" s="102"/>
      <c r="AJ954" s="102"/>
      <c r="AK954" s="102"/>
      <c r="AL954" s="102"/>
      <c r="AM954" s="102"/>
      <c r="AN954" s="102"/>
      <c r="AO954" s="102"/>
      <c r="AP954" s="102"/>
      <c r="AQ954" s="102"/>
      <c r="AR954" s="102"/>
      <c r="AS954" s="102"/>
      <c r="AT954" s="102"/>
      <c r="AU954" s="102"/>
      <c r="AV954" s="102"/>
      <c r="AW954" s="102"/>
      <c r="AX954" s="102"/>
      <c r="AY954" s="102"/>
      <c r="AZ954" s="102"/>
      <c r="BA954" s="102"/>
      <c r="BB954" s="102"/>
      <c r="BC954" s="102"/>
      <c r="BD954" s="102"/>
      <c r="BE954" s="102"/>
      <c r="BF954" s="102"/>
      <c r="BG954" s="102"/>
      <c r="BH954" s="102"/>
      <c r="BI954" s="102"/>
      <c r="BJ954" s="102"/>
      <c r="BK954" s="102"/>
      <c r="BL954" s="102"/>
      <c r="BM954" s="102"/>
      <c r="BN954" s="102"/>
      <c r="BO954" s="102"/>
      <c r="BP954" s="102"/>
      <c r="BQ954" s="102"/>
      <c r="BR954" s="102"/>
      <c r="BS954" s="102"/>
      <c r="BT954" s="102"/>
      <c r="BU954" s="102"/>
      <c r="BV954" s="102"/>
      <c r="BW954" s="102"/>
      <c r="BX954" s="102"/>
      <c r="BY954" s="102"/>
      <c r="BZ954" s="102"/>
      <c r="CA954" s="464"/>
      <c r="CB954" s="102"/>
      <c r="CC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474">
        <v>952.0</v>
      </c>
      <c r="AB955" s="474">
        <f t="shared" si="10"/>
        <v>957</v>
      </c>
      <c r="AC955" s="476">
        <f t="shared" si="11"/>
        <v>1275</v>
      </c>
      <c r="AD955" s="474">
        <f t="shared" si="12"/>
        <v>1589</v>
      </c>
      <c r="AE955" s="474">
        <f t="shared" si="13"/>
        <v>1048</v>
      </c>
      <c r="AF955" s="474">
        <f t="shared" si="14"/>
        <v>1275</v>
      </c>
      <c r="AG955" s="102"/>
      <c r="AH955" s="102"/>
      <c r="AI955" s="102"/>
      <c r="AJ955" s="102"/>
      <c r="AK955" s="102"/>
      <c r="AL955" s="102"/>
      <c r="AM955" s="102"/>
      <c r="AN955" s="102"/>
      <c r="AO955" s="102"/>
      <c r="AP955" s="102"/>
      <c r="AQ955" s="102"/>
      <c r="AR955" s="102"/>
      <c r="AS955" s="102"/>
      <c r="AT955" s="102"/>
      <c r="AU955" s="102"/>
      <c r="AV955" s="102"/>
      <c r="AW955" s="102"/>
      <c r="AX955" s="102"/>
      <c r="AY955" s="102"/>
      <c r="AZ955" s="102"/>
      <c r="BA955" s="102"/>
      <c r="BB955" s="102"/>
      <c r="BC955" s="102"/>
      <c r="BD955" s="102"/>
      <c r="BE955" s="102"/>
      <c r="BF955" s="102"/>
      <c r="BG955" s="102"/>
      <c r="BH955" s="102"/>
      <c r="BI955" s="102"/>
      <c r="BJ955" s="102"/>
      <c r="BK955" s="102"/>
      <c r="BL955" s="102"/>
      <c r="BM955" s="102"/>
      <c r="BN955" s="102"/>
      <c r="BO955" s="102"/>
      <c r="BP955" s="102"/>
      <c r="BQ955" s="102"/>
      <c r="BR955" s="102"/>
      <c r="BS955" s="102"/>
      <c r="BT955" s="102"/>
      <c r="BU955" s="102"/>
      <c r="BV955" s="102"/>
      <c r="BW955" s="102"/>
      <c r="BX955" s="102"/>
      <c r="BY955" s="102"/>
      <c r="BZ955" s="102"/>
      <c r="CA955" s="464"/>
      <c r="CB955" s="102"/>
      <c r="CC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474">
        <v>953.0</v>
      </c>
      <c r="AB956" s="474">
        <f t="shared" si="10"/>
        <v>958</v>
      </c>
      <c r="AC956" s="476">
        <f t="shared" si="11"/>
        <v>1277</v>
      </c>
      <c r="AD956" s="474">
        <f t="shared" si="12"/>
        <v>1591</v>
      </c>
      <c r="AE956" s="474">
        <f t="shared" si="13"/>
        <v>1049</v>
      </c>
      <c r="AF956" s="474">
        <f t="shared" si="14"/>
        <v>1277</v>
      </c>
      <c r="AG956" s="102"/>
      <c r="AH956" s="102"/>
      <c r="AI956" s="102"/>
      <c r="AJ956" s="102"/>
      <c r="AK956" s="102"/>
      <c r="AL956" s="102"/>
      <c r="AM956" s="102"/>
      <c r="AN956" s="102"/>
      <c r="AO956" s="102"/>
      <c r="AP956" s="102"/>
      <c r="AQ956" s="102"/>
      <c r="AR956" s="102"/>
      <c r="AS956" s="102"/>
      <c r="AT956" s="102"/>
      <c r="AU956" s="102"/>
      <c r="AV956" s="102"/>
      <c r="AW956" s="102"/>
      <c r="AX956" s="102"/>
      <c r="AY956" s="102"/>
      <c r="AZ956" s="102"/>
      <c r="BA956" s="102"/>
      <c r="BB956" s="102"/>
      <c r="BC956" s="102"/>
      <c r="BD956" s="102"/>
      <c r="BE956" s="102"/>
      <c r="BF956" s="102"/>
      <c r="BG956" s="102"/>
      <c r="BH956" s="102"/>
      <c r="BI956" s="102"/>
      <c r="BJ956" s="102"/>
      <c r="BK956" s="102"/>
      <c r="BL956" s="102"/>
      <c r="BM956" s="102"/>
      <c r="BN956" s="102"/>
      <c r="BO956" s="102"/>
      <c r="BP956" s="102"/>
      <c r="BQ956" s="102"/>
      <c r="BR956" s="102"/>
      <c r="BS956" s="102"/>
      <c r="BT956" s="102"/>
      <c r="BU956" s="102"/>
      <c r="BV956" s="102"/>
      <c r="BW956" s="102"/>
      <c r="BX956" s="102"/>
      <c r="BY956" s="102"/>
      <c r="BZ956" s="102"/>
      <c r="CA956" s="464"/>
      <c r="CB956" s="102"/>
      <c r="CC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474">
        <v>954.0</v>
      </c>
      <c r="AB957" s="474">
        <f t="shared" si="10"/>
        <v>959</v>
      </c>
      <c r="AC957" s="476">
        <f t="shared" si="11"/>
        <v>1278</v>
      </c>
      <c r="AD957" s="474">
        <f t="shared" si="12"/>
        <v>1593</v>
      </c>
      <c r="AE957" s="474">
        <f t="shared" si="13"/>
        <v>1050</v>
      </c>
      <c r="AF957" s="474">
        <f t="shared" si="14"/>
        <v>1278</v>
      </c>
      <c r="AG957" s="102"/>
      <c r="AH957" s="102"/>
      <c r="AI957" s="102"/>
      <c r="AJ957" s="102"/>
      <c r="AK957" s="102"/>
      <c r="AL957" s="102"/>
      <c r="AM957" s="102"/>
      <c r="AN957" s="102"/>
      <c r="AO957" s="102"/>
      <c r="AP957" s="102"/>
      <c r="AQ957" s="102"/>
      <c r="AR957" s="102"/>
      <c r="AS957" s="102"/>
      <c r="AT957" s="102"/>
      <c r="AU957" s="102"/>
      <c r="AV957" s="102"/>
      <c r="AW957" s="102"/>
      <c r="AX957" s="102"/>
      <c r="AY957" s="102"/>
      <c r="AZ957" s="102"/>
      <c r="BA957" s="102"/>
      <c r="BB957" s="102"/>
      <c r="BC957" s="102"/>
      <c r="BD957" s="102"/>
      <c r="BE957" s="102"/>
      <c r="BF957" s="102"/>
      <c r="BG957" s="102"/>
      <c r="BH957" s="102"/>
      <c r="BI957" s="102"/>
      <c r="BJ957" s="102"/>
      <c r="BK957" s="102"/>
      <c r="BL957" s="102"/>
      <c r="BM957" s="102"/>
      <c r="BN957" s="102"/>
      <c r="BO957" s="102"/>
      <c r="BP957" s="102"/>
      <c r="BQ957" s="102"/>
      <c r="BR957" s="102"/>
      <c r="BS957" s="102"/>
      <c r="BT957" s="102"/>
      <c r="BU957" s="102"/>
      <c r="BV957" s="102"/>
      <c r="BW957" s="102"/>
      <c r="BX957" s="102"/>
      <c r="BY957" s="102"/>
      <c r="BZ957" s="102"/>
      <c r="CA957" s="464"/>
      <c r="CB957" s="102"/>
      <c r="CC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474">
        <v>955.0</v>
      </c>
      <c r="AB958" s="474">
        <f t="shared" si="10"/>
        <v>960</v>
      </c>
      <c r="AC958" s="476">
        <f t="shared" si="11"/>
        <v>1279</v>
      </c>
      <c r="AD958" s="474">
        <f t="shared" si="12"/>
        <v>1594</v>
      </c>
      <c r="AE958" s="474">
        <f t="shared" si="13"/>
        <v>1051</v>
      </c>
      <c r="AF958" s="474">
        <f t="shared" si="14"/>
        <v>1279</v>
      </c>
      <c r="AG958" s="102"/>
      <c r="AH958" s="102"/>
      <c r="AI958" s="102"/>
      <c r="AJ958" s="102"/>
      <c r="AK958" s="102"/>
      <c r="AL958" s="102"/>
      <c r="AM958" s="102"/>
      <c r="AN958" s="102"/>
      <c r="AO958" s="102"/>
      <c r="AP958" s="102"/>
      <c r="AQ958" s="102"/>
      <c r="AR958" s="102"/>
      <c r="AS958" s="102"/>
      <c r="AT958" s="102"/>
      <c r="AU958" s="102"/>
      <c r="AV958" s="102"/>
      <c r="AW958" s="102"/>
      <c r="AX958" s="102"/>
      <c r="AY958" s="102"/>
      <c r="AZ958" s="102"/>
      <c r="BA958" s="102"/>
      <c r="BB958" s="102"/>
      <c r="BC958" s="102"/>
      <c r="BD958" s="102"/>
      <c r="BE958" s="102"/>
      <c r="BF958" s="102"/>
      <c r="BG958" s="102"/>
      <c r="BH958" s="102"/>
      <c r="BI958" s="102"/>
      <c r="BJ958" s="102"/>
      <c r="BK958" s="102"/>
      <c r="BL958" s="102"/>
      <c r="BM958" s="102"/>
      <c r="BN958" s="102"/>
      <c r="BO958" s="102"/>
      <c r="BP958" s="102"/>
      <c r="BQ958" s="102"/>
      <c r="BR958" s="102"/>
      <c r="BS958" s="102"/>
      <c r="BT958" s="102"/>
      <c r="BU958" s="102"/>
      <c r="BV958" s="102"/>
      <c r="BW958" s="102"/>
      <c r="BX958" s="102"/>
      <c r="BY958" s="102"/>
      <c r="BZ958" s="102"/>
      <c r="CA958" s="464"/>
      <c r="CB958" s="102"/>
      <c r="CC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474">
        <v>956.0</v>
      </c>
      <c r="AB959" s="474">
        <f t="shared" si="10"/>
        <v>961</v>
      </c>
      <c r="AC959" s="476">
        <f t="shared" si="11"/>
        <v>1281</v>
      </c>
      <c r="AD959" s="474">
        <f t="shared" si="12"/>
        <v>1596</v>
      </c>
      <c r="AE959" s="474">
        <f t="shared" si="13"/>
        <v>1052</v>
      </c>
      <c r="AF959" s="474">
        <f t="shared" si="14"/>
        <v>1281</v>
      </c>
      <c r="AG959" s="102"/>
      <c r="AH959" s="102"/>
      <c r="AI959" s="102"/>
      <c r="AJ959" s="102"/>
      <c r="AK959" s="102"/>
      <c r="AL959" s="102"/>
      <c r="AM959" s="102"/>
      <c r="AN959" s="102"/>
      <c r="AO959" s="102"/>
      <c r="AP959" s="102"/>
      <c r="AQ959" s="102"/>
      <c r="AR959" s="102"/>
      <c r="AS959" s="102"/>
      <c r="AT959" s="102"/>
      <c r="AU959" s="102"/>
      <c r="AV959" s="102"/>
      <c r="AW959" s="102"/>
      <c r="AX959" s="102"/>
      <c r="AY959" s="102"/>
      <c r="AZ959" s="102"/>
      <c r="BA959" s="102"/>
      <c r="BB959" s="102"/>
      <c r="BC959" s="102"/>
      <c r="BD959" s="102"/>
      <c r="BE959" s="102"/>
      <c r="BF959" s="102"/>
      <c r="BG959" s="102"/>
      <c r="BH959" s="102"/>
      <c r="BI959" s="102"/>
      <c r="BJ959" s="102"/>
      <c r="BK959" s="102"/>
      <c r="BL959" s="102"/>
      <c r="BM959" s="102"/>
      <c r="BN959" s="102"/>
      <c r="BO959" s="102"/>
      <c r="BP959" s="102"/>
      <c r="BQ959" s="102"/>
      <c r="BR959" s="102"/>
      <c r="BS959" s="102"/>
      <c r="BT959" s="102"/>
      <c r="BU959" s="102"/>
      <c r="BV959" s="102"/>
      <c r="BW959" s="102"/>
      <c r="BX959" s="102"/>
      <c r="BY959" s="102"/>
      <c r="BZ959" s="102"/>
      <c r="CA959" s="464"/>
      <c r="CB959" s="102"/>
      <c r="CC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474">
        <v>957.0</v>
      </c>
      <c r="AB960" s="474">
        <f t="shared" si="10"/>
        <v>962</v>
      </c>
      <c r="AC960" s="476">
        <f t="shared" si="11"/>
        <v>1282</v>
      </c>
      <c r="AD960" s="474">
        <f t="shared" si="12"/>
        <v>1598</v>
      </c>
      <c r="AE960" s="474">
        <f t="shared" si="13"/>
        <v>1053</v>
      </c>
      <c r="AF960" s="474">
        <f t="shared" si="14"/>
        <v>1282</v>
      </c>
      <c r="AG960" s="102"/>
      <c r="AH960" s="102"/>
      <c r="AI960" s="102"/>
      <c r="AJ960" s="102"/>
      <c r="AK960" s="102"/>
      <c r="AL960" s="102"/>
      <c r="AM960" s="102"/>
      <c r="AN960" s="102"/>
      <c r="AO960" s="102"/>
      <c r="AP960" s="102"/>
      <c r="AQ960" s="102"/>
      <c r="AR960" s="102"/>
      <c r="AS960" s="102"/>
      <c r="AT960" s="102"/>
      <c r="AU960" s="102"/>
      <c r="AV960" s="102"/>
      <c r="AW960" s="102"/>
      <c r="AX960" s="102"/>
      <c r="AY960" s="102"/>
      <c r="AZ960" s="102"/>
      <c r="BA960" s="102"/>
      <c r="BB960" s="102"/>
      <c r="BC960" s="102"/>
      <c r="BD960" s="102"/>
      <c r="BE960" s="102"/>
      <c r="BF960" s="102"/>
      <c r="BG960" s="102"/>
      <c r="BH960" s="102"/>
      <c r="BI960" s="102"/>
      <c r="BJ960" s="102"/>
      <c r="BK960" s="102"/>
      <c r="BL960" s="102"/>
      <c r="BM960" s="102"/>
      <c r="BN960" s="102"/>
      <c r="BO960" s="102"/>
      <c r="BP960" s="102"/>
      <c r="BQ960" s="102"/>
      <c r="BR960" s="102"/>
      <c r="BS960" s="102"/>
      <c r="BT960" s="102"/>
      <c r="BU960" s="102"/>
      <c r="BV960" s="102"/>
      <c r="BW960" s="102"/>
      <c r="BX960" s="102"/>
      <c r="BY960" s="102"/>
      <c r="BZ960" s="102"/>
      <c r="CA960" s="464"/>
      <c r="CB960" s="102"/>
      <c r="CC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474">
        <v>958.0</v>
      </c>
      <c r="AB961" s="474">
        <f t="shared" si="10"/>
        <v>963</v>
      </c>
      <c r="AC961" s="476">
        <f t="shared" si="11"/>
        <v>1283</v>
      </c>
      <c r="AD961" s="474">
        <f t="shared" si="12"/>
        <v>1599</v>
      </c>
      <c r="AE961" s="474">
        <f t="shared" si="13"/>
        <v>1054</v>
      </c>
      <c r="AF961" s="474">
        <f t="shared" si="14"/>
        <v>1283</v>
      </c>
      <c r="AG961" s="102"/>
      <c r="AH961" s="102"/>
      <c r="AI961" s="102"/>
      <c r="AJ961" s="102"/>
      <c r="AK961" s="102"/>
      <c r="AL961" s="102"/>
      <c r="AM961" s="102"/>
      <c r="AN961" s="102"/>
      <c r="AO961" s="102"/>
      <c r="AP961" s="102"/>
      <c r="AQ961" s="102"/>
      <c r="AR961" s="102"/>
      <c r="AS961" s="102"/>
      <c r="AT961" s="102"/>
      <c r="AU961" s="102"/>
      <c r="AV961" s="102"/>
      <c r="AW961" s="102"/>
      <c r="AX961" s="102"/>
      <c r="AY961" s="102"/>
      <c r="AZ961" s="102"/>
      <c r="BA961" s="102"/>
      <c r="BB961" s="102"/>
      <c r="BC961" s="102"/>
      <c r="BD961" s="102"/>
      <c r="BE961" s="102"/>
      <c r="BF961" s="102"/>
      <c r="BG961" s="102"/>
      <c r="BH961" s="102"/>
      <c r="BI961" s="102"/>
      <c r="BJ961" s="102"/>
      <c r="BK961" s="102"/>
      <c r="BL961" s="102"/>
      <c r="BM961" s="102"/>
      <c r="BN961" s="102"/>
      <c r="BO961" s="102"/>
      <c r="BP961" s="102"/>
      <c r="BQ961" s="102"/>
      <c r="BR961" s="102"/>
      <c r="BS961" s="102"/>
      <c r="BT961" s="102"/>
      <c r="BU961" s="102"/>
      <c r="BV961" s="102"/>
      <c r="BW961" s="102"/>
      <c r="BX961" s="102"/>
      <c r="BY961" s="102"/>
      <c r="BZ961" s="102"/>
      <c r="CA961" s="464"/>
      <c r="CB961" s="102"/>
      <c r="CC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474">
        <v>959.0</v>
      </c>
      <c r="AB962" s="474">
        <f t="shared" si="10"/>
        <v>964</v>
      </c>
      <c r="AC962" s="476">
        <f t="shared" si="11"/>
        <v>1285</v>
      </c>
      <c r="AD962" s="474">
        <f t="shared" si="12"/>
        <v>1601</v>
      </c>
      <c r="AE962" s="474">
        <f t="shared" si="13"/>
        <v>1055</v>
      </c>
      <c r="AF962" s="474">
        <f t="shared" si="14"/>
        <v>1285</v>
      </c>
      <c r="AG962" s="102"/>
      <c r="AH962" s="102"/>
      <c r="AI962" s="102"/>
      <c r="AJ962" s="102"/>
      <c r="AK962" s="102"/>
      <c r="AL962" s="102"/>
      <c r="AM962" s="102"/>
      <c r="AN962" s="102"/>
      <c r="AO962" s="102"/>
      <c r="AP962" s="102"/>
      <c r="AQ962" s="102"/>
      <c r="AR962" s="102"/>
      <c r="AS962" s="102"/>
      <c r="AT962" s="102"/>
      <c r="AU962" s="102"/>
      <c r="AV962" s="102"/>
      <c r="AW962" s="102"/>
      <c r="AX962" s="102"/>
      <c r="AY962" s="102"/>
      <c r="AZ962" s="102"/>
      <c r="BA962" s="102"/>
      <c r="BB962" s="102"/>
      <c r="BC962" s="102"/>
      <c r="BD962" s="102"/>
      <c r="BE962" s="102"/>
      <c r="BF962" s="102"/>
      <c r="BG962" s="102"/>
      <c r="BH962" s="102"/>
      <c r="BI962" s="102"/>
      <c r="BJ962" s="102"/>
      <c r="BK962" s="102"/>
      <c r="BL962" s="102"/>
      <c r="BM962" s="102"/>
      <c r="BN962" s="102"/>
      <c r="BO962" s="102"/>
      <c r="BP962" s="102"/>
      <c r="BQ962" s="102"/>
      <c r="BR962" s="102"/>
      <c r="BS962" s="102"/>
      <c r="BT962" s="102"/>
      <c r="BU962" s="102"/>
      <c r="BV962" s="102"/>
      <c r="BW962" s="102"/>
      <c r="BX962" s="102"/>
      <c r="BY962" s="102"/>
      <c r="BZ962" s="102"/>
      <c r="CA962" s="464"/>
      <c r="CB962" s="102"/>
      <c r="CC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474">
        <v>960.0</v>
      </c>
      <c r="AB963" s="474">
        <f t="shared" si="10"/>
        <v>965</v>
      </c>
      <c r="AC963" s="476">
        <f t="shared" si="11"/>
        <v>1286</v>
      </c>
      <c r="AD963" s="474">
        <f t="shared" si="12"/>
        <v>1603</v>
      </c>
      <c r="AE963" s="474">
        <f t="shared" si="13"/>
        <v>1056</v>
      </c>
      <c r="AF963" s="474">
        <f t="shared" si="14"/>
        <v>1286</v>
      </c>
      <c r="AG963" s="102"/>
      <c r="AH963" s="102"/>
      <c r="AI963" s="102"/>
      <c r="AJ963" s="102"/>
      <c r="AK963" s="102"/>
      <c r="AL963" s="102"/>
      <c r="AM963" s="102"/>
      <c r="AN963" s="102"/>
      <c r="AO963" s="102"/>
      <c r="AP963" s="102"/>
      <c r="AQ963" s="102"/>
      <c r="AR963" s="102"/>
      <c r="AS963" s="102"/>
      <c r="AT963" s="102"/>
      <c r="AU963" s="102"/>
      <c r="AV963" s="102"/>
      <c r="AW963" s="102"/>
      <c r="AX963" s="102"/>
      <c r="AY963" s="102"/>
      <c r="AZ963" s="102"/>
      <c r="BA963" s="102"/>
      <c r="BB963" s="102"/>
      <c r="BC963" s="102"/>
      <c r="BD963" s="102"/>
      <c r="BE963" s="102"/>
      <c r="BF963" s="102"/>
      <c r="BG963" s="102"/>
      <c r="BH963" s="102"/>
      <c r="BI963" s="102"/>
      <c r="BJ963" s="102"/>
      <c r="BK963" s="102"/>
      <c r="BL963" s="102"/>
      <c r="BM963" s="102"/>
      <c r="BN963" s="102"/>
      <c r="BO963" s="102"/>
      <c r="BP963" s="102"/>
      <c r="BQ963" s="102"/>
      <c r="BR963" s="102"/>
      <c r="BS963" s="102"/>
      <c r="BT963" s="102"/>
      <c r="BU963" s="102"/>
      <c r="BV963" s="102"/>
      <c r="BW963" s="102"/>
      <c r="BX963" s="102"/>
      <c r="BY963" s="102"/>
      <c r="BZ963" s="102"/>
      <c r="CA963" s="464"/>
      <c r="CB963" s="102"/>
      <c r="CC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474">
        <v>961.0</v>
      </c>
      <c r="AB964" s="474">
        <f t="shared" si="10"/>
        <v>966</v>
      </c>
      <c r="AC964" s="476">
        <f t="shared" si="11"/>
        <v>1287</v>
      </c>
      <c r="AD964" s="474">
        <f t="shared" si="12"/>
        <v>1604</v>
      </c>
      <c r="AE964" s="474">
        <f t="shared" si="13"/>
        <v>1058</v>
      </c>
      <c r="AF964" s="474">
        <f t="shared" si="14"/>
        <v>1287</v>
      </c>
      <c r="AG964" s="102"/>
      <c r="AH964" s="102"/>
      <c r="AI964" s="102"/>
      <c r="AJ964" s="102"/>
      <c r="AK964" s="102"/>
      <c r="AL964" s="102"/>
      <c r="AM964" s="102"/>
      <c r="AN964" s="102"/>
      <c r="AO964" s="102"/>
      <c r="AP964" s="102"/>
      <c r="AQ964" s="102"/>
      <c r="AR964" s="102"/>
      <c r="AS964" s="102"/>
      <c r="AT964" s="102"/>
      <c r="AU964" s="102"/>
      <c r="AV964" s="102"/>
      <c r="AW964" s="102"/>
      <c r="AX964" s="102"/>
      <c r="AY964" s="102"/>
      <c r="AZ964" s="102"/>
      <c r="BA964" s="102"/>
      <c r="BB964" s="102"/>
      <c r="BC964" s="102"/>
      <c r="BD964" s="102"/>
      <c r="BE964" s="102"/>
      <c r="BF964" s="102"/>
      <c r="BG964" s="102"/>
      <c r="BH964" s="102"/>
      <c r="BI964" s="102"/>
      <c r="BJ964" s="102"/>
      <c r="BK964" s="102"/>
      <c r="BL964" s="102"/>
      <c r="BM964" s="102"/>
      <c r="BN964" s="102"/>
      <c r="BO964" s="102"/>
      <c r="BP964" s="102"/>
      <c r="BQ964" s="102"/>
      <c r="BR964" s="102"/>
      <c r="BS964" s="102"/>
      <c r="BT964" s="102"/>
      <c r="BU964" s="102"/>
      <c r="BV964" s="102"/>
      <c r="BW964" s="102"/>
      <c r="BX964" s="102"/>
      <c r="BY964" s="102"/>
      <c r="BZ964" s="102"/>
      <c r="CA964" s="464"/>
      <c r="CB964" s="102"/>
      <c r="CC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474">
        <v>962.0</v>
      </c>
      <c r="AB965" s="474">
        <f t="shared" si="10"/>
        <v>967</v>
      </c>
      <c r="AC965" s="476">
        <f t="shared" si="11"/>
        <v>1289</v>
      </c>
      <c r="AD965" s="474">
        <f t="shared" si="12"/>
        <v>1606</v>
      </c>
      <c r="AE965" s="474">
        <f t="shared" si="13"/>
        <v>1059</v>
      </c>
      <c r="AF965" s="474">
        <f t="shared" si="14"/>
        <v>1289</v>
      </c>
      <c r="AG965" s="102"/>
      <c r="AH965" s="102"/>
      <c r="AI965" s="102"/>
      <c r="AJ965" s="102"/>
      <c r="AK965" s="102"/>
      <c r="AL965" s="102"/>
      <c r="AM965" s="102"/>
      <c r="AN965" s="102"/>
      <c r="AO965" s="102"/>
      <c r="AP965" s="102"/>
      <c r="AQ965" s="102"/>
      <c r="AR965" s="102"/>
      <c r="AS965" s="102"/>
      <c r="AT965" s="102"/>
      <c r="AU965" s="102"/>
      <c r="AV965" s="102"/>
      <c r="AW965" s="102"/>
      <c r="AX965" s="102"/>
      <c r="AY965" s="102"/>
      <c r="AZ965" s="102"/>
      <c r="BA965" s="102"/>
      <c r="BB965" s="102"/>
      <c r="BC965" s="102"/>
      <c r="BD965" s="102"/>
      <c r="BE965" s="102"/>
      <c r="BF965" s="102"/>
      <c r="BG965" s="102"/>
      <c r="BH965" s="102"/>
      <c r="BI965" s="102"/>
      <c r="BJ965" s="102"/>
      <c r="BK965" s="102"/>
      <c r="BL965" s="102"/>
      <c r="BM965" s="102"/>
      <c r="BN965" s="102"/>
      <c r="BO965" s="102"/>
      <c r="BP965" s="102"/>
      <c r="BQ965" s="102"/>
      <c r="BR965" s="102"/>
      <c r="BS965" s="102"/>
      <c r="BT965" s="102"/>
      <c r="BU965" s="102"/>
      <c r="BV965" s="102"/>
      <c r="BW965" s="102"/>
      <c r="BX965" s="102"/>
      <c r="BY965" s="102"/>
      <c r="BZ965" s="102"/>
      <c r="CA965" s="464"/>
      <c r="CB965" s="102"/>
      <c r="CC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474">
        <v>963.0</v>
      </c>
      <c r="AB966" s="474">
        <f t="shared" si="10"/>
        <v>968</v>
      </c>
      <c r="AC966" s="476">
        <f t="shared" si="11"/>
        <v>1290</v>
      </c>
      <c r="AD966" s="474">
        <f t="shared" si="12"/>
        <v>1608</v>
      </c>
      <c r="AE966" s="474">
        <f t="shared" si="13"/>
        <v>1060</v>
      </c>
      <c r="AF966" s="474">
        <f t="shared" si="14"/>
        <v>1290</v>
      </c>
      <c r="AG966" s="102"/>
      <c r="AH966" s="102"/>
      <c r="AI966" s="102"/>
      <c r="AJ966" s="102"/>
      <c r="AK966" s="102"/>
      <c r="AL966" s="102"/>
      <c r="AM966" s="102"/>
      <c r="AN966" s="102"/>
      <c r="AO966" s="102"/>
      <c r="AP966" s="102"/>
      <c r="AQ966" s="102"/>
      <c r="AR966" s="102"/>
      <c r="AS966" s="102"/>
      <c r="AT966" s="102"/>
      <c r="AU966" s="102"/>
      <c r="AV966" s="102"/>
      <c r="AW966" s="102"/>
      <c r="AX966" s="102"/>
      <c r="AY966" s="102"/>
      <c r="AZ966" s="102"/>
      <c r="BA966" s="102"/>
      <c r="BB966" s="102"/>
      <c r="BC966" s="102"/>
      <c r="BD966" s="102"/>
      <c r="BE966" s="102"/>
      <c r="BF966" s="102"/>
      <c r="BG966" s="102"/>
      <c r="BH966" s="102"/>
      <c r="BI966" s="102"/>
      <c r="BJ966" s="102"/>
      <c r="BK966" s="102"/>
      <c r="BL966" s="102"/>
      <c r="BM966" s="102"/>
      <c r="BN966" s="102"/>
      <c r="BO966" s="102"/>
      <c r="BP966" s="102"/>
      <c r="BQ966" s="102"/>
      <c r="BR966" s="102"/>
      <c r="BS966" s="102"/>
      <c r="BT966" s="102"/>
      <c r="BU966" s="102"/>
      <c r="BV966" s="102"/>
      <c r="BW966" s="102"/>
      <c r="BX966" s="102"/>
      <c r="BY966" s="102"/>
      <c r="BZ966" s="102"/>
      <c r="CA966" s="464"/>
      <c r="CB966" s="102"/>
      <c r="CC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474">
        <v>964.0</v>
      </c>
      <c r="AB967" s="474">
        <f t="shared" si="10"/>
        <v>969</v>
      </c>
      <c r="AC967" s="476">
        <f t="shared" si="11"/>
        <v>1291</v>
      </c>
      <c r="AD967" s="474">
        <f t="shared" si="12"/>
        <v>1609</v>
      </c>
      <c r="AE967" s="474">
        <f t="shared" si="13"/>
        <v>1061</v>
      </c>
      <c r="AF967" s="474">
        <f t="shared" si="14"/>
        <v>1291</v>
      </c>
      <c r="AG967" s="102"/>
      <c r="AH967" s="102"/>
      <c r="AI967" s="102"/>
      <c r="AJ967" s="102"/>
      <c r="AK967" s="102"/>
      <c r="AL967" s="102"/>
      <c r="AM967" s="102"/>
      <c r="AN967" s="102"/>
      <c r="AO967" s="102"/>
      <c r="AP967" s="102"/>
      <c r="AQ967" s="102"/>
      <c r="AR967" s="102"/>
      <c r="AS967" s="102"/>
      <c r="AT967" s="102"/>
      <c r="AU967" s="102"/>
      <c r="AV967" s="102"/>
      <c r="AW967" s="102"/>
      <c r="AX967" s="102"/>
      <c r="AY967" s="102"/>
      <c r="AZ967" s="102"/>
      <c r="BA967" s="102"/>
      <c r="BB967" s="102"/>
      <c r="BC967" s="102"/>
      <c r="BD967" s="102"/>
      <c r="BE967" s="102"/>
      <c r="BF967" s="102"/>
      <c r="BG967" s="102"/>
      <c r="BH967" s="102"/>
      <c r="BI967" s="102"/>
      <c r="BJ967" s="102"/>
      <c r="BK967" s="102"/>
      <c r="BL967" s="102"/>
      <c r="BM967" s="102"/>
      <c r="BN967" s="102"/>
      <c r="BO967" s="102"/>
      <c r="BP967" s="102"/>
      <c r="BQ967" s="102"/>
      <c r="BR967" s="102"/>
      <c r="BS967" s="102"/>
      <c r="BT967" s="102"/>
      <c r="BU967" s="102"/>
      <c r="BV967" s="102"/>
      <c r="BW967" s="102"/>
      <c r="BX967" s="102"/>
      <c r="BY967" s="102"/>
      <c r="BZ967" s="102"/>
      <c r="CA967" s="464"/>
      <c r="CB967" s="102"/>
      <c r="CC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474">
        <v>965.0</v>
      </c>
      <c r="AB968" s="474">
        <f t="shared" si="10"/>
        <v>970</v>
      </c>
      <c r="AC968" s="476">
        <f t="shared" si="11"/>
        <v>1293</v>
      </c>
      <c r="AD968" s="474">
        <f t="shared" si="12"/>
        <v>1611</v>
      </c>
      <c r="AE968" s="474">
        <f t="shared" si="13"/>
        <v>1062</v>
      </c>
      <c r="AF968" s="474">
        <f t="shared" si="14"/>
        <v>1293</v>
      </c>
      <c r="AG968" s="102"/>
      <c r="AH968" s="102"/>
      <c r="AI968" s="102"/>
      <c r="AJ968" s="102"/>
      <c r="AK968" s="102"/>
      <c r="AL968" s="102"/>
      <c r="AM968" s="102"/>
      <c r="AN968" s="102"/>
      <c r="AO968" s="102"/>
      <c r="AP968" s="102"/>
      <c r="AQ968" s="102"/>
      <c r="AR968" s="102"/>
      <c r="AS968" s="102"/>
      <c r="AT968" s="102"/>
      <c r="AU968" s="102"/>
      <c r="AV968" s="102"/>
      <c r="AW968" s="102"/>
      <c r="AX968" s="102"/>
      <c r="AY968" s="102"/>
      <c r="AZ968" s="102"/>
      <c r="BA968" s="102"/>
      <c r="BB968" s="102"/>
      <c r="BC968" s="102"/>
      <c r="BD968" s="102"/>
      <c r="BE968" s="102"/>
      <c r="BF968" s="102"/>
      <c r="BG968" s="102"/>
      <c r="BH968" s="102"/>
      <c r="BI968" s="102"/>
      <c r="BJ968" s="102"/>
      <c r="BK968" s="102"/>
      <c r="BL968" s="102"/>
      <c r="BM968" s="102"/>
      <c r="BN968" s="102"/>
      <c r="BO968" s="102"/>
      <c r="BP968" s="102"/>
      <c r="BQ968" s="102"/>
      <c r="BR968" s="102"/>
      <c r="BS968" s="102"/>
      <c r="BT968" s="102"/>
      <c r="BU968" s="102"/>
      <c r="BV968" s="102"/>
      <c r="BW968" s="102"/>
      <c r="BX968" s="102"/>
      <c r="BY968" s="102"/>
      <c r="BZ968" s="102"/>
      <c r="CA968" s="464"/>
      <c r="CB968" s="102"/>
      <c r="CC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474">
        <v>966.0</v>
      </c>
      <c r="AB969" s="474">
        <f t="shared" si="10"/>
        <v>971</v>
      </c>
      <c r="AC969" s="476">
        <f t="shared" si="11"/>
        <v>1294</v>
      </c>
      <c r="AD969" s="474">
        <f t="shared" si="12"/>
        <v>1613</v>
      </c>
      <c r="AE969" s="474">
        <f t="shared" si="13"/>
        <v>1063</v>
      </c>
      <c r="AF969" s="474">
        <f t="shared" si="14"/>
        <v>1294</v>
      </c>
      <c r="AG969" s="102"/>
      <c r="AH969" s="102"/>
      <c r="AI969" s="102"/>
      <c r="AJ969" s="102"/>
      <c r="AK969" s="102"/>
      <c r="AL969" s="102"/>
      <c r="AM969" s="102"/>
      <c r="AN969" s="102"/>
      <c r="AO969" s="102"/>
      <c r="AP969" s="102"/>
      <c r="AQ969" s="102"/>
      <c r="AR969" s="102"/>
      <c r="AS969" s="102"/>
      <c r="AT969" s="102"/>
      <c r="AU969" s="102"/>
      <c r="AV969" s="102"/>
      <c r="AW969" s="102"/>
      <c r="AX969" s="102"/>
      <c r="AY969" s="102"/>
      <c r="AZ969" s="102"/>
      <c r="BA969" s="102"/>
      <c r="BB969" s="102"/>
      <c r="BC969" s="102"/>
      <c r="BD969" s="102"/>
      <c r="BE969" s="102"/>
      <c r="BF969" s="102"/>
      <c r="BG969" s="102"/>
      <c r="BH969" s="102"/>
      <c r="BI969" s="102"/>
      <c r="BJ969" s="102"/>
      <c r="BK969" s="102"/>
      <c r="BL969" s="102"/>
      <c r="BM969" s="102"/>
      <c r="BN969" s="102"/>
      <c r="BO969" s="102"/>
      <c r="BP969" s="102"/>
      <c r="BQ969" s="102"/>
      <c r="BR969" s="102"/>
      <c r="BS969" s="102"/>
      <c r="BT969" s="102"/>
      <c r="BU969" s="102"/>
      <c r="BV969" s="102"/>
      <c r="BW969" s="102"/>
      <c r="BX969" s="102"/>
      <c r="BY969" s="102"/>
      <c r="BZ969" s="102"/>
      <c r="CA969" s="464"/>
      <c r="CB969" s="102"/>
      <c r="CC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474">
        <v>967.0</v>
      </c>
      <c r="AB970" s="474">
        <f t="shared" si="10"/>
        <v>972</v>
      </c>
      <c r="AC970" s="476">
        <f t="shared" si="11"/>
        <v>1295</v>
      </c>
      <c r="AD970" s="474">
        <f t="shared" si="12"/>
        <v>1614</v>
      </c>
      <c r="AE970" s="474">
        <f t="shared" si="13"/>
        <v>1064</v>
      </c>
      <c r="AF970" s="474">
        <f t="shared" si="14"/>
        <v>1295</v>
      </c>
      <c r="AG970" s="102"/>
      <c r="AH970" s="102"/>
      <c r="AI970" s="102"/>
      <c r="AJ970" s="102"/>
      <c r="AK970" s="102"/>
      <c r="AL970" s="102"/>
      <c r="AM970" s="102"/>
      <c r="AN970" s="102"/>
      <c r="AO970" s="102"/>
      <c r="AP970" s="102"/>
      <c r="AQ970" s="102"/>
      <c r="AR970" s="102"/>
      <c r="AS970" s="102"/>
      <c r="AT970" s="102"/>
      <c r="AU970" s="102"/>
      <c r="AV970" s="102"/>
      <c r="AW970" s="102"/>
      <c r="AX970" s="102"/>
      <c r="AY970" s="102"/>
      <c r="AZ970" s="102"/>
      <c r="BA970" s="102"/>
      <c r="BB970" s="102"/>
      <c r="BC970" s="102"/>
      <c r="BD970" s="102"/>
      <c r="BE970" s="102"/>
      <c r="BF970" s="102"/>
      <c r="BG970" s="102"/>
      <c r="BH970" s="102"/>
      <c r="BI970" s="102"/>
      <c r="BJ970" s="102"/>
      <c r="BK970" s="102"/>
      <c r="BL970" s="102"/>
      <c r="BM970" s="102"/>
      <c r="BN970" s="102"/>
      <c r="BO970" s="102"/>
      <c r="BP970" s="102"/>
      <c r="BQ970" s="102"/>
      <c r="BR970" s="102"/>
      <c r="BS970" s="102"/>
      <c r="BT970" s="102"/>
      <c r="BU970" s="102"/>
      <c r="BV970" s="102"/>
      <c r="BW970" s="102"/>
      <c r="BX970" s="102"/>
      <c r="BY970" s="102"/>
      <c r="BZ970" s="102"/>
      <c r="CA970" s="464"/>
      <c r="CB970" s="102"/>
      <c r="CC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474">
        <v>968.0</v>
      </c>
      <c r="AB971" s="474">
        <f t="shared" si="10"/>
        <v>973</v>
      </c>
      <c r="AC971" s="476">
        <f t="shared" si="11"/>
        <v>1297</v>
      </c>
      <c r="AD971" s="474">
        <f t="shared" si="12"/>
        <v>1616</v>
      </c>
      <c r="AE971" s="474">
        <f t="shared" si="13"/>
        <v>1065</v>
      </c>
      <c r="AF971" s="474">
        <f t="shared" si="14"/>
        <v>1297</v>
      </c>
      <c r="AG971" s="102"/>
      <c r="AH971" s="102"/>
      <c r="AI971" s="102"/>
      <c r="AJ971" s="102"/>
      <c r="AK971" s="102"/>
      <c r="AL971" s="102"/>
      <c r="AM971" s="102"/>
      <c r="AN971" s="102"/>
      <c r="AO971" s="102"/>
      <c r="AP971" s="102"/>
      <c r="AQ971" s="102"/>
      <c r="AR971" s="102"/>
      <c r="AS971" s="102"/>
      <c r="AT971" s="102"/>
      <c r="AU971" s="102"/>
      <c r="AV971" s="102"/>
      <c r="AW971" s="102"/>
      <c r="AX971" s="102"/>
      <c r="AY971" s="102"/>
      <c r="AZ971" s="102"/>
      <c r="BA971" s="102"/>
      <c r="BB971" s="102"/>
      <c r="BC971" s="102"/>
      <c r="BD971" s="102"/>
      <c r="BE971" s="102"/>
      <c r="BF971" s="102"/>
      <c r="BG971" s="102"/>
      <c r="BH971" s="102"/>
      <c r="BI971" s="102"/>
      <c r="BJ971" s="102"/>
      <c r="BK971" s="102"/>
      <c r="BL971" s="102"/>
      <c r="BM971" s="102"/>
      <c r="BN971" s="102"/>
      <c r="BO971" s="102"/>
      <c r="BP971" s="102"/>
      <c r="BQ971" s="102"/>
      <c r="BR971" s="102"/>
      <c r="BS971" s="102"/>
      <c r="BT971" s="102"/>
      <c r="BU971" s="102"/>
      <c r="BV971" s="102"/>
      <c r="BW971" s="102"/>
      <c r="BX971" s="102"/>
      <c r="BY971" s="102"/>
      <c r="BZ971" s="102"/>
      <c r="CA971" s="464"/>
      <c r="CB971" s="102"/>
      <c r="CC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474">
        <v>969.0</v>
      </c>
      <c r="AB972" s="474">
        <f t="shared" si="10"/>
        <v>974</v>
      </c>
      <c r="AC972" s="476">
        <f t="shared" si="11"/>
        <v>1298</v>
      </c>
      <c r="AD972" s="474">
        <f t="shared" si="12"/>
        <v>1618</v>
      </c>
      <c r="AE972" s="474">
        <f t="shared" si="13"/>
        <v>1066</v>
      </c>
      <c r="AF972" s="474">
        <f t="shared" si="14"/>
        <v>1298</v>
      </c>
      <c r="AG972" s="102"/>
      <c r="AH972" s="102"/>
      <c r="AI972" s="102"/>
      <c r="AJ972" s="102"/>
      <c r="AK972" s="102"/>
      <c r="AL972" s="102"/>
      <c r="AM972" s="102"/>
      <c r="AN972" s="102"/>
      <c r="AO972" s="102"/>
      <c r="AP972" s="102"/>
      <c r="AQ972" s="102"/>
      <c r="AR972" s="102"/>
      <c r="AS972" s="102"/>
      <c r="AT972" s="102"/>
      <c r="AU972" s="102"/>
      <c r="AV972" s="102"/>
      <c r="AW972" s="102"/>
      <c r="AX972" s="102"/>
      <c r="AY972" s="102"/>
      <c r="AZ972" s="102"/>
      <c r="BA972" s="102"/>
      <c r="BB972" s="102"/>
      <c r="BC972" s="102"/>
      <c r="BD972" s="102"/>
      <c r="BE972" s="102"/>
      <c r="BF972" s="102"/>
      <c r="BG972" s="102"/>
      <c r="BH972" s="102"/>
      <c r="BI972" s="102"/>
      <c r="BJ972" s="102"/>
      <c r="BK972" s="102"/>
      <c r="BL972" s="102"/>
      <c r="BM972" s="102"/>
      <c r="BN972" s="102"/>
      <c r="BO972" s="102"/>
      <c r="BP972" s="102"/>
      <c r="BQ972" s="102"/>
      <c r="BR972" s="102"/>
      <c r="BS972" s="102"/>
      <c r="BT972" s="102"/>
      <c r="BU972" s="102"/>
      <c r="BV972" s="102"/>
      <c r="BW972" s="102"/>
      <c r="BX972" s="102"/>
      <c r="BY972" s="102"/>
      <c r="BZ972" s="102"/>
      <c r="CA972" s="464"/>
      <c r="CB972" s="102"/>
      <c r="CC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474">
        <v>970.0</v>
      </c>
      <c r="AB973" s="474">
        <f t="shared" si="10"/>
        <v>975</v>
      </c>
      <c r="AC973" s="476">
        <f t="shared" si="11"/>
        <v>1299</v>
      </c>
      <c r="AD973" s="474">
        <f t="shared" si="12"/>
        <v>1619</v>
      </c>
      <c r="AE973" s="474">
        <f t="shared" si="13"/>
        <v>1067</v>
      </c>
      <c r="AF973" s="474">
        <f t="shared" si="14"/>
        <v>1299</v>
      </c>
      <c r="AG973" s="102"/>
      <c r="AH973" s="102"/>
      <c r="AI973" s="102"/>
      <c r="AJ973" s="102"/>
      <c r="AK973" s="102"/>
      <c r="AL973" s="102"/>
      <c r="AM973" s="102"/>
      <c r="AN973" s="102"/>
      <c r="AO973" s="102"/>
      <c r="AP973" s="102"/>
      <c r="AQ973" s="102"/>
      <c r="AR973" s="102"/>
      <c r="AS973" s="102"/>
      <c r="AT973" s="102"/>
      <c r="AU973" s="102"/>
      <c r="AV973" s="102"/>
      <c r="AW973" s="102"/>
      <c r="AX973" s="102"/>
      <c r="AY973" s="102"/>
      <c r="AZ973" s="102"/>
      <c r="BA973" s="102"/>
      <c r="BB973" s="102"/>
      <c r="BC973" s="102"/>
      <c r="BD973" s="102"/>
      <c r="BE973" s="102"/>
      <c r="BF973" s="102"/>
      <c r="BG973" s="102"/>
      <c r="BH973" s="102"/>
      <c r="BI973" s="102"/>
      <c r="BJ973" s="102"/>
      <c r="BK973" s="102"/>
      <c r="BL973" s="102"/>
      <c r="BM973" s="102"/>
      <c r="BN973" s="102"/>
      <c r="BO973" s="102"/>
      <c r="BP973" s="102"/>
      <c r="BQ973" s="102"/>
      <c r="BR973" s="102"/>
      <c r="BS973" s="102"/>
      <c r="BT973" s="102"/>
      <c r="BU973" s="102"/>
      <c r="BV973" s="102"/>
      <c r="BW973" s="102"/>
      <c r="BX973" s="102"/>
      <c r="BY973" s="102"/>
      <c r="BZ973" s="102"/>
      <c r="CA973" s="464"/>
      <c r="CB973" s="102"/>
      <c r="CC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474">
        <v>971.0</v>
      </c>
      <c r="AB974" s="474">
        <f t="shared" si="10"/>
        <v>976</v>
      </c>
      <c r="AC974" s="476">
        <f t="shared" si="11"/>
        <v>1301</v>
      </c>
      <c r="AD974" s="474">
        <f t="shared" si="12"/>
        <v>1621</v>
      </c>
      <c r="AE974" s="474">
        <f t="shared" si="13"/>
        <v>1069</v>
      </c>
      <c r="AF974" s="474">
        <f t="shared" si="14"/>
        <v>1301</v>
      </c>
      <c r="AG974" s="102"/>
      <c r="AH974" s="102"/>
      <c r="AI974" s="102"/>
      <c r="AJ974" s="102"/>
      <c r="AK974" s="102"/>
      <c r="AL974" s="102"/>
      <c r="AM974" s="102"/>
      <c r="AN974" s="102"/>
      <c r="AO974" s="102"/>
      <c r="AP974" s="102"/>
      <c r="AQ974" s="102"/>
      <c r="AR974" s="102"/>
      <c r="AS974" s="102"/>
      <c r="AT974" s="102"/>
      <c r="AU974" s="102"/>
      <c r="AV974" s="102"/>
      <c r="AW974" s="102"/>
      <c r="AX974" s="102"/>
      <c r="AY974" s="102"/>
      <c r="AZ974" s="102"/>
      <c r="BA974" s="102"/>
      <c r="BB974" s="102"/>
      <c r="BC974" s="102"/>
      <c r="BD974" s="102"/>
      <c r="BE974" s="102"/>
      <c r="BF974" s="102"/>
      <c r="BG974" s="102"/>
      <c r="BH974" s="102"/>
      <c r="BI974" s="102"/>
      <c r="BJ974" s="102"/>
      <c r="BK974" s="102"/>
      <c r="BL974" s="102"/>
      <c r="BM974" s="102"/>
      <c r="BN974" s="102"/>
      <c r="BO974" s="102"/>
      <c r="BP974" s="102"/>
      <c r="BQ974" s="102"/>
      <c r="BR974" s="102"/>
      <c r="BS974" s="102"/>
      <c r="BT974" s="102"/>
      <c r="BU974" s="102"/>
      <c r="BV974" s="102"/>
      <c r="BW974" s="102"/>
      <c r="BX974" s="102"/>
      <c r="BY974" s="102"/>
      <c r="BZ974" s="102"/>
      <c r="CA974" s="464"/>
      <c r="CB974" s="102"/>
      <c r="CC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474">
        <v>972.0</v>
      </c>
      <c r="AB975" s="474">
        <f t="shared" si="10"/>
        <v>977</v>
      </c>
      <c r="AC975" s="476">
        <f t="shared" si="11"/>
        <v>1302</v>
      </c>
      <c r="AD975" s="474">
        <f t="shared" si="12"/>
        <v>1623</v>
      </c>
      <c r="AE975" s="474">
        <f t="shared" si="13"/>
        <v>1070</v>
      </c>
      <c r="AF975" s="474">
        <f t="shared" si="14"/>
        <v>1302</v>
      </c>
      <c r="AG975" s="102"/>
      <c r="AH975" s="102"/>
      <c r="AI975" s="102"/>
      <c r="AJ975" s="102"/>
      <c r="AK975" s="102"/>
      <c r="AL975" s="102"/>
      <c r="AM975" s="102"/>
      <c r="AN975" s="102"/>
      <c r="AO975" s="102"/>
      <c r="AP975" s="102"/>
      <c r="AQ975" s="102"/>
      <c r="AR975" s="102"/>
      <c r="AS975" s="102"/>
      <c r="AT975" s="102"/>
      <c r="AU975" s="102"/>
      <c r="AV975" s="102"/>
      <c r="AW975" s="102"/>
      <c r="AX975" s="102"/>
      <c r="AY975" s="102"/>
      <c r="AZ975" s="102"/>
      <c r="BA975" s="102"/>
      <c r="BB975" s="102"/>
      <c r="BC975" s="102"/>
      <c r="BD975" s="102"/>
      <c r="BE975" s="102"/>
      <c r="BF975" s="102"/>
      <c r="BG975" s="102"/>
      <c r="BH975" s="102"/>
      <c r="BI975" s="102"/>
      <c r="BJ975" s="102"/>
      <c r="BK975" s="102"/>
      <c r="BL975" s="102"/>
      <c r="BM975" s="102"/>
      <c r="BN975" s="102"/>
      <c r="BO975" s="102"/>
      <c r="BP975" s="102"/>
      <c r="BQ975" s="102"/>
      <c r="BR975" s="102"/>
      <c r="BS975" s="102"/>
      <c r="BT975" s="102"/>
      <c r="BU975" s="102"/>
      <c r="BV975" s="102"/>
      <c r="BW975" s="102"/>
      <c r="BX975" s="102"/>
      <c r="BY975" s="102"/>
      <c r="BZ975" s="102"/>
      <c r="CA975" s="464"/>
      <c r="CB975" s="102"/>
      <c r="CC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474">
        <v>973.0</v>
      </c>
      <c r="AB976" s="474">
        <f t="shared" si="10"/>
        <v>978</v>
      </c>
      <c r="AC976" s="476">
        <f t="shared" si="11"/>
        <v>1303</v>
      </c>
      <c r="AD976" s="474">
        <f t="shared" si="12"/>
        <v>1624</v>
      </c>
      <c r="AE976" s="474">
        <f t="shared" si="13"/>
        <v>1071</v>
      </c>
      <c r="AF976" s="474">
        <f t="shared" si="14"/>
        <v>1303</v>
      </c>
      <c r="AG976" s="102"/>
      <c r="AH976" s="102"/>
      <c r="AI976" s="102"/>
      <c r="AJ976" s="102"/>
      <c r="AK976" s="102"/>
      <c r="AL976" s="102"/>
      <c r="AM976" s="102"/>
      <c r="AN976" s="102"/>
      <c r="AO976" s="102"/>
      <c r="AP976" s="102"/>
      <c r="AQ976" s="102"/>
      <c r="AR976" s="102"/>
      <c r="AS976" s="102"/>
      <c r="AT976" s="102"/>
      <c r="AU976" s="102"/>
      <c r="AV976" s="102"/>
      <c r="AW976" s="102"/>
      <c r="AX976" s="102"/>
      <c r="AY976" s="102"/>
      <c r="AZ976" s="102"/>
      <c r="BA976" s="102"/>
      <c r="BB976" s="102"/>
      <c r="BC976" s="102"/>
      <c r="BD976" s="102"/>
      <c r="BE976" s="102"/>
      <c r="BF976" s="102"/>
      <c r="BG976" s="102"/>
      <c r="BH976" s="102"/>
      <c r="BI976" s="102"/>
      <c r="BJ976" s="102"/>
      <c r="BK976" s="102"/>
      <c r="BL976" s="102"/>
      <c r="BM976" s="102"/>
      <c r="BN976" s="102"/>
      <c r="BO976" s="102"/>
      <c r="BP976" s="102"/>
      <c r="BQ976" s="102"/>
      <c r="BR976" s="102"/>
      <c r="BS976" s="102"/>
      <c r="BT976" s="102"/>
      <c r="BU976" s="102"/>
      <c r="BV976" s="102"/>
      <c r="BW976" s="102"/>
      <c r="BX976" s="102"/>
      <c r="BY976" s="102"/>
      <c r="BZ976" s="102"/>
      <c r="CA976" s="464"/>
      <c r="CB976" s="102"/>
      <c r="CC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474">
        <v>974.0</v>
      </c>
      <c r="AB977" s="474">
        <f t="shared" si="10"/>
        <v>979</v>
      </c>
      <c r="AC977" s="476">
        <f t="shared" si="11"/>
        <v>1305</v>
      </c>
      <c r="AD977" s="474">
        <f t="shared" si="12"/>
        <v>1626</v>
      </c>
      <c r="AE977" s="474">
        <f t="shared" si="13"/>
        <v>1072</v>
      </c>
      <c r="AF977" s="474">
        <f t="shared" si="14"/>
        <v>1305</v>
      </c>
      <c r="AG977" s="102"/>
      <c r="AH977" s="102"/>
      <c r="AI977" s="102"/>
      <c r="AJ977" s="102"/>
      <c r="AK977" s="102"/>
      <c r="AL977" s="102"/>
      <c r="AM977" s="102"/>
      <c r="AN977" s="102"/>
      <c r="AO977" s="102"/>
      <c r="AP977" s="102"/>
      <c r="AQ977" s="102"/>
      <c r="AR977" s="102"/>
      <c r="AS977" s="102"/>
      <c r="AT977" s="102"/>
      <c r="AU977" s="102"/>
      <c r="AV977" s="102"/>
      <c r="AW977" s="102"/>
      <c r="AX977" s="102"/>
      <c r="AY977" s="102"/>
      <c r="AZ977" s="102"/>
      <c r="BA977" s="102"/>
      <c r="BB977" s="102"/>
      <c r="BC977" s="102"/>
      <c r="BD977" s="102"/>
      <c r="BE977" s="102"/>
      <c r="BF977" s="102"/>
      <c r="BG977" s="102"/>
      <c r="BH977" s="102"/>
      <c r="BI977" s="102"/>
      <c r="BJ977" s="102"/>
      <c r="BK977" s="102"/>
      <c r="BL977" s="102"/>
      <c r="BM977" s="102"/>
      <c r="BN977" s="102"/>
      <c r="BO977" s="102"/>
      <c r="BP977" s="102"/>
      <c r="BQ977" s="102"/>
      <c r="BR977" s="102"/>
      <c r="BS977" s="102"/>
      <c r="BT977" s="102"/>
      <c r="BU977" s="102"/>
      <c r="BV977" s="102"/>
      <c r="BW977" s="102"/>
      <c r="BX977" s="102"/>
      <c r="BY977" s="102"/>
      <c r="BZ977" s="102"/>
      <c r="CA977" s="464"/>
      <c r="CB977" s="102"/>
      <c r="CC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474">
        <v>975.0</v>
      </c>
      <c r="AB978" s="474">
        <f t="shared" si="10"/>
        <v>980</v>
      </c>
      <c r="AC978" s="476">
        <f t="shared" si="11"/>
        <v>1306</v>
      </c>
      <c r="AD978" s="474">
        <f t="shared" si="12"/>
        <v>1628</v>
      </c>
      <c r="AE978" s="474">
        <f t="shared" si="13"/>
        <v>1073</v>
      </c>
      <c r="AF978" s="474">
        <f t="shared" si="14"/>
        <v>1306</v>
      </c>
      <c r="AG978" s="102"/>
      <c r="AH978" s="102"/>
      <c r="AI978" s="102"/>
      <c r="AJ978" s="102"/>
      <c r="AK978" s="102"/>
      <c r="AL978" s="102"/>
      <c r="AM978" s="102"/>
      <c r="AN978" s="102"/>
      <c r="AO978" s="102"/>
      <c r="AP978" s="102"/>
      <c r="AQ978" s="102"/>
      <c r="AR978" s="102"/>
      <c r="AS978" s="102"/>
      <c r="AT978" s="102"/>
      <c r="AU978" s="102"/>
      <c r="AV978" s="102"/>
      <c r="AW978" s="102"/>
      <c r="AX978" s="102"/>
      <c r="AY978" s="102"/>
      <c r="AZ978" s="102"/>
      <c r="BA978" s="102"/>
      <c r="BB978" s="102"/>
      <c r="BC978" s="102"/>
      <c r="BD978" s="102"/>
      <c r="BE978" s="102"/>
      <c r="BF978" s="102"/>
      <c r="BG978" s="102"/>
      <c r="BH978" s="102"/>
      <c r="BI978" s="102"/>
      <c r="BJ978" s="102"/>
      <c r="BK978" s="102"/>
      <c r="BL978" s="102"/>
      <c r="BM978" s="102"/>
      <c r="BN978" s="102"/>
      <c r="BO978" s="102"/>
      <c r="BP978" s="102"/>
      <c r="BQ978" s="102"/>
      <c r="BR978" s="102"/>
      <c r="BS978" s="102"/>
      <c r="BT978" s="102"/>
      <c r="BU978" s="102"/>
      <c r="BV978" s="102"/>
      <c r="BW978" s="102"/>
      <c r="BX978" s="102"/>
      <c r="BY978" s="102"/>
      <c r="BZ978" s="102"/>
      <c r="CA978" s="464"/>
      <c r="CB978" s="102"/>
      <c r="CC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474">
        <v>976.0</v>
      </c>
      <c r="AB979" s="474">
        <f t="shared" si="10"/>
        <v>981</v>
      </c>
      <c r="AC979" s="476">
        <f t="shared" si="11"/>
        <v>1307</v>
      </c>
      <c r="AD979" s="474">
        <f t="shared" si="12"/>
        <v>1629</v>
      </c>
      <c r="AE979" s="474">
        <f t="shared" si="13"/>
        <v>1074</v>
      </c>
      <c r="AF979" s="474">
        <f t="shared" si="14"/>
        <v>1307</v>
      </c>
      <c r="AG979" s="102"/>
      <c r="AH979" s="102"/>
      <c r="AI979" s="102"/>
      <c r="AJ979" s="102"/>
      <c r="AK979" s="102"/>
      <c r="AL979" s="102"/>
      <c r="AM979" s="102"/>
      <c r="AN979" s="102"/>
      <c r="AO979" s="102"/>
      <c r="AP979" s="102"/>
      <c r="AQ979" s="102"/>
      <c r="AR979" s="102"/>
      <c r="AS979" s="102"/>
      <c r="AT979" s="102"/>
      <c r="AU979" s="102"/>
      <c r="AV979" s="102"/>
      <c r="AW979" s="102"/>
      <c r="AX979" s="102"/>
      <c r="AY979" s="102"/>
      <c r="AZ979" s="102"/>
      <c r="BA979" s="102"/>
      <c r="BB979" s="102"/>
      <c r="BC979" s="102"/>
      <c r="BD979" s="102"/>
      <c r="BE979" s="102"/>
      <c r="BF979" s="102"/>
      <c r="BG979" s="102"/>
      <c r="BH979" s="102"/>
      <c r="BI979" s="102"/>
      <c r="BJ979" s="102"/>
      <c r="BK979" s="102"/>
      <c r="BL979" s="102"/>
      <c r="BM979" s="102"/>
      <c r="BN979" s="102"/>
      <c r="BO979" s="102"/>
      <c r="BP979" s="102"/>
      <c r="BQ979" s="102"/>
      <c r="BR979" s="102"/>
      <c r="BS979" s="102"/>
      <c r="BT979" s="102"/>
      <c r="BU979" s="102"/>
      <c r="BV979" s="102"/>
      <c r="BW979" s="102"/>
      <c r="BX979" s="102"/>
      <c r="BY979" s="102"/>
      <c r="BZ979" s="102"/>
      <c r="CA979" s="464"/>
      <c r="CB979" s="102"/>
      <c r="CC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474">
        <v>977.0</v>
      </c>
      <c r="AB980" s="474">
        <f t="shared" si="10"/>
        <v>982</v>
      </c>
      <c r="AC980" s="476">
        <f t="shared" si="11"/>
        <v>1309</v>
      </c>
      <c r="AD980" s="474">
        <f t="shared" si="12"/>
        <v>1631</v>
      </c>
      <c r="AE980" s="474">
        <f t="shared" si="13"/>
        <v>1075</v>
      </c>
      <c r="AF980" s="474">
        <f t="shared" si="14"/>
        <v>1309</v>
      </c>
      <c r="AG980" s="102"/>
      <c r="AH980" s="102"/>
      <c r="AI980" s="102"/>
      <c r="AJ980" s="102"/>
      <c r="AK980" s="102"/>
      <c r="AL980" s="102"/>
      <c r="AM980" s="102"/>
      <c r="AN980" s="102"/>
      <c r="AO980" s="102"/>
      <c r="AP980" s="102"/>
      <c r="AQ980" s="102"/>
      <c r="AR980" s="102"/>
      <c r="AS980" s="102"/>
      <c r="AT980" s="102"/>
      <c r="AU980" s="102"/>
      <c r="AV980" s="102"/>
      <c r="AW980" s="102"/>
      <c r="AX980" s="102"/>
      <c r="AY980" s="102"/>
      <c r="AZ980" s="102"/>
      <c r="BA980" s="102"/>
      <c r="BB980" s="102"/>
      <c r="BC980" s="102"/>
      <c r="BD980" s="102"/>
      <c r="BE980" s="102"/>
      <c r="BF980" s="102"/>
      <c r="BG980" s="102"/>
      <c r="BH980" s="102"/>
      <c r="BI980" s="102"/>
      <c r="BJ980" s="102"/>
      <c r="BK980" s="102"/>
      <c r="BL980" s="102"/>
      <c r="BM980" s="102"/>
      <c r="BN980" s="102"/>
      <c r="BO980" s="102"/>
      <c r="BP980" s="102"/>
      <c r="BQ980" s="102"/>
      <c r="BR980" s="102"/>
      <c r="BS980" s="102"/>
      <c r="BT980" s="102"/>
      <c r="BU980" s="102"/>
      <c r="BV980" s="102"/>
      <c r="BW980" s="102"/>
      <c r="BX980" s="102"/>
      <c r="BY980" s="102"/>
      <c r="BZ980" s="102"/>
      <c r="CA980" s="464"/>
      <c r="CB980" s="102"/>
      <c r="CC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474">
        <v>978.0</v>
      </c>
      <c r="AB981" s="474">
        <f t="shared" si="10"/>
        <v>983</v>
      </c>
      <c r="AC981" s="476">
        <f t="shared" si="11"/>
        <v>1310</v>
      </c>
      <c r="AD981" s="474">
        <f t="shared" si="12"/>
        <v>1633</v>
      </c>
      <c r="AE981" s="474">
        <f t="shared" si="13"/>
        <v>1076</v>
      </c>
      <c r="AF981" s="474">
        <f t="shared" si="14"/>
        <v>1310</v>
      </c>
      <c r="AG981" s="102"/>
      <c r="AH981" s="102"/>
      <c r="AI981" s="102"/>
      <c r="AJ981" s="102"/>
      <c r="AK981" s="102"/>
      <c r="AL981" s="102"/>
      <c r="AM981" s="102"/>
      <c r="AN981" s="102"/>
      <c r="AO981" s="102"/>
      <c r="AP981" s="102"/>
      <c r="AQ981" s="102"/>
      <c r="AR981" s="102"/>
      <c r="AS981" s="102"/>
      <c r="AT981" s="102"/>
      <c r="AU981" s="102"/>
      <c r="AV981" s="102"/>
      <c r="AW981" s="102"/>
      <c r="AX981" s="102"/>
      <c r="AY981" s="102"/>
      <c r="AZ981" s="102"/>
      <c r="BA981" s="102"/>
      <c r="BB981" s="102"/>
      <c r="BC981" s="102"/>
      <c r="BD981" s="102"/>
      <c r="BE981" s="102"/>
      <c r="BF981" s="102"/>
      <c r="BG981" s="102"/>
      <c r="BH981" s="102"/>
      <c r="BI981" s="102"/>
      <c r="BJ981" s="102"/>
      <c r="BK981" s="102"/>
      <c r="BL981" s="102"/>
      <c r="BM981" s="102"/>
      <c r="BN981" s="102"/>
      <c r="BO981" s="102"/>
      <c r="BP981" s="102"/>
      <c r="BQ981" s="102"/>
      <c r="BR981" s="102"/>
      <c r="BS981" s="102"/>
      <c r="BT981" s="102"/>
      <c r="BU981" s="102"/>
      <c r="BV981" s="102"/>
      <c r="BW981" s="102"/>
      <c r="BX981" s="102"/>
      <c r="BY981" s="102"/>
      <c r="BZ981" s="102"/>
      <c r="CA981" s="464"/>
      <c r="CB981" s="102"/>
      <c r="CC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474">
        <v>979.0</v>
      </c>
      <c r="AB982" s="474">
        <f t="shared" si="10"/>
        <v>984</v>
      </c>
      <c r="AC982" s="476">
        <f t="shared" si="11"/>
        <v>1311</v>
      </c>
      <c r="AD982" s="474">
        <f t="shared" si="12"/>
        <v>1634</v>
      </c>
      <c r="AE982" s="474">
        <f t="shared" si="13"/>
        <v>1077</v>
      </c>
      <c r="AF982" s="474">
        <f t="shared" si="14"/>
        <v>1311</v>
      </c>
      <c r="AG982" s="102"/>
      <c r="AH982" s="102"/>
      <c r="AI982" s="102"/>
      <c r="AJ982" s="102"/>
      <c r="AK982" s="102"/>
      <c r="AL982" s="102"/>
      <c r="AM982" s="102"/>
      <c r="AN982" s="102"/>
      <c r="AO982" s="102"/>
      <c r="AP982" s="102"/>
      <c r="AQ982" s="102"/>
      <c r="AR982" s="102"/>
      <c r="AS982" s="102"/>
      <c r="AT982" s="102"/>
      <c r="AU982" s="102"/>
      <c r="AV982" s="102"/>
      <c r="AW982" s="102"/>
      <c r="AX982" s="102"/>
      <c r="AY982" s="102"/>
      <c r="AZ982" s="102"/>
      <c r="BA982" s="102"/>
      <c r="BB982" s="102"/>
      <c r="BC982" s="102"/>
      <c r="BD982" s="102"/>
      <c r="BE982" s="102"/>
      <c r="BF982" s="102"/>
      <c r="BG982" s="102"/>
      <c r="BH982" s="102"/>
      <c r="BI982" s="102"/>
      <c r="BJ982" s="102"/>
      <c r="BK982" s="102"/>
      <c r="BL982" s="102"/>
      <c r="BM982" s="102"/>
      <c r="BN982" s="102"/>
      <c r="BO982" s="102"/>
      <c r="BP982" s="102"/>
      <c r="BQ982" s="102"/>
      <c r="BR982" s="102"/>
      <c r="BS982" s="102"/>
      <c r="BT982" s="102"/>
      <c r="BU982" s="102"/>
      <c r="BV982" s="102"/>
      <c r="BW982" s="102"/>
      <c r="BX982" s="102"/>
      <c r="BY982" s="102"/>
      <c r="BZ982" s="102"/>
      <c r="CA982" s="464"/>
      <c r="CB982" s="102"/>
      <c r="CC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474">
        <v>980.0</v>
      </c>
      <c r="AB983" s="474">
        <f t="shared" si="10"/>
        <v>985</v>
      </c>
      <c r="AC983" s="476">
        <f t="shared" si="11"/>
        <v>1313</v>
      </c>
      <c r="AD983" s="474">
        <f t="shared" si="12"/>
        <v>1636</v>
      </c>
      <c r="AE983" s="474">
        <f t="shared" si="13"/>
        <v>1078</v>
      </c>
      <c r="AF983" s="474">
        <f t="shared" si="14"/>
        <v>1313</v>
      </c>
      <c r="AG983" s="102"/>
      <c r="AH983" s="102"/>
      <c r="AI983" s="102"/>
      <c r="AJ983" s="102"/>
      <c r="AK983" s="102"/>
      <c r="AL983" s="102"/>
      <c r="AM983" s="102"/>
      <c r="AN983" s="102"/>
      <c r="AO983" s="102"/>
      <c r="AP983" s="102"/>
      <c r="AQ983" s="102"/>
      <c r="AR983" s="102"/>
      <c r="AS983" s="102"/>
      <c r="AT983" s="102"/>
      <c r="AU983" s="102"/>
      <c r="AV983" s="102"/>
      <c r="AW983" s="102"/>
      <c r="AX983" s="102"/>
      <c r="AY983" s="102"/>
      <c r="AZ983" s="102"/>
      <c r="BA983" s="102"/>
      <c r="BB983" s="102"/>
      <c r="BC983" s="102"/>
      <c r="BD983" s="102"/>
      <c r="BE983" s="102"/>
      <c r="BF983" s="102"/>
      <c r="BG983" s="102"/>
      <c r="BH983" s="102"/>
      <c r="BI983" s="102"/>
      <c r="BJ983" s="102"/>
      <c r="BK983" s="102"/>
      <c r="BL983" s="102"/>
      <c r="BM983" s="102"/>
      <c r="BN983" s="102"/>
      <c r="BO983" s="102"/>
      <c r="BP983" s="102"/>
      <c r="BQ983" s="102"/>
      <c r="BR983" s="102"/>
      <c r="BS983" s="102"/>
      <c r="BT983" s="102"/>
      <c r="BU983" s="102"/>
      <c r="BV983" s="102"/>
      <c r="BW983" s="102"/>
      <c r="BX983" s="102"/>
      <c r="BY983" s="102"/>
      <c r="BZ983" s="102"/>
      <c r="CA983" s="464"/>
      <c r="CB983" s="102"/>
      <c r="CC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474">
        <v>981.0</v>
      </c>
      <c r="AB984" s="474">
        <f t="shared" si="10"/>
        <v>986</v>
      </c>
      <c r="AC984" s="476">
        <f t="shared" si="11"/>
        <v>1314</v>
      </c>
      <c r="AD984" s="474">
        <f t="shared" si="12"/>
        <v>1638</v>
      </c>
      <c r="AE984" s="474">
        <f t="shared" si="13"/>
        <v>1080</v>
      </c>
      <c r="AF984" s="474">
        <f t="shared" si="14"/>
        <v>1314</v>
      </c>
      <c r="AG984" s="102"/>
      <c r="AH984" s="102"/>
      <c r="AI984" s="102"/>
      <c r="AJ984" s="102"/>
      <c r="AK984" s="102"/>
      <c r="AL984" s="102"/>
      <c r="AM984" s="102"/>
      <c r="AN984" s="102"/>
      <c r="AO984" s="102"/>
      <c r="AP984" s="102"/>
      <c r="AQ984" s="102"/>
      <c r="AR984" s="102"/>
      <c r="AS984" s="102"/>
      <c r="AT984" s="102"/>
      <c r="AU984" s="102"/>
      <c r="AV984" s="102"/>
      <c r="AW984" s="102"/>
      <c r="AX984" s="102"/>
      <c r="AY984" s="102"/>
      <c r="AZ984" s="102"/>
      <c r="BA984" s="102"/>
      <c r="BB984" s="102"/>
      <c r="BC984" s="102"/>
      <c r="BD984" s="102"/>
      <c r="BE984" s="102"/>
      <c r="BF984" s="102"/>
      <c r="BG984" s="102"/>
      <c r="BH984" s="102"/>
      <c r="BI984" s="102"/>
      <c r="BJ984" s="102"/>
      <c r="BK984" s="102"/>
      <c r="BL984" s="102"/>
      <c r="BM984" s="102"/>
      <c r="BN984" s="102"/>
      <c r="BO984" s="102"/>
      <c r="BP984" s="102"/>
      <c r="BQ984" s="102"/>
      <c r="BR984" s="102"/>
      <c r="BS984" s="102"/>
      <c r="BT984" s="102"/>
      <c r="BU984" s="102"/>
      <c r="BV984" s="102"/>
      <c r="BW984" s="102"/>
      <c r="BX984" s="102"/>
      <c r="BY984" s="102"/>
      <c r="BZ984" s="102"/>
      <c r="CA984" s="464"/>
      <c r="CB984" s="102"/>
      <c r="CC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474">
        <v>982.0</v>
      </c>
      <c r="AB985" s="474">
        <f t="shared" si="10"/>
        <v>987</v>
      </c>
      <c r="AC985" s="476">
        <f t="shared" si="11"/>
        <v>1315</v>
      </c>
      <c r="AD985" s="474">
        <f t="shared" si="12"/>
        <v>1639</v>
      </c>
      <c r="AE985" s="474">
        <f t="shared" si="13"/>
        <v>1081</v>
      </c>
      <c r="AF985" s="474">
        <f t="shared" si="14"/>
        <v>1315</v>
      </c>
      <c r="AG985" s="102"/>
      <c r="AH985" s="102"/>
      <c r="AI985" s="102"/>
      <c r="AJ985" s="102"/>
      <c r="AK985" s="102"/>
      <c r="AL985" s="102"/>
      <c r="AM985" s="102"/>
      <c r="AN985" s="102"/>
      <c r="AO985" s="102"/>
      <c r="AP985" s="102"/>
      <c r="AQ985" s="102"/>
      <c r="AR985" s="102"/>
      <c r="AS985" s="102"/>
      <c r="AT985" s="102"/>
      <c r="AU985" s="102"/>
      <c r="AV985" s="102"/>
      <c r="AW985" s="102"/>
      <c r="AX985" s="102"/>
      <c r="AY985" s="102"/>
      <c r="AZ985" s="102"/>
      <c r="BA985" s="102"/>
      <c r="BB985" s="102"/>
      <c r="BC985" s="102"/>
      <c r="BD985" s="102"/>
      <c r="BE985" s="102"/>
      <c r="BF985" s="102"/>
      <c r="BG985" s="102"/>
      <c r="BH985" s="102"/>
      <c r="BI985" s="102"/>
      <c r="BJ985" s="102"/>
      <c r="BK985" s="102"/>
      <c r="BL985" s="102"/>
      <c r="BM985" s="102"/>
      <c r="BN985" s="102"/>
      <c r="BO985" s="102"/>
      <c r="BP985" s="102"/>
      <c r="BQ985" s="102"/>
      <c r="BR985" s="102"/>
      <c r="BS985" s="102"/>
      <c r="BT985" s="102"/>
      <c r="BU985" s="102"/>
      <c r="BV985" s="102"/>
      <c r="BW985" s="102"/>
      <c r="BX985" s="102"/>
      <c r="BY985" s="102"/>
      <c r="BZ985" s="102"/>
      <c r="CA985" s="464"/>
      <c r="CB985" s="102"/>
      <c r="CC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474">
        <v>983.0</v>
      </c>
      <c r="AB986" s="474">
        <f t="shared" si="10"/>
        <v>988</v>
      </c>
      <c r="AC986" s="476">
        <f t="shared" si="11"/>
        <v>1317</v>
      </c>
      <c r="AD986" s="474">
        <f t="shared" si="12"/>
        <v>1641</v>
      </c>
      <c r="AE986" s="474">
        <f t="shared" si="13"/>
        <v>1082</v>
      </c>
      <c r="AF986" s="474">
        <f t="shared" si="14"/>
        <v>1317</v>
      </c>
      <c r="AG986" s="102"/>
      <c r="AH986" s="102"/>
      <c r="AI986" s="102"/>
      <c r="AJ986" s="102"/>
      <c r="AK986" s="102"/>
      <c r="AL986" s="102"/>
      <c r="AM986" s="102"/>
      <c r="AN986" s="102"/>
      <c r="AO986" s="102"/>
      <c r="AP986" s="102"/>
      <c r="AQ986" s="102"/>
      <c r="AR986" s="102"/>
      <c r="AS986" s="102"/>
      <c r="AT986" s="102"/>
      <c r="AU986" s="102"/>
      <c r="AV986" s="102"/>
      <c r="AW986" s="102"/>
      <c r="AX986" s="102"/>
      <c r="AY986" s="102"/>
      <c r="AZ986" s="102"/>
      <c r="BA986" s="102"/>
      <c r="BB986" s="102"/>
      <c r="BC986" s="102"/>
      <c r="BD986" s="102"/>
      <c r="BE986" s="102"/>
      <c r="BF986" s="102"/>
      <c r="BG986" s="102"/>
      <c r="BH986" s="102"/>
      <c r="BI986" s="102"/>
      <c r="BJ986" s="102"/>
      <c r="BK986" s="102"/>
      <c r="BL986" s="102"/>
      <c r="BM986" s="102"/>
      <c r="BN986" s="102"/>
      <c r="BO986" s="102"/>
      <c r="BP986" s="102"/>
      <c r="BQ986" s="102"/>
      <c r="BR986" s="102"/>
      <c r="BS986" s="102"/>
      <c r="BT986" s="102"/>
      <c r="BU986" s="102"/>
      <c r="BV986" s="102"/>
      <c r="BW986" s="102"/>
      <c r="BX986" s="102"/>
      <c r="BY986" s="102"/>
      <c r="BZ986" s="102"/>
      <c r="CA986" s="464"/>
      <c r="CB986" s="102"/>
      <c r="CC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474">
        <v>984.0</v>
      </c>
      <c r="AB987" s="474">
        <f t="shared" si="10"/>
        <v>989</v>
      </c>
      <c r="AC987" s="476">
        <f t="shared" si="11"/>
        <v>1318</v>
      </c>
      <c r="AD987" s="474">
        <f t="shared" si="12"/>
        <v>1643</v>
      </c>
      <c r="AE987" s="474">
        <f t="shared" si="13"/>
        <v>1083</v>
      </c>
      <c r="AF987" s="474">
        <f t="shared" si="14"/>
        <v>1318</v>
      </c>
      <c r="AG987" s="102"/>
      <c r="AH987" s="102"/>
      <c r="AI987" s="102"/>
      <c r="AJ987" s="102"/>
      <c r="AK987" s="102"/>
      <c r="AL987" s="102"/>
      <c r="AM987" s="102"/>
      <c r="AN987" s="102"/>
      <c r="AO987" s="102"/>
      <c r="AP987" s="102"/>
      <c r="AQ987" s="102"/>
      <c r="AR987" s="102"/>
      <c r="AS987" s="102"/>
      <c r="AT987" s="102"/>
      <c r="AU987" s="102"/>
      <c r="AV987" s="102"/>
      <c r="AW987" s="102"/>
      <c r="AX987" s="102"/>
      <c r="AY987" s="102"/>
      <c r="AZ987" s="102"/>
      <c r="BA987" s="102"/>
      <c r="BB987" s="102"/>
      <c r="BC987" s="102"/>
      <c r="BD987" s="102"/>
      <c r="BE987" s="102"/>
      <c r="BF987" s="102"/>
      <c r="BG987" s="102"/>
      <c r="BH987" s="102"/>
      <c r="BI987" s="102"/>
      <c r="BJ987" s="102"/>
      <c r="BK987" s="102"/>
      <c r="BL987" s="102"/>
      <c r="BM987" s="102"/>
      <c r="BN987" s="102"/>
      <c r="BO987" s="102"/>
      <c r="BP987" s="102"/>
      <c r="BQ987" s="102"/>
      <c r="BR987" s="102"/>
      <c r="BS987" s="102"/>
      <c r="BT987" s="102"/>
      <c r="BU987" s="102"/>
      <c r="BV987" s="102"/>
      <c r="BW987" s="102"/>
      <c r="BX987" s="102"/>
      <c r="BY987" s="102"/>
      <c r="BZ987" s="102"/>
      <c r="CA987" s="464"/>
      <c r="CB987" s="102"/>
      <c r="CC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474">
        <v>985.0</v>
      </c>
      <c r="AB988" s="474">
        <f t="shared" si="10"/>
        <v>990</v>
      </c>
      <c r="AC988" s="476">
        <f t="shared" si="11"/>
        <v>1319</v>
      </c>
      <c r="AD988" s="474">
        <f t="shared" si="12"/>
        <v>1644</v>
      </c>
      <c r="AE988" s="474">
        <f t="shared" si="13"/>
        <v>1084</v>
      </c>
      <c r="AF988" s="474">
        <f t="shared" si="14"/>
        <v>1319</v>
      </c>
      <c r="AG988" s="102"/>
      <c r="AH988" s="102"/>
      <c r="AI988" s="102"/>
      <c r="AJ988" s="102"/>
      <c r="AK988" s="102"/>
      <c r="AL988" s="102"/>
      <c r="AM988" s="102"/>
      <c r="AN988" s="102"/>
      <c r="AO988" s="102"/>
      <c r="AP988" s="102"/>
      <c r="AQ988" s="102"/>
      <c r="AR988" s="102"/>
      <c r="AS988" s="102"/>
      <c r="AT988" s="102"/>
      <c r="AU988" s="102"/>
      <c r="AV988" s="102"/>
      <c r="AW988" s="102"/>
      <c r="AX988" s="102"/>
      <c r="AY988" s="102"/>
      <c r="AZ988" s="102"/>
      <c r="BA988" s="102"/>
      <c r="BB988" s="102"/>
      <c r="BC988" s="102"/>
      <c r="BD988" s="102"/>
      <c r="BE988" s="102"/>
      <c r="BF988" s="102"/>
      <c r="BG988" s="102"/>
      <c r="BH988" s="102"/>
      <c r="BI988" s="102"/>
      <c r="BJ988" s="102"/>
      <c r="BK988" s="102"/>
      <c r="BL988" s="102"/>
      <c r="BM988" s="102"/>
      <c r="BN988" s="102"/>
      <c r="BO988" s="102"/>
      <c r="BP988" s="102"/>
      <c r="BQ988" s="102"/>
      <c r="BR988" s="102"/>
      <c r="BS988" s="102"/>
      <c r="BT988" s="102"/>
      <c r="BU988" s="102"/>
      <c r="BV988" s="102"/>
      <c r="BW988" s="102"/>
      <c r="BX988" s="102"/>
      <c r="BY988" s="102"/>
      <c r="BZ988" s="102"/>
      <c r="CA988" s="464"/>
      <c r="CB988" s="102"/>
      <c r="CC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474">
        <v>986.0</v>
      </c>
      <c r="AB989" s="474">
        <f t="shared" si="10"/>
        <v>991</v>
      </c>
      <c r="AC989" s="476">
        <f t="shared" si="11"/>
        <v>1321</v>
      </c>
      <c r="AD989" s="474">
        <f t="shared" si="12"/>
        <v>1646</v>
      </c>
      <c r="AE989" s="474">
        <f t="shared" si="13"/>
        <v>1085</v>
      </c>
      <c r="AF989" s="474">
        <f t="shared" si="14"/>
        <v>1321</v>
      </c>
      <c r="AG989" s="102"/>
      <c r="AH989" s="102"/>
      <c r="AI989" s="102"/>
      <c r="AJ989" s="102"/>
      <c r="AK989" s="102"/>
      <c r="AL989" s="102"/>
      <c r="AM989" s="102"/>
      <c r="AN989" s="102"/>
      <c r="AO989" s="102"/>
      <c r="AP989" s="102"/>
      <c r="AQ989" s="102"/>
      <c r="AR989" s="102"/>
      <c r="AS989" s="102"/>
      <c r="AT989" s="102"/>
      <c r="AU989" s="102"/>
      <c r="AV989" s="102"/>
      <c r="AW989" s="102"/>
      <c r="AX989" s="102"/>
      <c r="AY989" s="102"/>
      <c r="AZ989" s="102"/>
      <c r="BA989" s="102"/>
      <c r="BB989" s="102"/>
      <c r="BC989" s="102"/>
      <c r="BD989" s="102"/>
      <c r="BE989" s="102"/>
      <c r="BF989" s="102"/>
      <c r="BG989" s="102"/>
      <c r="BH989" s="102"/>
      <c r="BI989" s="102"/>
      <c r="BJ989" s="102"/>
      <c r="BK989" s="102"/>
      <c r="BL989" s="102"/>
      <c r="BM989" s="102"/>
      <c r="BN989" s="102"/>
      <c r="BO989" s="102"/>
      <c r="BP989" s="102"/>
      <c r="BQ989" s="102"/>
      <c r="BR989" s="102"/>
      <c r="BS989" s="102"/>
      <c r="BT989" s="102"/>
      <c r="BU989" s="102"/>
      <c r="BV989" s="102"/>
      <c r="BW989" s="102"/>
      <c r="BX989" s="102"/>
      <c r="BY989" s="102"/>
      <c r="BZ989" s="102"/>
      <c r="CA989" s="464"/>
      <c r="CB989" s="102"/>
      <c r="CC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474">
        <v>987.0</v>
      </c>
      <c r="AB990" s="474">
        <f t="shared" si="10"/>
        <v>992</v>
      </c>
      <c r="AC990" s="476">
        <f t="shared" si="11"/>
        <v>1322</v>
      </c>
      <c r="AD990" s="474">
        <f t="shared" si="12"/>
        <v>1648</v>
      </c>
      <c r="AE990" s="474">
        <f t="shared" si="13"/>
        <v>1086</v>
      </c>
      <c r="AF990" s="474">
        <f t="shared" si="14"/>
        <v>1322</v>
      </c>
      <c r="AG990" s="102"/>
      <c r="AH990" s="102"/>
      <c r="AI990" s="102"/>
      <c r="AJ990" s="102"/>
      <c r="AK990" s="102"/>
      <c r="AL990" s="102"/>
      <c r="AM990" s="102"/>
      <c r="AN990" s="102"/>
      <c r="AO990" s="102"/>
      <c r="AP990" s="102"/>
      <c r="AQ990" s="102"/>
      <c r="AR990" s="102"/>
      <c r="AS990" s="102"/>
      <c r="AT990" s="102"/>
      <c r="AU990" s="102"/>
      <c r="AV990" s="102"/>
      <c r="AW990" s="102"/>
      <c r="AX990" s="102"/>
      <c r="AY990" s="102"/>
      <c r="AZ990" s="102"/>
      <c r="BA990" s="102"/>
      <c r="BB990" s="102"/>
      <c r="BC990" s="102"/>
      <c r="BD990" s="102"/>
      <c r="BE990" s="102"/>
      <c r="BF990" s="102"/>
      <c r="BG990" s="102"/>
      <c r="BH990" s="102"/>
      <c r="BI990" s="102"/>
      <c r="BJ990" s="102"/>
      <c r="BK990" s="102"/>
      <c r="BL990" s="102"/>
      <c r="BM990" s="102"/>
      <c r="BN990" s="102"/>
      <c r="BO990" s="102"/>
      <c r="BP990" s="102"/>
      <c r="BQ990" s="102"/>
      <c r="BR990" s="102"/>
      <c r="BS990" s="102"/>
      <c r="BT990" s="102"/>
      <c r="BU990" s="102"/>
      <c r="BV990" s="102"/>
      <c r="BW990" s="102"/>
      <c r="BX990" s="102"/>
      <c r="BY990" s="102"/>
      <c r="BZ990" s="102"/>
      <c r="CA990" s="464"/>
      <c r="CB990" s="102"/>
      <c r="CC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474">
        <v>988.0</v>
      </c>
      <c r="AB991" s="474">
        <f t="shared" si="10"/>
        <v>993</v>
      </c>
      <c r="AC991" s="476">
        <f t="shared" si="11"/>
        <v>1323</v>
      </c>
      <c r="AD991" s="474">
        <f t="shared" si="12"/>
        <v>1649</v>
      </c>
      <c r="AE991" s="474">
        <f t="shared" si="13"/>
        <v>1087</v>
      </c>
      <c r="AF991" s="474">
        <f t="shared" si="14"/>
        <v>1323</v>
      </c>
      <c r="AG991" s="102"/>
      <c r="AH991" s="102"/>
      <c r="AI991" s="102"/>
      <c r="AJ991" s="102"/>
      <c r="AK991" s="102"/>
      <c r="AL991" s="102"/>
      <c r="AM991" s="102"/>
      <c r="AN991" s="102"/>
      <c r="AO991" s="102"/>
      <c r="AP991" s="102"/>
      <c r="AQ991" s="102"/>
      <c r="AR991" s="102"/>
      <c r="AS991" s="102"/>
      <c r="AT991" s="102"/>
      <c r="AU991" s="102"/>
      <c r="AV991" s="102"/>
      <c r="AW991" s="102"/>
      <c r="AX991" s="102"/>
      <c r="AY991" s="102"/>
      <c r="AZ991" s="102"/>
      <c r="BA991" s="102"/>
      <c r="BB991" s="102"/>
      <c r="BC991" s="102"/>
      <c r="BD991" s="102"/>
      <c r="BE991" s="102"/>
      <c r="BF991" s="102"/>
      <c r="BG991" s="102"/>
      <c r="BH991" s="102"/>
      <c r="BI991" s="102"/>
      <c r="BJ991" s="102"/>
      <c r="BK991" s="102"/>
      <c r="BL991" s="102"/>
      <c r="BM991" s="102"/>
      <c r="BN991" s="102"/>
      <c r="BO991" s="102"/>
      <c r="BP991" s="102"/>
      <c r="BQ991" s="102"/>
      <c r="BR991" s="102"/>
      <c r="BS991" s="102"/>
      <c r="BT991" s="102"/>
      <c r="BU991" s="102"/>
      <c r="BV991" s="102"/>
      <c r="BW991" s="102"/>
      <c r="BX991" s="102"/>
      <c r="BY991" s="102"/>
      <c r="BZ991" s="102"/>
      <c r="CA991" s="464"/>
      <c r="CB991" s="102"/>
      <c r="CC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474">
        <v>989.0</v>
      </c>
      <c r="AB992" s="474">
        <f t="shared" si="10"/>
        <v>994</v>
      </c>
      <c r="AC992" s="476">
        <f t="shared" si="11"/>
        <v>1325</v>
      </c>
      <c r="AD992" s="474">
        <f t="shared" si="12"/>
        <v>1651</v>
      </c>
      <c r="AE992" s="474">
        <f t="shared" si="13"/>
        <v>1088</v>
      </c>
      <c r="AF992" s="474">
        <f t="shared" si="14"/>
        <v>1325</v>
      </c>
      <c r="AG992" s="102"/>
      <c r="AH992" s="102"/>
      <c r="AI992" s="102"/>
      <c r="AJ992" s="102"/>
      <c r="AK992" s="102"/>
      <c r="AL992" s="102"/>
      <c r="AM992" s="102"/>
      <c r="AN992" s="102"/>
      <c r="AO992" s="102"/>
      <c r="AP992" s="102"/>
      <c r="AQ992" s="102"/>
      <c r="AR992" s="102"/>
      <c r="AS992" s="102"/>
      <c r="AT992" s="102"/>
      <c r="AU992" s="102"/>
      <c r="AV992" s="102"/>
      <c r="AW992" s="102"/>
      <c r="AX992" s="102"/>
      <c r="AY992" s="102"/>
      <c r="AZ992" s="102"/>
      <c r="BA992" s="102"/>
      <c r="BB992" s="102"/>
      <c r="BC992" s="102"/>
      <c r="BD992" s="102"/>
      <c r="BE992" s="102"/>
      <c r="BF992" s="102"/>
      <c r="BG992" s="102"/>
      <c r="BH992" s="102"/>
      <c r="BI992" s="102"/>
      <c r="BJ992" s="102"/>
      <c r="BK992" s="102"/>
      <c r="BL992" s="102"/>
      <c r="BM992" s="102"/>
      <c r="BN992" s="102"/>
      <c r="BO992" s="102"/>
      <c r="BP992" s="102"/>
      <c r="BQ992" s="102"/>
      <c r="BR992" s="102"/>
      <c r="BS992" s="102"/>
      <c r="BT992" s="102"/>
      <c r="BU992" s="102"/>
      <c r="BV992" s="102"/>
      <c r="BW992" s="102"/>
      <c r="BX992" s="102"/>
      <c r="BY992" s="102"/>
      <c r="BZ992" s="102"/>
      <c r="CA992" s="464"/>
      <c r="CB992" s="102"/>
      <c r="CC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474">
        <v>990.0</v>
      </c>
      <c r="AB993" s="474">
        <f t="shared" si="10"/>
        <v>995</v>
      </c>
      <c r="AC993" s="476">
        <f t="shared" si="11"/>
        <v>1326</v>
      </c>
      <c r="AD993" s="474">
        <f t="shared" si="12"/>
        <v>1653</v>
      </c>
      <c r="AE993" s="474">
        <f t="shared" si="13"/>
        <v>1089</v>
      </c>
      <c r="AF993" s="474">
        <f t="shared" si="14"/>
        <v>1326</v>
      </c>
      <c r="AG993" s="102"/>
      <c r="AH993" s="102"/>
      <c r="AI993" s="102"/>
      <c r="AJ993" s="102"/>
      <c r="AK993" s="102"/>
      <c r="AL993" s="102"/>
      <c r="AM993" s="102"/>
      <c r="AN993" s="102"/>
      <c r="AO993" s="102"/>
      <c r="AP993" s="102"/>
      <c r="AQ993" s="102"/>
      <c r="AR993" s="102"/>
      <c r="AS993" s="102"/>
      <c r="AT993" s="102"/>
      <c r="AU993" s="102"/>
      <c r="AV993" s="102"/>
      <c r="AW993" s="102"/>
      <c r="AX993" s="102"/>
      <c r="AY993" s="102"/>
      <c r="AZ993" s="102"/>
      <c r="BA993" s="102"/>
      <c r="BB993" s="102"/>
      <c r="BC993" s="102"/>
      <c r="BD993" s="102"/>
      <c r="BE993" s="102"/>
      <c r="BF993" s="102"/>
      <c r="BG993" s="102"/>
      <c r="BH993" s="102"/>
      <c r="BI993" s="102"/>
      <c r="BJ993" s="102"/>
      <c r="BK993" s="102"/>
      <c r="BL993" s="102"/>
      <c r="BM993" s="102"/>
      <c r="BN993" s="102"/>
      <c r="BO993" s="102"/>
      <c r="BP993" s="102"/>
      <c r="BQ993" s="102"/>
      <c r="BR993" s="102"/>
      <c r="BS993" s="102"/>
      <c r="BT993" s="102"/>
      <c r="BU993" s="102"/>
      <c r="BV993" s="102"/>
      <c r="BW993" s="102"/>
      <c r="BX993" s="102"/>
      <c r="BY993" s="102"/>
      <c r="BZ993" s="102"/>
      <c r="CA993" s="464"/>
      <c r="CB993" s="102"/>
      <c r="CC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474">
        <v>991.0</v>
      </c>
      <c r="AB994" s="474">
        <f t="shared" si="10"/>
        <v>996</v>
      </c>
      <c r="AC994" s="476">
        <f t="shared" si="11"/>
        <v>1327</v>
      </c>
      <c r="AD994" s="474">
        <f t="shared" si="12"/>
        <v>1654</v>
      </c>
      <c r="AE994" s="474">
        <f t="shared" si="13"/>
        <v>1091</v>
      </c>
      <c r="AF994" s="474">
        <f t="shared" si="14"/>
        <v>1327</v>
      </c>
      <c r="AG994" s="102"/>
      <c r="AH994" s="102"/>
      <c r="AI994" s="102"/>
      <c r="AJ994" s="102"/>
      <c r="AK994" s="102"/>
      <c r="AL994" s="102"/>
      <c r="AM994" s="102"/>
      <c r="AN994" s="102"/>
      <c r="AO994" s="102"/>
      <c r="AP994" s="102"/>
      <c r="AQ994" s="102"/>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c r="BO994" s="102"/>
      <c r="BP994" s="102"/>
      <c r="BQ994" s="102"/>
      <c r="BR994" s="102"/>
      <c r="BS994" s="102"/>
      <c r="BT994" s="102"/>
      <c r="BU994" s="102"/>
      <c r="BV994" s="102"/>
      <c r="BW994" s="102"/>
      <c r="BX994" s="102"/>
      <c r="BY994" s="102"/>
      <c r="BZ994" s="102"/>
      <c r="CA994" s="464"/>
      <c r="CB994" s="102"/>
      <c r="CC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474">
        <v>992.0</v>
      </c>
      <c r="AB995" s="474">
        <f t="shared" si="10"/>
        <v>997</v>
      </c>
      <c r="AC995" s="476">
        <f t="shared" si="11"/>
        <v>1329</v>
      </c>
      <c r="AD995" s="474">
        <f t="shared" si="12"/>
        <v>1656</v>
      </c>
      <c r="AE995" s="474">
        <f t="shared" si="13"/>
        <v>1092</v>
      </c>
      <c r="AF995" s="474">
        <f t="shared" si="14"/>
        <v>1329</v>
      </c>
      <c r="AG995" s="102"/>
      <c r="AH995" s="102"/>
      <c r="AI995" s="102"/>
      <c r="AJ995" s="102"/>
      <c r="AK995" s="102"/>
      <c r="AL995" s="102"/>
      <c r="AM995" s="102"/>
      <c r="AN995" s="102"/>
      <c r="AO995" s="102"/>
      <c r="AP995" s="102"/>
      <c r="AQ995" s="102"/>
      <c r="AR995" s="102"/>
      <c r="AS995" s="102"/>
      <c r="AT995" s="102"/>
      <c r="AU995" s="102"/>
      <c r="AV995" s="102"/>
      <c r="AW995" s="102"/>
      <c r="AX995" s="102"/>
      <c r="AY995" s="102"/>
      <c r="AZ995" s="102"/>
      <c r="BA995" s="102"/>
      <c r="BB995" s="102"/>
      <c r="BC995" s="102"/>
      <c r="BD995" s="102"/>
      <c r="BE995" s="102"/>
      <c r="BF995" s="102"/>
      <c r="BG995" s="102"/>
      <c r="BH995" s="102"/>
      <c r="BI995" s="102"/>
      <c r="BJ995" s="102"/>
      <c r="BK995" s="102"/>
      <c r="BL995" s="102"/>
      <c r="BM995" s="102"/>
      <c r="BN995" s="102"/>
      <c r="BO995" s="102"/>
      <c r="BP995" s="102"/>
      <c r="BQ995" s="102"/>
      <c r="BR995" s="102"/>
      <c r="BS995" s="102"/>
      <c r="BT995" s="102"/>
      <c r="BU995" s="102"/>
      <c r="BV995" s="102"/>
      <c r="BW995" s="102"/>
      <c r="BX995" s="102"/>
      <c r="BY995" s="102"/>
      <c r="BZ995" s="102"/>
      <c r="CA995" s="464"/>
      <c r="CB995" s="102"/>
      <c r="CC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474">
        <v>993.0</v>
      </c>
      <c r="AB996" s="474">
        <f t="shared" si="10"/>
        <v>998</v>
      </c>
      <c r="AC996" s="476">
        <f t="shared" si="11"/>
        <v>1330</v>
      </c>
      <c r="AD996" s="474">
        <f t="shared" si="12"/>
        <v>1658</v>
      </c>
      <c r="AE996" s="474">
        <f t="shared" si="13"/>
        <v>1093</v>
      </c>
      <c r="AF996" s="474">
        <f t="shared" si="14"/>
        <v>1330</v>
      </c>
      <c r="AG996" s="102"/>
      <c r="AH996" s="102"/>
      <c r="AI996" s="102"/>
      <c r="AJ996" s="102"/>
      <c r="AK996" s="102"/>
      <c r="AL996" s="102"/>
      <c r="AM996" s="102"/>
      <c r="AN996" s="102"/>
      <c r="AO996" s="102"/>
      <c r="AP996" s="102"/>
      <c r="AQ996" s="102"/>
      <c r="AR996" s="102"/>
      <c r="AS996" s="102"/>
      <c r="AT996" s="102"/>
      <c r="AU996" s="102"/>
      <c r="AV996" s="102"/>
      <c r="AW996" s="102"/>
      <c r="AX996" s="102"/>
      <c r="AY996" s="102"/>
      <c r="AZ996" s="102"/>
      <c r="BA996" s="102"/>
      <c r="BB996" s="102"/>
      <c r="BC996" s="102"/>
      <c r="BD996" s="102"/>
      <c r="BE996" s="102"/>
      <c r="BF996" s="102"/>
      <c r="BG996" s="102"/>
      <c r="BH996" s="102"/>
      <c r="BI996" s="102"/>
      <c r="BJ996" s="102"/>
      <c r="BK996" s="102"/>
      <c r="BL996" s="102"/>
      <c r="BM996" s="102"/>
      <c r="BN996" s="102"/>
      <c r="BO996" s="102"/>
      <c r="BP996" s="102"/>
      <c r="BQ996" s="102"/>
      <c r="BR996" s="102"/>
      <c r="BS996" s="102"/>
      <c r="BT996" s="102"/>
      <c r="BU996" s="102"/>
      <c r="BV996" s="102"/>
      <c r="BW996" s="102"/>
      <c r="BX996" s="102"/>
      <c r="BY996" s="102"/>
      <c r="BZ996" s="102"/>
      <c r="CA996" s="464"/>
      <c r="CB996" s="102"/>
      <c r="CC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474">
        <v>994.0</v>
      </c>
      <c r="AB997" s="474">
        <f t="shared" si="10"/>
        <v>999</v>
      </c>
      <c r="AC997" s="476">
        <f t="shared" si="11"/>
        <v>1331</v>
      </c>
      <c r="AD997" s="474">
        <f t="shared" si="12"/>
        <v>1659</v>
      </c>
      <c r="AE997" s="474">
        <f t="shared" si="13"/>
        <v>1094</v>
      </c>
      <c r="AF997" s="474">
        <f t="shared" si="14"/>
        <v>1331</v>
      </c>
      <c r="AG997" s="102"/>
      <c r="AH997" s="102"/>
      <c r="AI997" s="102"/>
      <c r="AJ997" s="102"/>
      <c r="AK997" s="102"/>
      <c r="AL997" s="102"/>
      <c r="AM997" s="102"/>
      <c r="AN997" s="102"/>
      <c r="AO997" s="102"/>
      <c r="AP997" s="102"/>
      <c r="AQ997" s="102"/>
      <c r="AR997" s="102"/>
      <c r="AS997" s="102"/>
      <c r="AT997" s="102"/>
      <c r="AU997" s="102"/>
      <c r="AV997" s="102"/>
      <c r="AW997" s="102"/>
      <c r="AX997" s="102"/>
      <c r="AY997" s="102"/>
      <c r="AZ997" s="102"/>
      <c r="BA997" s="102"/>
      <c r="BB997" s="102"/>
      <c r="BC997" s="102"/>
      <c r="BD997" s="102"/>
      <c r="BE997" s="102"/>
      <c r="BF997" s="102"/>
      <c r="BG997" s="102"/>
      <c r="BH997" s="102"/>
      <c r="BI997" s="102"/>
      <c r="BJ997" s="102"/>
      <c r="BK997" s="102"/>
      <c r="BL997" s="102"/>
      <c r="BM997" s="102"/>
      <c r="BN997" s="102"/>
      <c r="BO997" s="102"/>
      <c r="BP997" s="102"/>
      <c r="BQ997" s="102"/>
      <c r="BR997" s="102"/>
      <c r="BS997" s="102"/>
      <c r="BT997" s="102"/>
      <c r="BU997" s="102"/>
      <c r="BV997" s="102"/>
      <c r="BW997" s="102"/>
      <c r="BX997" s="102"/>
      <c r="BY997" s="102"/>
      <c r="BZ997" s="102"/>
      <c r="CA997" s="464"/>
      <c r="CB997" s="102"/>
      <c r="CC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474">
        <v>995.0</v>
      </c>
      <c r="AB998" s="474">
        <f t="shared" si="10"/>
        <v>1000</v>
      </c>
      <c r="AC998" s="476">
        <f t="shared" si="11"/>
        <v>1333</v>
      </c>
      <c r="AD998" s="474">
        <f t="shared" si="12"/>
        <v>1661</v>
      </c>
      <c r="AE998" s="474">
        <f t="shared" si="13"/>
        <v>1095</v>
      </c>
      <c r="AF998" s="474">
        <f t="shared" si="14"/>
        <v>1333</v>
      </c>
      <c r="AG998" s="102"/>
      <c r="AH998" s="102"/>
      <c r="AI998" s="102"/>
      <c r="AJ998" s="102"/>
      <c r="AK998" s="102"/>
      <c r="AL998" s="102"/>
      <c r="AM998" s="102"/>
      <c r="AN998" s="102"/>
      <c r="AO998" s="102"/>
      <c r="AP998" s="102"/>
      <c r="AQ998" s="102"/>
      <c r="AR998" s="102"/>
      <c r="AS998" s="102"/>
      <c r="AT998" s="102"/>
      <c r="AU998" s="102"/>
      <c r="AV998" s="102"/>
      <c r="AW998" s="102"/>
      <c r="AX998" s="102"/>
      <c r="AY998" s="102"/>
      <c r="AZ998" s="102"/>
      <c r="BA998" s="102"/>
      <c r="BB998" s="102"/>
      <c r="BC998" s="102"/>
      <c r="BD998" s="102"/>
      <c r="BE998" s="102"/>
      <c r="BF998" s="102"/>
      <c r="BG998" s="102"/>
      <c r="BH998" s="102"/>
      <c r="BI998" s="102"/>
      <c r="BJ998" s="102"/>
      <c r="BK998" s="102"/>
      <c r="BL998" s="102"/>
      <c r="BM998" s="102"/>
      <c r="BN998" s="102"/>
      <c r="BO998" s="102"/>
      <c r="BP998" s="102"/>
      <c r="BQ998" s="102"/>
      <c r="BR998" s="102"/>
      <c r="BS998" s="102"/>
      <c r="BT998" s="102"/>
      <c r="BU998" s="102"/>
      <c r="BV998" s="102"/>
      <c r="BW998" s="102"/>
      <c r="BX998" s="102"/>
      <c r="BY998" s="102"/>
      <c r="BZ998" s="102"/>
      <c r="CA998" s="464"/>
      <c r="CB998" s="102"/>
      <c r="CC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474">
        <v>996.0</v>
      </c>
      <c r="AB999" s="474">
        <f t="shared" si="10"/>
        <v>1001</v>
      </c>
      <c r="AC999" s="476">
        <f t="shared" si="11"/>
        <v>1334</v>
      </c>
      <c r="AD999" s="474">
        <f t="shared" si="12"/>
        <v>1663</v>
      </c>
      <c r="AE999" s="474">
        <f t="shared" si="13"/>
        <v>1096</v>
      </c>
      <c r="AF999" s="474">
        <f t="shared" si="14"/>
        <v>1334</v>
      </c>
      <c r="AG999" s="102"/>
      <c r="AH999" s="102"/>
      <c r="AI999" s="102"/>
      <c r="AJ999" s="102"/>
      <c r="AK999" s="102"/>
      <c r="AL999" s="102"/>
      <c r="AM999" s="102"/>
      <c r="AN999" s="102"/>
      <c r="AO999" s="102"/>
      <c r="AP999" s="102"/>
      <c r="AQ999" s="102"/>
      <c r="AR999" s="102"/>
      <c r="AS999" s="102"/>
      <c r="AT999" s="102"/>
      <c r="AU999" s="102"/>
      <c r="AV999" s="102"/>
      <c r="AW999" s="102"/>
      <c r="AX999" s="102"/>
      <c r="AY999" s="102"/>
      <c r="AZ999" s="102"/>
      <c r="BA999" s="102"/>
      <c r="BB999" s="102"/>
      <c r="BC999" s="102"/>
      <c r="BD999" s="102"/>
      <c r="BE999" s="102"/>
      <c r="BF999" s="102"/>
      <c r="BG999" s="102"/>
      <c r="BH999" s="102"/>
      <c r="BI999" s="102"/>
      <c r="BJ999" s="102"/>
      <c r="BK999" s="102"/>
      <c r="BL999" s="102"/>
      <c r="BM999" s="102"/>
      <c r="BN999" s="102"/>
      <c r="BO999" s="102"/>
      <c r="BP999" s="102"/>
      <c r="BQ999" s="102"/>
      <c r="BR999" s="102"/>
      <c r="BS999" s="102"/>
      <c r="BT999" s="102"/>
      <c r="BU999" s="102"/>
      <c r="BV999" s="102"/>
      <c r="BW999" s="102"/>
      <c r="BX999" s="102"/>
      <c r="BY999" s="102"/>
      <c r="BZ999" s="102"/>
      <c r="CA999" s="464"/>
      <c r="CB999" s="102"/>
      <c r="CC999" s="102"/>
    </row>
    <row r="1000">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474">
        <v>997.0</v>
      </c>
      <c r="AB1000" s="474">
        <f t="shared" si="10"/>
        <v>1002</v>
      </c>
      <c r="AC1000" s="476">
        <f t="shared" si="11"/>
        <v>1335</v>
      </c>
      <c r="AD1000" s="474">
        <f t="shared" si="12"/>
        <v>1664</v>
      </c>
      <c r="AE1000" s="474">
        <f t="shared" si="13"/>
        <v>1097</v>
      </c>
      <c r="AF1000" s="474">
        <f t="shared" si="14"/>
        <v>1335</v>
      </c>
      <c r="AG1000" s="102"/>
      <c r="AH1000" s="102"/>
      <c r="AI1000" s="102"/>
      <c r="AJ1000" s="102"/>
      <c r="AK1000" s="102"/>
      <c r="AL1000" s="102"/>
      <c r="AM1000" s="102"/>
      <c r="AN1000" s="102"/>
      <c r="AO1000" s="102"/>
      <c r="AP1000" s="102"/>
      <c r="AQ1000" s="102"/>
      <c r="AR1000" s="102"/>
      <c r="AS1000" s="102"/>
      <c r="AT1000" s="102"/>
      <c r="AU1000" s="102"/>
      <c r="AV1000" s="102"/>
      <c r="AW1000" s="102"/>
      <c r="AX1000" s="102"/>
      <c r="AY1000" s="102"/>
      <c r="AZ1000" s="102"/>
      <c r="BA1000" s="102"/>
      <c r="BB1000" s="102"/>
      <c r="BC1000" s="102"/>
      <c r="BD1000" s="102"/>
      <c r="BE1000" s="102"/>
      <c r="BF1000" s="102"/>
      <c r="BG1000" s="102"/>
      <c r="BH1000" s="102"/>
      <c r="BI1000" s="102"/>
      <c r="BJ1000" s="102"/>
      <c r="BK1000" s="102"/>
      <c r="BL1000" s="102"/>
      <c r="BM1000" s="102"/>
      <c r="BN1000" s="102"/>
      <c r="BO1000" s="102"/>
      <c r="BP1000" s="102"/>
      <c r="BQ1000" s="102"/>
      <c r="BR1000" s="102"/>
      <c r="BS1000" s="102"/>
      <c r="BT1000" s="102"/>
      <c r="BU1000" s="102"/>
      <c r="BV1000" s="102"/>
      <c r="BW1000" s="102"/>
      <c r="BX1000" s="102"/>
      <c r="BY1000" s="102"/>
      <c r="BZ1000" s="102"/>
      <c r="CA1000" s="464"/>
      <c r="CB1000" s="102"/>
      <c r="CC1000" s="102"/>
    </row>
    <row r="1001">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474">
        <v>998.0</v>
      </c>
      <c r="AB1001" s="474">
        <f t="shared" si="10"/>
        <v>1003</v>
      </c>
      <c r="AC1001" s="476">
        <f t="shared" si="11"/>
        <v>1337</v>
      </c>
      <c r="AD1001" s="474">
        <f t="shared" si="12"/>
        <v>1666</v>
      </c>
      <c r="AE1001" s="474">
        <f t="shared" si="13"/>
        <v>1098</v>
      </c>
      <c r="AF1001" s="474">
        <f t="shared" si="14"/>
        <v>1337</v>
      </c>
      <c r="AG1001" s="102"/>
      <c r="AH1001" s="102"/>
      <c r="AI1001" s="102"/>
      <c r="AJ1001" s="102"/>
      <c r="AK1001" s="102"/>
      <c r="AL1001" s="102"/>
      <c r="AM1001" s="102"/>
      <c r="AN1001" s="102"/>
      <c r="AO1001" s="102"/>
      <c r="AP1001" s="102"/>
      <c r="AQ1001" s="102"/>
      <c r="AR1001" s="102"/>
      <c r="AS1001" s="102"/>
      <c r="AT1001" s="102"/>
      <c r="AU1001" s="102"/>
      <c r="AV1001" s="102"/>
      <c r="AW1001" s="102"/>
      <c r="AX1001" s="102"/>
      <c r="AY1001" s="102"/>
      <c r="AZ1001" s="102"/>
      <c r="BA1001" s="102"/>
      <c r="BB1001" s="102"/>
      <c r="BC1001" s="102"/>
      <c r="BD1001" s="102"/>
      <c r="BE1001" s="102"/>
      <c r="BF1001" s="102"/>
      <c r="BG1001" s="102"/>
      <c r="BH1001" s="102"/>
      <c r="BI1001" s="102"/>
      <c r="BJ1001" s="102"/>
      <c r="BK1001" s="102"/>
      <c r="BL1001" s="102"/>
      <c r="BM1001" s="102"/>
      <c r="BN1001" s="102"/>
      <c r="BO1001" s="102"/>
      <c r="BP1001" s="102"/>
      <c r="BQ1001" s="102"/>
      <c r="BR1001" s="102"/>
      <c r="BS1001" s="102"/>
      <c r="BT1001" s="102"/>
      <c r="BU1001" s="102"/>
      <c r="BV1001" s="102"/>
      <c r="BW1001" s="102"/>
      <c r="BX1001" s="102"/>
      <c r="BY1001" s="102"/>
      <c r="BZ1001" s="102"/>
      <c r="CA1001" s="464"/>
      <c r="CB1001" s="102"/>
      <c r="CC1001" s="102"/>
    </row>
    <row r="1002">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c r="AA1002" s="474">
        <v>999.0</v>
      </c>
      <c r="AB1002" s="474">
        <f t="shared" si="10"/>
        <v>1004</v>
      </c>
      <c r="AC1002" s="476">
        <f t="shared" si="11"/>
        <v>1338</v>
      </c>
      <c r="AD1002" s="474">
        <f t="shared" si="12"/>
        <v>1668</v>
      </c>
      <c r="AE1002" s="474">
        <f t="shared" si="13"/>
        <v>1099</v>
      </c>
      <c r="AF1002" s="474">
        <f t="shared" si="14"/>
        <v>1338</v>
      </c>
      <c r="AG1002" s="102"/>
      <c r="AH1002" s="102"/>
      <c r="AI1002" s="102"/>
      <c r="AJ1002" s="102"/>
      <c r="AK1002" s="102"/>
      <c r="AL1002" s="102"/>
      <c r="AM1002" s="102"/>
      <c r="AN1002" s="102"/>
      <c r="AO1002" s="102"/>
      <c r="AP1002" s="102"/>
      <c r="AQ1002" s="102"/>
      <c r="AR1002" s="102"/>
      <c r="AS1002" s="102"/>
      <c r="AT1002" s="102"/>
      <c r="AU1002" s="102"/>
      <c r="AV1002" s="102"/>
      <c r="AW1002" s="102"/>
      <c r="AX1002" s="102"/>
      <c r="AY1002" s="102"/>
      <c r="AZ1002" s="102"/>
      <c r="BA1002" s="102"/>
      <c r="BB1002" s="102"/>
      <c r="BC1002" s="102"/>
      <c r="BD1002" s="102"/>
      <c r="BE1002" s="102"/>
      <c r="BF1002" s="102"/>
      <c r="BG1002" s="102"/>
      <c r="BH1002" s="102"/>
      <c r="BI1002" s="102"/>
      <c r="BJ1002" s="102"/>
      <c r="BK1002" s="102"/>
      <c r="BL1002" s="102"/>
      <c r="BM1002" s="102"/>
      <c r="BN1002" s="102"/>
      <c r="BO1002" s="102"/>
      <c r="BP1002" s="102"/>
      <c r="BQ1002" s="102"/>
      <c r="BR1002" s="102"/>
      <c r="BS1002" s="102"/>
      <c r="BT1002" s="102"/>
      <c r="BU1002" s="102"/>
      <c r="BV1002" s="102"/>
      <c r="BW1002" s="102"/>
      <c r="BX1002" s="102"/>
      <c r="BY1002" s="102"/>
      <c r="BZ1002" s="102"/>
      <c r="CA1002" s="464"/>
      <c r="CB1002" s="102"/>
      <c r="CC1002" s="102"/>
    </row>
  </sheetData>
  <mergeCells count="14">
    <mergeCell ref="BJ2:BK2"/>
    <mergeCell ref="BM2:BN2"/>
    <mergeCell ref="BP2:CB2"/>
    <mergeCell ref="BP3:BP4"/>
    <mergeCell ref="BQ3:BS3"/>
    <mergeCell ref="BT3:BZ3"/>
    <mergeCell ref="CA3:CB3"/>
    <mergeCell ref="E2:F2"/>
    <mergeCell ref="H2:N2"/>
    <mergeCell ref="P2:Y2"/>
    <mergeCell ref="AA2:AF2"/>
    <mergeCell ref="AH2:AT2"/>
    <mergeCell ref="AV2:AZ2"/>
    <mergeCell ref="BB2:BH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6.0" ySplit="21.0" topLeftCell="G22" activePane="bottomRight" state="frozen"/>
      <selection activeCell="G1" sqref="G1" pane="topRight"/>
      <selection activeCell="A22" sqref="A22" pane="bottomLeft"/>
      <selection activeCell="G22" sqref="G22" pane="bottomRight"/>
    </sheetView>
  </sheetViews>
  <sheetFormatPr customHeight="1" defaultColWidth="12.63" defaultRowHeight="15.75"/>
  <cols>
    <col customWidth="1" min="1" max="1" width="1.0"/>
    <col customWidth="1" min="2" max="2" width="17.5"/>
    <col customWidth="1" min="3" max="3" width="4.88"/>
    <col customWidth="1" min="4" max="4" width="25.63"/>
    <col customWidth="1" hidden="1" min="5" max="5" width="21.88"/>
    <col customWidth="1" min="6" max="6" width="20.88"/>
    <col customWidth="1" hidden="1" min="7" max="8" width="16.0"/>
    <col customWidth="1" min="9" max="10" width="10.25"/>
    <col customWidth="1" min="11" max="15" width="7.38"/>
    <col customWidth="1" min="16" max="16" width="8.38"/>
    <col customWidth="1" min="17" max="17" width="10.25"/>
    <col customWidth="1" min="18" max="18" width="7.5"/>
    <col customWidth="1" min="19" max="19" width="12.63"/>
    <col customWidth="1" hidden="1" min="20" max="20" width="12.63"/>
    <col customWidth="1" min="21" max="24" width="12.63"/>
    <col customWidth="1" hidden="1" min="25" max="32" width="12.63"/>
    <col customWidth="1" min="33" max="33" width="15.13"/>
    <col customWidth="1" hidden="1" min="34" max="94" width="6.38"/>
  </cols>
  <sheetData>
    <row r="1" ht="5.25" customHeight="1">
      <c r="A1" s="491" t="s">
        <v>282</v>
      </c>
      <c r="B1" s="492"/>
      <c r="C1" s="492"/>
      <c r="D1" s="492"/>
      <c r="E1" s="493"/>
      <c r="F1" s="491"/>
      <c r="G1" s="491"/>
      <c r="H1" s="491"/>
      <c r="I1" s="494"/>
      <c r="J1" s="494"/>
      <c r="K1" s="495"/>
      <c r="L1" s="494"/>
      <c r="M1" s="494"/>
      <c r="N1" s="494"/>
      <c r="O1" s="496"/>
      <c r="P1" s="497"/>
      <c r="Q1" s="494"/>
      <c r="R1" s="494"/>
      <c r="S1" s="494"/>
      <c r="T1" s="494"/>
      <c r="U1" s="498"/>
      <c r="V1" s="498"/>
      <c r="W1" s="498"/>
      <c r="X1" s="498"/>
      <c r="Y1" s="494"/>
      <c r="Z1" s="497"/>
      <c r="AA1" s="497"/>
      <c r="AB1" s="494"/>
      <c r="AC1" s="494"/>
      <c r="AD1" s="497"/>
      <c r="AE1" s="494"/>
      <c r="AF1" s="494"/>
      <c r="AG1" s="499"/>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c r="BH1" s="500"/>
      <c r="BI1" s="500"/>
      <c r="BJ1" s="500"/>
      <c r="BK1" s="500"/>
      <c r="BL1" s="500"/>
      <c r="BM1" s="500"/>
      <c r="BN1" s="500"/>
      <c r="BO1" s="500"/>
      <c r="BP1" s="500"/>
      <c r="BQ1" s="500"/>
      <c r="BR1" s="500"/>
      <c r="BS1" s="500"/>
      <c r="BT1" s="500"/>
      <c r="BU1" s="500"/>
      <c r="BV1" s="500"/>
      <c r="BW1" s="500"/>
      <c r="BX1" s="500"/>
      <c r="BY1" s="500"/>
      <c r="BZ1" s="500"/>
      <c r="CA1" s="500"/>
      <c r="CB1" s="500"/>
      <c r="CC1" s="500"/>
      <c r="CD1" s="500"/>
      <c r="CE1" s="500"/>
      <c r="CF1" s="500"/>
      <c r="CG1" s="500"/>
      <c r="CH1" s="500"/>
      <c r="CI1" s="500"/>
      <c r="CJ1" s="500"/>
      <c r="CK1" s="500"/>
      <c r="CL1" s="500"/>
      <c r="CM1" s="500"/>
      <c r="CN1" s="500"/>
      <c r="CO1" s="500"/>
      <c r="CP1" s="500"/>
    </row>
    <row r="2" ht="15.0" customHeight="1">
      <c r="A2" s="491"/>
      <c r="B2" s="501" t="s">
        <v>435</v>
      </c>
      <c r="C2" s="502" t="s">
        <v>564</v>
      </c>
      <c r="D2" s="503"/>
      <c r="E2" s="493"/>
      <c r="F2" s="504" t="s">
        <v>565</v>
      </c>
      <c r="G2" s="491"/>
      <c r="H2" s="491"/>
      <c r="K2" s="505" t="s">
        <v>566</v>
      </c>
      <c r="U2" s="506"/>
      <c r="V2" s="506"/>
      <c r="W2" s="507"/>
      <c r="X2" s="508" t="s">
        <v>567</v>
      </c>
      <c r="Y2" s="509"/>
      <c r="Z2" s="509"/>
      <c r="AA2" s="509"/>
      <c r="AB2" s="509"/>
      <c r="AC2" s="509"/>
      <c r="AD2" s="509"/>
      <c r="AE2" s="509"/>
      <c r="AF2" s="509"/>
      <c r="AG2" s="510"/>
      <c r="AH2" s="500"/>
      <c r="AI2" s="500"/>
      <c r="AJ2" s="500"/>
      <c r="AK2" s="500"/>
      <c r="AL2" s="500"/>
      <c r="AM2" s="500"/>
      <c r="AN2" s="500"/>
      <c r="AO2" s="500"/>
      <c r="AP2" s="500"/>
      <c r="AQ2" s="500"/>
      <c r="AR2" s="500"/>
      <c r="AS2" s="500"/>
      <c r="AT2" s="500"/>
      <c r="AU2" s="500"/>
      <c r="AV2" s="500"/>
      <c r="AW2" s="500"/>
      <c r="AX2" s="500"/>
      <c r="AY2" s="500"/>
      <c r="AZ2" s="500"/>
      <c r="BA2" s="500"/>
      <c r="BB2" s="500"/>
      <c r="BC2" s="500"/>
      <c r="BD2" s="500"/>
      <c r="BE2" s="500"/>
      <c r="BF2" s="500"/>
      <c r="BG2" s="500"/>
      <c r="BH2" s="500"/>
      <c r="BI2" s="500"/>
      <c r="BJ2" s="500"/>
      <c r="BK2" s="500"/>
      <c r="BL2" s="500"/>
      <c r="BM2" s="500"/>
      <c r="BN2" s="500"/>
      <c r="BO2" s="500"/>
      <c r="BP2" s="500"/>
      <c r="BQ2" s="500"/>
      <c r="BR2" s="500"/>
      <c r="BS2" s="500"/>
      <c r="BT2" s="500"/>
      <c r="BU2" s="500"/>
      <c r="BV2" s="500"/>
      <c r="BW2" s="500"/>
      <c r="BX2" s="500"/>
      <c r="BY2" s="500"/>
      <c r="BZ2" s="500"/>
      <c r="CA2" s="500"/>
      <c r="CB2" s="500"/>
      <c r="CC2" s="500"/>
      <c r="CD2" s="500"/>
      <c r="CE2" s="500"/>
      <c r="CF2" s="500"/>
      <c r="CG2" s="500"/>
      <c r="CH2" s="500"/>
      <c r="CI2" s="500"/>
      <c r="CJ2" s="500"/>
      <c r="CK2" s="500"/>
      <c r="CL2" s="500"/>
      <c r="CM2" s="500"/>
      <c r="CN2" s="500"/>
      <c r="CO2" s="500"/>
      <c r="CP2" s="500"/>
    </row>
    <row r="3" ht="15.0" customHeight="1">
      <c r="A3" s="491"/>
      <c r="B3" s="501" t="s">
        <v>568</v>
      </c>
      <c r="C3" s="511">
        <v>30.0</v>
      </c>
      <c r="D3" s="512" t="s">
        <v>569</v>
      </c>
      <c r="E3" s="493"/>
      <c r="F3" s="513" t="str">
        <f>VLOOKUP(C2,'scaling OLD'!A2:I55,9,FALSE)</f>
        <v>Testing object of this sheet
Baseline damage numbers for all subsequent scaling</v>
      </c>
      <c r="G3" s="491"/>
      <c r="H3" s="491"/>
      <c r="I3" s="514"/>
      <c r="J3" s="514"/>
      <c r="K3" s="515" t="s">
        <v>570</v>
      </c>
      <c r="L3" s="516"/>
      <c r="M3" s="516"/>
      <c r="N3" s="516"/>
      <c r="O3" s="517" t="s">
        <v>571</v>
      </c>
      <c r="P3" s="516"/>
      <c r="Q3" s="516"/>
      <c r="R3" s="516"/>
      <c r="S3" s="516"/>
      <c r="T3" s="516"/>
      <c r="U3" s="516"/>
      <c r="V3" s="518"/>
      <c r="W3" s="507"/>
      <c r="X3" s="519"/>
      <c r="Y3" s="114"/>
      <c r="Z3" s="114"/>
      <c r="AA3" s="114"/>
      <c r="AB3" s="114"/>
      <c r="AC3" s="114"/>
      <c r="AD3" s="114"/>
      <c r="AE3" s="114"/>
      <c r="AF3" s="114"/>
      <c r="AG3" s="520"/>
      <c r="AH3" s="500"/>
      <c r="AI3" s="500"/>
      <c r="AJ3" s="500"/>
      <c r="AK3" s="500"/>
      <c r="AL3" s="500"/>
      <c r="AM3" s="500"/>
      <c r="AN3" s="500"/>
      <c r="AO3" s="500"/>
      <c r="AP3" s="500"/>
      <c r="AQ3" s="500"/>
      <c r="AR3" s="500"/>
      <c r="AS3" s="500"/>
      <c r="AT3" s="500"/>
      <c r="AU3" s="500"/>
      <c r="AV3" s="500"/>
      <c r="AW3" s="500"/>
      <c r="AX3" s="500"/>
      <c r="AY3" s="500"/>
      <c r="AZ3" s="500"/>
      <c r="BA3" s="500"/>
      <c r="BB3" s="500"/>
      <c r="BC3" s="500"/>
      <c r="BD3" s="500"/>
      <c r="BE3" s="500"/>
      <c r="BF3" s="500"/>
      <c r="BG3" s="500"/>
      <c r="BH3" s="500"/>
      <c r="BI3" s="500"/>
      <c r="BJ3" s="500"/>
      <c r="BK3" s="500"/>
      <c r="BL3" s="500"/>
      <c r="BM3" s="500"/>
      <c r="BN3" s="500"/>
      <c r="BO3" s="500"/>
      <c r="BP3" s="500"/>
      <c r="BQ3" s="500"/>
      <c r="BR3" s="500"/>
      <c r="BS3" s="500"/>
      <c r="BT3" s="500"/>
      <c r="BU3" s="500"/>
      <c r="BV3" s="500"/>
      <c r="BW3" s="500"/>
      <c r="BX3" s="500"/>
      <c r="BY3" s="500"/>
      <c r="BZ3" s="500"/>
      <c r="CA3" s="500"/>
      <c r="CB3" s="500"/>
      <c r="CC3" s="500"/>
      <c r="CD3" s="500"/>
      <c r="CE3" s="500"/>
      <c r="CF3" s="500"/>
      <c r="CG3" s="500"/>
      <c r="CH3" s="500"/>
      <c r="CI3" s="500"/>
      <c r="CJ3" s="500"/>
      <c r="CK3" s="500"/>
      <c r="CL3" s="500"/>
      <c r="CM3" s="500"/>
      <c r="CN3" s="500"/>
      <c r="CO3" s="500"/>
      <c r="CP3" s="500"/>
    </row>
    <row r="4" ht="15.0" customHeight="1">
      <c r="A4" s="491"/>
      <c r="B4" s="501" t="s">
        <v>572</v>
      </c>
      <c r="C4" s="511">
        <v>1800.0</v>
      </c>
      <c r="D4" s="512" t="s">
        <v>573</v>
      </c>
      <c r="E4" s="493"/>
      <c r="F4" s="521"/>
      <c r="G4" s="491"/>
      <c r="H4" s="491"/>
      <c r="I4" s="522"/>
      <c r="J4" s="522"/>
      <c r="K4" s="523" t="s">
        <v>574</v>
      </c>
      <c r="L4" s="516"/>
      <c r="M4" s="516"/>
      <c r="N4" s="516"/>
      <c r="O4" s="524" t="s">
        <v>575</v>
      </c>
      <c r="P4" s="516"/>
      <c r="Q4" s="516"/>
      <c r="R4" s="516"/>
      <c r="S4" s="516"/>
      <c r="T4" s="516"/>
      <c r="U4" s="516"/>
      <c r="V4" s="518"/>
      <c r="W4" s="507"/>
      <c r="X4" s="525" t="s">
        <v>576</v>
      </c>
      <c r="Y4" s="151"/>
      <c r="Z4" s="151"/>
      <c r="AA4" s="151"/>
      <c r="AB4" s="151"/>
      <c r="AC4" s="151"/>
      <c r="AD4" s="151"/>
      <c r="AE4" s="151"/>
      <c r="AF4" s="151"/>
      <c r="AG4" s="526" t="s">
        <v>577</v>
      </c>
      <c r="AH4" s="500"/>
      <c r="AI4" s="500"/>
      <c r="AJ4" s="500"/>
      <c r="AK4" s="500"/>
      <c r="AL4" s="500"/>
      <c r="AM4" s="500"/>
      <c r="AN4" s="500"/>
      <c r="AO4" s="500"/>
      <c r="AP4" s="500"/>
      <c r="AQ4" s="500"/>
      <c r="AR4" s="500"/>
      <c r="AS4" s="500"/>
      <c r="AT4" s="500"/>
      <c r="AU4" s="500"/>
      <c r="AV4" s="500"/>
      <c r="AW4" s="500"/>
      <c r="AX4" s="500"/>
      <c r="AY4" s="500"/>
      <c r="AZ4" s="500"/>
      <c r="BA4" s="500"/>
      <c r="BB4" s="500"/>
      <c r="BC4" s="500"/>
      <c r="BD4" s="500"/>
      <c r="BE4" s="500"/>
      <c r="BF4" s="500"/>
      <c r="BG4" s="500"/>
      <c r="BH4" s="500"/>
      <c r="BI4" s="500"/>
      <c r="BJ4" s="500"/>
      <c r="BK4" s="500"/>
      <c r="BL4" s="500"/>
      <c r="BM4" s="500"/>
      <c r="BN4" s="500"/>
      <c r="BO4" s="500"/>
      <c r="BP4" s="500"/>
      <c r="BQ4" s="500"/>
      <c r="BR4" s="500"/>
      <c r="BS4" s="500"/>
      <c r="BT4" s="500"/>
      <c r="BU4" s="500"/>
      <c r="BV4" s="500"/>
      <c r="BW4" s="500"/>
      <c r="BX4" s="500"/>
      <c r="BY4" s="500"/>
      <c r="BZ4" s="500"/>
      <c r="CA4" s="500"/>
      <c r="CB4" s="500"/>
      <c r="CC4" s="500"/>
      <c r="CD4" s="500"/>
      <c r="CE4" s="500"/>
      <c r="CF4" s="500"/>
      <c r="CG4" s="500"/>
      <c r="CH4" s="500"/>
      <c r="CI4" s="500"/>
      <c r="CJ4" s="500"/>
      <c r="CK4" s="500"/>
      <c r="CL4" s="500"/>
      <c r="CM4" s="500"/>
      <c r="CN4" s="500"/>
      <c r="CO4" s="500"/>
      <c r="CP4" s="500"/>
    </row>
    <row r="5" ht="15.0" customHeight="1">
      <c r="A5" s="491"/>
      <c r="B5" s="501" t="s">
        <v>578</v>
      </c>
      <c r="C5" s="527">
        <f>IF(C2="Custom",C3,VLOOKUP(C2,'scaling OLD'!$A$3:$H$55,3,FALSE))</f>
        <v>20</v>
      </c>
      <c r="D5" s="528" t="str">
        <f>"Duration for "&amp;C2</f>
        <v>Duration for PoH - Zulmak (Default)</v>
      </c>
      <c r="E5" s="493"/>
      <c r="F5" s="521"/>
      <c r="G5" s="491"/>
      <c r="H5" s="491"/>
      <c r="U5" s="506"/>
      <c r="V5" s="506"/>
      <c r="W5" s="498"/>
      <c r="X5" s="498"/>
      <c r="Y5" s="494"/>
      <c r="Z5" s="497"/>
      <c r="AA5" s="497"/>
      <c r="AB5" s="494"/>
      <c r="AC5" s="494"/>
      <c r="AD5" s="497"/>
      <c r="AE5" s="494"/>
      <c r="AF5" s="494"/>
      <c r="AG5" s="499"/>
      <c r="AH5" s="500"/>
      <c r="AI5" s="500"/>
      <c r="AJ5" s="500"/>
      <c r="AK5" s="500"/>
      <c r="AL5" s="500"/>
      <c r="AM5" s="500"/>
      <c r="AN5" s="500"/>
      <c r="AO5" s="500"/>
      <c r="AP5" s="500"/>
      <c r="AQ5" s="500"/>
      <c r="AR5" s="500"/>
      <c r="AS5" s="500"/>
      <c r="AT5" s="500"/>
      <c r="AU5" s="500"/>
      <c r="AV5" s="500"/>
      <c r="AW5" s="500"/>
      <c r="AX5" s="500"/>
      <c r="AY5" s="500"/>
      <c r="AZ5" s="500"/>
      <c r="BA5" s="500"/>
      <c r="BB5" s="500"/>
      <c r="BC5" s="500"/>
      <c r="BD5" s="500"/>
      <c r="BE5" s="500"/>
      <c r="BF5" s="500"/>
      <c r="BG5" s="500"/>
      <c r="BH5" s="500"/>
      <c r="BI5" s="500"/>
      <c r="BJ5" s="500"/>
      <c r="BK5" s="500"/>
      <c r="BL5" s="500"/>
      <c r="BM5" s="500"/>
      <c r="BN5" s="500"/>
      <c r="BO5" s="500"/>
      <c r="BP5" s="500"/>
      <c r="BQ5" s="500"/>
      <c r="BR5" s="500"/>
      <c r="BS5" s="500"/>
      <c r="BT5" s="500"/>
      <c r="BU5" s="500"/>
      <c r="BV5" s="500"/>
      <c r="BW5" s="500"/>
      <c r="BX5" s="500"/>
      <c r="BY5" s="500"/>
      <c r="BZ5" s="500"/>
      <c r="CA5" s="500"/>
      <c r="CB5" s="500"/>
      <c r="CC5" s="500"/>
      <c r="CD5" s="500"/>
      <c r="CE5" s="500"/>
      <c r="CF5" s="500"/>
      <c r="CG5" s="500"/>
      <c r="CH5" s="500"/>
      <c r="CI5" s="500"/>
      <c r="CJ5" s="500"/>
      <c r="CK5" s="500"/>
      <c r="CL5" s="500"/>
      <c r="CM5" s="500"/>
      <c r="CN5" s="500"/>
      <c r="CO5" s="500"/>
      <c r="CP5" s="500"/>
    </row>
    <row r="6" ht="15.0" customHeight="1">
      <c r="A6" s="491"/>
      <c r="B6" s="501" t="s">
        <v>579</v>
      </c>
      <c r="C6" s="527">
        <f>IF(C2="Custom",C4,VLOOKUP(C2,'scaling OLD'!$A$3:$H$55,2,FALSE))</f>
        <v>960</v>
      </c>
      <c r="D6" s="528" t="str">
        <f>"Level for "&amp;C2</f>
        <v>Level for PoH - Zulmak (Default)</v>
      </c>
      <c r="E6" s="493"/>
      <c r="F6" s="521"/>
      <c r="G6" s="491"/>
      <c r="H6" s="491"/>
      <c r="I6" s="529" t="str">
        <f>LEFT(Information!B8,18)</f>
        <v/>
      </c>
      <c r="T6" s="494"/>
      <c r="U6" s="498"/>
      <c r="V6" s="498"/>
      <c r="W6" s="498"/>
      <c r="X6" s="498"/>
      <c r="Y6" s="494"/>
      <c r="Z6" s="497"/>
      <c r="AA6" s="497"/>
      <c r="AB6" s="494"/>
      <c r="AC6" s="494"/>
      <c r="AD6" s="497"/>
      <c r="AE6" s="494"/>
      <c r="AF6" s="494"/>
      <c r="AG6" s="499"/>
      <c r="AH6" s="500"/>
      <c r="AI6" s="500"/>
      <c r="AJ6" s="500"/>
      <c r="AK6" s="500"/>
      <c r="AL6" s="500"/>
      <c r="AM6" s="500"/>
      <c r="AN6" s="500"/>
      <c r="AO6" s="500"/>
      <c r="AP6" s="500"/>
      <c r="AQ6" s="500"/>
      <c r="AR6" s="500"/>
      <c r="AS6" s="500"/>
      <c r="AT6" s="500"/>
      <c r="AU6" s="500"/>
      <c r="AV6" s="500"/>
      <c r="AW6" s="500"/>
      <c r="AX6" s="500"/>
      <c r="AY6" s="500"/>
      <c r="AZ6" s="500"/>
      <c r="BA6" s="500"/>
      <c r="BB6" s="500"/>
      <c r="BC6" s="500"/>
      <c r="BD6" s="500"/>
      <c r="BE6" s="500"/>
      <c r="BF6" s="500"/>
      <c r="BG6" s="500"/>
      <c r="BH6" s="500"/>
      <c r="BI6" s="500"/>
      <c r="BJ6" s="500"/>
      <c r="BK6" s="500"/>
      <c r="BL6" s="500"/>
      <c r="BM6" s="500"/>
      <c r="BN6" s="500"/>
      <c r="BO6" s="500"/>
      <c r="BP6" s="500"/>
      <c r="BQ6" s="500"/>
      <c r="BR6" s="500"/>
      <c r="BS6" s="500"/>
      <c r="BT6" s="500"/>
      <c r="BU6" s="500"/>
      <c r="BV6" s="500"/>
      <c r="BW6" s="500"/>
      <c r="BX6" s="500"/>
      <c r="BY6" s="500"/>
      <c r="BZ6" s="500"/>
      <c r="CA6" s="500"/>
      <c r="CB6" s="500"/>
      <c r="CC6" s="500"/>
      <c r="CD6" s="500"/>
      <c r="CE6" s="500"/>
      <c r="CF6" s="500"/>
      <c r="CG6" s="500"/>
      <c r="CH6" s="500"/>
      <c r="CI6" s="500"/>
      <c r="CJ6" s="500"/>
      <c r="CK6" s="500"/>
      <c r="CL6" s="500"/>
      <c r="CM6" s="500"/>
      <c r="CN6" s="500"/>
      <c r="CO6" s="500"/>
      <c r="CP6" s="500"/>
    </row>
    <row r="7" ht="15.0" customHeight="1">
      <c r="A7" s="491"/>
      <c r="B7" s="530" t="s">
        <v>580</v>
      </c>
      <c r="C7" s="531" t="b">
        <v>0</v>
      </c>
      <c r="D7" s="532" t="s">
        <v>20</v>
      </c>
      <c r="E7" s="493"/>
      <c r="F7" s="521"/>
      <c r="G7" s="491"/>
      <c r="H7" s="491"/>
      <c r="I7" s="533" t="str">
        <f>IF(LEFT(I6,1)="U","To update the sheet visit the 'Information' Tab","")</f>
        <v/>
      </c>
      <c r="T7" s="494"/>
      <c r="U7" s="498"/>
      <c r="V7" s="498"/>
      <c r="W7" s="498"/>
      <c r="X7" s="498"/>
      <c r="Y7" s="494"/>
      <c r="Z7" s="497"/>
      <c r="AA7" s="497"/>
      <c r="AB7" s="494"/>
      <c r="AC7" s="494"/>
      <c r="AD7" s="497"/>
      <c r="AE7" s="494"/>
      <c r="AF7" s="494"/>
      <c r="AG7" s="499"/>
      <c r="AH7" s="500"/>
      <c r="AI7" s="500"/>
      <c r="AJ7" s="500"/>
      <c r="AK7" s="500"/>
      <c r="AL7" s="500"/>
      <c r="AM7" s="500"/>
      <c r="AN7" s="500"/>
      <c r="AO7" s="500"/>
      <c r="AP7" s="500"/>
      <c r="AQ7" s="500"/>
      <c r="AR7" s="500"/>
      <c r="AS7" s="500"/>
      <c r="AT7" s="500"/>
      <c r="AU7" s="500"/>
      <c r="AV7" s="500"/>
      <c r="AW7" s="500"/>
      <c r="AX7" s="500"/>
      <c r="AY7" s="500"/>
      <c r="AZ7" s="500"/>
      <c r="BA7" s="500"/>
      <c r="BB7" s="500"/>
      <c r="BC7" s="500"/>
      <c r="BD7" s="500"/>
      <c r="BE7" s="500"/>
      <c r="BF7" s="500"/>
      <c r="BG7" s="500"/>
      <c r="BH7" s="500"/>
      <c r="BI7" s="500"/>
      <c r="BJ7" s="500"/>
      <c r="BK7" s="500"/>
      <c r="BL7" s="500"/>
      <c r="BM7" s="500"/>
      <c r="BN7" s="500"/>
      <c r="BO7" s="500"/>
      <c r="BP7" s="500"/>
      <c r="BQ7" s="500"/>
      <c r="BR7" s="500"/>
      <c r="BS7" s="500"/>
      <c r="BT7" s="500"/>
      <c r="BU7" s="500"/>
      <c r="BV7" s="500"/>
      <c r="BW7" s="500"/>
      <c r="BX7" s="500"/>
      <c r="BY7" s="500"/>
      <c r="BZ7" s="500"/>
      <c r="CA7" s="500"/>
      <c r="CB7" s="500"/>
      <c r="CC7" s="500"/>
      <c r="CD7" s="500"/>
      <c r="CE7" s="500"/>
      <c r="CF7" s="500"/>
      <c r="CG7" s="500"/>
      <c r="CH7" s="500"/>
      <c r="CI7" s="500"/>
      <c r="CJ7" s="500"/>
      <c r="CK7" s="500"/>
      <c r="CL7" s="500"/>
      <c r="CM7" s="500"/>
      <c r="CN7" s="500"/>
      <c r="CO7" s="500"/>
      <c r="CP7" s="500"/>
    </row>
    <row r="8" ht="15.0" customHeight="1">
      <c r="A8" s="491"/>
      <c r="B8" s="534" t="s">
        <v>581</v>
      </c>
      <c r="C8" s="535" t="b">
        <v>1</v>
      </c>
      <c r="D8" s="536" t="s">
        <v>582</v>
      </c>
      <c r="E8" s="493"/>
      <c r="F8" s="537"/>
      <c r="G8" s="491"/>
      <c r="H8" s="491"/>
      <c r="I8" s="494"/>
      <c r="J8" s="494"/>
      <c r="K8" s="495"/>
      <c r="L8" s="494"/>
      <c r="M8" s="494"/>
      <c r="N8" s="494"/>
      <c r="O8" s="496"/>
      <c r="P8" s="497"/>
      <c r="Q8" s="494"/>
      <c r="R8" s="494"/>
      <c r="S8" s="494"/>
      <c r="T8" s="494"/>
      <c r="U8" s="498"/>
      <c r="V8" s="498"/>
      <c r="W8" s="498"/>
      <c r="X8" s="498"/>
      <c r="Y8" s="494"/>
      <c r="Z8" s="497"/>
      <c r="AA8" s="497"/>
      <c r="AB8" s="494"/>
      <c r="AC8" s="494"/>
      <c r="AD8" s="497"/>
      <c r="AE8" s="494"/>
      <c r="AF8" s="494"/>
      <c r="AG8" s="499"/>
      <c r="AH8" s="500"/>
      <c r="AI8" s="500"/>
      <c r="AJ8" s="500"/>
      <c r="AK8" s="500"/>
      <c r="AL8" s="500"/>
      <c r="AM8" s="500"/>
      <c r="AN8" s="500"/>
      <c r="AO8" s="500"/>
      <c r="AP8" s="500"/>
      <c r="AQ8" s="500"/>
      <c r="AR8" s="500"/>
      <c r="AS8" s="500"/>
      <c r="AT8" s="500"/>
      <c r="AU8" s="500"/>
      <c r="AV8" s="500"/>
      <c r="AW8" s="500"/>
      <c r="AX8" s="500"/>
      <c r="AY8" s="500"/>
      <c r="AZ8" s="500"/>
      <c r="BA8" s="500"/>
      <c r="BB8" s="500"/>
      <c r="BC8" s="500"/>
      <c r="BD8" s="500"/>
      <c r="BE8" s="500"/>
      <c r="BF8" s="500"/>
      <c r="BG8" s="500"/>
      <c r="BH8" s="500"/>
      <c r="BI8" s="500"/>
      <c r="BJ8" s="500"/>
      <c r="BK8" s="500"/>
      <c r="BL8" s="500"/>
      <c r="BM8" s="500"/>
      <c r="BN8" s="500"/>
      <c r="BO8" s="500"/>
      <c r="BP8" s="500"/>
      <c r="BQ8" s="500"/>
      <c r="BR8" s="500"/>
      <c r="BS8" s="500"/>
      <c r="BT8" s="500"/>
      <c r="BU8" s="500"/>
      <c r="BV8" s="500"/>
      <c r="BW8" s="500"/>
      <c r="BX8" s="500"/>
      <c r="BY8" s="500"/>
      <c r="BZ8" s="500"/>
      <c r="CA8" s="500"/>
      <c r="CB8" s="500"/>
      <c r="CC8" s="500"/>
      <c r="CD8" s="500"/>
      <c r="CE8" s="500"/>
      <c r="CF8" s="500"/>
      <c r="CG8" s="500"/>
      <c r="CH8" s="500"/>
      <c r="CI8" s="500"/>
      <c r="CJ8" s="500"/>
      <c r="CK8" s="500"/>
      <c r="CL8" s="500"/>
      <c r="CM8" s="500"/>
      <c r="CN8" s="500"/>
      <c r="CO8" s="500"/>
      <c r="CP8" s="500"/>
    </row>
    <row r="9" ht="18.75" hidden="1" customHeight="1">
      <c r="A9" s="491"/>
      <c r="B9" s="538"/>
      <c r="C9" s="538"/>
      <c r="D9" s="538"/>
      <c r="E9" s="493"/>
      <c r="F9" s="491"/>
      <c r="G9" s="491"/>
      <c r="H9" s="491"/>
      <c r="I9" s="494"/>
      <c r="J9" s="494"/>
      <c r="K9" s="495"/>
      <c r="L9" s="494"/>
      <c r="M9" s="494"/>
      <c r="N9" s="494"/>
      <c r="O9" s="496"/>
      <c r="P9" s="497"/>
      <c r="Q9" s="494"/>
      <c r="R9" s="494"/>
      <c r="S9" s="494"/>
      <c r="T9" s="494"/>
      <c r="U9" s="498"/>
      <c r="V9" s="498"/>
      <c r="W9" s="498"/>
      <c r="X9" s="498"/>
      <c r="Y9" s="494"/>
      <c r="Z9" s="497"/>
      <c r="AA9" s="497"/>
      <c r="AB9" s="494"/>
      <c r="AC9" s="494"/>
      <c r="AD9" s="497"/>
      <c r="AE9" s="494"/>
      <c r="AF9" s="494"/>
      <c r="AG9" s="499"/>
      <c r="AH9" s="500"/>
      <c r="AI9" s="500"/>
      <c r="AJ9" s="500"/>
      <c r="AK9" s="500"/>
      <c r="AL9" s="500"/>
      <c r="AM9" s="500"/>
      <c r="AN9" s="500"/>
      <c r="AO9" s="500"/>
      <c r="AP9" s="500"/>
      <c r="AQ9" s="500"/>
      <c r="AR9" s="500"/>
      <c r="AS9" s="500"/>
      <c r="AT9" s="500"/>
      <c r="AU9" s="500"/>
      <c r="AV9" s="500"/>
      <c r="AW9" s="500"/>
      <c r="AX9" s="500"/>
      <c r="AY9" s="500"/>
      <c r="AZ9" s="500"/>
      <c r="BA9" s="500"/>
      <c r="BB9" s="500"/>
      <c r="BC9" s="500"/>
      <c r="BD9" s="500"/>
      <c r="BE9" s="500"/>
      <c r="BF9" s="500"/>
      <c r="BG9" s="500"/>
      <c r="BH9" s="500"/>
      <c r="BI9" s="500"/>
      <c r="BJ9" s="500"/>
      <c r="BK9" s="500"/>
      <c r="BL9" s="500"/>
      <c r="BM9" s="500"/>
      <c r="BN9" s="500"/>
      <c r="BO9" s="500"/>
      <c r="BP9" s="500"/>
      <c r="BQ9" s="500"/>
      <c r="BR9" s="500"/>
      <c r="BS9" s="500"/>
      <c r="BT9" s="500"/>
      <c r="BU9" s="500"/>
      <c r="BV9" s="500"/>
      <c r="BW9" s="500"/>
      <c r="BX9" s="500"/>
      <c r="BY9" s="500"/>
      <c r="BZ9" s="500"/>
      <c r="CA9" s="500"/>
      <c r="CB9" s="500"/>
      <c r="CC9" s="500"/>
      <c r="CD9" s="500"/>
      <c r="CE9" s="500"/>
      <c r="CF9" s="500"/>
      <c r="CG9" s="500"/>
      <c r="CH9" s="500"/>
      <c r="CI9" s="500"/>
      <c r="CJ9" s="500"/>
      <c r="CK9" s="500"/>
      <c r="CL9" s="500"/>
      <c r="CM9" s="500"/>
      <c r="CN9" s="500"/>
      <c r="CO9" s="500"/>
      <c r="CP9" s="500"/>
    </row>
    <row r="10" ht="15.0" hidden="1" customHeight="1">
      <c r="A10" s="491"/>
      <c r="B10" s="538"/>
      <c r="C10" s="539"/>
      <c r="D10" s="538"/>
      <c r="E10" s="493"/>
      <c r="F10" s="491"/>
      <c r="G10" s="491"/>
      <c r="H10" s="491"/>
      <c r="U10" s="506"/>
      <c r="V10" s="506"/>
      <c r="W10" s="506"/>
      <c r="X10" s="506"/>
      <c r="AH10" s="498"/>
      <c r="AI10" s="498"/>
      <c r="AJ10" s="498"/>
      <c r="AK10" s="498"/>
      <c r="AL10" s="498"/>
      <c r="AM10" s="498"/>
      <c r="AN10" s="498"/>
      <c r="AO10" s="498"/>
      <c r="AP10" s="498"/>
      <c r="AQ10" s="498"/>
      <c r="AR10" s="498"/>
      <c r="AS10" s="498"/>
      <c r="AT10" s="498"/>
      <c r="AU10" s="498"/>
      <c r="AV10" s="498"/>
      <c r="AW10" s="498"/>
      <c r="AX10" s="498"/>
      <c r="AY10" s="498"/>
      <c r="AZ10" s="498"/>
      <c r="BA10" s="498"/>
      <c r="BB10" s="498"/>
      <c r="BC10" s="498"/>
      <c r="BD10" s="498"/>
      <c r="BE10" s="498"/>
      <c r="BF10" s="498"/>
      <c r="BG10" s="498"/>
      <c r="BH10" s="498"/>
      <c r="BI10" s="498"/>
      <c r="BJ10" s="498"/>
      <c r="BK10" s="498"/>
      <c r="BL10" s="498"/>
      <c r="BM10" s="498"/>
      <c r="BN10" s="498"/>
      <c r="BO10" s="498"/>
      <c r="BP10" s="498"/>
      <c r="BQ10" s="498"/>
      <c r="BR10" s="498"/>
      <c r="BS10" s="498"/>
      <c r="BT10" s="498"/>
      <c r="BU10" s="498"/>
      <c r="BV10" s="498"/>
      <c r="BW10" s="498"/>
      <c r="BX10" s="498"/>
      <c r="BY10" s="498"/>
      <c r="BZ10" s="498"/>
      <c r="CA10" s="498"/>
      <c r="CB10" s="498"/>
      <c r="CC10" s="498"/>
      <c r="CD10" s="498"/>
      <c r="CE10" s="498"/>
      <c r="CF10" s="498"/>
      <c r="CG10" s="498"/>
      <c r="CH10" s="498"/>
      <c r="CI10" s="498"/>
      <c r="CJ10" s="498"/>
      <c r="CK10" s="498"/>
      <c r="CL10" s="498"/>
      <c r="CM10" s="498"/>
      <c r="CN10" s="498"/>
      <c r="CO10" s="498"/>
      <c r="CP10" s="498"/>
    </row>
    <row r="11" ht="15.0" hidden="1" customHeight="1">
      <c r="A11" s="491"/>
      <c r="B11" s="538"/>
      <c r="C11" s="538"/>
      <c r="D11" s="540"/>
      <c r="E11" s="541"/>
      <c r="F11" s="491"/>
      <c r="G11" s="491"/>
      <c r="H11" s="491"/>
      <c r="U11" s="506"/>
      <c r="V11" s="506"/>
      <c r="W11" s="506"/>
      <c r="X11" s="506"/>
      <c r="AH11" s="498"/>
      <c r="AI11" s="498"/>
      <c r="AJ11" s="498"/>
      <c r="AK11" s="498"/>
      <c r="AL11" s="498"/>
      <c r="AM11" s="498"/>
      <c r="AN11" s="498"/>
      <c r="AO11" s="498"/>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8"/>
      <c r="BS11" s="498"/>
      <c r="BT11" s="498"/>
      <c r="BU11" s="498"/>
      <c r="BV11" s="498"/>
      <c r="BW11" s="498"/>
      <c r="BX11" s="498"/>
      <c r="BY11" s="498"/>
      <c r="BZ11" s="498"/>
      <c r="CA11" s="498"/>
      <c r="CB11" s="498"/>
      <c r="CC11" s="498"/>
      <c r="CD11" s="498"/>
      <c r="CE11" s="498"/>
      <c r="CF11" s="498"/>
      <c r="CG11" s="498"/>
      <c r="CH11" s="498"/>
      <c r="CI11" s="498"/>
      <c r="CJ11" s="498"/>
      <c r="CK11" s="498"/>
      <c r="CL11" s="498"/>
      <c r="CM11" s="498"/>
      <c r="CN11" s="498"/>
      <c r="CO11" s="498"/>
      <c r="CP11" s="498"/>
    </row>
    <row r="12" ht="15.0" hidden="1" customHeight="1">
      <c r="A12" s="497"/>
      <c r="B12" s="538"/>
      <c r="C12" s="538"/>
      <c r="D12" s="540"/>
      <c r="E12" s="541"/>
      <c r="F12" s="542"/>
      <c r="G12" s="497"/>
      <c r="H12" s="497"/>
      <c r="U12" s="506"/>
      <c r="V12" s="506"/>
      <c r="W12" s="506"/>
      <c r="X12" s="506"/>
      <c r="AH12" s="498"/>
      <c r="AI12" s="498"/>
      <c r="AJ12" s="498"/>
      <c r="AK12" s="498"/>
      <c r="AL12" s="498"/>
      <c r="AM12" s="498"/>
      <c r="AN12" s="498"/>
      <c r="AO12" s="498"/>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8"/>
      <c r="BV12" s="498"/>
      <c r="BW12" s="498"/>
      <c r="BX12" s="498"/>
      <c r="BY12" s="498"/>
      <c r="BZ12" s="498"/>
      <c r="CA12" s="498"/>
      <c r="CB12" s="498"/>
      <c r="CC12" s="498"/>
      <c r="CD12" s="498"/>
      <c r="CE12" s="498"/>
      <c r="CF12" s="498"/>
      <c r="CG12" s="498"/>
      <c r="CH12" s="498"/>
      <c r="CI12" s="498"/>
      <c r="CJ12" s="498"/>
      <c r="CK12" s="498"/>
      <c r="CL12" s="498"/>
      <c r="CM12" s="498"/>
      <c r="CN12" s="498"/>
      <c r="CO12" s="498"/>
      <c r="CP12" s="498"/>
    </row>
    <row r="13" ht="15.0" hidden="1" customHeight="1">
      <c r="A13" s="491"/>
      <c r="B13" s="538"/>
      <c r="C13" s="538"/>
      <c r="D13" s="540"/>
      <c r="E13" s="543"/>
      <c r="F13" s="497"/>
      <c r="G13" s="497"/>
      <c r="H13" s="497"/>
      <c r="T13" s="544"/>
      <c r="U13" s="545"/>
      <c r="V13" s="545"/>
      <c r="W13" s="507"/>
      <c r="X13" s="507"/>
      <c r="Y13" s="546"/>
      <c r="Z13" s="546"/>
      <c r="AA13" s="546"/>
      <c r="AB13" s="546"/>
      <c r="AC13" s="546"/>
      <c r="AD13" s="546"/>
      <c r="AE13" s="546"/>
      <c r="AG13" s="499"/>
      <c r="AH13" s="498"/>
      <c r="AI13" s="498"/>
      <c r="AJ13" s="498"/>
      <c r="AK13" s="498"/>
      <c r="AL13" s="498"/>
      <c r="AM13" s="498"/>
      <c r="AN13" s="498"/>
      <c r="AO13" s="498"/>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8"/>
      <c r="BS13" s="498"/>
      <c r="BT13" s="498"/>
      <c r="BU13" s="498"/>
      <c r="BV13" s="498"/>
      <c r="BW13" s="498"/>
      <c r="BX13" s="498"/>
      <c r="BY13" s="498"/>
      <c r="BZ13" s="498"/>
      <c r="CA13" s="498"/>
      <c r="CB13" s="498"/>
      <c r="CC13" s="498"/>
      <c r="CD13" s="498"/>
      <c r="CE13" s="498"/>
      <c r="CF13" s="498"/>
      <c r="CG13" s="498"/>
      <c r="CH13" s="498"/>
      <c r="CI13" s="498"/>
      <c r="CJ13" s="498"/>
      <c r="CK13" s="498"/>
      <c r="CL13" s="498"/>
      <c r="CM13" s="498"/>
      <c r="CN13" s="498"/>
      <c r="CO13" s="498"/>
      <c r="CP13" s="498"/>
    </row>
    <row r="14" ht="15.0" hidden="1" customHeight="1">
      <c r="A14" s="491"/>
      <c r="B14" s="538"/>
      <c r="C14" s="538"/>
      <c r="D14" s="538"/>
      <c r="E14" s="547"/>
      <c r="F14" s="497"/>
      <c r="G14" s="497"/>
      <c r="H14" s="497"/>
      <c r="T14" s="544"/>
      <c r="U14" s="545"/>
      <c r="V14" s="545"/>
      <c r="W14" s="507"/>
      <c r="X14" s="507"/>
      <c r="Y14" s="546"/>
      <c r="Z14" s="546"/>
      <c r="AA14" s="546"/>
      <c r="AB14" s="546"/>
      <c r="AC14" s="546"/>
      <c r="AD14" s="546"/>
      <c r="AE14" s="546"/>
      <c r="AG14" s="499"/>
      <c r="AH14" s="498"/>
      <c r="AI14" s="498"/>
      <c r="AJ14" s="498"/>
      <c r="AK14" s="498"/>
      <c r="AL14" s="498"/>
      <c r="AM14" s="498"/>
      <c r="AN14" s="498"/>
      <c r="AO14" s="498"/>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8"/>
      <c r="BS14" s="498"/>
      <c r="BT14" s="498"/>
      <c r="BU14" s="498"/>
      <c r="BV14" s="498"/>
      <c r="BW14" s="498"/>
      <c r="BX14" s="498"/>
      <c r="BY14" s="498"/>
      <c r="BZ14" s="498"/>
      <c r="CA14" s="498"/>
      <c r="CB14" s="498"/>
      <c r="CC14" s="498"/>
      <c r="CD14" s="498"/>
      <c r="CE14" s="498"/>
      <c r="CF14" s="498"/>
      <c r="CG14" s="498"/>
      <c r="CH14" s="498"/>
      <c r="CI14" s="498"/>
      <c r="CJ14" s="498"/>
      <c r="CK14" s="498"/>
      <c r="CL14" s="498"/>
      <c r="CM14" s="498"/>
      <c r="CN14" s="498"/>
      <c r="CO14" s="498"/>
      <c r="CP14" s="498"/>
    </row>
    <row r="15" ht="15.0" hidden="1" customHeight="1">
      <c r="A15" s="491"/>
      <c r="B15" s="548"/>
      <c r="C15" s="549"/>
      <c r="D15" s="547"/>
      <c r="E15" s="547"/>
      <c r="F15" s="497"/>
      <c r="G15" s="497"/>
      <c r="H15" s="497"/>
      <c r="U15" s="506"/>
      <c r="V15" s="506"/>
      <c r="W15" s="550"/>
      <c r="X15" s="550"/>
      <c r="Y15" s="546"/>
      <c r="Z15" s="546"/>
      <c r="AA15" s="546"/>
      <c r="AB15" s="546"/>
      <c r="AC15" s="546"/>
      <c r="AD15" s="546"/>
      <c r="AE15" s="546"/>
      <c r="AG15" s="499"/>
      <c r="AH15" s="498"/>
      <c r="AI15" s="498"/>
      <c r="AJ15" s="498"/>
      <c r="AK15" s="498"/>
      <c r="AL15" s="498"/>
      <c r="AM15" s="498"/>
      <c r="AN15" s="498"/>
      <c r="AO15" s="498"/>
      <c r="AP15" s="498"/>
      <c r="AQ15" s="498"/>
      <c r="AR15" s="498"/>
      <c r="AS15" s="498"/>
      <c r="AT15" s="498"/>
      <c r="AU15" s="498"/>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8"/>
      <c r="BV15" s="498"/>
      <c r="BW15" s="498"/>
      <c r="BX15" s="498"/>
      <c r="BY15" s="498"/>
      <c r="BZ15" s="498"/>
      <c r="CA15" s="498"/>
      <c r="CB15" s="498"/>
      <c r="CC15" s="498"/>
      <c r="CD15" s="498"/>
      <c r="CE15" s="498"/>
      <c r="CF15" s="498"/>
      <c r="CG15" s="498"/>
      <c r="CH15" s="498"/>
      <c r="CI15" s="498"/>
      <c r="CJ15" s="498"/>
      <c r="CK15" s="498"/>
      <c r="CL15" s="498"/>
      <c r="CM15" s="498"/>
      <c r="CN15" s="498"/>
      <c r="CO15" s="498"/>
      <c r="CP15" s="498"/>
    </row>
    <row r="16" ht="15.0" hidden="1" customHeight="1">
      <c r="A16" s="491"/>
      <c r="B16" s="548"/>
      <c r="C16" s="551"/>
      <c r="D16" s="547"/>
      <c r="E16" s="547"/>
      <c r="F16" s="497"/>
      <c r="G16" s="497"/>
      <c r="H16" s="497"/>
      <c r="U16" s="506"/>
      <c r="V16" s="506"/>
      <c r="W16" s="552"/>
      <c r="X16" s="498"/>
      <c r="Y16" s="546"/>
      <c r="Z16" s="546"/>
      <c r="AA16" s="546"/>
      <c r="AB16" s="546"/>
      <c r="AC16" s="546"/>
      <c r="AD16" s="546"/>
      <c r="AE16" s="546"/>
      <c r="AG16" s="553"/>
      <c r="AH16" s="498"/>
      <c r="AI16" s="498"/>
      <c r="AJ16" s="498"/>
      <c r="AK16" s="498"/>
      <c r="AL16" s="498"/>
      <c r="AM16" s="498"/>
      <c r="AN16" s="498"/>
      <c r="AO16" s="498"/>
      <c r="AP16" s="498"/>
      <c r="AQ16" s="498"/>
      <c r="AR16" s="498"/>
      <c r="AS16" s="498"/>
      <c r="AT16" s="498"/>
      <c r="AU16" s="498"/>
      <c r="AV16" s="498"/>
      <c r="AW16" s="498"/>
      <c r="AX16" s="498"/>
      <c r="AY16" s="498"/>
      <c r="AZ16" s="498"/>
      <c r="BA16" s="498"/>
      <c r="BB16" s="498"/>
      <c r="BC16" s="498"/>
      <c r="BD16" s="498"/>
      <c r="BE16" s="498"/>
      <c r="BF16" s="498"/>
      <c r="BG16" s="498"/>
      <c r="BH16" s="498"/>
      <c r="BI16" s="498"/>
      <c r="BJ16" s="498"/>
      <c r="BK16" s="498"/>
      <c r="BL16" s="498"/>
      <c r="BM16" s="498"/>
      <c r="BN16" s="498"/>
      <c r="BO16" s="498"/>
      <c r="BP16" s="498"/>
      <c r="BQ16" s="498"/>
      <c r="BR16" s="498"/>
      <c r="BS16" s="498"/>
      <c r="BT16" s="498"/>
      <c r="BU16" s="498"/>
      <c r="BV16" s="498"/>
      <c r="BW16" s="498"/>
      <c r="BX16" s="498"/>
      <c r="BY16" s="498"/>
      <c r="BZ16" s="498"/>
      <c r="CA16" s="498"/>
      <c r="CB16" s="498"/>
      <c r="CC16" s="498"/>
      <c r="CD16" s="498"/>
      <c r="CE16" s="498"/>
      <c r="CF16" s="498"/>
      <c r="CG16" s="498"/>
      <c r="CH16" s="498"/>
      <c r="CI16" s="498"/>
      <c r="CJ16" s="498"/>
      <c r="CK16" s="498"/>
      <c r="CL16" s="498"/>
      <c r="CM16" s="498"/>
      <c r="CN16" s="498"/>
      <c r="CO16" s="498"/>
      <c r="CP16" s="498"/>
    </row>
    <row r="17" ht="15.0" hidden="1" customHeight="1">
      <c r="A17" s="491"/>
      <c r="B17" s="548"/>
      <c r="C17" s="549"/>
      <c r="D17" s="554"/>
      <c r="E17" s="554"/>
      <c r="F17" s="497"/>
      <c r="G17" s="497"/>
      <c r="H17" s="497"/>
      <c r="T17" s="529"/>
      <c r="U17" s="555"/>
      <c r="V17" s="555"/>
      <c r="W17" s="555"/>
      <c r="X17" s="555"/>
      <c r="Y17" s="553"/>
      <c r="Z17" s="553"/>
      <c r="AA17" s="553"/>
      <c r="AB17" s="553"/>
      <c r="AC17" s="553"/>
      <c r="AD17" s="553"/>
      <c r="AE17" s="553"/>
      <c r="AF17" s="553"/>
      <c r="AG17" s="553"/>
      <c r="AH17" s="498"/>
      <c r="AI17" s="498"/>
      <c r="AJ17" s="498"/>
      <c r="AK17" s="498"/>
      <c r="AL17" s="498"/>
      <c r="AM17" s="498"/>
      <c r="AN17" s="498"/>
      <c r="AO17" s="498"/>
      <c r="AP17" s="498"/>
      <c r="AQ17" s="498"/>
      <c r="AR17" s="498"/>
      <c r="AS17" s="498"/>
      <c r="AT17" s="498"/>
      <c r="AU17" s="498"/>
      <c r="AV17" s="498"/>
      <c r="AW17" s="498"/>
      <c r="AX17" s="498"/>
      <c r="AY17" s="498"/>
      <c r="AZ17" s="498"/>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8"/>
      <c r="CE17" s="498"/>
      <c r="CF17" s="498"/>
      <c r="CG17" s="498"/>
      <c r="CH17" s="498"/>
      <c r="CI17" s="498"/>
      <c r="CJ17" s="498"/>
      <c r="CK17" s="498"/>
      <c r="CL17" s="498"/>
      <c r="CM17" s="498"/>
      <c r="CN17" s="498"/>
      <c r="CO17" s="498"/>
      <c r="CP17" s="498"/>
    </row>
    <row r="18" ht="15.0" hidden="1" customHeight="1">
      <c r="A18" s="491"/>
      <c r="B18" s="548"/>
      <c r="C18" s="551"/>
      <c r="D18" s="554"/>
      <c r="E18" s="554"/>
      <c r="F18" s="497"/>
      <c r="G18" s="497"/>
      <c r="H18" s="497"/>
      <c r="T18" s="533"/>
      <c r="U18" s="556"/>
      <c r="V18" s="556"/>
      <c r="W18" s="556"/>
      <c r="X18" s="556"/>
      <c r="Y18" s="557" t="s">
        <v>583</v>
      </c>
      <c r="Z18" s="509"/>
      <c r="AA18" s="509"/>
      <c r="AB18" s="509"/>
      <c r="AC18" s="509"/>
      <c r="AD18" s="509"/>
      <c r="AE18" s="509"/>
      <c r="AF18" s="510"/>
      <c r="AG18" s="553"/>
      <c r="AH18" s="498"/>
      <c r="AI18" s="498"/>
      <c r="AJ18" s="498"/>
      <c r="AK18" s="498"/>
      <c r="AL18" s="498"/>
      <c r="AM18" s="498"/>
      <c r="AN18" s="498"/>
      <c r="AO18" s="498"/>
      <c r="AP18" s="498"/>
      <c r="AQ18" s="498"/>
      <c r="AR18" s="498"/>
      <c r="AS18" s="498"/>
      <c r="AT18" s="498"/>
      <c r="AU18" s="498"/>
      <c r="AV18" s="498"/>
      <c r="AW18" s="498"/>
      <c r="AX18" s="498"/>
      <c r="AY18" s="498"/>
      <c r="AZ18" s="498"/>
      <c r="BA18" s="498"/>
      <c r="BB18" s="498"/>
      <c r="BC18" s="498"/>
      <c r="BD18" s="498"/>
      <c r="BE18" s="498"/>
      <c r="BF18" s="498"/>
      <c r="BG18" s="498"/>
      <c r="BH18" s="498"/>
      <c r="BI18" s="498"/>
      <c r="BJ18" s="498"/>
      <c r="BK18" s="498"/>
      <c r="BL18" s="498"/>
      <c r="BM18" s="498"/>
      <c r="BN18" s="498"/>
      <c r="BO18" s="498"/>
      <c r="BP18" s="498"/>
      <c r="BQ18" s="498"/>
      <c r="BR18" s="498"/>
      <c r="BS18" s="498"/>
      <c r="BT18" s="498"/>
      <c r="BU18" s="498"/>
      <c r="BV18" s="498"/>
      <c r="BW18" s="498"/>
      <c r="BX18" s="498"/>
      <c r="BY18" s="498"/>
      <c r="BZ18" s="498"/>
      <c r="CA18" s="498"/>
      <c r="CB18" s="498"/>
      <c r="CC18" s="498"/>
      <c r="CD18" s="498"/>
      <c r="CE18" s="498"/>
      <c r="CF18" s="498"/>
      <c r="CG18" s="498"/>
      <c r="CH18" s="498"/>
      <c r="CI18" s="498"/>
      <c r="CJ18" s="498"/>
      <c r="CK18" s="498"/>
      <c r="CL18" s="498"/>
      <c r="CM18" s="498"/>
      <c r="CN18" s="498"/>
      <c r="CO18" s="498"/>
      <c r="CP18" s="498"/>
    </row>
    <row r="19" ht="15.0" customHeight="1">
      <c r="A19" s="491"/>
      <c r="B19" s="558"/>
      <c r="C19" s="558"/>
      <c r="D19" s="558"/>
      <c r="E19" s="558"/>
      <c r="F19" s="558"/>
      <c r="G19" s="497"/>
      <c r="H19" s="497"/>
      <c r="I19" s="559" t="s">
        <v>584</v>
      </c>
      <c r="T19" s="533"/>
      <c r="U19" s="560" t="str">
        <f>HYperlink("https://imgur.com/a/4qAQ6Ba","How to read DPS values")</f>
        <v>How to read DPS values</v>
      </c>
      <c r="X19" s="561"/>
      <c r="AF19" s="561"/>
      <c r="AG19" s="553"/>
      <c r="AH19" s="498"/>
      <c r="AI19" s="498"/>
      <c r="AJ19" s="498"/>
      <c r="AK19" s="498"/>
      <c r="AL19" s="498"/>
      <c r="AM19" s="498"/>
      <c r="AN19" s="498"/>
      <c r="AO19" s="498"/>
      <c r="AP19" s="498"/>
      <c r="AQ19" s="498"/>
      <c r="AR19" s="498"/>
      <c r="AS19" s="498"/>
      <c r="AT19" s="498"/>
      <c r="AU19" s="498"/>
      <c r="AV19" s="498"/>
      <c r="AW19" s="498"/>
      <c r="AX19" s="498"/>
      <c r="AY19" s="498"/>
      <c r="AZ19" s="498"/>
      <c r="BA19" s="498"/>
      <c r="BB19" s="498"/>
      <c r="BC19" s="498"/>
      <c r="BD19" s="498"/>
      <c r="BE19" s="498"/>
      <c r="BF19" s="498"/>
      <c r="BG19" s="498"/>
      <c r="BH19" s="498"/>
      <c r="BI19" s="498"/>
      <c r="BJ19" s="498"/>
      <c r="BK19" s="498"/>
      <c r="BL19" s="498"/>
      <c r="BM19" s="498"/>
      <c r="BN19" s="498"/>
      <c r="BO19" s="498"/>
      <c r="BP19" s="498"/>
      <c r="BQ19" s="498"/>
      <c r="BR19" s="498"/>
      <c r="BS19" s="498"/>
      <c r="BT19" s="498"/>
      <c r="BU19" s="498"/>
      <c r="BV19" s="498"/>
      <c r="BW19" s="498"/>
      <c r="BX19" s="498"/>
      <c r="BY19" s="498"/>
      <c r="BZ19" s="498"/>
      <c r="CA19" s="498"/>
      <c r="CB19" s="498"/>
      <c r="CC19" s="498"/>
      <c r="CD19" s="498"/>
      <c r="CE19" s="498"/>
      <c r="CF19" s="498"/>
      <c r="CG19" s="498"/>
      <c r="CH19" s="498"/>
      <c r="CI19" s="498"/>
      <c r="CJ19" s="498"/>
      <c r="CK19" s="498"/>
      <c r="CL19" s="498"/>
      <c r="CM19" s="498"/>
      <c r="CN19" s="498"/>
      <c r="CO19" s="498"/>
      <c r="CP19" s="498"/>
    </row>
    <row r="20" ht="6.75" customHeight="1">
      <c r="A20" s="491"/>
      <c r="B20" s="558"/>
      <c r="G20" s="491"/>
      <c r="H20" s="491"/>
      <c r="I20" s="562"/>
      <c r="T20" s="491"/>
      <c r="U20" s="563"/>
      <c r="V20" s="564"/>
      <c r="W20" s="564"/>
      <c r="X20" s="565"/>
      <c r="AF20" s="561"/>
      <c r="AG20" s="491"/>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0"/>
      <c r="BD20" s="500"/>
      <c r="BE20" s="500"/>
      <c r="BF20" s="500"/>
      <c r="BG20" s="500"/>
      <c r="BH20" s="500"/>
      <c r="BI20" s="500"/>
      <c r="BJ20" s="500"/>
      <c r="BK20" s="500"/>
      <c r="BL20" s="500"/>
      <c r="BM20" s="500"/>
      <c r="BN20" s="500"/>
      <c r="BO20" s="500"/>
      <c r="BP20" s="500"/>
      <c r="BQ20" s="500"/>
      <c r="BR20" s="500"/>
      <c r="BS20" s="500"/>
      <c r="BT20" s="500"/>
      <c r="BU20" s="500"/>
      <c r="BV20" s="500"/>
      <c r="BW20" s="500"/>
      <c r="BX20" s="500"/>
      <c r="BY20" s="500"/>
      <c r="BZ20" s="500"/>
      <c r="CA20" s="500"/>
      <c r="CB20" s="500"/>
      <c r="CC20" s="500"/>
      <c r="CD20" s="500"/>
      <c r="CE20" s="500"/>
      <c r="CF20" s="500"/>
      <c r="CG20" s="500"/>
      <c r="CH20" s="500"/>
      <c r="CI20" s="500"/>
      <c r="CJ20" s="500"/>
      <c r="CK20" s="500"/>
      <c r="CL20" s="500"/>
      <c r="CM20" s="500"/>
      <c r="CN20" s="500"/>
      <c r="CO20" s="500"/>
      <c r="CP20" s="500"/>
    </row>
    <row r="21">
      <c r="A21" s="566"/>
      <c r="B21" s="567" t="s">
        <v>585</v>
      </c>
      <c r="C21" s="568" t="str">
        <f>"Compare: "&amp;COUNTIF(C22:C137,TRUE)&amp;"/10"</f>
        <v>Compare: 3/10</v>
      </c>
      <c r="D21" s="569" t="s">
        <v>586</v>
      </c>
      <c r="E21" s="569" t="s">
        <v>308</v>
      </c>
      <c r="F21" s="570" t="s">
        <v>587</v>
      </c>
      <c r="G21" s="567" t="s">
        <v>588</v>
      </c>
      <c r="H21" s="567" t="s">
        <v>589</v>
      </c>
      <c r="I21" s="571" t="s">
        <v>224</v>
      </c>
      <c r="J21" s="571" t="s">
        <v>226</v>
      </c>
      <c r="K21" s="572" t="s">
        <v>313</v>
      </c>
      <c r="L21" s="573" t="s">
        <v>228</v>
      </c>
      <c r="M21" s="573" t="s">
        <v>232</v>
      </c>
      <c r="N21" s="573" t="s">
        <v>230</v>
      </c>
      <c r="O21" s="574" t="s">
        <v>234</v>
      </c>
      <c r="P21" s="570" t="s">
        <v>590</v>
      </c>
      <c r="Q21" s="575" t="s">
        <v>330</v>
      </c>
      <c r="R21" s="576" t="s">
        <v>329</v>
      </c>
      <c r="S21" s="577" t="s">
        <v>591</v>
      </c>
      <c r="T21" s="577" t="s">
        <v>333</v>
      </c>
      <c r="U21" s="578" t="s">
        <v>592</v>
      </c>
      <c r="V21" s="579" t="s">
        <v>593</v>
      </c>
      <c r="W21" s="580" t="s">
        <v>250</v>
      </c>
      <c r="X21" s="581" t="s">
        <v>252</v>
      </c>
      <c r="Y21" s="582" t="s">
        <v>335</v>
      </c>
      <c r="Z21" s="583" t="s">
        <v>336</v>
      </c>
      <c r="AA21" s="583" t="s">
        <v>337</v>
      </c>
      <c r="AB21" s="582" t="s">
        <v>338</v>
      </c>
      <c r="AC21" s="582" t="s">
        <v>339</v>
      </c>
      <c r="AD21" s="583" t="s">
        <v>340</v>
      </c>
      <c r="AE21" s="582" t="s">
        <v>341</v>
      </c>
      <c r="AF21" s="582" t="s">
        <v>342</v>
      </c>
      <c r="AG21" s="584" t="s">
        <v>343</v>
      </c>
      <c r="AH21" s="585">
        <v>0.0</v>
      </c>
      <c r="AI21" s="585">
        <v>0.5</v>
      </c>
      <c r="AJ21" s="585">
        <v>1.0</v>
      </c>
      <c r="AK21" s="585">
        <v>1.5</v>
      </c>
      <c r="AL21" s="585">
        <v>2.0</v>
      </c>
      <c r="AM21" s="585">
        <v>2.5</v>
      </c>
      <c r="AN21" s="585">
        <v>3.0</v>
      </c>
      <c r="AO21" s="585">
        <v>3.5</v>
      </c>
      <c r="AP21" s="585">
        <v>4.0</v>
      </c>
      <c r="AQ21" s="585">
        <v>4.5</v>
      </c>
      <c r="AR21" s="585">
        <v>5.0</v>
      </c>
      <c r="AS21" s="585">
        <v>5.5</v>
      </c>
      <c r="AT21" s="585">
        <v>6.0</v>
      </c>
      <c r="AU21" s="585">
        <v>6.5</v>
      </c>
      <c r="AV21" s="585">
        <v>7.0</v>
      </c>
      <c r="AW21" s="585">
        <v>7.5</v>
      </c>
      <c r="AX21" s="585">
        <v>8.0</v>
      </c>
      <c r="AY21" s="585">
        <v>8.5</v>
      </c>
      <c r="AZ21" s="585">
        <v>9.0</v>
      </c>
      <c r="BA21" s="585">
        <v>9.5</v>
      </c>
      <c r="BB21" s="585">
        <v>10.0</v>
      </c>
      <c r="BC21" s="585">
        <v>10.5</v>
      </c>
      <c r="BD21" s="585">
        <v>11.0</v>
      </c>
      <c r="BE21" s="585">
        <v>11.5</v>
      </c>
      <c r="BF21" s="585">
        <v>12.0</v>
      </c>
      <c r="BG21" s="585">
        <v>12.5</v>
      </c>
      <c r="BH21" s="585">
        <v>13.0</v>
      </c>
      <c r="BI21" s="585">
        <v>13.5</v>
      </c>
      <c r="BJ21" s="585">
        <v>14.0</v>
      </c>
      <c r="BK21" s="585">
        <v>14.5</v>
      </c>
      <c r="BL21" s="585">
        <v>15.0</v>
      </c>
      <c r="BM21" s="585">
        <v>15.5</v>
      </c>
      <c r="BN21" s="585">
        <v>16.0</v>
      </c>
      <c r="BO21" s="585">
        <v>16.5</v>
      </c>
      <c r="BP21" s="585">
        <v>17.0</v>
      </c>
      <c r="BQ21" s="585">
        <v>17.5</v>
      </c>
      <c r="BR21" s="585">
        <v>18.0</v>
      </c>
      <c r="BS21" s="585">
        <v>18.5</v>
      </c>
      <c r="BT21" s="585">
        <v>19.0</v>
      </c>
      <c r="BU21" s="585">
        <v>19.5</v>
      </c>
      <c r="BV21" s="585">
        <v>20.0</v>
      </c>
      <c r="BW21" s="585">
        <v>20.5</v>
      </c>
      <c r="BX21" s="585">
        <v>21.0</v>
      </c>
      <c r="BY21" s="585">
        <v>21.5</v>
      </c>
      <c r="BZ21" s="585">
        <v>22.0</v>
      </c>
      <c r="CA21" s="585">
        <v>22.5</v>
      </c>
      <c r="CB21" s="585">
        <v>23.0</v>
      </c>
      <c r="CC21" s="585">
        <v>23.5</v>
      </c>
      <c r="CD21" s="585">
        <v>24.0</v>
      </c>
      <c r="CE21" s="585">
        <v>24.5</v>
      </c>
      <c r="CF21" s="585">
        <v>25.0</v>
      </c>
      <c r="CG21" s="585">
        <v>25.5</v>
      </c>
      <c r="CH21" s="585">
        <v>26.0</v>
      </c>
      <c r="CI21" s="585">
        <v>26.5</v>
      </c>
      <c r="CJ21" s="585">
        <v>27.0</v>
      </c>
      <c r="CK21" s="585">
        <v>27.5</v>
      </c>
      <c r="CL21" s="585">
        <v>28.0</v>
      </c>
      <c r="CM21" s="585">
        <v>28.5</v>
      </c>
      <c r="CN21" s="585">
        <v>29.0</v>
      </c>
      <c r="CO21" s="585">
        <v>29.5</v>
      </c>
      <c r="CP21" s="585">
        <v>30.0</v>
      </c>
    </row>
    <row r="22">
      <c r="A22" s="586"/>
      <c r="B22" s="587" t="s">
        <v>394</v>
      </c>
      <c r="C22" s="588" t="b">
        <v>0</v>
      </c>
      <c r="D22" s="589" t="s">
        <v>594</v>
      </c>
      <c r="E22" s="590" t="s">
        <v>494</v>
      </c>
      <c r="F22" s="591" t="s">
        <v>595</v>
      </c>
      <c r="G22" s="592">
        <v>1.0</v>
      </c>
      <c r="H22" s="592"/>
      <c r="I22" s="593">
        <v>70603.0</v>
      </c>
      <c r="J22" s="594">
        <f>I22*IF($C$7=TRUE,VLOOKUP(B22,BuffsDebuffs!$P$8:$X$26,MATCH(E22,BuffsDebuffs!$P$8:$X$8,0),FALSE),1)*IF(AND($C$8=TRUE,H22=1),1.0778,1)*VLOOKUP($C$2,'scaling OLD'!$A$2:$H$55,8,False)*IF(K22="-",1,(1/K22*(1+((K22-1)*VLOOKUP($C$2,'scaling OLD'!$A$2:$H$55,4,False)))))*IF(K22="-",1,VLOOKUP($C$2,'scaling OLD'!$A$2:$H$55,5,False))*VLOOKUP($C$2,'scaling OLD'!$A$2:$H$55,6,False)*IF(AND(LEFT(C$2,7)="CE - Cr",B22="Sword"),1.35,1)</f>
        <v>70603</v>
      </c>
      <c r="K22" s="595">
        <v>1.1</v>
      </c>
      <c r="L22" s="596">
        <v>15.0</v>
      </c>
      <c r="M22" s="596">
        <v>47.79</v>
      </c>
      <c r="N22" s="596">
        <v>19.0</v>
      </c>
      <c r="O22" s="597">
        <v>1.1</v>
      </c>
      <c r="P22" s="598">
        <f t="shared" ref="P22:P51" si="1">60/M22*(L22-1)</f>
        <v>17.57689893</v>
      </c>
      <c r="Q22" s="599">
        <f t="shared" ref="Q22:Q137" si="2">L22*J22</f>
        <v>1059045</v>
      </c>
      <c r="R22" s="600">
        <f t="shared" ref="R22:R137" si="3">ROUNDDOWN(N22/L22,0)*P22+ROUNDDOWN((N22-1)/L22,0)*O22+Max(0,((N22-ROUNDDOWN(N22/L22,0)*L22)-1)*(60/M22))</f>
        <v>22.44337728</v>
      </c>
      <c r="S22" s="601">
        <f t="shared" ref="S22:S37" si="4">N22*J22</f>
        <v>1341457</v>
      </c>
      <c r="T22" s="602">
        <f t="shared" ref="T22:T137" si="5">ROUNDDOWN(N22/L22,0)*Q22</f>
        <v>1059045</v>
      </c>
      <c r="U22" s="603">
        <f t="shared" ref="U22:U28" si="6">IF(ISERROR(Q22/P22),"-",Q22/P22)</f>
        <v>60252.09589</v>
      </c>
      <c r="V22" s="604">
        <f t="shared" ref="V22:V137" si="7">S22/R22</f>
        <v>59770.72807</v>
      </c>
      <c r="W22" s="605">
        <f t="shared" ref="W22:W137" si="8">IF(L22=1,V22,MAX(V22,(ROUNDDOWN(N22/L22,0)*Q22)/(ROUNDDOWN(N22/L22,0)*P22+(ROUNDDOWN(N22/L22,0)-1)*O22)))</f>
        <v>60252.09589</v>
      </c>
      <c r="X22" s="606">
        <f t="shared" ref="X22:X137" si="9">IF(L22=N22,U22,Q22/(P22+O22))</f>
        <v>56703.47116</v>
      </c>
      <c r="Y22" s="607">
        <f t="shared" ref="Y22:Y137" si="10">ROUNDDOWN(C$5/(O22+P22),0)</f>
        <v>1</v>
      </c>
      <c r="Z22" s="608">
        <f t="shared" ref="Z22:Z137" si="11">C$5-Y22*O22</f>
        <v>18.9</v>
      </c>
      <c r="AA22" s="608">
        <f t="shared" ref="AA22:AA137" si="12">IF(Y22=AB22,0,C$5-(Y22*O22+AB22*P22))</f>
        <v>0</v>
      </c>
      <c r="AB22" s="607">
        <f t="shared" ref="AB22:AB137" si="13">MIN(Y22+1,IF(ISERROR(ROUNDDOWN(Z22/P22,0)),Y22+1,ROUNDDOWN(Z22/P22,0)))</f>
        <v>1</v>
      </c>
      <c r="AC22" s="607">
        <f t="shared" ref="AC22:AC137" si="14">AB22*Q22</f>
        <v>1059045</v>
      </c>
      <c r="AD22" s="608">
        <f t="shared" ref="AD22:AD137" si="15">Max(0,Z22-AB22*P22)-AA22</f>
        <v>1.323101067</v>
      </c>
      <c r="AE22" s="607">
        <f t="shared" ref="AE22:AE137" si="16">MIN(L22,IF(Y22&lt;AB22,0,ROUNDDOWN(IF(AD22=0,0,AD22*(M22/60)+1),0)))</f>
        <v>2</v>
      </c>
      <c r="AF22" s="609">
        <f t="shared" ref="AF22:AF137" si="17">AE22*J22</f>
        <v>141206</v>
      </c>
      <c r="AG22" s="610">
        <f t="shared" ref="AG22:AG37" si="18">Min(S22,AF22+AC22)</f>
        <v>1200251</v>
      </c>
      <c r="AH22" s="611"/>
      <c r="AI22" s="612">
        <v>70603.0</v>
      </c>
      <c r="AJ22" s="612">
        <v>70603.0</v>
      </c>
      <c r="AK22" s="612">
        <v>141206.0</v>
      </c>
      <c r="AL22" s="612">
        <v>141206.0</v>
      </c>
      <c r="AM22" s="612">
        <v>141206.0</v>
      </c>
      <c r="AN22" s="612">
        <v>211809.0</v>
      </c>
      <c r="AO22" s="612">
        <v>211809.0</v>
      </c>
      <c r="AP22" s="612">
        <v>282412.0</v>
      </c>
      <c r="AQ22" s="612">
        <v>282412.0</v>
      </c>
      <c r="AR22" s="612">
        <v>282412.0</v>
      </c>
      <c r="AS22" s="612">
        <v>353015.0</v>
      </c>
      <c r="AT22" s="612">
        <v>353015.0</v>
      </c>
      <c r="AU22" s="612">
        <v>423618.0</v>
      </c>
      <c r="AV22" s="612">
        <v>423618.0</v>
      </c>
      <c r="AW22" s="612">
        <v>423618.0</v>
      </c>
      <c r="AX22" s="612">
        <v>494221.0</v>
      </c>
      <c r="AY22" s="612">
        <v>494221.0</v>
      </c>
      <c r="AZ22" s="612">
        <v>564824.0</v>
      </c>
      <c r="BA22" s="612">
        <v>564824.0</v>
      </c>
      <c r="BB22" s="612">
        <v>564824.0</v>
      </c>
      <c r="BC22" s="612">
        <v>635427.0</v>
      </c>
      <c r="BD22" s="612">
        <v>635427.0</v>
      </c>
      <c r="BE22" s="612">
        <v>706030.0</v>
      </c>
      <c r="BF22" s="612">
        <v>706030.0</v>
      </c>
      <c r="BG22" s="612">
        <v>706030.0</v>
      </c>
      <c r="BH22" s="612">
        <v>776633.0</v>
      </c>
      <c r="BI22" s="612">
        <v>776633.0</v>
      </c>
      <c r="BJ22" s="612">
        <v>847236.0</v>
      </c>
      <c r="BK22" s="612">
        <v>847236.0</v>
      </c>
      <c r="BL22" s="612">
        <v>847236.0</v>
      </c>
      <c r="BM22" s="612">
        <v>917839.0</v>
      </c>
      <c r="BN22" s="612">
        <v>917839.0</v>
      </c>
      <c r="BO22" s="612">
        <v>988442.0</v>
      </c>
      <c r="BP22" s="612">
        <v>988442.0</v>
      </c>
      <c r="BQ22" s="612">
        <v>988442.0</v>
      </c>
      <c r="BR22" s="612">
        <v>1059045.0</v>
      </c>
      <c r="BS22" s="612">
        <v>1059045.0</v>
      </c>
      <c r="BT22" s="612">
        <v>1129648.0</v>
      </c>
      <c r="BU22" s="612">
        <v>1129648.0</v>
      </c>
      <c r="BV22" s="612">
        <v>1200251.0</v>
      </c>
      <c r="BW22" s="612">
        <v>1200251.0</v>
      </c>
      <c r="BX22" s="612">
        <v>1200251.0</v>
      </c>
      <c r="BY22" s="612">
        <v>1270854.0</v>
      </c>
      <c r="BZ22" s="612">
        <v>1270854.0</v>
      </c>
      <c r="CA22" s="612">
        <v>1341457.0</v>
      </c>
      <c r="CB22" s="612">
        <v>1341457.0</v>
      </c>
      <c r="CC22" s="612">
        <v>1341457.0</v>
      </c>
      <c r="CD22" s="612">
        <v>1341457.0</v>
      </c>
      <c r="CE22" s="612">
        <v>1341457.0</v>
      </c>
      <c r="CF22" s="612">
        <v>1341457.0</v>
      </c>
      <c r="CG22" s="612">
        <v>1341457.0</v>
      </c>
      <c r="CH22" s="612">
        <v>1341457.0</v>
      </c>
      <c r="CI22" s="612">
        <v>1341457.0</v>
      </c>
      <c r="CJ22" s="612">
        <v>1341457.0</v>
      </c>
      <c r="CK22" s="612">
        <v>1341457.0</v>
      </c>
      <c r="CL22" s="612">
        <v>1341457.0</v>
      </c>
      <c r="CM22" s="612">
        <v>1341457.0</v>
      </c>
      <c r="CN22" s="612">
        <v>1341457.0</v>
      </c>
      <c r="CO22" s="612">
        <v>1341457.0</v>
      </c>
      <c r="CP22" s="612">
        <v>1341457.0</v>
      </c>
    </row>
    <row r="23">
      <c r="A23" s="586"/>
      <c r="B23" s="613" t="s">
        <v>394</v>
      </c>
      <c r="C23" s="614" t="b">
        <v>0</v>
      </c>
      <c r="D23" s="589" t="s">
        <v>596</v>
      </c>
      <c r="E23" s="615" t="s">
        <v>497</v>
      </c>
      <c r="F23" s="616" t="s">
        <v>597</v>
      </c>
      <c r="G23" s="592">
        <v>1.0</v>
      </c>
      <c r="H23" s="592"/>
      <c r="I23" s="617">
        <f>4260*1.1</f>
        <v>4686</v>
      </c>
      <c r="J23" s="618">
        <f>I23*IF($C$7=TRUE,VLOOKUP(B23,BuffsDebuffs!$P$8:$X$26,MATCH(E23,BuffsDebuffs!$P$8:$X$8,0),FALSE),1)*IF(AND($C$8=TRUE,H23=1),1.0778,1)*VLOOKUP($C$2,'scaling OLD'!$A$2:$H$55,8,False)*IF(K23="-",1,(1/K23*(1+((K23-1)*VLOOKUP($C$2,'scaling OLD'!$A$2:$H$55,4,False)))))*IF(K23="-",1,VLOOKUP($C$2,'scaling OLD'!$A$2:$H$55,5,False))*VLOOKUP($C$2,'scaling OLD'!$A$2:$H$55,6,False)*IF(AND(LEFT(C$2,7)="CE - Cr",B23="Sword"),1.35,1)</f>
        <v>4686</v>
      </c>
      <c r="K23" s="186">
        <v>1.44</v>
      </c>
      <c r="L23" s="184">
        <v>30.0</v>
      </c>
      <c r="M23" s="184">
        <v>857.0</v>
      </c>
      <c r="N23" s="184">
        <v>120.0</v>
      </c>
      <c r="O23" s="188">
        <v>0.883</v>
      </c>
      <c r="P23" s="619">
        <f t="shared" si="1"/>
        <v>2.03033839</v>
      </c>
      <c r="Q23" s="620">
        <f t="shared" si="2"/>
        <v>140580</v>
      </c>
      <c r="R23" s="621">
        <f t="shared" si="3"/>
        <v>10.77035356</v>
      </c>
      <c r="S23" s="622">
        <f t="shared" si="4"/>
        <v>562320</v>
      </c>
      <c r="T23" s="602">
        <f t="shared" si="5"/>
        <v>562320</v>
      </c>
      <c r="U23" s="623">
        <f t="shared" si="6"/>
        <v>69239.68966</v>
      </c>
      <c r="V23" s="624">
        <f t="shared" si="7"/>
        <v>52209.98521</v>
      </c>
      <c r="W23" s="605">
        <f t="shared" si="8"/>
        <v>52209.98521</v>
      </c>
      <c r="X23" s="606">
        <f t="shared" si="9"/>
        <v>48253.92083</v>
      </c>
      <c r="Y23" s="607">
        <f t="shared" si="10"/>
        <v>6</v>
      </c>
      <c r="Z23" s="608">
        <f t="shared" si="11"/>
        <v>14.702</v>
      </c>
      <c r="AA23" s="608">
        <f t="shared" si="12"/>
        <v>0.4896312719</v>
      </c>
      <c r="AB23" s="607">
        <f t="shared" si="13"/>
        <v>7</v>
      </c>
      <c r="AC23" s="607">
        <f t="shared" si="14"/>
        <v>984060</v>
      </c>
      <c r="AD23" s="608">
        <f t="shared" si="15"/>
        <v>0</v>
      </c>
      <c r="AE23" s="607">
        <f t="shared" si="16"/>
        <v>0</v>
      </c>
      <c r="AF23" s="609">
        <f t="shared" si="17"/>
        <v>0</v>
      </c>
      <c r="AG23" s="610">
        <f t="shared" si="18"/>
        <v>562320</v>
      </c>
      <c r="AH23" s="611"/>
      <c r="AI23" s="612">
        <v>34079.99999999999</v>
      </c>
      <c r="AJ23" s="612">
        <v>63899.999999999985</v>
      </c>
      <c r="AK23" s="612">
        <v>93719.99999999999</v>
      </c>
      <c r="AL23" s="612">
        <v>123539.99999999997</v>
      </c>
      <c r="AM23" s="612">
        <v>127799.99999999997</v>
      </c>
      <c r="AN23" s="612">
        <v>136319.99999999997</v>
      </c>
      <c r="AO23" s="612">
        <v>166139.99999999997</v>
      </c>
      <c r="AP23" s="612">
        <v>195959.99999999994</v>
      </c>
      <c r="AQ23" s="612">
        <v>225779.99999999994</v>
      </c>
      <c r="AR23" s="612">
        <v>255599.99999999994</v>
      </c>
      <c r="AS23" s="612">
        <v>255599.99999999994</v>
      </c>
      <c r="AT23" s="612">
        <v>268379.99999999994</v>
      </c>
      <c r="AU23" s="612">
        <v>298199.99999999994</v>
      </c>
      <c r="AV23" s="612">
        <v>328019.99999999994</v>
      </c>
      <c r="AW23" s="612">
        <v>357839.9999999999</v>
      </c>
      <c r="AX23" s="612">
        <v>383399.9999999999</v>
      </c>
      <c r="AY23" s="612">
        <v>383399.9999999999</v>
      </c>
      <c r="AZ23" s="612">
        <v>400439.9999999999</v>
      </c>
      <c r="BA23" s="612">
        <v>430259.9999999999</v>
      </c>
      <c r="BB23" s="612">
        <v>460079.9999999999</v>
      </c>
      <c r="BC23" s="612">
        <v>494159.9999999999</v>
      </c>
      <c r="BD23" s="612">
        <v>511199.9999999999</v>
      </c>
      <c r="BE23" s="612">
        <v>511199.9999999999</v>
      </c>
      <c r="BF23" s="612">
        <v>511199.9999999999</v>
      </c>
      <c r="BG23" s="612">
        <v>511199.9999999999</v>
      </c>
      <c r="BH23" s="612">
        <v>511199.9999999999</v>
      </c>
      <c r="BI23" s="612">
        <v>511199.9999999999</v>
      </c>
      <c r="BJ23" s="612">
        <v>511199.9999999999</v>
      </c>
      <c r="BK23" s="612">
        <v>511199.9999999999</v>
      </c>
      <c r="BL23" s="612">
        <v>511199.9999999999</v>
      </c>
      <c r="BM23" s="612">
        <v>511199.9999999999</v>
      </c>
      <c r="BN23" s="612">
        <v>511199.9999999999</v>
      </c>
      <c r="BO23" s="612">
        <v>511199.9999999999</v>
      </c>
      <c r="BP23" s="612">
        <v>511199.9999999999</v>
      </c>
      <c r="BQ23" s="612">
        <v>511199.9999999999</v>
      </c>
      <c r="BR23" s="612">
        <v>511199.9999999999</v>
      </c>
      <c r="BS23" s="612">
        <v>511199.9999999999</v>
      </c>
      <c r="BT23" s="612">
        <v>511199.9999999999</v>
      </c>
      <c r="BU23" s="612">
        <v>511199.9999999999</v>
      </c>
      <c r="BV23" s="612">
        <v>511199.9999999999</v>
      </c>
      <c r="BW23" s="612">
        <v>511199.9999999999</v>
      </c>
      <c r="BX23" s="612">
        <v>511199.9999999999</v>
      </c>
      <c r="BY23" s="612">
        <v>511199.9999999999</v>
      </c>
      <c r="BZ23" s="612">
        <v>511199.9999999999</v>
      </c>
      <c r="CA23" s="612">
        <v>511199.9999999999</v>
      </c>
      <c r="CB23" s="612">
        <v>511199.9999999999</v>
      </c>
      <c r="CC23" s="612">
        <v>511199.9999999999</v>
      </c>
      <c r="CD23" s="612">
        <v>511199.9999999999</v>
      </c>
      <c r="CE23" s="612">
        <v>511199.9999999999</v>
      </c>
      <c r="CF23" s="612">
        <v>511199.9999999999</v>
      </c>
      <c r="CG23" s="612">
        <v>511199.9999999999</v>
      </c>
      <c r="CH23" s="612">
        <v>511199.9999999999</v>
      </c>
      <c r="CI23" s="612">
        <v>511199.9999999999</v>
      </c>
      <c r="CJ23" s="612">
        <v>511199.9999999999</v>
      </c>
      <c r="CK23" s="612">
        <v>511199.9999999999</v>
      </c>
      <c r="CL23" s="612">
        <v>511199.9999999999</v>
      </c>
      <c r="CM23" s="612">
        <v>511199.9999999999</v>
      </c>
      <c r="CN23" s="612">
        <v>511199.9999999999</v>
      </c>
      <c r="CO23" s="612">
        <v>511199.9999999999</v>
      </c>
      <c r="CP23" s="612">
        <v>511199.9999999999</v>
      </c>
    </row>
    <row r="24">
      <c r="A24" s="586"/>
      <c r="B24" s="613" t="s">
        <v>394</v>
      </c>
      <c r="C24" s="614" t="b">
        <v>0</v>
      </c>
      <c r="D24" s="589" t="s">
        <v>598</v>
      </c>
      <c r="E24" s="615" t="s">
        <v>494</v>
      </c>
      <c r="F24" s="616" t="s">
        <v>599</v>
      </c>
      <c r="G24" s="625">
        <v>1.0</v>
      </c>
      <c r="H24" s="625"/>
      <c r="I24" s="626">
        <v>23178.0</v>
      </c>
      <c r="J24" s="594">
        <f>I24*IF($C$7=TRUE,VLOOKUP(B24,BuffsDebuffs!$P$8:$X$26,MATCH(E24,BuffsDebuffs!$P$8:$X$8,0),FALSE),1)*IF(AND($C$8=TRUE,H24=1),1.0778,1)*VLOOKUP($C$2,'scaling OLD'!$A$2:$H$55,8,False)*IF(K24="-",1,(1/K24*(1+((K24-1)*VLOOKUP($C$2,'scaling OLD'!$A$2:$H$55,4,False)))))*IF(K24="-",1,VLOOKUP($C$2,'scaling OLD'!$A$2:$H$55,5,False))*VLOOKUP($C$2,'scaling OLD'!$A$2:$H$55,6,False)*IF(AND(LEFT(C$2,7)="CE - Cr",B24="Sword"),1.35,1)</f>
        <v>23178</v>
      </c>
      <c r="K24" s="213">
        <v>1.1</v>
      </c>
      <c r="L24" s="211">
        <v>5.0</v>
      </c>
      <c r="M24" s="211">
        <v>360.0</v>
      </c>
      <c r="N24" s="211">
        <v>20.0</v>
      </c>
      <c r="O24" s="215">
        <v>2.1</v>
      </c>
      <c r="P24" s="627">
        <f t="shared" si="1"/>
        <v>0.6666666667</v>
      </c>
      <c r="Q24" s="599">
        <f t="shared" si="2"/>
        <v>115890</v>
      </c>
      <c r="R24" s="600">
        <f t="shared" si="3"/>
        <v>8.966666667</v>
      </c>
      <c r="S24" s="622">
        <f t="shared" si="4"/>
        <v>463560</v>
      </c>
      <c r="T24" s="602">
        <f t="shared" si="5"/>
        <v>463560</v>
      </c>
      <c r="U24" s="623">
        <f t="shared" si="6"/>
        <v>173835</v>
      </c>
      <c r="V24" s="624">
        <f t="shared" si="7"/>
        <v>51698.14126</v>
      </c>
      <c r="W24" s="605">
        <f t="shared" si="8"/>
        <v>51698.14126</v>
      </c>
      <c r="X24" s="606">
        <f t="shared" si="9"/>
        <v>41887.95181</v>
      </c>
      <c r="Y24" s="607">
        <f t="shared" si="10"/>
        <v>7</v>
      </c>
      <c r="Z24" s="608">
        <f t="shared" si="11"/>
        <v>5.3</v>
      </c>
      <c r="AA24" s="608">
        <f t="shared" si="12"/>
        <v>0</v>
      </c>
      <c r="AB24" s="607">
        <f t="shared" si="13"/>
        <v>7</v>
      </c>
      <c r="AC24" s="607">
        <f t="shared" si="14"/>
        <v>811230</v>
      </c>
      <c r="AD24" s="608">
        <f t="shared" si="15"/>
        <v>0.6333333333</v>
      </c>
      <c r="AE24" s="607">
        <f t="shared" si="16"/>
        <v>4</v>
      </c>
      <c r="AF24" s="609">
        <f t="shared" si="17"/>
        <v>92712</v>
      </c>
      <c r="AG24" s="628">
        <f t="shared" si="18"/>
        <v>463560</v>
      </c>
      <c r="AH24" s="611"/>
      <c r="AI24" s="612">
        <v>92712.0</v>
      </c>
      <c r="AJ24" s="612">
        <v>115890.0</v>
      </c>
      <c r="AK24" s="612">
        <v>115890.0</v>
      </c>
      <c r="AL24" s="612">
        <v>115890.0</v>
      </c>
      <c r="AM24" s="612">
        <v>115890.0</v>
      </c>
      <c r="AN24" s="612">
        <v>162246.0</v>
      </c>
      <c r="AO24" s="612">
        <v>231780.0</v>
      </c>
      <c r="AP24" s="612">
        <v>231780.0</v>
      </c>
      <c r="AQ24" s="612">
        <v>231780.0</v>
      </c>
      <c r="AR24" s="612">
        <v>231780.0</v>
      </c>
      <c r="AS24" s="612">
        <v>231780.0</v>
      </c>
      <c r="AT24" s="612">
        <v>301314.0</v>
      </c>
      <c r="AU24" s="612">
        <v>347670.0</v>
      </c>
      <c r="AV24" s="612">
        <v>347670.0</v>
      </c>
      <c r="AW24" s="612">
        <v>347670.0</v>
      </c>
      <c r="AX24" s="612">
        <v>347670.0</v>
      </c>
      <c r="AY24" s="612">
        <v>394026.0</v>
      </c>
      <c r="AZ24" s="612">
        <v>463560.0</v>
      </c>
      <c r="BA24" s="612">
        <v>463560.0</v>
      </c>
      <c r="BB24" s="612">
        <v>463560.0</v>
      </c>
      <c r="BC24" s="612">
        <v>463560.0</v>
      </c>
      <c r="BD24" s="612">
        <v>463560.0</v>
      </c>
      <c r="BE24" s="612">
        <v>463560.0</v>
      </c>
      <c r="BF24" s="612">
        <v>463560.0</v>
      </c>
      <c r="BG24" s="612">
        <v>463560.0</v>
      </c>
      <c r="BH24" s="612">
        <v>463560.0</v>
      </c>
      <c r="BI24" s="612">
        <v>463560.0</v>
      </c>
      <c r="BJ24" s="612">
        <v>463560.0</v>
      </c>
      <c r="BK24" s="612">
        <v>463560.0</v>
      </c>
      <c r="BL24" s="612">
        <v>463560.0</v>
      </c>
      <c r="BM24" s="612">
        <v>463560.0</v>
      </c>
      <c r="BN24" s="612">
        <v>463560.0</v>
      </c>
      <c r="BO24" s="612">
        <v>463560.0</v>
      </c>
      <c r="BP24" s="612">
        <v>463560.0</v>
      </c>
      <c r="BQ24" s="612">
        <v>463560.0</v>
      </c>
      <c r="BR24" s="612">
        <v>463560.0</v>
      </c>
      <c r="BS24" s="612">
        <v>463560.0</v>
      </c>
      <c r="BT24" s="612">
        <v>463560.0</v>
      </c>
      <c r="BU24" s="612">
        <v>463560.0</v>
      </c>
      <c r="BV24" s="612">
        <v>463560.0</v>
      </c>
      <c r="BW24" s="612">
        <v>463560.0</v>
      </c>
      <c r="BX24" s="612">
        <v>463560.0</v>
      </c>
      <c r="BY24" s="612">
        <v>463560.0</v>
      </c>
      <c r="BZ24" s="612">
        <v>463560.0</v>
      </c>
      <c r="CA24" s="612">
        <v>463560.0</v>
      </c>
      <c r="CB24" s="612">
        <v>463560.0</v>
      </c>
      <c r="CC24" s="612">
        <v>463560.0</v>
      </c>
      <c r="CD24" s="612">
        <v>463560.0</v>
      </c>
      <c r="CE24" s="612">
        <v>463560.0</v>
      </c>
      <c r="CF24" s="612">
        <v>463560.0</v>
      </c>
      <c r="CG24" s="612">
        <v>463560.0</v>
      </c>
      <c r="CH24" s="612">
        <v>463560.0</v>
      </c>
      <c r="CI24" s="612">
        <v>463560.0</v>
      </c>
      <c r="CJ24" s="612">
        <v>463560.0</v>
      </c>
      <c r="CK24" s="612">
        <v>463560.0</v>
      </c>
      <c r="CL24" s="612">
        <v>463560.0</v>
      </c>
      <c r="CM24" s="612">
        <v>463560.0</v>
      </c>
      <c r="CN24" s="612">
        <v>463560.0</v>
      </c>
      <c r="CO24" s="612">
        <v>463560.0</v>
      </c>
      <c r="CP24" s="612">
        <v>463560.0</v>
      </c>
    </row>
    <row r="25">
      <c r="A25" s="586"/>
      <c r="B25" s="629" t="s">
        <v>600</v>
      </c>
      <c r="C25" s="614" t="b">
        <v>0</v>
      </c>
      <c r="D25" s="589" t="s">
        <v>601</v>
      </c>
      <c r="E25" s="615" t="s">
        <v>500</v>
      </c>
      <c r="F25" s="616" t="s">
        <v>602</v>
      </c>
      <c r="G25" s="625">
        <v>1.0</v>
      </c>
      <c r="H25" s="630"/>
      <c r="I25" s="617">
        <v>60916.0</v>
      </c>
      <c r="J25" s="618">
        <f>I25*IF($C$7=TRUE,VLOOKUP(B25,BuffsDebuffs!$P$8:$X$26,MATCH(E25,BuffsDebuffs!$P$8:$X$8,0),FALSE),1)*IF(AND($C$8=TRUE,H25=1),1.0778,1)*VLOOKUP($C$2,'scaling OLD'!$A$2:$H$55,8,False)*IF(K25="-",1,(1/K25*(1+((K25-1)*VLOOKUP($C$2,'scaling OLD'!$A$2:$H$55,4,False)))))*IF(K25="-",1,VLOOKUP($C$2,'scaling OLD'!$A$2:$H$55,5,False))*VLOOKUP($C$2,'scaling OLD'!$A$2:$H$55,6,False)*IF(AND(LEFT(C$2,7)="CE - Cr",B25="Sword"),1.35,1)</f>
        <v>60916</v>
      </c>
      <c r="K25" s="186">
        <v>1.6</v>
      </c>
      <c r="L25" s="184">
        <v>1.0</v>
      </c>
      <c r="M25" s="184">
        <v>46.58</v>
      </c>
      <c r="N25" s="184">
        <v>15.0</v>
      </c>
      <c r="O25" s="188">
        <v>1.288</v>
      </c>
      <c r="P25" s="631">
        <f t="shared" si="1"/>
        <v>0</v>
      </c>
      <c r="Q25" s="620">
        <f t="shared" si="2"/>
        <v>60916</v>
      </c>
      <c r="R25" s="621">
        <f t="shared" si="3"/>
        <v>18.032</v>
      </c>
      <c r="S25" s="622">
        <f t="shared" si="4"/>
        <v>913740</v>
      </c>
      <c r="T25" s="602">
        <f t="shared" si="5"/>
        <v>913740</v>
      </c>
      <c r="U25" s="623" t="str">
        <f t="shared" si="6"/>
        <v>-</v>
      </c>
      <c r="V25" s="624">
        <f t="shared" si="7"/>
        <v>50673.24756</v>
      </c>
      <c r="W25" s="605">
        <f t="shared" si="8"/>
        <v>50673.24756</v>
      </c>
      <c r="X25" s="606">
        <f t="shared" si="9"/>
        <v>47295.03106</v>
      </c>
      <c r="Y25" s="607">
        <f t="shared" si="10"/>
        <v>15</v>
      </c>
      <c r="Z25" s="608">
        <f t="shared" si="11"/>
        <v>0.68</v>
      </c>
      <c r="AA25" s="608">
        <f t="shared" si="12"/>
        <v>0.68</v>
      </c>
      <c r="AB25" s="607">
        <f t="shared" si="13"/>
        <v>16</v>
      </c>
      <c r="AC25" s="607">
        <f t="shared" si="14"/>
        <v>974656</v>
      </c>
      <c r="AD25" s="608">
        <f t="shared" si="15"/>
        <v>0</v>
      </c>
      <c r="AE25" s="607">
        <f t="shared" si="16"/>
        <v>0</v>
      </c>
      <c r="AF25" s="609">
        <f t="shared" si="17"/>
        <v>0</v>
      </c>
      <c r="AG25" s="628">
        <f t="shared" si="18"/>
        <v>913740</v>
      </c>
      <c r="AH25" s="611"/>
      <c r="AI25" s="612">
        <v>60916.0</v>
      </c>
      <c r="AJ25" s="612">
        <v>60916.0</v>
      </c>
      <c r="AK25" s="612">
        <v>121832.0</v>
      </c>
      <c r="AL25" s="612">
        <v>121832.0</v>
      </c>
      <c r="AM25" s="612">
        <v>121832.0</v>
      </c>
      <c r="AN25" s="612">
        <v>182748.0</v>
      </c>
      <c r="AO25" s="612">
        <v>182748.0</v>
      </c>
      <c r="AP25" s="612">
        <v>243664.0</v>
      </c>
      <c r="AQ25" s="612">
        <v>243664.0</v>
      </c>
      <c r="AR25" s="612">
        <v>243664.0</v>
      </c>
      <c r="AS25" s="612">
        <v>304580.0</v>
      </c>
      <c r="AT25" s="612">
        <v>304580.0</v>
      </c>
      <c r="AU25" s="612">
        <v>365496.0</v>
      </c>
      <c r="AV25" s="612">
        <v>365496.0</v>
      </c>
      <c r="AW25" s="612">
        <v>365496.0</v>
      </c>
      <c r="AX25" s="612">
        <v>426412.0</v>
      </c>
      <c r="AY25" s="612">
        <v>426412.0</v>
      </c>
      <c r="AZ25" s="612">
        <v>426412.0</v>
      </c>
      <c r="BA25" s="612">
        <v>487328.0</v>
      </c>
      <c r="BB25" s="612">
        <v>487328.0</v>
      </c>
      <c r="BC25" s="612">
        <v>548244.0</v>
      </c>
      <c r="BD25" s="612">
        <v>548244.0</v>
      </c>
      <c r="BE25" s="612">
        <v>548244.0</v>
      </c>
      <c r="BF25" s="612">
        <v>609160.0</v>
      </c>
      <c r="BG25" s="612">
        <v>609160.0</v>
      </c>
      <c r="BH25" s="612">
        <v>670076.0</v>
      </c>
      <c r="BI25" s="612">
        <v>670076.0</v>
      </c>
      <c r="BJ25" s="612">
        <v>670076.0</v>
      </c>
      <c r="BK25" s="612">
        <v>730992.0</v>
      </c>
      <c r="BL25" s="612">
        <v>730992.0</v>
      </c>
      <c r="BM25" s="612">
        <v>791908.0</v>
      </c>
      <c r="BN25" s="612">
        <v>791908.0</v>
      </c>
      <c r="BO25" s="612">
        <v>791908.0</v>
      </c>
      <c r="BP25" s="612">
        <v>852824.0</v>
      </c>
      <c r="BQ25" s="612">
        <v>852824.0</v>
      </c>
      <c r="BR25" s="612">
        <v>852824.0</v>
      </c>
      <c r="BS25" s="612">
        <v>913740.0</v>
      </c>
      <c r="BT25" s="612">
        <v>913740.0</v>
      </c>
      <c r="BU25" s="612">
        <v>913740.0</v>
      </c>
      <c r="BV25" s="612">
        <v>913740.0</v>
      </c>
      <c r="BW25" s="612">
        <v>913740.0</v>
      </c>
      <c r="BX25" s="612">
        <v>913740.0</v>
      </c>
      <c r="BY25" s="612">
        <v>913740.0</v>
      </c>
      <c r="BZ25" s="612">
        <v>913740.0</v>
      </c>
      <c r="CA25" s="612">
        <v>913740.0</v>
      </c>
      <c r="CB25" s="612">
        <v>913740.0</v>
      </c>
      <c r="CC25" s="612">
        <v>913740.0</v>
      </c>
      <c r="CD25" s="612">
        <v>913740.0</v>
      </c>
      <c r="CE25" s="612">
        <v>913740.0</v>
      </c>
      <c r="CF25" s="612">
        <v>913740.0</v>
      </c>
      <c r="CG25" s="612">
        <v>913740.0</v>
      </c>
      <c r="CH25" s="612">
        <v>913740.0</v>
      </c>
      <c r="CI25" s="612">
        <v>913740.0</v>
      </c>
      <c r="CJ25" s="612">
        <v>913740.0</v>
      </c>
      <c r="CK25" s="612">
        <v>913740.0</v>
      </c>
      <c r="CL25" s="612">
        <v>913740.0</v>
      </c>
      <c r="CM25" s="612">
        <v>913740.0</v>
      </c>
      <c r="CN25" s="612">
        <v>913740.0</v>
      </c>
      <c r="CO25" s="612">
        <v>913740.0</v>
      </c>
      <c r="CP25" s="612">
        <v>913740.0</v>
      </c>
    </row>
    <row r="26">
      <c r="A26" s="586"/>
      <c r="B26" s="629" t="s">
        <v>411</v>
      </c>
      <c r="C26" s="614" t="b">
        <v>0</v>
      </c>
      <c r="D26" s="589" t="s">
        <v>603</v>
      </c>
      <c r="E26" s="615" t="s">
        <v>497</v>
      </c>
      <c r="F26" s="616" t="s">
        <v>604</v>
      </c>
      <c r="G26" s="625">
        <v>1.0</v>
      </c>
      <c r="H26" s="625"/>
      <c r="I26" s="626">
        <v>21336.0</v>
      </c>
      <c r="J26" s="594">
        <f>I26*IF($C$7=TRUE,VLOOKUP(B26,BuffsDebuffs!$P$8:$X$26,MATCH(E26,BuffsDebuffs!$P$8:$X$8,0),FALSE),1)*IF(AND($C$8=TRUE,H26=1),1.0778,1)*VLOOKUP($C$2,'scaling OLD'!$A$2:$H$55,8,False)*IF(K26="-",1,(1/K26*(1+((K26-1)*VLOOKUP($C$2,'scaling OLD'!$A$2:$H$55,4,False)))))*IF(K26="-",1,VLOOKUP($C$2,'scaling OLD'!$A$2:$H$55,5,False))*VLOOKUP($C$2,'scaling OLD'!$A$2:$H$55,6,False)*IF(AND(LEFT(C$2,7)="CE - Cr",B26="Sword"),1.35,1)</f>
        <v>21336</v>
      </c>
      <c r="K26" s="213" t="s">
        <v>349</v>
      </c>
      <c r="L26" s="211">
        <v>6.0</v>
      </c>
      <c r="M26" s="211">
        <v>127.0</v>
      </c>
      <c r="N26" s="211">
        <v>65.0</v>
      </c>
      <c r="O26" s="215">
        <v>0.216</v>
      </c>
      <c r="P26" s="627">
        <f t="shared" si="1"/>
        <v>2.362204724</v>
      </c>
      <c r="Q26" s="599">
        <f t="shared" si="2"/>
        <v>128016</v>
      </c>
      <c r="R26" s="600">
        <f t="shared" si="3"/>
        <v>27.67181102</v>
      </c>
      <c r="S26" s="622">
        <f t="shared" si="4"/>
        <v>1386840</v>
      </c>
      <c r="T26" s="602">
        <f t="shared" si="5"/>
        <v>1280160</v>
      </c>
      <c r="U26" s="623">
        <f t="shared" si="6"/>
        <v>54193.44</v>
      </c>
      <c r="V26" s="624">
        <f t="shared" si="7"/>
        <v>50117.42812</v>
      </c>
      <c r="W26" s="605">
        <f t="shared" si="8"/>
        <v>50117.42812</v>
      </c>
      <c r="X26" s="606">
        <f t="shared" si="9"/>
        <v>49653.15546</v>
      </c>
      <c r="Y26" s="607">
        <f t="shared" si="10"/>
        <v>7</v>
      </c>
      <c r="Z26" s="608">
        <f t="shared" si="11"/>
        <v>18.488</v>
      </c>
      <c r="AA26" s="608">
        <f t="shared" si="12"/>
        <v>0</v>
      </c>
      <c r="AB26" s="607">
        <f t="shared" si="13"/>
        <v>7</v>
      </c>
      <c r="AC26" s="607">
        <f t="shared" si="14"/>
        <v>896112</v>
      </c>
      <c r="AD26" s="608">
        <f t="shared" si="15"/>
        <v>1.952566929</v>
      </c>
      <c r="AE26" s="607">
        <f t="shared" si="16"/>
        <v>5</v>
      </c>
      <c r="AF26" s="609">
        <f t="shared" si="17"/>
        <v>106680</v>
      </c>
      <c r="AG26" s="628">
        <f t="shared" si="18"/>
        <v>1002792</v>
      </c>
      <c r="AH26" s="611"/>
      <c r="AI26" s="612">
        <v>42744.0</v>
      </c>
      <c r="AJ26" s="612">
        <v>64116.0</v>
      </c>
      <c r="AK26" s="612">
        <v>85488.0</v>
      </c>
      <c r="AL26" s="612">
        <v>106860.0</v>
      </c>
      <c r="AM26" s="612">
        <v>128232.0</v>
      </c>
      <c r="AN26" s="612">
        <v>149604.0</v>
      </c>
      <c r="AO26" s="612">
        <v>170976.0</v>
      </c>
      <c r="AP26" s="612">
        <v>213720.0</v>
      </c>
      <c r="AQ26" s="612">
        <v>235092.0</v>
      </c>
      <c r="AR26" s="612">
        <v>256464.0</v>
      </c>
      <c r="AS26" s="612">
        <v>277836.0</v>
      </c>
      <c r="AT26" s="612">
        <v>299208.0</v>
      </c>
      <c r="AU26" s="612">
        <v>320580.0</v>
      </c>
      <c r="AV26" s="612">
        <v>341952.0</v>
      </c>
      <c r="AW26" s="612">
        <v>363324.0</v>
      </c>
      <c r="AX26" s="612">
        <v>406068.0</v>
      </c>
      <c r="AY26" s="612">
        <v>427440.0</v>
      </c>
      <c r="AZ26" s="612">
        <v>448812.0</v>
      </c>
      <c r="BA26" s="612">
        <v>470184.0</v>
      </c>
      <c r="BB26" s="612">
        <v>491556.0</v>
      </c>
      <c r="BC26" s="612">
        <v>534300.0</v>
      </c>
      <c r="BD26" s="612">
        <v>555672.0</v>
      </c>
      <c r="BE26" s="612">
        <v>577044.0</v>
      </c>
      <c r="BF26" s="612">
        <v>598416.0</v>
      </c>
      <c r="BG26" s="612">
        <v>619788.0</v>
      </c>
      <c r="BH26" s="612">
        <v>662532.0</v>
      </c>
      <c r="BI26" s="612">
        <v>683904.0</v>
      </c>
      <c r="BJ26" s="612">
        <v>705276.0</v>
      </c>
      <c r="BK26" s="612">
        <v>726648.0</v>
      </c>
      <c r="BL26" s="612">
        <v>748020.0</v>
      </c>
      <c r="BM26" s="612">
        <v>790764.0</v>
      </c>
      <c r="BN26" s="612">
        <v>812136.0</v>
      </c>
      <c r="BO26" s="612">
        <v>833508.0</v>
      </c>
      <c r="BP26" s="612">
        <v>854880.0</v>
      </c>
      <c r="BQ26" s="612">
        <v>876252.0</v>
      </c>
      <c r="BR26" s="612">
        <v>897624.0</v>
      </c>
      <c r="BS26" s="612">
        <v>918996.0</v>
      </c>
      <c r="BT26" s="612">
        <v>961740.0</v>
      </c>
      <c r="BU26" s="612">
        <v>983112.0</v>
      </c>
      <c r="BV26" s="612">
        <v>1004484.0</v>
      </c>
      <c r="BW26" s="612">
        <v>1025856.0</v>
      </c>
      <c r="BX26" s="612">
        <v>1047228.0</v>
      </c>
      <c r="BY26" s="612">
        <v>1068600.0</v>
      </c>
      <c r="BZ26" s="612">
        <v>1089972.0</v>
      </c>
      <c r="CA26" s="612">
        <v>1111344.0</v>
      </c>
      <c r="CB26" s="612">
        <v>1154088.0</v>
      </c>
      <c r="CC26" s="612">
        <v>1175460.0</v>
      </c>
      <c r="CD26" s="612">
        <v>1196832.0</v>
      </c>
      <c r="CE26" s="612">
        <v>1218204.0</v>
      </c>
      <c r="CF26" s="612">
        <v>1239576.0</v>
      </c>
      <c r="CG26" s="612">
        <v>1260948.0</v>
      </c>
      <c r="CH26" s="612">
        <v>1303692.0</v>
      </c>
      <c r="CI26" s="612">
        <v>1325064.0</v>
      </c>
      <c r="CJ26" s="612">
        <v>1346436.0</v>
      </c>
      <c r="CK26" s="612">
        <v>1367808.0</v>
      </c>
      <c r="CL26" s="612">
        <v>1389180.0</v>
      </c>
      <c r="CM26" s="612">
        <v>1389180.0</v>
      </c>
      <c r="CN26" s="612">
        <v>1389180.0</v>
      </c>
      <c r="CO26" s="612">
        <v>1389180.0</v>
      </c>
      <c r="CP26" s="612">
        <v>1389180.0</v>
      </c>
    </row>
    <row r="27">
      <c r="A27" s="586"/>
      <c r="B27" s="629" t="s">
        <v>411</v>
      </c>
      <c r="C27" s="632" t="b">
        <v>0</v>
      </c>
      <c r="D27" s="633" t="s">
        <v>605</v>
      </c>
      <c r="E27" s="634" t="s">
        <v>494</v>
      </c>
      <c r="F27" s="635" t="s">
        <v>606</v>
      </c>
      <c r="G27" s="636"/>
      <c r="H27" s="636">
        <v>1.0</v>
      </c>
      <c r="I27" s="617">
        <f>10850*1.4175*1.07</f>
        <v>16456.46625</v>
      </c>
      <c r="J27" s="618">
        <f>I27*IF($C$7=TRUE,VLOOKUP(B27,BuffsDebuffs!$P$8:$X$26,MATCH(E27,BuffsDebuffs!$P$8:$X$8,0),FALSE),1)*IF(AND($C$8=TRUE,H27=1),1.0778,1)*VLOOKUP($C$2,'scaling OLD'!$A$2:$H$55,8,False)*IF(K27="-",1,(1/K27*(1+((K27-1)*VLOOKUP($C$2,'scaling OLD'!$A$2:$H$55,4,False)))))*IF(K27="-",1,VLOOKUP($C$2,'scaling OLD'!$A$2:$H$55,5,False))*VLOOKUP($C$2,'scaling OLD'!$A$2:$H$55,6,False)*IF(AND(LEFT(C$2,7)="CE - Cr",B27="Sword"),1.35,1)</f>
        <v>17736.77932</v>
      </c>
      <c r="K27" s="186" t="s">
        <v>349</v>
      </c>
      <c r="L27" s="184">
        <v>77.0</v>
      </c>
      <c r="M27" s="184">
        <v>160.0</v>
      </c>
      <c r="N27" s="184">
        <v>77.0</v>
      </c>
      <c r="O27" s="188">
        <v>0.0</v>
      </c>
      <c r="P27" s="631">
        <f t="shared" si="1"/>
        <v>28.5</v>
      </c>
      <c r="Q27" s="620">
        <f t="shared" si="2"/>
        <v>1365732.008</v>
      </c>
      <c r="R27" s="621">
        <f t="shared" si="3"/>
        <v>28.5</v>
      </c>
      <c r="S27" s="622">
        <f t="shared" si="4"/>
        <v>1365732.008</v>
      </c>
      <c r="T27" s="602">
        <f t="shared" si="5"/>
        <v>1365732.008</v>
      </c>
      <c r="U27" s="623">
        <f t="shared" si="6"/>
        <v>47920.42133</v>
      </c>
      <c r="V27" s="624">
        <f t="shared" si="7"/>
        <v>47920.42133</v>
      </c>
      <c r="W27" s="605">
        <f t="shared" si="8"/>
        <v>47920.42133</v>
      </c>
      <c r="X27" s="606">
        <f t="shared" si="9"/>
        <v>47920.42133</v>
      </c>
      <c r="Y27" s="607">
        <f t="shared" si="10"/>
        <v>0</v>
      </c>
      <c r="Z27" s="608">
        <f t="shared" si="11"/>
        <v>20</v>
      </c>
      <c r="AA27" s="608">
        <f t="shared" si="12"/>
        <v>0</v>
      </c>
      <c r="AB27" s="607">
        <f t="shared" si="13"/>
        <v>0</v>
      </c>
      <c r="AC27" s="607">
        <f t="shared" si="14"/>
        <v>0</v>
      </c>
      <c r="AD27" s="608">
        <f t="shared" si="15"/>
        <v>20</v>
      </c>
      <c r="AE27" s="607">
        <f t="shared" si="16"/>
        <v>54</v>
      </c>
      <c r="AF27" s="609">
        <f t="shared" si="17"/>
        <v>957786.0835</v>
      </c>
      <c r="AG27" s="628">
        <f t="shared" si="18"/>
        <v>957786.0835</v>
      </c>
      <c r="AH27" s="611"/>
      <c r="AI27" s="612">
        <v>33152.858550000004</v>
      </c>
      <c r="AJ27" s="612">
        <v>49729.28782500001</v>
      </c>
      <c r="AK27" s="612">
        <v>82882.14637500001</v>
      </c>
      <c r="AL27" s="612">
        <v>99458.57565000001</v>
      </c>
      <c r="AM27" s="612">
        <v>116035.00492500002</v>
      </c>
      <c r="AN27" s="612">
        <v>149187.86347500002</v>
      </c>
      <c r="AO27" s="612">
        <v>165764.29275000002</v>
      </c>
      <c r="AP27" s="612">
        <v>182340.72202500002</v>
      </c>
      <c r="AQ27" s="612">
        <v>215493.58057500003</v>
      </c>
      <c r="AR27" s="612">
        <v>232070.00985000003</v>
      </c>
      <c r="AS27" s="612">
        <v>248646.43912500003</v>
      </c>
      <c r="AT27" s="612">
        <v>281799.29767500004</v>
      </c>
      <c r="AU27" s="612">
        <v>298375.72695000004</v>
      </c>
      <c r="AV27" s="612">
        <v>314952.15622500004</v>
      </c>
      <c r="AW27" s="612">
        <v>348105.01477500005</v>
      </c>
      <c r="AX27" s="612">
        <v>364681.44405000005</v>
      </c>
      <c r="AY27" s="612">
        <v>381257.87332500005</v>
      </c>
      <c r="AZ27" s="612">
        <v>414410.73187500006</v>
      </c>
      <c r="BA27" s="612">
        <v>430987.16115000006</v>
      </c>
      <c r="BB27" s="612">
        <v>447563.59042500006</v>
      </c>
      <c r="BC27" s="612">
        <v>480716.44897500006</v>
      </c>
      <c r="BD27" s="612">
        <v>497292.87825000007</v>
      </c>
      <c r="BE27" s="612">
        <v>513869.30752500007</v>
      </c>
      <c r="BF27" s="612">
        <v>547022.1660750001</v>
      </c>
      <c r="BG27" s="612">
        <v>563598.5953500001</v>
      </c>
      <c r="BH27" s="612">
        <v>580175.0246250001</v>
      </c>
      <c r="BI27" s="612">
        <v>613327.8831750001</v>
      </c>
      <c r="BJ27" s="612">
        <v>629904.3124500001</v>
      </c>
      <c r="BK27" s="612">
        <v>646480.7417250001</v>
      </c>
      <c r="BL27" s="612">
        <v>679633.6002750001</v>
      </c>
      <c r="BM27" s="612">
        <v>696210.0295500001</v>
      </c>
      <c r="BN27" s="612">
        <v>712786.4588250001</v>
      </c>
      <c r="BO27" s="612">
        <v>745939.3173750001</v>
      </c>
      <c r="BP27" s="612">
        <v>762515.7466500001</v>
      </c>
      <c r="BQ27" s="612">
        <v>779092.1759250001</v>
      </c>
      <c r="BR27" s="612">
        <v>812245.0344750001</v>
      </c>
      <c r="BS27" s="612">
        <v>828821.4637500001</v>
      </c>
      <c r="BT27" s="612">
        <v>845397.8930250001</v>
      </c>
      <c r="BU27" s="612">
        <v>878550.7515750001</v>
      </c>
      <c r="BV27" s="612">
        <v>895127.1808500001</v>
      </c>
      <c r="BW27" s="612">
        <v>911703.6101250001</v>
      </c>
      <c r="BX27" s="612">
        <v>944856.4686750001</v>
      </c>
      <c r="BY27" s="612">
        <v>961432.8979500001</v>
      </c>
      <c r="BZ27" s="612">
        <v>978009.3272250001</v>
      </c>
      <c r="CA27" s="612">
        <v>1011162.1857750001</v>
      </c>
      <c r="CB27" s="612">
        <v>1027738.6150500001</v>
      </c>
      <c r="CC27" s="612">
        <v>1044315.0443250001</v>
      </c>
      <c r="CD27" s="612">
        <v>1077467.9028750001</v>
      </c>
      <c r="CE27" s="612">
        <v>1094044.3321500001</v>
      </c>
      <c r="CF27" s="612">
        <v>1110620.7614250001</v>
      </c>
      <c r="CG27" s="612">
        <v>1143773.6199750002</v>
      </c>
      <c r="CH27" s="612">
        <v>1160350.0492500002</v>
      </c>
      <c r="CI27" s="612">
        <v>1176926.4785250002</v>
      </c>
      <c r="CJ27" s="612">
        <v>1210079.3370750002</v>
      </c>
      <c r="CK27" s="612">
        <v>1226655.7663500002</v>
      </c>
      <c r="CL27" s="612">
        <v>1243232.1956250002</v>
      </c>
      <c r="CM27" s="612">
        <v>1276385.0541750002</v>
      </c>
      <c r="CN27" s="612">
        <v>1276385.0541750002</v>
      </c>
      <c r="CO27" s="612">
        <v>1276385.0541750002</v>
      </c>
      <c r="CP27" s="612">
        <v>1276385.0541750002</v>
      </c>
    </row>
    <row r="28">
      <c r="A28" s="586"/>
      <c r="B28" s="629" t="s">
        <v>411</v>
      </c>
      <c r="C28" s="614" t="b">
        <v>0</v>
      </c>
      <c r="D28" s="589" t="s">
        <v>607</v>
      </c>
      <c r="E28" s="615" t="s">
        <v>500</v>
      </c>
      <c r="F28" s="616" t="s">
        <v>608</v>
      </c>
      <c r="G28" s="625">
        <v>1.0</v>
      </c>
      <c r="H28" s="625"/>
      <c r="I28" s="637">
        <f>16342*1.07</f>
        <v>17485.94</v>
      </c>
      <c r="J28" s="594">
        <f>I28*IF($C$7=TRUE,VLOOKUP(B28,BuffsDebuffs!$P$8:$X$26,MATCH(E28,BuffsDebuffs!$P$8:$X$8,0),FALSE),1)*IF(AND($C$8=TRUE,H28=1),1.0778,1)*VLOOKUP($C$2,'scaling OLD'!$A$2:$H$55,8,False)*IF(K28="-",1,(1/K28*(1+((K28-1)*VLOOKUP($C$2,'scaling OLD'!$A$2:$H$55,4,False)))))*IF(K28="-",1,VLOOKUP($C$2,'scaling OLD'!$A$2:$H$55,5,False))*VLOOKUP($C$2,'scaling OLD'!$A$2:$H$55,6,False)*IF(AND(LEFT(C$2,7)="CE - Cr",B28="Sword"),1.35,1)</f>
        <v>17485.94</v>
      </c>
      <c r="K28" s="213" t="s">
        <v>349</v>
      </c>
      <c r="L28" s="211">
        <v>64.0</v>
      </c>
      <c r="M28" s="211">
        <v>161.0</v>
      </c>
      <c r="N28" s="211">
        <v>64.0</v>
      </c>
      <c r="O28" s="215">
        <v>0.0</v>
      </c>
      <c r="P28" s="638">
        <f t="shared" si="1"/>
        <v>23.47826087</v>
      </c>
      <c r="Q28" s="599">
        <f t="shared" si="2"/>
        <v>1119100.16</v>
      </c>
      <c r="R28" s="600">
        <f t="shared" si="3"/>
        <v>23.47826087</v>
      </c>
      <c r="S28" s="622">
        <f t="shared" si="4"/>
        <v>1119100.16</v>
      </c>
      <c r="T28" s="602">
        <f t="shared" si="5"/>
        <v>1119100.16</v>
      </c>
      <c r="U28" s="623">
        <f t="shared" si="6"/>
        <v>47665.37719</v>
      </c>
      <c r="V28" s="624">
        <f t="shared" si="7"/>
        <v>47665.37719</v>
      </c>
      <c r="W28" s="605">
        <f t="shared" si="8"/>
        <v>47665.37719</v>
      </c>
      <c r="X28" s="606">
        <f t="shared" si="9"/>
        <v>47665.37719</v>
      </c>
      <c r="Y28" s="607">
        <f t="shared" si="10"/>
        <v>0</v>
      </c>
      <c r="Z28" s="608">
        <f t="shared" si="11"/>
        <v>20</v>
      </c>
      <c r="AA28" s="608">
        <f t="shared" si="12"/>
        <v>0</v>
      </c>
      <c r="AB28" s="607">
        <f t="shared" si="13"/>
        <v>0</v>
      </c>
      <c r="AC28" s="607">
        <f t="shared" si="14"/>
        <v>0</v>
      </c>
      <c r="AD28" s="608">
        <f t="shared" si="15"/>
        <v>20</v>
      </c>
      <c r="AE28" s="607">
        <f t="shared" si="16"/>
        <v>54</v>
      </c>
      <c r="AF28" s="609">
        <f t="shared" si="17"/>
        <v>944240.76</v>
      </c>
      <c r="AG28" s="628">
        <f t="shared" si="18"/>
        <v>944240.76</v>
      </c>
      <c r="AH28" s="611"/>
      <c r="AI28" s="612">
        <v>32684.0</v>
      </c>
      <c r="AJ28" s="612">
        <v>49026.0</v>
      </c>
      <c r="AK28" s="612">
        <v>81710.0</v>
      </c>
      <c r="AL28" s="612">
        <v>98052.0</v>
      </c>
      <c r="AM28" s="612">
        <v>114394.0</v>
      </c>
      <c r="AN28" s="612">
        <v>147078.0</v>
      </c>
      <c r="AO28" s="612">
        <v>163420.0</v>
      </c>
      <c r="AP28" s="612">
        <v>179762.0</v>
      </c>
      <c r="AQ28" s="612">
        <v>212446.0</v>
      </c>
      <c r="AR28" s="612">
        <v>228788.0</v>
      </c>
      <c r="AS28" s="612">
        <v>245130.0</v>
      </c>
      <c r="AT28" s="612">
        <v>277814.0</v>
      </c>
      <c r="AU28" s="612">
        <v>294156.0</v>
      </c>
      <c r="AV28" s="612">
        <v>310498.0</v>
      </c>
      <c r="AW28" s="612">
        <v>343182.0</v>
      </c>
      <c r="AX28" s="612">
        <v>359524.0</v>
      </c>
      <c r="AY28" s="612">
        <v>375866.0</v>
      </c>
      <c r="AZ28" s="612">
        <v>408550.0</v>
      </c>
      <c r="BA28" s="612">
        <v>424892.0</v>
      </c>
      <c r="BB28" s="612">
        <v>441234.0</v>
      </c>
      <c r="BC28" s="612">
        <v>473918.0</v>
      </c>
      <c r="BD28" s="612">
        <v>490260.0</v>
      </c>
      <c r="BE28" s="612">
        <v>506602.0</v>
      </c>
      <c r="BF28" s="612">
        <v>539286.0</v>
      </c>
      <c r="BG28" s="612">
        <v>555628.0</v>
      </c>
      <c r="BH28" s="612">
        <v>571970.0</v>
      </c>
      <c r="BI28" s="612">
        <v>604654.0</v>
      </c>
      <c r="BJ28" s="612">
        <v>620996.0</v>
      </c>
      <c r="BK28" s="612">
        <v>637338.0</v>
      </c>
      <c r="BL28" s="612">
        <v>670022.0</v>
      </c>
      <c r="BM28" s="612">
        <v>686364.0</v>
      </c>
      <c r="BN28" s="612">
        <v>702706.0</v>
      </c>
      <c r="BO28" s="612">
        <v>735390.0</v>
      </c>
      <c r="BP28" s="612">
        <v>751732.0</v>
      </c>
      <c r="BQ28" s="612">
        <v>768074.0</v>
      </c>
      <c r="BR28" s="612">
        <v>800758.0</v>
      </c>
      <c r="BS28" s="612">
        <v>817100.0</v>
      </c>
      <c r="BT28" s="612">
        <v>833442.0</v>
      </c>
      <c r="BU28" s="612">
        <v>866126.0</v>
      </c>
      <c r="BV28" s="612">
        <v>882468.0</v>
      </c>
      <c r="BW28" s="612">
        <v>915152.0</v>
      </c>
      <c r="BX28" s="612">
        <v>931494.0</v>
      </c>
      <c r="BY28" s="612">
        <v>947836.0</v>
      </c>
      <c r="BZ28" s="612">
        <v>980520.0</v>
      </c>
      <c r="CA28" s="612">
        <v>996862.0</v>
      </c>
      <c r="CB28" s="612">
        <v>1013204.0</v>
      </c>
      <c r="CC28" s="612">
        <v>1045888.0</v>
      </c>
      <c r="CD28" s="612">
        <v>1045888.0</v>
      </c>
      <c r="CE28" s="612">
        <v>1045888.0</v>
      </c>
      <c r="CF28" s="612">
        <v>1045888.0</v>
      </c>
      <c r="CG28" s="612">
        <v>1045888.0</v>
      </c>
      <c r="CH28" s="612">
        <v>1045888.0</v>
      </c>
      <c r="CI28" s="612">
        <v>1045888.0</v>
      </c>
      <c r="CJ28" s="612">
        <v>1045888.0</v>
      </c>
      <c r="CK28" s="612">
        <v>1045888.0</v>
      </c>
      <c r="CL28" s="612">
        <v>1045888.0</v>
      </c>
      <c r="CM28" s="612">
        <v>1045888.0</v>
      </c>
      <c r="CN28" s="612">
        <v>1045888.0</v>
      </c>
      <c r="CO28" s="612">
        <v>1045888.0</v>
      </c>
      <c r="CP28" s="612">
        <v>1045888.0</v>
      </c>
    </row>
    <row r="29">
      <c r="A29" s="586"/>
      <c r="B29" s="629" t="s">
        <v>389</v>
      </c>
      <c r="C29" s="632" t="b">
        <v>0</v>
      </c>
      <c r="D29" s="633" t="s">
        <v>609</v>
      </c>
      <c r="E29" s="634" t="s">
        <v>494</v>
      </c>
      <c r="F29" s="635" t="s">
        <v>610</v>
      </c>
      <c r="G29" s="636"/>
      <c r="H29" s="636">
        <v>1.0</v>
      </c>
      <c r="I29" s="637">
        <f>53444*1.248+13827</f>
        <v>80525.112</v>
      </c>
      <c r="J29" s="618">
        <f>I29*IF($C$7=TRUE,VLOOKUP(B29,BuffsDebuffs!$P$8:$X$26,MATCH(E29,BuffsDebuffs!$P$8:$X$8,0),FALSE),1)*IF(AND($C$8=TRUE,H29=1),1.0778,1)*VLOOKUP($C$2,'scaling OLD'!$A$2:$H$55,8,False)*IF(K29="-",1,(1/K29*(1+((K29-1)*VLOOKUP($C$2,'scaling OLD'!$A$2:$H$55,4,False)))))*IF(K29="-",1,VLOOKUP($C$2,'scaling OLD'!$A$2:$H$55,5,False))*VLOOKUP($C$2,'scaling OLD'!$A$2:$H$55,6,False)*IF(AND(LEFT(C$2,7)="CE - Cr",B29="Sword"),1.35,1)</f>
        <v>86789.96571</v>
      </c>
      <c r="K29" s="213" t="s">
        <v>349</v>
      </c>
      <c r="L29" s="211">
        <v>1.0</v>
      </c>
      <c r="M29" s="211">
        <v>50.5</v>
      </c>
      <c r="N29" s="211">
        <v>10.0</v>
      </c>
      <c r="O29" s="215">
        <v>2.067</v>
      </c>
      <c r="P29" s="639">
        <f t="shared" si="1"/>
        <v>0</v>
      </c>
      <c r="Q29" s="640">
        <f t="shared" si="2"/>
        <v>86789.96571</v>
      </c>
      <c r="R29" s="621">
        <f t="shared" si="3"/>
        <v>18.603</v>
      </c>
      <c r="S29" s="641">
        <f t="shared" si="4"/>
        <v>867899.6571</v>
      </c>
      <c r="T29" s="602">
        <f t="shared" si="5"/>
        <v>867899.6571</v>
      </c>
      <c r="U29" s="623" t="str">
        <f>IF(ISERROR(Q29/P29),"-",(Q29*2)/((P29*2)+60/M29))</f>
        <v>-</v>
      </c>
      <c r="V29" s="642">
        <f t="shared" si="7"/>
        <v>46653.74709</v>
      </c>
      <c r="W29" s="605">
        <f t="shared" si="8"/>
        <v>46653.74709</v>
      </c>
      <c r="X29" s="643">
        <f t="shared" si="9"/>
        <v>41988.37238</v>
      </c>
      <c r="Y29" s="607">
        <f t="shared" si="10"/>
        <v>9</v>
      </c>
      <c r="Z29" s="608">
        <f t="shared" si="11"/>
        <v>1.397</v>
      </c>
      <c r="AA29" s="608">
        <f t="shared" si="12"/>
        <v>1.397</v>
      </c>
      <c r="AB29" s="607">
        <f t="shared" si="13"/>
        <v>10</v>
      </c>
      <c r="AC29" s="607">
        <f t="shared" si="14"/>
        <v>867899.6571</v>
      </c>
      <c r="AD29" s="608">
        <f t="shared" si="15"/>
        <v>0</v>
      </c>
      <c r="AE29" s="607">
        <f t="shared" si="16"/>
        <v>0</v>
      </c>
      <c r="AF29" s="609">
        <f t="shared" si="17"/>
        <v>0</v>
      </c>
      <c r="AG29" s="644">
        <f t="shared" si="18"/>
        <v>867899.6571</v>
      </c>
      <c r="AH29" s="611"/>
      <c r="AI29" s="612">
        <v>86789.9657136</v>
      </c>
      <c r="AJ29" s="612">
        <v>86789.9657136</v>
      </c>
      <c r="AK29" s="612">
        <v>86789.9657136</v>
      </c>
      <c r="AL29" s="612">
        <v>86789.9657136</v>
      </c>
      <c r="AM29" s="612">
        <v>173579.9314272</v>
      </c>
      <c r="AN29" s="612">
        <v>173579.9314272</v>
      </c>
      <c r="AO29" s="612">
        <v>173579.9314272</v>
      </c>
      <c r="AP29" s="612">
        <v>173579.9314272</v>
      </c>
      <c r="AQ29" s="612">
        <v>260369.89714080002</v>
      </c>
      <c r="AR29" s="612">
        <v>260369.89714080002</v>
      </c>
      <c r="AS29" s="612">
        <v>260369.89714080002</v>
      </c>
      <c r="AT29" s="612">
        <v>260369.89714080002</v>
      </c>
      <c r="AU29" s="612">
        <v>347159.8628544</v>
      </c>
      <c r="AV29" s="612">
        <v>347159.8628544</v>
      </c>
      <c r="AW29" s="612">
        <v>347159.8628544</v>
      </c>
      <c r="AX29" s="612">
        <v>347159.8628544</v>
      </c>
      <c r="AY29" s="612">
        <v>433949.828568</v>
      </c>
      <c r="AZ29" s="612">
        <v>433949.828568</v>
      </c>
      <c r="BA29" s="612">
        <v>433949.828568</v>
      </c>
      <c r="BB29" s="612">
        <v>433949.828568</v>
      </c>
      <c r="BC29" s="612">
        <v>520739.79428160004</v>
      </c>
      <c r="BD29" s="612">
        <v>520739.79428160004</v>
      </c>
      <c r="BE29" s="612">
        <v>520739.79428160004</v>
      </c>
      <c r="BF29" s="612">
        <v>520739.79428160004</v>
      </c>
      <c r="BG29" s="612">
        <v>607529.7599952</v>
      </c>
      <c r="BH29" s="612">
        <v>607529.7599952</v>
      </c>
      <c r="BI29" s="612">
        <v>607529.7599952</v>
      </c>
      <c r="BJ29" s="612">
        <v>607529.7599952</v>
      </c>
      <c r="BK29" s="612">
        <v>694319.7257088</v>
      </c>
      <c r="BL29" s="612">
        <v>694319.7257088</v>
      </c>
      <c r="BM29" s="612">
        <v>694319.7257088</v>
      </c>
      <c r="BN29" s="612">
        <v>694319.7257088</v>
      </c>
      <c r="BO29" s="612">
        <v>694319.7257088</v>
      </c>
      <c r="BP29" s="612">
        <v>781109.6914224001</v>
      </c>
      <c r="BQ29" s="612">
        <v>781109.6914224001</v>
      </c>
      <c r="BR29" s="612">
        <v>781109.6914224001</v>
      </c>
      <c r="BS29" s="612">
        <v>781109.6914224001</v>
      </c>
      <c r="BT29" s="612">
        <v>867899.657136</v>
      </c>
      <c r="BU29" s="612">
        <v>867899.657136</v>
      </c>
      <c r="BV29" s="612">
        <v>867899.657136</v>
      </c>
      <c r="BW29" s="612">
        <v>867899.657136</v>
      </c>
      <c r="BX29" s="612">
        <v>867899.657136</v>
      </c>
      <c r="BY29" s="612">
        <v>867899.657136</v>
      </c>
      <c r="BZ29" s="612">
        <v>867899.657136</v>
      </c>
      <c r="CA29" s="612">
        <v>867899.657136</v>
      </c>
      <c r="CB29" s="612">
        <v>867899.657136</v>
      </c>
      <c r="CC29" s="612">
        <v>867899.657136</v>
      </c>
      <c r="CD29" s="612">
        <v>867899.657136</v>
      </c>
      <c r="CE29" s="612">
        <v>867899.657136</v>
      </c>
      <c r="CF29" s="612">
        <v>867899.657136</v>
      </c>
      <c r="CG29" s="612">
        <v>867899.657136</v>
      </c>
      <c r="CH29" s="612">
        <v>867899.657136</v>
      </c>
      <c r="CI29" s="612">
        <v>867899.657136</v>
      </c>
      <c r="CJ29" s="612">
        <v>867899.657136</v>
      </c>
      <c r="CK29" s="612">
        <v>867899.657136</v>
      </c>
      <c r="CL29" s="612">
        <v>867899.657136</v>
      </c>
      <c r="CM29" s="612">
        <v>867899.657136</v>
      </c>
      <c r="CN29" s="612">
        <v>867899.657136</v>
      </c>
      <c r="CO29" s="612">
        <v>867899.657136</v>
      </c>
      <c r="CP29" s="612">
        <v>867899.657136</v>
      </c>
    </row>
    <row r="30">
      <c r="A30" s="645"/>
      <c r="B30" s="629" t="s">
        <v>407</v>
      </c>
      <c r="C30" s="614" t="b">
        <v>0</v>
      </c>
      <c r="D30" s="589" t="s">
        <v>611</v>
      </c>
      <c r="E30" s="615" t="s">
        <v>497</v>
      </c>
      <c r="F30" s="616" t="s">
        <v>602</v>
      </c>
      <c r="G30" s="625">
        <v>1.0</v>
      </c>
      <c r="H30" s="625"/>
      <c r="I30" s="617">
        <v>35264.0</v>
      </c>
      <c r="J30" s="594">
        <f>I30*IF($C$7=TRUE,VLOOKUP(B30,BuffsDebuffs!$P$8:$X$26,MATCH(E30,BuffsDebuffs!$P$8:$X$8,0),FALSE),1)*IF(AND($C$8=TRUE,H30=1),1.0778,1)*VLOOKUP($C$2,'scaling OLD'!$A$2:$H$55,8,False)*IF(K30="-",1,(1/K30*(1+((K30-1)*VLOOKUP($C$2,'scaling OLD'!$A$2:$H$55,4,False)))))*IF(K30="-",1,VLOOKUP($C$2,'scaling OLD'!$A$2:$H$55,5,False))*VLOOKUP($C$2,'scaling OLD'!$A$2:$H$55,6,False)*IF(AND(LEFT(C$2,7)="CE - Cr",B30="Sword"),1.35,1)</f>
        <v>35264</v>
      </c>
      <c r="K30" s="186">
        <v>4.72</v>
      </c>
      <c r="L30" s="184">
        <v>44.0</v>
      </c>
      <c r="M30" s="184">
        <v>75.0</v>
      </c>
      <c r="N30" s="184">
        <v>44.0</v>
      </c>
      <c r="O30" s="188">
        <v>1.717</v>
      </c>
      <c r="P30" s="638">
        <f t="shared" si="1"/>
        <v>34.4</v>
      </c>
      <c r="Q30" s="599">
        <f t="shared" si="2"/>
        <v>1551616</v>
      </c>
      <c r="R30" s="600">
        <f t="shared" si="3"/>
        <v>34.4</v>
      </c>
      <c r="S30" s="622">
        <f t="shared" si="4"/>
        <v>1551616</v>
      </c>
      <c r="T30" s="602">
        <f t="shared" si="5"/>
        <v>1551616</v>
      </c>
      <c r="U30" s="623">
        <f t="shared" ref="U30:U137" si="19">IF(ISERROR(Q30/P30),"-",Q30/P30)</f>
        <v>45105.11628</v>
      </c>
      <c r="V30" s="624">
        <f t="shared" si="7"/>
        <v>45105.11628</v>
      </c>
      <c r="W30" s="605">
        <f t="shared" si="8"/>
        <v>45105.11628</v>
      </c>
      <c r="X30" s="606">
        <f t="shared" si="9"/>
        <v>45105.11628</v>
      </c>
      <c r="Y30" s="607">
        <f t="shared" si="10"/>
        <v>0</v>
      </c>
      <c r="Z30" s="608">
        <f t="shared" si="11"/>
        <v>20</v>
      </c>
      <c r="AA30" s="608">
        <f t="shared" si="12"/>
        <v>0</v>
      </c>
      <c r="AB30" s="607">
        <f t="shared" si="13"/>
        <v>0</v>
      </c>
      <c r="AC30" s="607">
        <f t="shared" si="14"/>
        <v>0</v>
      </c>
      <c r="AD30" s="608">
        <f t="shared" si="15"/>
        <v>20</v>
      </c>
      <c r="AE30" s="607">
        <f t="shared" si="16"/>
        <v>26</v>
      </c>
      <c r="AF30" s="609">
        <f t="shared" si="17"/>
        <v>916864</v>
      </c>
      <c r="AG30" s="628">
        <f t="shared" si="18"/>
        <v>916864</v>
      </c>
      <c r="AH30" s="611"/>
      <c r="AI30" s="612">
        <v>35264.0</v>
      </c>
      <c r="AJ30" s="612">
        <v>70528.0</v>
      </c>
      <c r="AK30" s="612">
        <v>70528.0</v>
      </c>
      <c r="AL30" s="612">
        <v>105792.0</v>
      </c>
      <c r="AM30" s="612">
        <v>141056.0</v>
      </c>
      <c r="AN30" s="612">
        <v>141056.0</v>
      </c>
      <c r="AO30" s="612">
        <v>176320.0</v>
      </c>
      <c r="AP30" s="612">
        <v>211584.0</v>
      </c>
      <c r="AQ30" s="612">
        <v>211584.0</v>
      </c>
      <c r="AR30" s="612">
        <v>246848.0</v>
      </c>
      <c r="AS30" s="612">
        <v>246848.0</v>
      </c>
      <c r="AT30" s="612">
        <v>282112.0</v>
      </c>
      <c r="AU30" s="612">
        <v>317376.0</v>
      </c>
      <c r="AV30" s="612">
        <v>317376.0</v>
      </c>
      <c r="AW30" s="612">
        <v>352640.0</v>
      </c>
      <c r="AX30" s="612">
        <v>387904.0</v>
      </c>
      <c r="AY30" s="612">
        <v>387904.0</v>
      </c>
      <c r="AZ30" s="612">
        <v>423168.0</v>
      </c>
      <c r="BA30" s="612">
        <v>423168.0</v>
      </c>
      <c r="BB30" s="612">
        <v>458432.0</v>
      </c>
      <c r="BC30" s="612">
        <v>493696.0</v>
      </c>
      <c r="BD30" s="612">
        <v>493696.0</v>
      </c>
      <c r="BE30" s="612">
        <v>528960.0</v>
      </c>
      <c r="BF30" s="612">
        <v>564224.0</v>
      </c>
      <c r="BG30" s="612">
        <v>564224.0</v>
      </c>
      <c r="BH30" s="612">
        <v>599488.0</v>
      </c>
      <c r="BI30" s="612">
        <v>599488.0</v>
      </c>
      <c r="BJ30" s="612">
        <v>634752.0</v>
      </c>
      <c r="BK30" s="612">
        <v>670016.0</v>
      </c>
      <c r="BL30" s="612">
        <v>670016.0</v>
      </c>
      <c r="BM30" s="612">
        <v>705280.0</v>
      </c>
      <c r="BN30" s="612">
        <v>740544.0</v>
      </c>
      <c r="BO30" s="612">
        <v>740544.0</v>
      </c>
      <c r="BP30" s="612">
        <v>775808.0</v>
      </c>
      <c r="BQ30" s="612">
        <v>775808.0</v>
      </c>
      <c r="BR30" s="612">
        <v>811072.0</v>
      </c>
      <c r="BS30" s="612">
        <v>846336.0</v>
      </c>
      <c r="BT30" s="612">
        <v>846336.0</v>
      </c>
      <c r="BU30" s="612">
        <v>881600.0</v>
      </c>
      <c r="BV30" s="612">
        <v>916864.0</v>
      </c>
      <c r="BW30" s="612">
        <v>916864.0</v>
      </c>
      <c r="BX30" s="612">
        <v>952128.0</v>
      </c>
      <c r="BY30" s="612">
        <v>952128.0</v>
      </c>
      <c r="BZ30" s="612">
        <v>987392.0</v>
      </c>
      <c r="CA30" s="612">
        <v>1022656.0</v>
      </c>
      <c r="CB30" s="612">
        <v>1022656.0</v>
      </c>
      <c r="CC30" s="612">
        <v>1057920.0</v>
      </c>
      <c r="CD30" s="612">
        <v>1093184.0</v>
      </c>
      <c r="CE30" s="612">
        <v>1093184.0</v>
      </c>
      <c r="CF30" s="612">
        <v>1128448.0</v>
      </c>
      <c r="CG30" s="612">
        <v>1128448.0</v>
      </c>
      <c r="CH30" s="612">
        <v>1163712.0</v>
      </c>
      <c r="CI30" s="612">
        <v>1198976.0</v>
      </c>
      <c r="CJ30" s="612">
        <v>1198976.0</v>
      </c>
      <c r="CK30" s="612">
        <v>1198976.0</v>
      </c>
      <c r="CL30" s="612">
        <v>1198976.0</v>
      </c>
      <c r="CM30" s="612">
        <v>1198976.0</v>
      </c>
      <c r="CN30" s="612">
        <v>1198976.0</v>
      </c>
      <c r="CO30" s="612">
        <v>1198976.0</v>
      </c>
      <c r="CP30" s="612">
        <v>1198976.0</v>
      </c>
    </row>
    <row r="31">
      <c r="A31" s="645"/>
      <c r="B31" s="629" t="s">
        <v>363</v>
      </c>
      <c r="C31" s="632" t="b">
        <v>1</v>
      </c>
      <c r="D31" s="633" t="s">
        <v>612</v>
      </c>
      <c r="E31" s="634" t="s">
        <v>494</v>
      </c>
      <c r="F31" s="635" t="s">
        <v>613</v>
      </c>
      <c r="G31" s="646"/>
      <c r="H31" s="646">
        <v>1.0</v>
      </c>
      <c r="I31" s="637">
        <f>24033*1.15</f>
        <v>27637.95</v>
      </c>
      <c r="J31" s="618">
        <f>I31*IF($C$7=TRUE,VLOOKUP(B31,BuffsDebuffs!$P$8:$X$26,MATCH(E31,BuffsDebuffs!$P$8:$X$8,0),FALSE),1)*IF(AND($C$8=TRUE,H31=1),1.0778,1)*VLOOKUP($C$2,'scaling OLD'!$A$2:$H$55,8,False)*IF(K31="-",1,(1/K31*(1+((K31-1)*VLOOKUP($C$2,'scaling OLD'!$A$2:$H$55,4,False)))))*IF(K31="-",1,VLOOKUP($C$2,'scaling OLD'!$A$2:$H$55,5,False))*VLOOKUP($C$2,'scaling OLD'!$A$2:$H$55,6,False)*IF(AND(LEFT(C$2,7)="CE - Cr",B31="Sword"),1.35,1)</f>
        <v>29788.18251</v>
      </c>
      <c r="K31" s="213" t="s">
        <v>349</v>
      </c>
      <c r="L31" s="211">
        <v>6.0</v>
      </c>
      <c r="M31" s="211">
        <v>120.0</v>
      </c>
      <c r="N31" s="211">
        <v>29.0</v>
      </c>
      <c r="O31" s="215">
        <v>1.967</v>
      </c>
      <c r="P31" s="647">
        <f t="shared" si="1"/>
        <v>2.5</v>
      </c>
      <c r="Q31" s="620">
        <f t="shared" si="2"/>
        <v>178729.0951</v>
      </c>
      <c r="R31" s="621">
        <f t="shared" si="3"/>
        <v>19.868</v>
      </c>
      <c r="S31" s="622">
        <f t="shared" si="4"/>
        <v>863857.2928</v>
      </c>
      <c r="T31" s="602">
        <f t="shared" si="5"/>
        <v>714916.3802</v>
      </c>
      <c r="U31" s="623">
        <f t="shared" si="19"/>
        <v>71491.63802</v>
      </c>
      <c r="V31" s="624">
        <f t="shared" si="7"/>
        <v>43479.83153</v>
      </c>
      <c r="W31" s="605">
        <f t="shared" si="8"/>
        <v>44960.46665</v>
      </c>
      <c r="X31" s="606">
        <f t="shared" si="9"/>
        <v>40010.99061</v>
      </c>
      <c r="Y31" s="607">
        <f t="shared" si="10"/>
        <v>4</v>
      </c>
      <c r="Z31" s="608">
        <f t="shared" si="11"/>
        <v>12.132</v>
      </c>
      <c r="AA31" s="608">
        <f t="shared" si="12"/>
        <v>0</v>
      </c>
      <c r="AB31" s="607">
        <f t="shared" si="13"/>
        <v>4</v>
      </c>
      <c r="AC31" s="607">
        <f t="shared" si="14"/>
        <v>714916.3802</v>
      </c>
      <c r="AD31" s="608">
        <f t="shared" si="15"/>
        <v>2.132</v>
      </c>
      <c r="AE31" s="607">
        <f t="shared" si="16"/>
        <v>5</v>
      </c>
      <c r="AF31" s="609">
        <f t="shared" si="17"/>
        <v>148940.9126</v>
      </c>
      <c r="AG31" s="628">
        <f t="shared" si="18"/>
        <v>863857.2928</v>
      </c>
      <c r="AH31" s="611"/>
      <c r="AI31" s="612">
        <v>59576.36502</v>
      </c>
      <c r="AJ31" s="612">
        <v>89364.54753</v>
      </c>
      <c r="AK31" s="612">
        <v>119152.73004</v>
      </c>
      <c r="AL31" s="612">
        <v>148940.91255</v>
      </c>
      <c r="AM31" s="612">
        <v>178729.09506</v>
      </c>
      <c r="AN31" s="612">
        <v>178729.09506</v>
      </c>
      <c r="AO31" s="612">
        <v>178729.09506</v>
      </c>
      <c r="AP31" s="612">
        <v>178729.09506</v>
      </c>
      <c r="AQ31" s="612">
        <v>208517.27756999998</v>
      </c>
      <c r="AR31" s="612">
        <v>238305.46008</v>
      </c>
      <c r="AS31" s="612">
        <v>268093.64259</v>
      </c>
      <c r="AT31" s="612">
        <v>297881.8251</v>
      </c>
      <c r="AU31" s="612">
        <v>327670.00761</v>
      </c>
      <c r="AV31" s="612">
        <v>357458.19012</v>
      </c>
      <c r="AW31" s="612">
        <v>357458.19012</v>
      </c>
      <c r="AX31" s="612">
        <v>357458.19012</v>
      </c>
      <c r="AY31" s="612">
        <v>357458.19012</v>
      </c>
      <c r="AZ31" s="612">
        <v>387246.37263</v>
      </c>
      <c r="BA31" s="612">
        <v>417034.55513999995</v>
      </c>
      <c r="BB31" s="612">
        <v>446822.73764999997</v>
      </c>
      <c r="BC31" s="612">
        <v>476610.92016</v>
      </c>
      <c r="BD31" s="612">
        <v>506399.10267</v>
      </c>
      <c r="BE31" s="612">
        <v>536187.28518</v>
      </c>
      <c r="BF31" s="612">
        <v>536187.28518</v>
      </c>
      <c r="BG31" s="612">
        <v>536187.28518</v>
      </c>
      <c r="BH31" s="612">
        <v>536187.28518</v>
      </c>
      <c r="BI31" s="612">
        <v>565975.46769</v>
      </c>
      <c r="BJ31" s="612">
        <v>595763.6502</v>
      </c>
      <c r="BK31" s="612">
        <v>625551.83271</v>
      </c>
      <c r="BL31" s="612">
        <v>655340.01522</v>
      </c>
      <c r="BM31" s="612">
        <v>685128.19773</v>
      </c>
      <c r="BN31" s="612">
        <v>714916.38024</v>
      </c>
      <c r="BO31" s="612">
        <v>714916.38024</v>
      </c>
      <c r="BP31" s="612">
        <v>714916.38024</v>
      </c>
      <c r="BQ31" s="612">
        <v>714916.38024</v>
      </c>
      <c r="BR31" s="612">
        <v>744704.5627499999</v>
      </c>
      <c r="BS31" s="612">
        <v>774492.74526</v>
      </c>
      <c r="BT31" s="612">
        <v>804280.92777</v>
      </c>
      <c r="BU31" s="612">
        <v>834069.1102799999</v>
      </c>
      <c r="BV31" s="612">
        <v>863857.29279</v>
      </c>
      <c r="BW31" s="612">
        <v>863857.29279</v>
      </c>
      <c r="BX31" s="612">
        <v>863857.29279</v>
      </c>
      <c r="BY31" s="612">
        <v>863857.29279</v>
      </c>
      <c r="BZ31" s="612">
        <v>863857.29279</v>
      </c>
      <c r="CA31" s="612">
        <v>863857.29279</v>
      </c>
      <c r="CB31" s="612">
        <v>863857.29279</v>
      </c>
      <c r="CC31" s="612">
        <v>863857.29279</v>
      </c>
      <c r="CD31" s="612">
        <v>863857.29279</v>
      </c>
      <c r="CE31" s="612">
        <v>863857.29279</v>
      </c>
      <c r="CF31" s="612">
        <v>863857.29279</v>
      </c>
      <c r="CG31" s="612">
        <v>863857.29279</v>
      </c>
      <c r="CH31" s="612">
        <v>863857.29279</v>
      </c>
      <c r="CI31" s="612">
        <v>863857.29279</v>
      </c>
      <c r="CJ31" s="612">
        <v>863857.29279</v>
      </c>
      <c r="CK31" s="612">
        <v>863857.29279</v>
      </c>
      <c r="CL31" s="612">
        <v>863857.29279</v>
      </c>
      <c r="CM31" s="612">
        <v>863857.29279</v>
      </c>
      <c r="CN31" s="612">
        <v>863857.29279</v>
      </c>
      <c r="CO31" s="612">
        <v>863857.29279</v>
      </c>
      <c r="CP31" s="612">
        <v>863857.29279</v>
      </c>
    </row>
    <row r="32">
      <c r="A32" s="645"/>
      <c r="B32" s="629" t="s">
        <v>407</v>
      </c>
      <c r="C32" s="614" t="b">
        <v>0</v>
      </c>
      <c r="D32" s="589" t="s">
        <v>614</v>
      </c>
      <c r="E32" s="615" t="s">
        <v>494</v>
      </c>
      <c r="F32" s="616" t="s">
        <v>615</v>
      </c>
      <c r="G32" s="625">
        <v>1.0</v>
      </c>
      <c r="H32" s="625"/>
      <c r="I32" s="637">
        <v>23212.0</v>
      </c>
      <c r="J32" s="594">
        <f>I32*IF($C$7=TRUE,VLOOKUP(B32,BuffsDebuffs!$P$8:$X$26,MATCH(E32,BuffsDebuffs!$P$8:$X$8,0),FALSE),1)*IF(AND($C$8=TRUE,H32=1),1.0778,1)*VLOOKUP($C$2,'scaling OLD'!$A$2:$H$55,8,False)*IF(K32="-",1,(1/K32*(1+((K32-1)*VLOOKUP($C$2,'scaling OLD'!$A$2:$H$55,4,False)))))*IF(K32="-",1,VLOOKUP($C$2,'scaling OLD'!$A$2:$H$55,5,False))*VLOOKUP($C$2,'scaling OLD'!$A$2:$H$55,6,False)*IF(AND(LEFT(C$2,7)="CE - Cr",B32="Sword"),1.35,1)</f>
        <v>23212</v>
      </c>
      <c r="K32" s="213">
        <v>4.52</v>
      </c>
      <c r="L32" s="211">
        <v>7.0</v>
      </c>
      <c r="M32" s="211">
        <v>140.0</v>
      </c>
      <c r="N32" s="211">
        <v>37.0</v>
      </c>
      <c r="O32" s="215">
        <v>1.517</v>
      </c>
      <c r="P32" s="638">
        <f t="shared" si="1"/>
        <v>2.571428571</v>
      </c>
      <c r="Q32" s="599">
        <f t="shared" si="2"/>
        <v>162484</v>
      </c>
      <c r="R32" s="600">
        <f t="shared" si="3"/>
        <v>20.87071429</v>
      </c>
      <c r="S32" s="622">
        <f t="shared" si="4"/>
        <v>858844</v>
      </c>
      <c r="T32" s="602">
        <f t="shared" si="5"/>
        <v>812420</v>
      </c>
      <c r="U32" s="623">
        <f t="shared" si="19"/>
        <v>63188.22222</v>
      </c>
      <c r="V32" s="624">
        <f t="shared" si="7"/>
        <v>41150.67593</v>
      </c>
      <c r="W32" s="605">
        <f t="shared" si="8"/>
        <v>42928.07754</v>
      </c>
      <c r="X32" s="606">
        <f t="shared" si="9"/>
        <v>39742.40889</v>
      </c>
      <c r="Y32" s="607">
        <f t="shared" si="10"/>
        <v>4</v>
      </c>
      <c r="Z32" s="608">
        <f t="shared" si="11"/>
        <v>13.932</v>
      </c>
      <c r="AA32" s="608">
        <f t="shared" si="12"/>
        <v>1.074857143</v>
      </c>
      <c r="AB32" s="607">
        <f t="shared" si="13"/>
        <v>5</v>
      </c>
      <c r="AC32" s="607">
        <f t="shared" si="14"/>
        <v>812420</v>
      </c>
      <c r="AD32" s="608">
        <f t="shared" si="15"/>
        <v>0</v>
      </c>
      <c r="AE32" s="607">
        <f t="shared" si="16"/>
        <v>0</v>
      </c>
      <c r="AF32" s="609">
        <f t="shared" si="17"/>
        <v>0</v>
      </c>
      <c r="AG32" s="628">
        <f t="shared" si="18"/>
        <v>812420</v>
      </c>
      <c r="AH32" s="611"/>
      <c r="AI32" s="612">
        <v>43574.0</v>
      </c>
      <c r="AJ32" s="612">
        <v>65361.0</v>
      </c>
      <c r="AK32" s="612">
        <v>87148.0</v>
      </c>
      <c r="AL32" s="612">
        <v>108935.0</v>
      </c>
      <c r="AM32" s="612">
        <v>130722.0</v>
      </c>
      <c r="AN32" s="612">
        <v>152509.0</v>
      </c>
      <c r="AO32" s="612">
        <v>152509.0</v>
      </c>
      <c r="AP32" s="612">
        <v>152509.0</v>
      </c>
      <c r="AQ32" s="612">
        <v>174296.0</v>
      </c>
      <c r="AR32" s="612">
        <v>217870.0</v>
      </c>
      <c r="AS32" s="612">
        <v>239657.0</v>
      </c>
      <c r="AT32" s="612">
        <v>261444.0</v>
      </c>
      <c r="AU32" s="612">
        <v>283231.0</v>
      </c>
      <c r="AV32" s="612">
        <v>305018.0</v>
      </c>
      <c r="AW32" s="612">
        <v>305018.0</v>
      </c>
      <c r="AX32" s="612">
        <v>305018.0</v>
      </c>
      <c r="AY32" s="612">
        <v>326805.0</v>
      </c>
      <c r="AZ32" s="612">
        <v>348592.0</v>
      </c>
      <c r="BA32" s="612">
        <v>392166.0</v>
      </c>
      <c r="BB32" s="612">
        <v>413953.0</v>
      </c>
      <c r="BC32" s="612">
        <v>435740.0</v>
      </c>
      <c r="BD32" s="612">
        <v>457527.0</v>
      </c>
      <c r="BE32" s="612">
        <v>457527.0</v>
      </c>
      <c r="BF32" s="612">
        <v>457527.0</v>
      </c>
      <c r="BG32" s="612">
        <v>479314.0</v>
      </c>
      <c r="BH32" s="612">
        <v>501101.0</v>
      </c>
      <c r="BI32" s="612">
        <v>522888.0</v>
      </c>
      <c r="BJ32" s="612">
        <v>566462.0</v>
      </c>
      <c r="BK32" s="612">
        <v>588249.0</v>
      </c>
      <c r="BL32" s="612">
        <v>610036.0</v>
      </c>
      <c r="BM32" s="612">
        <v>610036.0</v>
      </c>
      <c r="BN32" s="612">
        <v>610036.0</v>
      </c>
      <c r="BO32" s="612">
        <v>631823.0</v>
      </c>
      <c r="BP32" s="612">
        <v>653610.0</v>
      </c>
      <c r="BQ32" s="612">
        <v>675397.0</v>
      </c>
      <c r="BR32" s="612">
        <v>697184.0</v>
      </c>
      <c r="BS32" s="612">
        <v>740758.0</v>
      </c>
      <c r="BT32" s="612">
        <v>762545.0</v>
      </c>
      <c r="BU32" s="612">
        <v>762545.0</v>
      </c>
      <c r="BV32" s="612">
        <v>762545.0</v>
      </c>
      <c r="BW32" s="612">
        <v>784332.0</v>
      </c>
      <c r="BX32" s="612">
        <v>806119.0</v>
      </c>
      <c r="BY32" s="612">
        <v>806119.0</v>
      </c>
      <c r="BZ32" s="612">
        <v>806119.0</v>
      </c>
      <c r="CA32" s="612">
        <v>806119.0</v>
      </c>
      <c r="CB32" s="612">
        <v>806119.0</v>
      </c>
      <c r="CC32" s="612">
        <v>806119.0</v>
      </c>
      <c r="CD32" s="612">
        <v>806119.0</v>
      </c>
      <c r="CE32" s="612">
        <v>806119.0</v>
      </c>
      <c r="CF32" s="612">
        <v>806119.0</v>
      </c>
      <c r="CG32" s="612">
        <v>806119.0</v>
      </c>
      <c r="CH32" s="612">
        <v>806119.0</v>
      </c>
      <c r="CI32" s="612">
        <v>806119.0</v>
      </c>
      <c r="CJ32" s="612">
        <v>806119.0</v>
      </c>
      <c r="CK32" s="612">
        <v>806119.0</v>
      </c>
      <c r="CL32" s="612">
        <v>806119.0</v>
      </c>
      <c r="CM32" s="612">
        <v>806119.0</v>
      </c>
      <c r="CN32" s="612">
        <v>806119.0</v>
      </c>
      <c r="CO32" s="612">
        <v>806119.0</v>
      </c>
      <c r="CP32" s="612">
        <v>806119.0</v>
      </c>
    </row>
    <row r="33">
      <c r="A33" s="645"/>
      <c r="B33" s="629" t="s">
        <v>384</v>
      </c>
      <c r="C33" s="614" t="b">
        <v>0</v>
      </c>
      <c r="D33" s="589" t="s">
        <v>616</v>
      </c>
      <c r="E33" s="615" t="s">
        <v>497</v>
      </c>
      <c r="F33" s="616" t="s">
        <v>617</v>
      </c>
      <c r="G33" s="625">
        <v>1.0</v>
      </c>
      <c r="H33" s="625"/>
      <c r="I33" s="617">
        <f>19356*1.07</f>
        <v>20710.92</v>
      </c>
      <c r="J33" s="618">
        <f>I33*IF($C$7=TRUE,VLOOKUP(B33,BuffsDebuffs!$P$8:$X$26,MATCH(E33,BuffsDebuffs!$P$8:$X$8,0),FALSE),1)*IF(AND($C$8=TRUE,H33=1),1.0778,1)*VLOOKUP($C$2,'scaling OLD'!$A$2:$H$55,8,False)*IF(K33="-",1,(1/K33*(1+((K33-1)*VLOOKUP($C$2,'scaling OLD'!$A$2:$H$55,4,False)))))*IF(K33="-",1,VLOOKUP($C$2,'scaling OLD'!$A$2:$H$55,5,False))*VLOOKUP($C$2,'scaling OLD'!$A$2:$H$55,6,False)*IF(AND(LEFT(C$2,7)="CE - Cr",B33="Sword"),1.35,1)</f>
        <v>20710.92</v>
      </c>
      <c r="K33" s="186" t="s">
        <v>349</v>
      </c>
      <c r="L33" s="184">
        <v>34.0</v>
      </c>
      <c r="M33" s="184">
        <v>120.0</v>
      </c>
      <c r="N33" s="184">
        <v>34.0</v>
      </c>
      <c r="O33" s="188">
        <v>3.034</v>
      </c>
      <c r="P33" s="647">
        <f t="shared" si="1"/>
        <v>16.5</v>
      </c>
      <c r="Q33" s="620">
        <f t="shared" si="2"/>
        <v>704171.28</v>
      </c>
      <c r="R33" s="621">
        <f t="shared" si="3"/>
        <v>16.5</v>
      </c>
      <c r="S33" s="622">
        <f t="shared" si="4"/>
        <v>704171.28</v>
      </c>
      <c r="T33" s="602">
        <f t="shared" si="5"/>
        <v>704171.28</v>
      </c>
      <c r="U33" s="623">
        <f t="shared" si="19"/>
        <v>42677.04727</v>
      </c>
      <c r="V33" s="624">
        <f t="shared" si="7"/>
        <v>42677.04727</v>
      </c>
      <c r="W33" s="605">
        <f t="shared" si="8"/>
        <v>42677.04727</v>
      </c>
      <c r="X33" s="606">
        <f t="shared" si="9"/>
        <v>42677.04727</v>
      </c>
      <c r="Y33" s="607">
        <f t="shared" si="10"/>
        <v>1</v>
      </c>
      <c r="Z33" s="608">
        <f t="shared" si="11"/>
        <v>16.966</v>
      </c>
      <c r="AA33" s="608">
        <f t="shared" si="12"/>
        <v>0</v>
      </c>
      <c r="AB33" s="607">
        <f t="shared" si="13"/>
        <v>1</v>
      </c>
      <c r="AC33" s="607">
        <f t="shared" si="14"/>
        <v>704171.28</v>
      </c>
      <c r="AD33" s="608">
        <f t="shared" si="15"/>
        <v>0.466</v>
      </c>
      <c r="AE33" s="607">
        <f t="shared" si="16"/>
        <v>1</v>
      </c>
      <c r="AF33" s="609">
        <f t="shared" si="17"/>
        <v>20710.92</v>
      </c>
      <c r="AG33" s="628">
        <f t="shared" si="18"/>
        <v>704171.28</v>
      </c>
      <c r="AH33" s="611"/>
      <c r="AI33" s="612">
        <v>38712.0</v>
      </c>
      <c r="AJ33" s="612">
        <v>58068.0</v>
      </c>
      <c r="AK33" s="612">
        <v>77424.0</v>
      </c>
      <c r="AL33" s="612">
        <v>96780.0</v>
      </c>
      <c r="AM33" s="612">
        <v>116136.0</v>
      </c>
      <c r="AN33" s="612">
        <v>135492.0</v>
      </c>
      <c r="AO33" s="612">
        <v>154848.0</v>
      </c>
      <c r="AP33" s="612">
        <v>174204.0</v>
      </c>
      <c r="AQ33" s="612">
        <v>193560.0</v>
      </c>
      <c r="AR33" s="612">
        <v>212916.0</v>
      </c>
      <c r="AS33" s="612">
        <v>232272.0</v>
      </c>
      <c r="AT33" s="612">
        <v>251628.0</v>
      </c>
      <c r="AU33" s="612">
        <v>270984.0</v>
      </c>
      <c r="AV33" s="612">
        <v>290340.0</v>
      </c>
      <c r="AW33" s="612">
        <v>309696.0</v>
      </c>
      <c r="AX33" s="612">
        <v>329052.0</v>
      </c>
      <c r="AY33" s="612">
        <v>348408.0</v>
      </c>
      <c r="AZ33" s="612">
        <v>367764.0</v>
      </c>
      <c r="BA33" s="612">
        <v>387120.0</v>
      </c>
      <c r="BB33" s="612">
        <v>406476.0</v>
      </c>
      <c r="BC33" s="612">
        <v>425832.0</v>
      </c>
      <c r="BD33" s="612">
        <v>445188.0</v>
      </c>
      <c r="BE33" s="612">
        <v>464544.0</v>
      </c>
      <c r="BF33" s="612">
        <v>483900.0</v>
      </c>
      <c r="BG33" s="612">
        <v>503256.0</v>
      </c>
      <c r="BH33" s="612">
        <v>522612.0</v>
      </c>
      <c r="BI33" s="612">
        <v>541968.0</v>
      </c>
      <c r="BJ33" s="612">
        <v>561324.0</v>
      </c>
      <c r="BK33" s="612">
        <v>580680.0</v>
      </c>
      <c r="BL33" s="612">
        <v>600036.0</v>
      </c>
      <c r="BM33" s="612">
        <v>619392.0</v>
      </c>
      <c r="BN33" s="612">
        <v>638748.0</v>
      </c>
      <c r="BO33" s="612">
        <v>658104.0</v>
      </c>
      <c r="BP33" s="612">
        <v>658104.0</v>
      </c>
      <c r="BQ33" s="612">
        <v>658104.0</v>
      </c>
      <c r="BR33" s="612">
        <v>658104.0</v>
      </c>
      <c r="BS33" s="612">
        <v>658104.0</v>
      </c>
      <c r="BT33" s="612">
        <v>658104.0</v>
      </c>
      <c r="BU33" s="612">
        <v>658104.0</v>
      </c>
      <c r="BV33" s="612">
        <v>658104.0</v>
      </c>
      <c r="BW33" s="612">
        <v>658104.0</v>
      </c>
      <c r="BX33" s="612">
        <v>658104.0</v>
      </c>
      <c r="BY33" s="612">
        <v>658104.0</v>
      </c>
      <c r="BZ33" s="612">
        <v>658104.0</v>
      </c>
      <c r="CA33" s="612">
        <v>658104.0</v>
      </c>
      <c r="CB33" s="612">
        <v>658104.0</v>
      </c>
      <c r="CC33" s="612">
        <v>658104.0</v>
      </c>
      <c r="CD33" s="612">
        <v>658104.0</v>
      </c>
      <c r="CE33" s="612">
        <v>658104.0</v>
      </c>
      <c r="CF33" s="612">
        <v>658104.0</v>
      </c>
      <c r="CG33" s="612">
        <v>658104.0</v>
      </c>
      <c r="CH33" s="612">
        <v>658104.0</v>
      </c>
      <c r="CI33" s="612">
        <v>658104.0</v>
      </c>
      <c r="CJ33" s="612">
        <v>658104.0</v>
      </c>
      <c r="CK33" s="612">
        <v>658104.0</v>
      </c>
      <c r="CL33" s="612">
        <v>658104.0</v>
      </c>
      <c r="CM33" s="612">
        <v>658104.0</v>
      </c>
      <c r="CN33" s="612">
        <v>658104.0</v>
      </c>
      <c r="CO33" s="612">
        <v>658104.0</v>
      </c>
      <c r="CP33" s="612">
        <v>658104.0</v>
      </c>
    </row>
    <row r="34">
      <c r="A34" s="645"/>
      <c r="B34" s="629" t="s">
        <v>363</v>
      </c>
      <c r="C34" s="614" t="b">
        <v>0</v>
      </c>
      <c r="D34" s="589" t="s">
        <v>618</v>
      </c>
      <c r="E34" s="615" t="s">
        <v>494</v>
      </c>
      <c r="F34" s="616" t="s">
        <v>602</v>
      </c>
      <c r="G34" s="625">
        <v>1.0</v>
      </c>
      <c r="H34" s="625"/>
      <c r="I34" s="617">
        <v>21151.0</v>
      </c>
      <c r="J34" s="594">
        <f>I34*IF($C$7=TRUE,VLOOKUP(B34,BuffsDebuffs!$P$8:$X$26,MATCH(E34,BuffsDebuffs!$P$8:$X$8,0),FALSE),1)*IF(AND($C$8=TRUE,H34=1),1.0778,1)*VLOOKUP($C$2,'scaling OLD'!$A$2:$H$55,8,False)*IF(K34="-",1,(1/K34*(1+((K34-1)*VLOOKUP($C$2,'scaling OLD'!$A$2:$H$55,4,False)))))*IF(K34="-",1,VLOOKUP($C$2,'scaling OLD'!$A$2:$H$55,5,False))*VLOOKUP($C$2,'scaling OLD'!$A$2:$H$55,6,False)*IF(AND(LEFT(C$2,7)="CE - Cr",B34="Sword"),1.35,1)</f>
        <v>21151</v>
      </c>
      <c r="K34" s="186" t="s">
        <v>349</v>
      </c>
      <c r="L34" s="184">
        <v>8.0</v>
      </c>
      <c r="M34" s="184">
        <v>165.0</v>
      </c>
      <c r="N34" s="184">
        <v>35.0</v>
      </c>
      <c r="O34" s="188">
        <v>1.967</v>
      </c>
      <c r="P34" s="638">
        <f t="shared" si="1"/>
        <v>2.545454545</v>
      </c>
      <c r="Q34" s="599">
        <f t="shared" si="2"/>
        <v>169208</v>
      </c>
      <c r="R34" s="600">
        <f t="shared" si="3"/>
        <v>18.77709091</v>
      </c>
      <c r="S34" s="622">
        <f t="shared" si="4"/>
        <v>740285</v>
      </c>
      <c r="T34" s="602">
        <f t="shared" si="5"/>
        <v>676832</v>
      </c>
      <c r="U34" s="623">
        <f t="shared" si="19"/>
        <v>66474.57143</v>
      </c>
      <c r="V34" s="624">
        <f t="shared" si="7"/>
        <v>39424.90365</v>
      </c>
      <c r="W34" s="605">
        <f t="shared" si="8"/>
        <v>42084.16661</v>
      </c>
      <c r="X34" s="606">
        <f t="shared" si="9"/>
        <v>37497.99545</v>
      </c>
      <c r="Y34" s="607">
        <f t="shared" si="10"/>
        <v>4</v>
      </c>
      <c r="Z34" s="608">
        <f t="shared" si="11"/>
        <v>12.132</v>
      </c>
      <c r="AA34" s="608">
        <f t="shared" si="12"/>
        <v>0</v>
      </c>
      <c r="AB34" s="607">
        <f t="shared" si="13"/>
        <v>4</v>
      </c>
      <c r="AC34" s="607">
        <f t="shared" si="14"/>
        <v>676832</v>
      </c>
      <c r="AD34" s="608">
        <f t="shared" si="15"/>
        <v>1.950181818</v>
      </c>
      <c r="AE34" s="607">
        <f t="shared" si="16"/>
        <v>6</v>
      </c>
      <c r="AF34" s="609">
        <f t="shared" si="17"/>
        <v>126906</v>
      </c>
      <c r="AG34" s="628">
        <f t="shared" si="18"/>
        <v>740285</v>
      </c>
      <c r="AH34" s="611"/>
      <c r="AI34" s="612">
        <v>42302.0</v>
      </c>
      <c r="AJ34" s="612">
        <v>63453.0</v>
      </c>
      <c r="AK34" s="612">
        <v>105755.0</v>
      </c>
      <c r="AL34" s="612">
        <v>126906.0</v>
      </c>
      <c r="AM34" s="612">
        <v>148057.0</v>
      </c>
      <c r="AN34" s="612">
        <v>169208.0</v>
      </c>
      <c r="AO34" s="612">
        <v>169208.0</v>
      </c>
      <c r="AP34" s="612">
        <v>169208.0</v>
      </c>
      <c r="AQ34" s="612">
        <v>169208.0</v>
      </c>
      <c r="AR34" s="612">
        <v>211510.0</v>
      </c>
      <c r="AS34" s="612">
        <v>232661.0</v>
      </c>
      <c r="AT34" s="612">
        <v>274963.0</v>
      </c>
      <c r="AU34" s="612">
        <v>296114.0</v>
      </c>
      <c r="AV34" s="612">
        <v>317265.0</v>
      </c>
      <c r="AW34" s="612">
        <v>338416.0</v>
      </c>
      <c r="AX34" s="612">
        <v>338416.0</v>
      </c>
      <c r="AY34" s="612">
        <v>338416.0</v>
      </c>
      <c r="AZ34" s="612">
        <v>338416.0</v>
      </c>
      <c r="BA34" s="612">
        <v>380718.0</v>
      </c>
      <c r="BB34" s="612">
        <v>401869.0</v>
      </c>
      <c r="BC34" s="612">
        <v>444171.0</v>
      </c>
      <c r="BD34" s="612">
        <v>465322.0</v>
      </c>
      <c r="BE34" s="612">
        <v>486473.0</v>
      </c>
      <c r="BF34" s="612">
        <v>507624.0</v>
      </c>
      <c r="BG34" s="612">
        <v>507624.0</v>
      </c>
      <c r="BH34" s="612">
        <v>507624.0</v>
      </c>
      <c r="BI34" s="612">
        <v>507624.0</v>
      </c>
      <c r="BJ34" s="612">
        <v>549926.0</v>
      </c>
      <c r="BK34" s="612">
        <v>571077.0</v>
      </c>
      <c r="BL34" s="612">
        <v>613379.0</v>
      </c>
      <c r="BM34" s="612">
        <v>634530.0</v>
      </c>
      <c r="BN34" s="612">
        <v>655681.0</v>
      </c>
      <c r="BO34" s="612">
        <v>676832.0</v>
      </c>
      <c r="BP34" s="612">
        <v>676832.0</v>
      </c>
      <c r="BQ34" s="612">
        <v>676832.0</v>
      </c>
      <c r="BR34" s="612">
        <v>676832.0</v>
      </c>
      <c r="BS34" s="612">
        <v>719134.0</v>
      </c>
      <c r="BT34" s="612">
        <v>740285.0</v>
      </c>
      <c r="BU34" s="612">
        <v>740285.0</v>
      </c>
      <c r="BV34" s="612">
        <v>740285.0</v>
      </c>
      <c r="BW34" s="612">
        <v>740285.0</v>
      </c>
      <c r="BX34" s="612">
        <v>740285.0</v>
      </c>
      <c r="BY34" s="612">
        <v>740285.0</v>
      </c>
      <c r="BZ34" s="612">
        <v>740285.0</v>
      </c>
      <c r="CA34" s="612">
        <v>740285.0</v>
      </c>
      <c r="CB34" s="612">
        <v>740285.0</v>
      </c>
      <c r="CC34" s="612">
        <v>740285.0</v>
      </c>
      <c r="CD34" s="612">
        <v>740285.0</v>
      </c>
      <c r="CE34" s="612">
        <v>740285.0</v>
      </c>
      <c r="CF34" s="612">
        <v>740285.0</v>
      </c>
      <c r="CG34" s="612">
        <v>740285.0</v>
      </c>
      <c r="CH34" s="612">
        <v>740285.0</v>
      </c>
      <c r="CI34" s="612">
        <v>740285.0</v>
      </c>
      <c r="CJ34" s="612">
        <v>740285.0</v>
      </c>
      <c r="CK34" s="612">
        <v>740285.0</v>
      </c>
      <c r="CL34" s="612">
        <v>740285.0</v>
      </c>
      <c r="CM34" s="612">
        <v>740285.0</v>
      </c>
      <c r="CN34" s="612">
        <v>740285.0</v>
      </c>
      <c r="CO34" s="612">
        <v>740285.0</v>
      </c>
      <c r="CP34" s="612">
        <v>740285.0</v>
      </c>
    </row>
    <row r="35">
      <c r="A35" s="645"/>
      <c r="B35" s="629" t="s">
        <v>345</v>
      </c>
      <c r="C35" s="614" t="b">
        <v>0</v>
      </c>
      <c r="D35" s="589" t="s">
        <v>619</v>
      </c>
      <c r="E35" s="615" t="s">
        <v>497</v>
      </c>
      <c r="F35" s="616" t="s">
        <v>620</v>
      </c>
      <c r="G35" s="648">
        <v>1.0</v>
      </c>
      <c r="H35" s="625"/>
      <c r="I35" s="637">
        <v>83203.0</v>
      </c>
      <c r="J35" s="618">
        <f>I35*IF($C$7=TRUE,VLOOKUP(B35,BuffsDebuffs!$P$8:$X$26,MATCH(E35,BuffsDebuffs!$P$8:$X$8,0),FALSE),1)*IF(AND($C$8=TRUE,H35=1),1.0778,1)*VLOOKUP($C$2,'scaling OLD'!$A$2:$H$55,8,False)*IF(K35="-",1,(1/K35*(1+((K35-1)*VLOOKUP($C$2,'scaling OLD'!$A$2:$H$55,4,False)))))*IF(K35="-",1,VLOOKUP($C$2,'scaling OLD'!$A$2:$H$55,5,False))*VLOOKUP($C$2,'scaling OLD'!$A$2:$H$55,6,False)*IF(AND(LEFT(C$2,7)="CE - Cr",B35="Sword"),1.35,1)</f>
        <v>83203</v>
      </c>
      <c r="K35" s="213" t="s">
        <v>349</v>
      </c>
      <c r="L35" s="211">
        <v>4.0</v>
      </c>
      <c r="M35" s="211">
        <v>33.0</v>
      </c>
      <c r="N35" s="211">
        <v>12.0</v>
      </c>
      <c r="O35" s="215">
        <v>3.7</v>
      </c>
      <c r="P35" s="647">
        <f t="shared" si="1"/>
        <v>5.454545455</v>
      </c>
      <c r="Q35" s="620">
        <f t="shared" si="2"/>
        <v>332812</v>
      </c>
      <c r="R35" s="621">
        <f t="shared" si="3"/>
        <v>23.76363636</v>
      </c>
      <c r="S35" s="622">
        <f t="shared" si="4"/>
        <v>998436</v>
      </c>
      <c r="T35" s="602">
        <f t="shared" si="5"/>
        <v>998436</v>
      </c>
      <c r="U35" s="623">
        <f t="shared" si="19"/>
        <v>61015.53333</v>
      </c>
      <c r="V35" s="624">
        <f t="shared" si="7"/>
        <v>42015.28692</v>
      </c>
      <c r="W35" s="605">
        <f t="shared" si="8"/>
        <v>42015.28692</v>
      </c>
      <c r="X35" s="606">
        <f t="shared" si="9"/>
        <v>36354.83615</v>
      </c>
      <c r="Y35" s="607">
        <f t="shared" si="10"/>
        <v>2</v>
      </c>
      <c r="Z35" s="608">
        <f t="shared" si="11"/>
        <v>12.6</v>
      </c>
      <c r="AA35" s="608">
        <f t="shared" si="12"/>
        <v>0</v>
      </c>
      <c r="AB35" s="607">
        <f t="shared" si="13"/>
        <v>2</v>
      </c>
      <c r="AC35" s="607">
        <f t="shared" si="14"/>
        <v>665624</v>
      </c>
      <c r="AD35" s="608">
        <f t="shared" si="15"/>
        <v>1.690909091</v>
      </c>
      <c r="AE35" s="607">
        <f t="shared" si="16"/>
        <v>1</v>
      </c>
      <c r="AF35" s="609">
        <f t="shared" si="17"/>
        <v>83203</v>
      </c>
      <c r="AG35" s="628">
        <f t="shared" si="18"/>
        <v>748827</v>
      </c>
      <c r="AH35" s="611"/>
      <c r="AI35" s="612">
        <v>83203.0</v>
      </c>
      <c r="AJ35" s="612">
        <v>83203.0</v>
      </c>
      <c r="AK35" s="612">
        <v>83203.0</v>
      </c>
      <c r="AL35" s="612">
        <v>166406.0</v>
      </c>
      <c r="AM35" s="612">
        <v>166406.0</v>
      </c>
      <c r="AN35" s="612">
        <v>166406.0</v>
      </c>
      <c r="AO35" s="612">
        <v>166406.0</v>
      </c>
      <c r="AP35" s="612">
        <v>249609.0</v>
      </c>
      <c r="AQ35" s="612">
        <v>249609.0</v>
      </c>
      <c r="AR35" s="612">
        <v>249609.0</v>
      </c>
      <c r="AS35" s="612">
        <v>332812.0</v>
      </c>
      <c r="AT35" s="612">
        <v>332812.0</v>
      </c>
      <c r="AU35" s="612">
        <v>332812.0</v>
      </c>
      <c r="AV35" s="612">
        <v>332812.0</v>
      </c>
      <c r="AW35" s="612">
        <v>332812.0</v>
      </c>
      <c r="AX35" s="612">
        <v>332812.0</v>
      </c>
      <c r="AY35" s="612">
        <v>332812.0</v>
      </c>
      <c r="AZ35" s="612">
        <v>332812.0</v>
      </c>
      <c r="BA35" s="612">
        <v>416015.0</v>
      </c>
      <c r="BB35" s="612">
        <v>416015.0</v>
      </c>
      <c r="BC35" s="612">
        <v>416015.0</v>
      </c>
      <c r="BD35" s="612">
        <v>499218.0</v>
      </c>
      <c r="BE35" s="612">
        <v>499218.0</v>
      </c>
      <c r="BF35" s="612">
        <v>499218.0</v>
      </c>
      <c r="BG35" s="612">
        <v>499218.0</v>
      </c>
      <c r="BH35" s="612">
        <v>582421.0</v>
      </c>
      <c r="BI35" s="612">
        <v>582421.0</v>
      </c>
      <c r="BJ35" s="612">
        <v>582421.0</v>
      </c>
      <c r="BK35" s="612">
        <v>582421.0</v>
      </c>
      <c r="BL35" s="612">
        <v>665624.0</v>
      </c>
      <c r="BM35" s="612">
        <v>665624.0</v>
      </c>
      <c r="BN35" s="612">
        <v>665624.0</v>
      </c>
      <c r="BO35" s="612">
        <v>665624.0</v>
      </c>
      <c r="BP35" s="612">
        <v>665624.0</v>
      </c>
      <c r="BQ35" s="612">
        <v>665624.0</v>
      </c>
      <c r="BR35" s="612">
        <v>665624.0</v>
      </c>
      <c r="BS35" s="612">
        <v>748827.0</v>
      </c>
      <c r="BT35" s="612">
        <v>748827.0</v>
      </c>
      <c r="BU35" s="612">
        <v>748827.0</v>
      </c>
      <c r="BV35" s="612">
        <v>748827.0</v>
      </c>
      <c r="BW35" s="612">
        <v>832030.0</v>
      </c>
      <c r="BX35" s="612">
        <v>832030.0</v>
      </c>
      <c r="BY35" s="612">
        <v>832030.0</v>
      </c>
      <c r="BZ35" s="612">
        <v>915233.0</v>
      </c>
      <c r="CA35" s="612">
        <v>915233.0</v>
      </c>
      <c r="CB35" s="612">
        <v>915233.0</v>
      </c>
      <c r="CC35" s="612">
        <v>915233.0</v>
      </c>
      <c r="CD35" s="612">
        <v>998436.0</v>
      </c>
      <c r="CE35" s="612">
        <v>998436.0</v>
      </c>
      <c r="CF35" s="612">
        <v>998436.0</v>
      </c>
      <c r="CG35" s="612">
        <v>998436.0</v>
      </c>
      <c r="CH35" s="612">
        <v>998436.0</v>
      </c>
      <c r="CI35" s="612">
        <v>998436.0</v>
      </c>
      <c r="CJ35" s="612">
        <v>998436.0</v>
      </c>
      <c r="CK35" s="612">
        <v>998436.0</v>
      </c>
      <c r="CL35" s="612">
        <v>998436.0</v>
      </c>
      <c r="CM35" s="612">
        <v>998436.0</v>
      </c>
      <c r="CN35" s="612">
        <v>998436.0</v>
      </c>
      <c r="CO35" s="612">
        <v>998436.0</v>
      </c>
      <c r="CP35" s="612">
        <v>998436.0</v>
      </c>
    </row>
    <row r="36">
      <c r="A36" s="645"/>
      <c r="B36" s="629" t="s">
        <v>389</v>
      </c>
      <c r="C36" s="614" t="b">
        <v>0</v>
      </c>
      <c r="D36" s="589" t="s">
        <v>621</v>
      </c>
      <c r="E36" s="615" t="s">
        <v>500</v>
      </c>
      <c r="F36" s="649" t="s">
        <v>622</v>
      </c>
      <c r="G36" s="648">
        <v>1.0</v>
      </c>
      <c r="H36" s="648"/>
      <c r="I36" s="617">
        <v>102970.0</v>
      </c>
      <c r="J36" s="594">
        <f>I36*IF($C$7=TRUE,VLOOKUP(B36,BuffsDebuffs!$P$8:$X$26,MATCH(E36,BuffsDebuffs!$P$8:$X$8,0),FALSE),1)*IF(AND($C$8=TRUE,H36=1),1.0778,1)*VLOOKUP($C$2,'scaling OLD'!$A$2:$H$55,8,False)*IF(K36="-",1,(1/K36*(1+((K36-1)*VLOOKUP($C$2,'scaling OLD'!$A$2:$H$55,4,False)))))*IF(K36="-",1,VLOOKUP($C$2,'scaling OLD'!$A$2:$H$55,5,False))*VLOOKUP($C$2,'scaling OLD'!$A$2:$H$55,6,False)*IF(AND(LEFT(C$2,7)="CE - Cr",B36="Sword"),1.35,1)</f>
        <v>102970</v>
      </c>
      <c r="K36" s="186" t="s">
        <v>349</v>
      </c>
      <c r="L36" s="184">
        <v>1.0</v>
      </c>
      <c r="M36" s="184">
        <v>15.0</v>
      </c>
      <c r="N36" s="184">
        <v>11.0</v>
      </c>
      <c r="O36" s="188">
        <v>2.784</v>
      </c>
      <c r="P36" s="638">
        <f t="shared" si="1"/>
        <v>0</v>
      </c>
      <c r="Q36" s="599">
        <f t="shared" si="2"/>
        <v>102970</v>
      </c>
      <c r="R36" s="600">
        <f t="shared" si="3"/>
        <v>27.84</v>
      </c>
      <c r="S36" s="622">
        <f t="shared" si="4"/>
        <v>1132670</v>
      </c>
      <c r="T36" s="602">
        <f t="shared" si="5"/>
        <v>1132670</v>
      </c>
      <c r="U36" s="623" t="str">
        <f t="shared" si="19"/>
        <v>-</v>
      </c>
      <c r="V36" s="624">
        <f t="shared" si="7"/>
        <v>40684.98563</v>
      </c>
      <c r="W36" s="605">
        <f t="shared" si="8"/>
        <v>40684.98563</v>
      </c>
      <c r="X36" s="606">
        <f t="shared" si="9"/>
        <v>36986.35057</v>
      </c>
      <c r="Y36" s="607">
        <f t="shared" si="10"/>
        <v>7</v>
      </c>
      <c r="Z36" s="608">
        <f t="shared" si="11"/>
        <v>0.512</v>
      </c>
      <c r="AA36" s="608">
        <f t="shared" si="12"/>
        <v>0.512</v>
      </c>
      <c r="AB36" s="607">
        <f t="shared" si="13"/>
        <v>8</v>
      </c>
      <c r="AC36" s="607">
        <f t="shared" si="14"/>
        <v>823760</v>
      </c>
      <c r="AD36" s="608">
        <f t="shared" si="15"/>
        <v>0</v>
      </c>
      <c r="AE36" s="607">
        <f t="shared" si="16"/>
        <v>0</v>
      </c>
      <c r="AF36" s="609">
        <f t="shared" si="17"/>
        <v>0</v>
      </c>
      <c r="AG36" s="628">
        <f t="shared" si="18"/>
        <v>823760</v>
      </c>
      <c r="AH36" s="611"/>
      <c r="AI36" s="612">
        <v>102970.0</v>
      </c>
      <c r="AJ36" s="612">
        <v>102970.0</v>
      </c>
      <c r="AK36" s="612">
        <v>102970.0</v>
      </c>
      <c r="AL36" s="612">
        <v>102970.0</v>
      </c>
      <c r="AM36" s="612">
        <v>102970.0</v>
      </c>
      <c r="AN36" s="612">
        <v>205940.0</v>
      </c>
      <c r="AO36" s="612">
        <v>205940.0</v>
      </c>
      <c r="AP36" s="612">
        <v>205940.0</v>
      </c>
      <c r="AQ36" s="612">
        <v>205940.0</v>
      </c>
      <c r="AR36" s="612">
        <v>205940.0</v>
      </c>
      <c r="AS36" s="612">
        <v>205940.0</v>
      </c>
      <c r="AT36" s="612">
        <v>308910.0</v>
      </c>
      <c r="AU36" s="612">
        <v>308910.0</v>
      </c>
      <c r="AV36" s="612">
        <v>308910.0</v>
      </c>
      <c r="AW36" s="612">
        <v>308910.0</v>
      </c>
      <c r="AX36" s="612">
        <v>308910.0</v>
      </c>
      <c r="AY36" s="612">
        <v>411880.0</v>
      </c>
      <c r="AZ36" s="612">
        <v>411880.0</v>
      </c>
      <c r="BA36" s="612">
        <v>411880.0</v>
      </c>
      <c r="BB36" s="612">
        <v>411880.0</v>
      </c>
      <c r="BC36" s="612">
        <v>411880.0</v>
      </c>
      <c r="BD36" s="612">
        <v>411880.0</v>
      </c>
      <c r="BE36" s="612">
        <v>514850.0</v>
      </c>
      <c r="BF36" s="612">
        <v>514850.0</v>
      </c>
      <c r="BG36" s="612">
        <v>514850.0</v>
      </c>
      <c r="BH36" s="612">
        <v>514850.0</v>
      </c>
      <c r="BI36" s="612">
        <v>514850.0</v>
      </c>
      <c r="BJ36" s="612">
        <v>617820.0</v>
      </c>
      <c r="BK36" s="612">
        <v>617820.0</v>
      </c>
      <c r="BL36" s="612">
        <v>617820.0</v>
      </c>
      <c r="BM36" s="612">
        <v>617820.0</v>
      </c>
      <c r="BN36" s="612">
        <v>617820.0</v>
      </c>
      <c r="BO36" s="612">
        <v>617820.0</v>
      </c>
      <c r="BP36" s="612">
        <v>720790.0</v>
      </c>
      <c r="BQ36" s="612">
        <v>720790.0</v>
      </c>
      <c r="BR36" s="612">
        <v>720790.0</v>
      </c>
      <c r="BS36" s="612">
        <v>720790.0</v>
      </c>
      <c r="BT36" s="612">
        <v>720790.0</v>
      </c>
      <c r="BU36" s="612">
        <v>823760.0</v>
      </c>
      <c r="BV36" s="612">
        <v>823760.0</v>
      </c>
      <c r="BW36" s="612">
        <v>823760.0</v>
      </c>
      <c r="BX36" s="612">
        <v>823760.0</v>
      </c>
      <c r="BY36" s="612">
        <v>823760.0</v>
      </c>
      <c r="BZ36" s="612">
        <v>823760.0</v>
      </c>
      <c r="CA36" s="612">
        <v>926730.0</v>
      </c>
      <c r="CB36" s="612">
        <v>926730.0</v>
      </c>
      <c r="CC36" s="612">
        <v>926730.0</v>
      </c>
      <c r="CD36" s="612">
        <v>926730.0</v>
      </c>
      <c r="CE36" s="612">
        <v>926730.0</v>
      </c>
      <c r="CF36" s="612">
        <v>926730.0</v>
      </c>
      <c r="CG36" s="612">
        <v>1029700.0</v>
      </c>
      <c r="CH36" s="612">
        <v>1029700.0</v>
      </c>
      <c r="CI36" s="612">
        <v>1029700.0</v>
      </c>
      <c r="CJ36" s="612">
        <v>1029700.0</v>
      </c>
      <c r="CK36" s="612">
        <v>1029700.0</v>
      </c>
      <c r="CL36" s="612">
        <v>1132670.0</v>
      </c>
      <c r="CM36" s="612">
        <v>1132670.0</v>
      </c>
      <c r="CN36" s="612">
        <v>1132670.0</v>
      </c>
      <c r="CO36" s="612">
        <v>1132670.0</v>
      </c>
      <c r="CP36" s="612">
        <v>1132670.0</v>
      </c>
    </row>
    <row r="37">
      <c r="A37" s="645"/>
      <c r="B37" s="629" t="s">
        <v>380</v>
      </c>
      <c r="C37" s="614" t="b">
        <v>0</v>
      </c>
      <c r="D37" s="589" t="s">
        <v>623</v>
      </c>
      <c r="E37" s="615" t="s">
        <v>497</v>
      </c>
      <c r="F37" s="616" t="s">
        <v>602</v>
      </c>
      <c r="G37" s="625">
        <v>1.0</v>
      </c>
      <c r="H37" s="625"/>
      <c r="I37" s="637">
        <f>51457*1.05</f>
        <v>54029.85</v>
      </c>
      <c r="J37" s="618">
        <f>I37*IF($C$7=TRUE,VLOOKUP(B37,BuffsDebuffs!$P$8:$X$26,MATCH(E37,BuffsDebuffs!$P$8:$X$8,0),FALSE),1)*IF(AND($C$8=TRUE,H37=1),1.0778,1)*VLOOKUP($C$2,'scaling OLD'!$A$2:$H$55,8,False)*IF(K37="-",1,(1/K37*(1+((K37-1)*VLOOKUP($C$2,'scaling OLD'!$A$2:$H$55,4,False)))))*IF(K37="-",1,VLOOKUP($C$2,'scaling OLD'!$A$2:$H$55,5,False))*VLOOKUP($C$2,'scaling OLD'!$A$2:$H$55,6,False)*IF(AND(LEFT(C$2,7)="CE - Cr",B37="Sword"),1.35,1)</f>
        <v>54029.85</v>
      </c>
      <c r="K37" s="213">
        <v>1.38</v>
      </c>
      <c r="L37" s="211">
        <v>4.0</v>
      </c>
      <c r="M37" s="211">
        <v>46.0</v>
      </c>
      <c r="N37" s="211">
        <v>16.0</v>
      </c>
      <c r="O37" s="215">
        <v>1.983</v>
      </c>
      <c r="P37" s="647">
        <f t="shared" si="1"/>
        <v>3.913043478</v>
      </c>
      <c r="Q37" s="620">
        <f t="shared" si="2"/>
        <v>216119.4</v>
      </c>
      <c r="R37" s="621">
        <f t="shared" si="3"/>
        <v>21.60117391</v>
      </c>
      <c r="S37" s="622">
        <f t="shared" si="4"/>
        <v>864477.6</v>
      </c>
      <c r="T37" s="602">
        <f t="shared" si="5"/>
        <v>864477.6</v>
      </c>
      <c r="U37" s="623">
        <f t="shared" si="19"/>
        <v>55230.51333</v>
      </c>
      <c r="V37" s="624">
        <f t="shared" si="7"/>
        <v>40019.93611</v>
      </c>
      <c r="W37" s="605">
        <f t="shared" si="8"/>
        <v>40019.93611</v>
      </c>
      <c r="X37" s="606">
        <f t="shared" si="9"/>
        <v>36654.9875</v>
      </c>
      <c r="Y37" s="607">
        <f t="shared" si="10"/>
        <v>3</v>
      </c>
      <c r="Z37" s="608">
        <f t="shared" si="11"/>
        <v>14.051</v>
      </c>
      <c r="AA37" s="608">
        <f t="shared" si="12"/>
        <v>0</v>
      </c>
      <c r="AB37" s="607">
        <f t="shared" si="13"/>
        <v>3</v>
      </c>
      <c r="AC37" s="607">
        <f t="shared" si="14"/>
        <v>648358.2</v>
      </c>
      <c r="AD37" s="608">
        <f t="shared" si="15"/>
        <v>2.311869565</v>
      </c>
      <c r="AE37" s="607">
        <f t="shared" si="16"/>
        <v>2</v>
      </c>
      <c r="AF37" s="609">
        <f t="shared" si="17"/>
        <v>108059.7</v>
      </c>
      <c r="AG37" s="628">
        <f t="shared" si="18"/>
        <v>756417.9</v>
      </c>
      <c r="AH37" s="611"/>
      <c r="AI37" s="612">
        <v>51457.0</v>
      </c>
      <c r="AJ37" s="612">
        <v>51457.0</v>
      </c>
      <c r="AK37" s="612">
        <v>102914.0</v>
      </c>
      <c r="AL37" s="612">
        <v>102914.0</v>
      </c>
      <c r="AM37" s="612">
        <v>102914.0</v>
      </c>
      <c r="AN37" s="612">
        <v>154371.0</v>
      </c>
      <c r="AO37" s="612">
        <v>154371.0</v>
      </c>
      <c r="AP37" s="612">
        <v>205828.0</v>
      </c>
      <c r="AQ37" s="612">
        <v>205828.0</v>
      </c>
      <c r="AR37" s="612">
        <v>205828.0</v>
      </c>
      <c r="AS37" s="612">
        <v>205828.0</v>
      </c>
      <c r="AT37" s="612">
        <v>257285.0</v>
      </c>
      <c r="AU37" s="612">
        <v>257285.0</v>
      </c>
      <c r="AV37" s="612">
        <v>257285.0</v>
      </c>
      <c r="AW37" s="612">
        <v>308742.0</v>
      </c>
      <c r="AX37" s="612">
        <v>308742.0</v>
      </c>
      <c r="AY37" s="612">
        <v>308742.0</v>
      </c>
      <c r="AZ37" s="612">
        <v>360199.0</v>
      </c>
      <c r="BA37" s="612">
        <v>360199.0</v>
      </c>
      <c r="BB37" s="612">
        <v>411656.0</v>
      </c>
      <c r="BC37" s="612">
        <v>411656.0</v>
      </c>
      <c r="BD37" s="612">
        <v>411656.0</v>
      </c>
      <c r="BE37" s="612">
        <v>411656.0</v>
      </c>
      <c r="BF37" s="612">
        <v>463113.0</v>
      </c>
      <c r="BG37" s="612">
        <v>463113.0</v>
      </c>
      <c r="BH37" s="612">
        <v>463113.0</v>
      </c>
      <c r="BI37" s="612">
        <v>514570.0</v>
      </c>
      <c r="BJ37" s="612">
        <v>514570.0</v>
      </c>
      <c r="BK37" s="612">
        <v>566027.0</v>
      </c>
      <c r="BL37" s="612">
        <v>566027.0</v>
      </c>
      <c r="BM37" s="612">
        <v>566027.0</v>
      </c>
      <c r="BN37" s="612">
        <v>617484.0</v>
      </c>
      <c r="BO37" s="612">
        <v>617484.0</v>
      </c>
      <c r="BP37" s="612">
        <v>617484.0</v>
      </c>
      <c r="BQ37" s="612">
        <v>617484.0</v>
      </c>
      <c r="BR37" s="612">
        <v>668941.0</v>
      </c>
      <c r="BS37" s="612">
        <v>668941.0</v>
      </c>
      <c r="BT37" s="612">
        <v>720398.0</v>
      </c>
      <c r="BU37" s="612">
        <v>720398.0</v>
      </c>
      <c r="BV37" s="612">
        <v>720398.0</v>
      </c>
      <c r="BW37" s="612">
        <v>771855.0</v>
      </c>
      <c r="BX37" s="612">
        <v>771855.0</v>
      </c>
      <c r="BY37" s="612">
        <v>771855.0</v>
      </c>
      <c r="BZ37" s="612">
        <v>823312.0</v>
      </c>
      <c r="CA37" s="612">
        <v>823312.0</v>
      </c>
      <c r="CB37" s="612">
        <v>823312.0</v>
      </c>
      <c r="CC37" s="612">
        <v>823312.0</v>
      </c>
      <c r="CD37" s="612">
        <v>823312.0</v>
      </c>
      <c r="CE37" s="612">
        <v>823312.0</v>
      </c>
      <c r="CF37" s="612">
        <v>823312.0</v>
      </c>
      <c r="CG37" s="612">
        <v>823312.0</v>
      </c>
      <c r="CH37" s="612">
        <v>823312.0</v>
      </c>
      <c r="CI37" s="612">
        <v>823312.0</v>
      </c>
      <c r="CJ37" s="612">
        <v>823312.0</v>
      </c>
      <c r="CK37" s="612">
        <v>823312.0</v>
      </c>
      <c r="CL37" s="612">
        <v>823312.0</v>
      </c>
      <c r="CM37" s="612">
        <v>823312.0</v>
      </c>
      <c r="CN37" s="612">
        <v>823312.0</v>
      </c>
      <c r="CO37" s="612">
        <v>823312.0</v>
      </c>
      <c r="CP37" s="612">
        <v>823312.0</v>
      </c>
    </row>
    <row r="38">
      <c r="A38" s="645"/>
      <c r="B38" s="629" t="s">
        <v>363</v>
      </c>
      <c r="C38" s="650" t="b">
        <v>0</v>
      </c>
      <c r="D38" s="651" t="s">
        <v>624</v>
      </c>
      <c r="E38" s="652" t="s">
        <v>497</v>
      </c>
      <c r="F38" s="653" t="s">
        <v>625</v>
      </c>
      <c r="G38" s="625">
        <v>1.0</v>
      </c>
      <c r="H38" s="625"/>
      <c r="I38" s="637">
        <v>64935.0</v>
      </c>
      <c r="J38" s="594">
        <f>I38*IF($C$7=TRUE,VLOOKUP(B38,BuffsDebuffs!$P$8:$X$26,MATCH(E38,BuffsDebuffs!$P$8:$X$8,0),FALSE),1)*IF(AND($C$8=TRUE,H38=1),1.0778,1)*VLOOKUP($C$2,'scaling OLD'!$A$2:$H$55,8,False)*IF(K38="-",1,(1/K38*(1+((K38-1)*VLOOKUP($C$2,'scaling OLD'!$A$2:$H$55,4,False)))))*IF(K38="-",1,VLOOKUP($C$2,'scaling OLD'!$A$2:$H$55,5,False))*VLOOKUP($C$2,'scaling OLD'!$A$2:$H$55,6,False)*IF(AND(LEFT(C$2,7)="CE - Cr",B38="Sword"),1.35,1)</f>
        <v>64935</v>
      </c>
      <c r="K38" s="213" t="s">
        <v>349</v>
      </c>
      <c r="L38" s="211">
        <v>1.0</v>
      </c>
      <c r="M38" s="211">
        <v>120.0</v>
      </c>
      <c r="N38" s="211">
        <v>17.0</v>
      </c>
      <c r="O38" s="215">
        <v>1.967</v>
      </c>
      <c r="P38" s="638">
        <f t="shared" si="1"/>
        <v>0</v>
      </c>
      <c r="Q38" s="599">
        <f t="shared" si="2"/>
        <v>64935</v>
      </c>
      <c r="R38" s="600">
        <f t="shared" si="3"/>
        <v>31.472</v>
      </c>
      <c r="S38" s="622">
        <f>N38*J38+(2*J38)</f>
        <v>1233765</v>
      </c>
      <c r="T38" s="602">
        <f t="shared" si="5"/>
        <v>1103895</v>
      </c>
      <c r="U38" s="623" t="str">
        <f t="shared" si="19"/>
        <v>-</v>
      </c>
      <c r="V38" s="624">
        <f t="shared" si="7"/>
        <v>39201.98907</v>
      </c>
      <c r="W38" s="605">
        <f t="shared" si="8"/>
        <v>39201.98907</v>
      </c>
      <c r="X38" s="606">
        <f t="shared" si="9"/>
        <v>33012.20132</v>
      </c>
      <c r="Y38" s="607">
        <f t="shared" si="10"/>
        <v>10</v>
      </c>
      <c r="Z38" s="608">
        <f t="shared" si="11"/>
        <v>0.33</v>
      </c>
      <c r="AA38" s="608">
        <f t="shared" si="12"/>
        <v>0.33</v>
      </c>
      <c r="AB38" s="607">
        <f t="shared" si="13"/>
        <v>11</v>
      </c>
      <c r="AC38" s="607">
        <f t="shared" si="14"/>
        <v>714285</v>
      </c>
      <c r="AD38" s="608">
        <f t="shared" si="15"/>
        <v>0</v>
      </c>
      <c r="AE38" s="607">
        <f t="shared" si="16"/>
        <v>0</v>
      </c>
      <c r="AF38" s="609">
        <f t="shared" si="17"/>
        <v>0</v>
      </c>
      <c r="AG38" s="628">
        <f>Min(S38,AF38+AC38+(2*J38))</f>
        <v>844155</v>
      </c>
      <c r="AH38" s="611"/>
      <c r="AI38" s="612">
        <v>194805.0</v>
      </c>
      <c r="AJ38" s="612">
        <v>194805.0</v>
      </c>
      <c r="AK38" s="612">
        <v>194805.0</v>
      </c>
      <c r="AL38" s="612">
        <v>259740.0</v>
      </c>
      <c r="AM38" s="612">
        <v>259740.0</v>
      </c>
      <c r="AN38" s="612">
        <v>259740.0</v>
      </c>
      <c r="AO38" s="612">
        <v>259740.0</v>
      </c>
      <c r="AP38" s="612">
        <v>324675.0</v>
      </c>
      <c r="AQ38" s="612">
        <v>324675.0</v>
      </c>
      <c r="AR38" s="612">
        <v>324675.0</v>
      </c>
      <c r="AS38" s="612">
        <v>324675.0</v>
      </c>
      <c r="AT38" s="612">
        <v>389610.0</v>
      </c>
      <c r="AU38" s="612">
        <v>389610.0</v>
      </c>
      <c r="AV38" s="612">
        <v>389610.0</v>
      </c>
      <c r="AW38" s="612">
        <v>389610.0</v>
      </c>
      <c r="AX38" s="612">
        <v>454545.0</v>
      </c>
      <c r="AY38" s="612">
        <v>454545.0</v>
      </c>
      <c r="AZ38" s="612">
        <v>454545.0</v>
      </c>
      <c r="BA38" s="612">
        <v>454545.0</v>
      </c>
      <c r="BB38" s="612">
        <v>519480.0</v>
      </c>
      <c r="BC38" s="612">
        <v>519480.0</v>
      </c>
      <c r="BD38" s="612">
        <v>519480.0</v>
      </c>
      <c r="BE38" s="612">
        <v>519480.0</v>
      </c>
      <c r="BF38" s="612">
        <v>584415.0</v>
      </c>
      <c r="BG38" s="612">
        <v>584415.0</v>
      </c>
      <c r="BH38" s="612">
        <v>584415.0</v>
      </c>
      <c r="BI38" s="612">
        <v>584415.0</v>
      </c>
      <c r="BJ38" s="612">
        <v>649350.0</v>
      </c>
      <c r="BK38" s="612">
        <v>649350.0</v>
      </c>
      <c r="BL38" s="612">
        <v>649350.0</v>
      </c>
      <c r="BM38" s="612">
        <v>649350.0</v>
      </c>
      <c r="BN38" s="612">
        <v>714285.0</v>
      </c>
      <c r="BO38" s="612">
        <v>714285.0</v>
      </c>
      <c r="BP38" s="612">
        <v>714285.0</v>
      </c>
      <c r="BQ38" s="612">
        <v>714285.0</v>
      </c>
      <c r="BR38" s="612">
        <v>779220.0</v>
      </c>
      <c r="BS38" s="612">
        <v>779220.0</v>
      </c>
      <c r="BT38" s="612">
        <v>779220.0</v>
      </c>
      <c r="BU38" s="612">
        <v>779220.0</v>
      </c>
      <c r="BV38" s="612">
        <v>844155.0</v>
      </c>
      <c r="BW38" s="612">
        <v>844155.0</v>
      </c>
      <c r="BX38" s="612">
        <v>844155.0</v>
      </c>
      <c r="BY38" s="612">
        <v>844155.0</v>
      </c>
      <c r="BZ38" s="612">
        <v>909090.0</v>
      </c>
      <c r="CA38" s="612">
        <v>909090.0</v>
      </c>
      <c r="CB38" s="612">
        <v>909090.0</v>
      </c>
      <c r="CC38" s="612">
        <v>909090.0</v>
      </c>
      <c r="CD38" s="612">
        <v>974025.0</v>
      </c>
      <c r="CE38" s="612">
        <v>974025.0</v>
      </c>
      <c r="CF38" s="612">
        <v>974025.0</v>
      </c>
      <c r="CG38" s="612">
        <v>974025.0</v>
      </c>
      <c r="CH38" s="612">
        <v>1038960.0</v>
      </c>
      <c r="CI38" s="612">
        <v>1038960.0</v>
      </c>
      <c r="CJ38" s="612">
        <v>1038960.0</v>
      </c>
      <c r="CK38" s="612">
        <v>1038960.0</v>
      </c>
      <c r="CL38" s="612">
        <v>1103895.0</v>
      </c>
      <c r="CM38" s="612">
        <v>1103895.0</v>
      </c>
      <c r="CN38" s="612">
        <v>1103895.0</v>
      </c>
      <c r="CO38" s="612">
        <v>1103895.0</v>
      </c>
      <c r="CP38" s="612">
        <v>1168830.0</v>
      </c>
    </row>
    <row r="39">
      <c r="A39" s="645"/>
      <c r="B39" s="629" t="s">
        <v>389</v>
      </c>
      <c r="C39" s="632" t="b">
        <v>1</v>
      </c>
      <c r="D39" s="633" t="s">
        <v>609</v>
      </c>
      <c r="E39" s="634" t="s">
        <v>494</v>
      </c>
      <c r="F39" s="635" t="s">
        <v>626</v>
      </c>
      <c r="G39" s="636"/>
      <c r="H39" s="636">
        <v>1.0</v>
      </c>
      <c r="I39" s="617">
        <f>53444*1.248</f>
        <v>66698.112</v>
      </c>
      <c r="J39" s="618">
        <f>I39*IF($C$7=TRUE,VLOOKUP(B39,BuffsDebuffs!$P$8:$X$26,MATCH(E39,BuffsDebuffs!$P$8:$X$8,0),FALSE),1)*IF(AND($C$8=TRUE,H39=1),1.0778,1)*VLOOKUP($C$2,'scaling OLD'!$A$2:$H$55,8,False)*IF(K39="-",1,(1/K39*(1+((K39-1)*VLOOKUP($C$2,'scaling OLD'!$A$2:$H$55,4,False)))))*IF(K39="-",1,VLOOKUP($C$2,'scaling OLD'!$A$2:$H$55,5,False))*VLOOKUP($C$2,'scaling OLD'!$A$2:$H$55,6,False)*IF(AND(LEFT(C$2,7)="CE - Cr",B39="Sword"),1.35,1)</f>
        <v>71887.22511</v>
      </c>
      <c r="K39" s="186" t="s">
        <v>349</v>
      </c>
      <c r="L39" s="184">
        <v>1.0</v>
      </c>
      <c r="M39" s="184">
        <v>50.5</v>
      </c>
      <c r="N39" s="184">
        <v>10.0</v>
      </c>
      <c r="O39" s="188">
        <v>2.067</v>
      </c>
      <c r="P39" s="647">
        <f t="shared" si="1"/>
        <v>0</v>
      </c>
      <c r="Q39" s="620">
        <f t="shared" si="2"/>
        <v>71887.22511</v>
      </c>
      <c r="R39" s="621">
        <f t="shared" si="3"/>
        <v>18.603</v>
      </c>
      <c r="S39" s="622">
        <f t="shared" ref="S39:S48" si="20">N39*J39</f>
        <v>718872.2511</v>
      </c>
      <c r="T39" s="602">
        <f t="shared" si="5"/>
        <v>718872.2511</v>
      </c>
      <c r="U39" s="623" t="str">
        <f t="shared" si="19"/>
        <v>-</v>
      </c>
      <c r="V39" s="624">
        <f t="shared" si="7"/>
        <v>38642.81305</v>
      </c>
      <c r="W39" s="605">
        <f t="shared" si="8"/>
        <v>38642.81305</v>
      </c>
      <c r="X39" s="606">
        <f t="shared" si="9"/>
        <v>34778.53174</v>
      </c>
      <c r="Y39" s="607">
        <f t="shared" si="10"/>
        <v>9</v>
      </c>
      <c r="Z39" s="608">
        <f t="shared" si="11"/>
        <v>1.397</v>
      </c>
      <c r="AA39" s="608">
        <f t="shared" si="12"/>
        <v>1.397</v>
      </c>
      <c r="AB39" s="607">
        <f t="shared" si="13"/>
        <v>10</v>
      </c>
      <c r="AC39" s="607">
        <f t="shared" si="14"/>
        <v>718872.2511</v>
      </c>
      <c r="AD39" s="608">
        <f t="shared" si="15"/>
        <v>0</v>
      </c>
      <c r="AE39" s="607">
        <f t="shared" si="16"/>
        <v>0</v>
      </c>
      <c r="AF39" s="609">
        <f t="shared" si="17"/>
        <v>0</v>
      </c>
      <c r="AG39" s="628">
        <f t="shared" ref="AG39:AG48" si="21">Min(S39,AF39+AC39)</f>
        <v>718872.2511</v>
      </c>
      <c r="AH39" s="611"/>
      <c r="AI39" s="612">
        <v>71887.2251136</v>
      </c>
      <c r="AJ39" s="612">
        <v>71887.2251136</v>
      </c>
      <c r="AK39" s="612">
        <v>71887.2251136</v>
      </c>
      <c r="AL39" s="612">
        <v>71887.2251136</v>
      </c>
      <c r="AM39" s="612">
        <v>143774.4502272</v>
      </c>
      <c r="AN39" s="612">
        <v>143774.4502272</v>
      </c>
      <c r="AO39" s="612">
        <v>143774.4502272</v>
      </c>
      <c r="AP39" s="612">
        <v>143774.4502272</v>
      </c>
      <c r="AQ39" s="612">
        <v>215661.6753408</v>
      </c>
      <c r="AR39" s="612">
        <v>215661.6753408</v>
      </c>
      <c r="AS39" s="612">
        <v>215661.6753408</v>
      </c>
      <c r="AT39" s="612">
        <v>215661.6753408</v>
      </c>
      <c r="AU39" s="612">
        <v>287548.9004544</v>
      </c>
      <c r="AV39" s="612">
        <v>287548.9004544</v>
      </c>
      <c r="AW39" s="612">
        <v>287548.9004544</v>
      </c>
      <c r="AX39" s="612">
        <v>287548.9004544</v>
      </c>
      <c r="AY39" s="612">
        <v>359436.125568</v>
      </c>
      <c r="AZ39" s="612">
        <v>359436.125568</v>
      </c>
      <c r="BA39" s="612">
        <v>359436.125568</v>
      </c>
      <c r="BB39" s="612">
        <v>359436.125568</v>
      </c>
      <c r="BC39" s="612">
        <v>431323.3506816</v>
      </c>
      <c r="BD39" s="612">
        <v>431323.3506816</v>
      </c>
      <c r="BE39" s="612">
        <v>431323.3506816</v>
      </c>
      <c r="BF39" s="612">
        <v>431323.3506816</v>
      </c>
      <c r="BG39" s="612">
        <v>503210.57579519995</v>
      </c>
      <c r="BH39" s="612">
        <v>503210.57579519995</v>
      </c>
      <c r="BI39" s="612">
        <v>503210.57579519995</v>
      </c>
      <c r="BJ39" s="612">
        <v>503210.57579519995</v>
      </c>
      <c r="BK39" s="612">
        <v>575097.8009088</v>
      </c>
      <c r="BL39" s="612">
        <v>575097.8009088</v>
      </c>
      <c r="BM39" s="612">
        <v>575097.8009088</v>
      </c>
      <c r="BN39" s="612">
        <v>575097.8009088</v>
      </c>
      <c r="BO39" s="612">
        <v>575097.8009088</v>
      </c>
      <c r="BP39" s="612">
        <v>646985.0260224</v>
      </c>
      <c r="BQ39" s="612">
        <v>646985.0260224</v>
      </c>
      <c r="BR39" s="612">
        <v>646985.0260224</v>
      </c>
      <c r="BS39" s="612">
        <v>646985.0260224</v>
      </c>
      <c r="BT39" s="612">
        <v>718872.251136</v>
      </c>
      <c r="BU39" s="612">
        <v>718872.251136</v>
      </c>
      <c r="BV39" s="612">
        <v>718872.251136</v>
      </c>
      <c r="BW39" s="612">
        <v>718872.251136</v>
      </c>
      <c r="BX39" s="612">
        <v>718872.251136</v>
      </c>
      <c r="BY39" s="612">
        <v>718872.251136</v>
      </c>
      <c r="BZ39" s="612">
        <v>718872.251136</v>
      </c>
      <c r="CA39" s="612">
        <v>718872.251136</v>
      </c>
      <c r="CB39" s="612">
        <v>718872.251136</v>
      </c>
      <c r="CC39" s="612">
        <v>718872.251136</v>
      </c>
      <c r="CD39" s="612">
        <v>718872.251136</v>
      </c>
      <c r="CE39" s="612">
        <v>718872.251136</v>
      </c>
      <c r="CF39" s="612">
        <v>718872.251136</v>
      </c>
      <c r="CG39" s="612">
        <v>718872.251136</v>
      </c>
      <c r="CH39" s="612">
        <v>718872.251136</v>
      </c>
      <c r="CI39" s="612">
        <v>718872.251136</v>
      </c>
      <c r="CJ39" s="612">
        <v>718872.251136</v>
      </c>
      <c r="CK39" s="612">
        <v>718872.251136</v>
      </c>
      <c r="CL39" s="612">
        <v>718872.251136</v>
      </c>
      <c r="CM39" s="612">
        <v>718872.251136</v>
      </c>
      <c r="CN39" s="612">
        <v>718872.251136</v>
      </c>
      <c r="CO39" s="612">
        <v>718872.251136</v>
      </c>
      <c r="CP39" s="612">
        <v>718872.251136</v>
      </c>
    </row>
    <row r="40">
      <c r="A40" s="645"/>
      <c r="B40" s="613" t="s">
        <v>345</v>
      </c>
      <c r="C40" s="614" t="b">
        <v>0</v>
      </c>
      <c r="D40" s="589" t="s">
        <v>627</v>
      </c>
      <c r="E40" s="615" t="s">
        <v>497</v>
      </c>
      <c r="F40" s="616" t="s">
        <v>628</v>
      </c>
      <c r="G40" s="625">
        <v>1.0</v>
      </c>
      <c r="H40" s="625"/>
      <c r="I40" s="654">
        <f>21610*1.07</f>
        <v>23122.7</v>
      </c>
      <c r="J40" s="594">
        <f>I40*IF($C$7=TRUE,VLOOKUP(B40,BuffsDebuffs!$P$8:$X$26,MATCH(E40,BuffsDebuffs!$P$8:$X$8,0),FALSE),1)*IF(AND($C$8=TRUE,H40=1),1.0778,1)*VLOOKUP($C$2,'scaling OLD'!$A$2:$H$55,8,False)*IF(K40="-",1,(1/K40*(1+((K40-1)*VLOOKUP($C$2,'scaling OLD'!$A$2:$H$55,4,False)))))*IF(K40="-",1,VLOOKUP($C$2,'scaling OLD'!$A$2:$H$55,5,False))*VLOOKUP($C$2,'scaling OLD'!$A$2:$H$55,6,False)*IF(AND(LEFT(C$2,7)="CE - Cr",B40="Sword"),1.35,1)</f>
        <v>23122.7</v>
      </c>
      <c r="K40" s="186" t="s">
        <v>349</v>
      </c>
      <c r="L40" s="184">
        <v>8.0</v>
      </c>
      <c r="M40" s="184">
        <v>108.0</v>
      </c>
      <c r="N40" s="184">
        <v>22.0</v>
      </c>
      <c r="O40" s="188">
        <v>2.034</v>
      </c>
      <c r="P40" s="638">
        <f t="shared" si="1"/>
        <v>3.888888889</v>
      </c>
      <c r="Q40" s="599">
        <f t="shared" si="2"/>
        <v>184981.6</v>
      </c>
      <c r="R40" s="600">
        <f t="shared" si="3"/>
        <v>14.62355556</v>
      </c>
      <c r="S40" s="622">
        <f t="shared" si="20"/>
        <v>508699.4</v>
      </c>
      <c r="T40" s="602">
        <f t="shared" si="5"/>
        <v>369963.2</v>
      </c>
      <c r="U40" s="623">
        <f t="shared" si="19"/>
        <v>47566.69714</v>
      </c>
      <c r="V40" s="624">
        <f t="shared" si="7"/>
        <v>34786.30064</v>
      </c>
      <c r="W40" s="605">
        <f t="shared" si="8"/>
        <v>37706.0313</v>
      </c>
      <c r="X40" s="606">
        <f t="shared" si="9"/>
        <v>31231.65122</v>
      </c>
      <c r="Y40" s="607">
        <f t="shared" si="10"/>
        <v>3</v>
      </c>
      <c r="Z40" s="608">
        <f t="shared" si="11"/>
        <v>13.898</v>
      </c>
      <c r="AA40" s="608">
        <f t="shared" si="12"/>
        <v>0</v>
      </c>
      <c r="AB40" s="607">
        <f t="shared" si="13"/>
        <v>3</v>
      </c>
      <c r="AC40" s="607">
        <f t="shared" si="14"/>
        <v>554944.8</v>
      </c>
      <c r="AD40" s="608">
        <f t="shared" si="15"/>
        <v>2.231333333</v>
      </c>
      <c r="AE40" s="607">
        <f t="shared" si="16"/>
        <v>5</v>
      </c>
      <c r="AF40" s="609">
        <f t="shared" si="17"/>
        <v>115613.5</v>
      </c>
      <c r="AG40" s="628">
        <f t="shared" si="21"/>
        <v>508699.4</v>
      </c>
      <c r="AH40" s="611"/>
      <c r="AI40" s="612">
        <v>21610.0</v>
      </c>
      <c r="AJ40" s="612">
        <v>43220.0</v>
      </c>
      <c r="AK40" s="612">
        <v>64830.0</v>
      </c>
      <c r="AL40" s="612">
        <v>86440.0</v>
      </c>
      <c r="AM40" s="612">
        <v>108050.0</v>
      </c>
      <c r="AN40" s="612">
        <v>129660.0</v>
      </c>
      <c r="AO40" s="612">
        <v>151270.0</v>
      </c>
      <c r="AP40" s="612">
        <v>172880.0</v>
      </c>
      <c r="AQ40" s="612">
        <v>172880.0</v>
      </c>
      <c r="AR40" s="612">
        <v>172880.0</v>
      </c>
      <c r="AS40" s="612">
        <v>172880.0</v>
      </c>
      <c r="AT40" s="612">
        <v>194490.0</v>
      </c>
      <c r="AU40" s="612">
        <v>216100.0</v>
      </c>
      <c r="AV40" s="612">
        <v>216100.0</v>
      </c>
      <c r="AW40" s="612">
        <v>237710.0</v>
      </c>
      <c r="AX40" s="612">
        <v>259320.0</v>
      </c>
      <c r="AY40" s="612">
        <v>280930.0</v>
      </c>
      <c r="AZ40" s="612">
        <v>302540.0</v>
      </c>
      <c r="BA40" s="612">
        <v>324150.0</v>
      </c>
      <c r="BB40" s="612">
        <v>345760.0</v>
      </c>
      <c r="BC40" s="612">
        <v>345760.0</v>
      </c>
      <c r="BD40" s="612">
        <v>345760.0</v>
      </c>
      <c r="BE40" s="612">
        <v>345760.0</v>
      </c>
      <c r="BF40" s="612">
        <v>367370.0</v>
      </c>
      <c r="BG40" s="612">
        <v>388980.0</v>
      </c>
      <c r="BH40" s="612">
        <v>410590.0</v>
      </c>
      <c r="BI40" s="612">
        <v>410590.0</v>
      </c>
      <c r="BJ40" s="612">
        <v>432200.0</v>
      </c>
      <c r="BK40" s="612">
        <v>453810.0</v>
      </c>
      <c r="BL40" s="612">
        <v>475420.0</v>
      </c>
      <c r="BM40" s="612">
        <v>475420.0</v>
      </c>
      <c r="BN40" s="612">
        <v>475420.0</v>
      </c>
      <c r="BO40" s="612">
        <v>475420.0</v>
      </c>
      <c r="BP40" s="612">
        <v>475420.0</v>
      </c>
      <c r="BQ40" s="612">
        <v>475420.0</v>
      </c>
      <c r="BR40" s="612">
        <v>475420.0</v>
      </c>
      <c r="BS40" s="612">
        <v>475420.0</v>
      </c>
      <c r="BT40" s="612">
        <v>475420.0</v>
      </c>
      <c r="BU40" s="612">
        <v>475420.0</v>
      </c>
      <c r="BV40" s="612">
        <v>475420.0</v>
      </c>
      <c r="BW40" s="612">
        <v>475420.0</v>
      </c>
      <c r="BX40" s="612">
        <v>475420.0</v>
      </c>
      <c r="BY40" s="612">
        <v>475420.0</v>
      </c>
      <c r="BZ40" s="612">
        <v>475420.0</v>
      </c>
      <c r="CA40" s="612">
        <v>475420.0</v>
      </c>
      <c r="CB40" s="612">
        <v>475420.0</v>
      </c>
      <c r="CC40" s="612">
        <v>475420.0</v>
      </c>
      <c r="CD40" s="612">
        <v>475420.0</v>
      </c>
      <c r="CE40" s="612">
        <v>475420.0</v>
      </c>
      <c r="CF40" s="612">
        <v>475420.0</v>
      </c>
      <c r="CG40" s="612">
        <v>475420.0</v>
      </c>
      <c r="CH40" s="612">
        <v>475420.0</v>
      </c>
      <c r="CI40" s="612">
        <v>475420.0</v>
      </c>
      <c r="CJ40" s="612">
        <v>475420.0</v>
      </c>
      <c r="CK40" s="612">
        <v>475420.0</v>
      </c>
      <c r="CL40" s="612">
        <v>475420.0</v>
      </c>
      <c r="CM40" s="612">
        <v>475420.0</v>
      </c>
      <c r="CN40" s="612">
        <v>475420.0</v>
      </c>
      <c r="CO40" s="612">
        <v>475420.0</v>
      </c>
      <c r="CP40" s="612">
        <v>475420.0</v>
      </c>
    </row>
    <row r="41">
      <c r="A41" s="645"/>
      <c r="B41" s="613" t="s">
        <v>394</v>
      </c>
      <c r="C41" s="614" t="b">
        <v>0</v>
      </c>
      <c r="D41" s="589" t="s">
        <v>629</v>
      </c>
      <c r="E41" s="615" t="s">
        <v>485</v>
      </c>
      <c r="F41" s="616" t="s">
        <v>630</v>
      </c>
      <c r="G41" s="625">
        <v>1.0</v>
      </c>
      <c r="H41" s="630"/>
      <c r="I41" s="617">
        <v>35576.0</v>
      </c>
      <c r="J41" s="618">
        <f>I41*IF($C$7=TRUE,VLOOKUP(B41,BuffsDebuffs!$P$8:$X$26,MATCH(E41,BuffsDebuffs!$P$8:$X$8,0),FALSE),1)*IF(AND($C$8=TRUE,H41=1),1.0778,1)*VLOOKUP($C$2,'scaling OLD'!$A$2:$H$55,8,False)*IF(K41="-",1,(1/K41*(1+((K41-1)*VLOOKUP($C$2,'scaling OLD'!$A$2:$H$55,4,False)))))*IF(K41="-",1,VLOOKUP($C$2,'scaling OLD'!$A$2:$H$55,5,False))*VLOOKUP($C$2,'scaling OLD'!$A$2:$H$55,6,False)*IF(AND(LEFT(C$2,7)="CE - Cr",B41="Sword"),1.35,1)</f>
        <v>35576</v>
      </c>
      <c r="K41" s="186">
        <v>1.1</v>
      </c>
      <c r="L41" s="184">
        <v>2.0</v>
      </c>
      <c r="M41" s="184">
        <v>55.0</v>
      </c>
      <c r="N41" s="184">
        <v>22.0</v>
      </c>
      <c r="O41" s="188">
        <v>0.899</v>
      </c>
      <c r="P41" s="647">
        <f t="shared" si="1"/>
        <v>1.090909091</v>
      </c>
      <c r="Q41" s="620">
        <f t="shared" si="2"/>
        <v>71152</v>
      </c>
      <c r="R41" s="621">
        <f t="shared" si="3"/>
        <v>20.99</v>
      </c>
      <c r="S41" s="622">
        <f t="shared" si="20"/>
        <v>782672</v>
      </c>
      <c r="T41" s="602">
        <f t="shared" si="5"/>
        <v>782672</v>
      </c>
      <c r="U41" s="623">
        <f t="shared" si="19"/>
        <v>65222.66667</v>
      </c>
      <c r="V41" s="624">
        <f t="shared" si="7"/>
        <v>37287.85136</v>
      </c>
      <c r="W41" s="605">
        <f t="shared" si="8"/>
        <v>37287.85136</v>
      </c>
      <c r="X41" s="606">
        <f t="shared" si="9"/>
        <v>35756.40733</v>
      </c>
      <c r="Y41" s="607">
        <f t="shared" si="10"/>
        <v>10</v>
      </c>
      <c r="Z41" s="608">
        <f t="shared" si="11"/>
        <v>11.01</v>
      </c>
      <c r="AA41" s="608">
        <f t="shared" si="12"/>
        <v>0</v>
      </c>
      <c r="AB41" s="607">
        <f t="shared" si="13"/>
        <v>10</v>
      </c>
      <c r="AC41" s="607">
        <f t="shared" si="14"/>
        <v>711520</v>
      </c>
      <c r="AD41" s="608">
        <f t="shared" si="15"/>
        <v>0.1009090909</v>
      </c>
      <c r="AE41" s="607">
        <f t="shared" si="16"/>
        <v>1</v>
      </c>
      <c r="AF41" s="609">
        <f t="shared" si="17"/>
        <v>35576</v>
      </c>
      <c r="AG41" s="628">
        <f t="shared" si="21"/>
        <v>747096</v>
      </c>
      <c r="AH41" s="611"/>
      <c r="AI41" s="612">
        <v>35576.0</v>
      </c>
      <c r="AJ41" s="612">
        <v>35576.0</v>
      </c>
      <c r="AK41" s="612">
        <v>71152.0</v>
      </c>
      <c r="AL41" s="612">
        <v>106728.0</v>
      </c>
      <c r="AM41" s="612">
        <v>106728.0</v>
      </c>
      <c r="AN41" s="612">
        <v>106728.0</v>
      </c>
      <c r="AO41" s="612">
        <v>142304.0</v>
      </c>
      <c r="AP41" s="612">
        <v>177880.0</v>
      </c>
      <c r="AQ41" s="612">
        <v>177880.0</v>
      </c>
      <c r="AR41" s="612">
        <v>177880.0</v>
      </c>
      <c r="AS41" s="612">
        <v>213456.0</v>
      </c>
      <c r="AT41" s="612">
        <v>249032.0</v>
      </c>
      <c r="AU41" s="612">
        <v>249032.0</v>
      </c>
      <c r="AV41" s="612">
        <v>249032.0</v>
      </c>
      <c r="AW41" s="612">
        <v>284608.0</v>
      </c>
      <c r="AX41" s="612">
        <v>320184.0</v>
      </c>
      <c r="AY41" s="612">
        <v>320184.0</v>
      </c>
      <c r="AZ41" s="612">
        <v>320184.0</v>
      </c>
      <c r="BA41" s="612">
        <v>355760.0</v>
      </c>
      <c r="BB41" s="612">
        <v>391336.0</v>
      </c>
      <c r="BC41" s="612">
        <v>391336.0</v>
      </c>
      <c r="BD41" s="612">
        <v>391336.0</v>
      </c>
      <c r="BE41" s="612">
        <v>426912.0</v>
      </c>
      <c r="BF41" s="612">
        <v>462488.0</v>
      </c>
      <c r="BG41" s="612">
        <v>462488.0</v>
      </c>
      <c r="BH41" s="612">
        <v>462488.0</v>
      </c>
      <c r="BI41" s="612">
        <v>498064.0</v>
      </c>
      <c r="BJ41" s="612">
        <v>533640.0</v>
      </c>
      <c r="BK41" s="612">
        <v>533640.0</v>
      </c>
      <c r="BL41" s="612">
        <v>533640.0</v>
      </c>
      <c r="BM41" s="612">
        <v>569216.0</v>
      </c>
      <c r="BN41" s="612">
        <v>604792.0</v>
      </c>
      <c r="BO41" s="612">
        <v>604792.0</v>
      </c>
      <c r="BP41" s="612">
        <v>604792.0</v>
      </c>
      <c r="BQ41" s="612">
        <v>640368.0</v>
      </c>
      <c r="BR41" s="612">
        <v>675944.0</v>
      </c>
      <c r="BS41" s="612">
        <v>675944.0</v>
      </c>
      <c r="BT41" s="612">
        <v>675944.0</v>
      </c>
      <c r="BU41" s="612">
        <v>711520.0</v>
      </c>
      <c r="BV41" s="612">
        <v>747096.0</v>
      </c>
      <c r="BW41" s="612">
        <v>747096.0</v>
      </c>
      <c r="BX41" s="612">
        <v>782672.0</v>
      </c>
      <c r="BY41" s="612">
        <v>782672.0</v>
      </c>
      <c r="BZ41" s="612">
        <v>782672.0</v>
      </c>
      <c r="CA41" s="612">
        <v>782672.0</v>
      </c>
      <c r="CB41" s="612">
        <v>782672.0</v>
      </c>
      <c r="CC41" s="612">
        <v>782672.0</v>
      </c>
      <c r="CD41" s="612">
        <v>782672.0</v>
      </c>
      <c r="CE41" s="612">
        <v>782672.0</v>
      </c>
      <c r="CF41" s="612">
        <v>782672.0</v>
      </c>
      <c r="CG41" s="612">
        <v>782672.0</v>
      </c>
      <c r="CH41" s="612">
        <v>782672.0</v>
      </c>
      <c r="CI41" s="612">
        <v>782672.0</v>
      </c>
      <c r="CJ41" s="612">
        <v>782672.0</v>
      </c>
      <c r="CK41" s="612">
        <v>782672.0</v>
      </c>
      <c r="CL41" s="612">
        <v>782672.0</v>
      </c>
      <c r="CM41" s="612">
        <v>782672.0</v>
      </c>
      <c r="CN41" s="612">
        <v>782672.0</v>
      </c>
      <c r="CO41" s="612">
        <v>782672.0</v>
      </c>
      <c r="CP41" s="612">
        <v>782672.0</v>
      </c>
    </row>
    <row r="42">
      <c r="A42" s="645"/>
      <c r="B42" s="629" t="s">
        <v>363</v>
      </c>
      <c r="C42" s="614" t="b">
        <v>0</v>
      </c>
      <c r="D42" s="589" t="s">
        <v>631</v>
      </c>
      <c r="E42" s="615" t="s">
        <v>485</v>
      </c>
      <c r="F42" s="616" t="s">
        <v>632</v>
      </c>
      <c r="G42" s="648">
        <v>1.0</v>
      </c>
      <c r="H42" s="625"/>
      <c r="I42" s="637">
        <v>23395.0</v>
      </c>
      <c r="J42" s="594">
        <f>I42*IF($C$7=TRUE,VLOOKUP(B42,BuffsDebuffs!$P$8:$X$26,MATCH(E42,BuffsDebuffs!$P$8:$X$8,0),FALSE),1)*IF(AND($C$8=TRUE,H42=1),1.0778,1)*VLOOKUP($C$2,'scaling OLD'!$A$2:$H$55,8,False)*IF(K42="-",1,(1/K42*(1+((K42-1)*VLOOKUP($C$2,'scaling OLD'!$A$2:$H$55,4,False)))))*IF(K42="-",1,VLOOKUP($C$2,'scaling OLD'!$A$2:$H$55,5,False))*VLOOKUP($C$2,'scaling OLD'!$A$2:$H$55,6,False)*IF(AND(LEFT(C$2,7)="CE - Cr",B42="Sword"),1.35,1)</f>
        <v>23395</v>
      </c>
      <c r="K42" s="213" t="s">
        <v>349</v>
      </c>
      <c r="L42" s="211">
        <v>8.0</v>
      </c>
      <c r="M42" s="211">
        <v>112.5</v>
      </c>
      <c r="N42" s="211">
        <v>28.0</v>
      </c>
      <c r="O42" s="215">
        <v>1.967</v>
      </c>
      <c r="P42" s="638">
        <f t="shared" si="1"/>
        <v>3.733333333</v>
      </c>
      <c r="Q42" s="599">
        <f t="shared" si="2"/>
        <v>187160</v>
      </c>
      <c r="R42" s="600">
        <f t="shared" si="3"/>
        <v>18.701</v>
      </c>
      <c r="S42" s="622">
        <f t="shared" si="20"/>
        <v>655060</v>
      </c>
      <c r="T42" s="602">
        <f t="shared" si="5"/>
        <v>561480</v>
      </c>
      <c r="U42" s="623">
        <f t="shared" si="19"/>
        <v>50132.14286</v>
      </c>
      <c r="V42" s="624">
        <f t="shared" si="7"/>
        <v>35028.07337</v>
      </c>
      <c r="W42" s="605">
        <f t="shared" si="8"/>
        <v>37100.56826</v>
      </c>
      <c r="X42" s="606">
        <f t="shared" si="9"/>
        <v>32833.16765</v>
      </c>
      <c r="Y42" s="607">
        <f t="shared" si="10"/>
        <v>3</v>
      </c>
      <c r="Z42" s="608">
        <f t="shared" si="11"/>
        <v>14.099</v>
      </c>
      <c r="AA42" s="608">
        <f t="shared" si="12"/>
        <v>0</v>
      </c>
      <c r="AB42" s="607">
        <f t="shared" si="13"/>
        <v>3</v>
      </c>
      <c r="AC42" s="607">
        <f t="shared" si="14"/>
        <v>561480</v>
      </c>
      <c r="AD42" s="608">
        <f t="shared" si="15"/>
        <v>2.899</v>
      </c>
      <c r="AE42" s="607">
        <f t="shared" si="16"/>
        <v>6</v>
      </c>
      <c r="AF42" s="609">
        <f t="shared" si="17"/>
        <v>140370</v>
      </c>
      <c r="AG42" s="628">
        <f t="shared" si="21"/>
        <v>655060</v>
      </c>
      <c r="AH42" s="611"/>
      <c r="AI42" s="612">
        <v>23395.0</v>
      </c>
      <c r="AJ42" s="612">
        <v>46790.0</v>
      </c>
      <c r="AK42" s="612">
        <v>70185.0</v>
      </c>
      <c r="AL42" s="612">
        <v>93580.0</v>
      </c>
      <c r="AM42" s="612">
        <v>116975.0</v>
      </c>
      <c r="AN42" s="612">
        <v>140370.0</v>
      </c>
      <c r="AO42" s="612">
        <v>163765.0</v>
      </c>
      <c r="AP42" s="612">
        <v>187160.0</v>
      </c>
      <c r="AQ42" s="612">
        <v>187160.0</v>
      </c>
      <c r="AR42" s="612">
        <v>187160.0</v>
      </c>
      <c r="AS42" s="612">
        <v>187160.0</v>
      </c>
      <c r="AT42" s="612">
        <v>210555.0</v>
      </c>
      <c r="AU42" s="612">
        <v>233950.0</v>
      </c>
      <c r="AV42" s="612">
        <v>257345.0</v>
      </c>
      <c r="AW42" s="612">
        <v>280740.0</v>
      </c>
      <c r="AX42" s="612">
        <v>304135.0</v>
      </c>
      <c r="AY42" s="612">
        <v>327530.0</v>
      </c>
      <c r="AZ42" s="612">
        <v>350925.0</v>
      </c>
      <c r="BA42" s="612">
        <v>374320.0</v>
      </c>
      <c r="BB42" s="612">
        <v>374320.0</v>
      </c>
      <c r="BC42" s="612">
        <v>374320.0</v>
      </c>
      <c r="BD42" s="612">
        <v>374320.0</v>
      </c>
      <c r="BE42" s="612">
        <v>397715.0</v>
      </c>
      <c r="BF42" s="612">
        <v>421110.0</v>
      </c>
      <c r="BG42" s="612">
        <v>444505.0</v>
      </c>
      <c r="BH42" s="612">
        <v>444505.0</v>
      </c>
      <c r="BI42" s="612">
        <v>467900.0</v>
      </c>
      <c r="BJ42" s="612">
        <v>491295.0</v>
      </c>
      <c r="BK42" s="612">
        <v>514690.0</v>
      </c>
      <c r="BL42" s="612">
        <v>538085.0</v>
      </c>
      <c r="BM42" s="612">
        <v>561480.0</v>
      </c>
      <c r="BN42" s="612">
        <v>561480.0</v>
      </c>
      <c r="BO42" s="612">
        <v>561480.0</v>
      </c>
      <c r="BP42" s="612">
        <v>561480.0</v>
      </c>
      <c r="BQ42" s="612">
        <v>584875.0</v>
      </c>
      <c r="BR42" s="612">
        <v>608270.0</v>
      </c>
      <c r="BS42" s="612">
        <v>631665.0</v>
      </c>
      <c r="BT42" s="612">
        <v>655060.0</v>
      </c>
      <c r="BU42" s="612">
        <v>655060.0</v>
      </c>
      <c r="BV42" s="612">
        <v>655060.0</v>
      </c>
      <c r="BW42" s="612">
        <v>655060.0</v>
      </c>
      <c r="BX42" s="612">
        <v>655060.0</v>
      </c>
      <c r="BY42" s="612">
        <v>655060.0</v>
      </c>
      <c r="BZ42" s="612">
        <v>655060.0</v>
      </c>
      <c r="CA42" s="612">
        <v>655060.0</v>
      </c>
      <c r="CB42" s="612">
        <v>655060.0</v>
      </c>
      <c r="CC42" s="612">
        <v>655060.0</v>
      </c>
      <c r="CD42" s="612">
        <v>655060.0</v>
      </c>
      <c r="CE42" s="612">
        <v>655060.0</v>
      </c>
      <c r="CF42" s="612">
        <v>655060.0</v>
      </c>
      <c r="CG42" s="612">
        <v>655060.0</v>
      </c>
      <c r="CH42" s="612">
        <v>655060.0</v>
      </c>
      <c r="CI42" s="612">
        <v>655060.0</v>
      </c>
      <c r="CJ42" s="612">
        <v>655060.0</v>
      </c>
      <c r="CK42" s="612">
        <v>655060.0</v>
      </c>
      <c r="CL42" s="612">
        <v>655060.0</v>
      </c>
      <c r="CM42" s="612">
        <v>655060.0</v>
      </c>
      <c r="CN42" s="612">
        <v>655060.0</v>
      </c>
      <c r="CO42" s="612">
        <v>655060.0</v>
      </c>
      <c r="CP42" s="612">
        <v>655060.0</v>
      </c>
    </row>
    <row r="43">
      <c r="A43" s="645"/>
      <c r="B43" s="629" t="s">
        <v>411</v>
      </c>
      <c r="C43" s="632" t="b">
        <v>0</v>
      </c>
      <c r="D43" s="633" t="s">
        <v>633</v>
      </c>
      <c r="E43" s="634" t="s">
        <v>500</v>
      </c>
      <c r="F43" s="635" t="s">
        <v>634</v>
      </c>
      <c r="G43" s="636"/>
      <c r="H43" s="636">
        <v>1.0</v>
      </c>
      <c r="I43" s="617">
        <f>16251*1.3*1.07</f>
        <v>22605.141</v>
      </c>
      <c r="J43" s="618">
        <f>I43*IF($C$7=TRUE,VLOOKUP(B43,BuffsDebuffs!$P$8:$X$26,MATCH(E43,BuffsDebuffs!$P$8:$X$8,0),FALSE),1)*IF(AND($C$8=TRUE,H43=1),1.0778,1)*VLOOKUP($C$2,'scaling OLD'!$A$2:$H$55,8,False)*IF(K43="-",1,(1/K43*(1+((K43-1)*VLOOKUP($C$2,'scaling OLD'!$A$2:$H$55,4,False)))))*IF(K43="-",1,VLOOKUP($C$2,'scaling OLD'!$A$2:$H$55,5,False))*VLOOKUP($C$2,'scaling OLD'!$A$2:$H$55,6,False)*IF(AND(LEFT(C$2,7)="CE - Cr",B43="Sword"),1.35,1)</f>
        <v>24363.82097</v>
      </c>
      <c r="K43" s="186" t="s">
        <v>349</v>
      </c>
      <c r="L43" s="184">
        <v>76.0</v>
      </c>
      <c r="M43" s="184">
        <v>90.0</v>
      </c>
      <c r="N43" s="184">
        <v>76.0</v>
      </c>
      <c r="O43" s="188">
        <v>0.0</v>
      </c>
      <c r="P43" s="647">
        <f t="shared" si="1"/>
        <v>50</v>
      </c>
      <c r="Q43" s="620">
        <f t="shared" si="2"/>
        <v>1851650.394</v>
      </c>
      <c r="R43" s="621">
        <f t="shared" si="3"/>
        <v>50</v>
      </c>
      <c r="S43" s="622">
        <f t="shared" si="20"/>
        <v>1851650.394</v>
      </c>
      <c r="T43" s="602">
        <f t="shared" si="5"/>
        <v>1851650.394</v>
      </c>
      <c r="U43" s="623">
        <f t="shared" si="19"/>
        <v>37033.00787</v>
      </c>
      <c r="V43" s="624">
        <f t="shared" si="7"/>
        <v>37033.00787</v>
      </c>
      <c r="W43" s="605">
        <f t="shared" si="8"/>
        <v>37033.00787</v>
      </c>
      <c r="X43" s="606">
        <f t="shared" si="9"/>
        <v>37033.00787</v>
      </c>
      <c r="Y43" s="607">
        <f t="shared" si="10"/>
        <v>0</v>
      </c>
      <c r="Z43" s="608">
        <f t="shared" si="11"/>
        <v>20</v>
      </c>
      <c r="AA43" s="608">
        <f t="shared" si="12"/>
        <v>0</v>
      </c>
      <c r="AB43" s="607">
        <f t="shared" si="13"/>
        <v>0</v>
      </c>
      <c r="AC43" s="607">
        <f t="shared" si="14"/>
        <v>0</v>
      </c>
      <c r="AD43" s="608">
        <f t="shared" si="15"/>
        <v>20</v>
      </c>
      <c r="AE43" s="607">
        <f t="shared" si="16"/>
        <v>31</v>
      </c>
      <c r="AF43" s="609">
        <f t="shared" si="17"/>
        <v>755278.4501</v>
      </c>
      <c r="AG43" s="628">
        <f t="shared" si="21"/>
        <v>755278.4501</v>
      </c>
      <c r="AH43" s="611"/>
      <c r="AI43" s="612">
        <v>22769.92614</v>
      </c>
      <c r="AJ43" s="612">
        <v>45539.85228</v>
      </c>
      <c r="AK43" s="612">
        <v>68309.77842</v>
      </c>
      <c r="AL43" s="612">
        <v>91079.70456</v>
      </c>
      <c r="AM43" s="612">
        <v>91079.70456</v>
      </c>
      <c r="AN43" s="612">
        <v>113849.6307</v>
      </c>
      <c r="AO43" s="612">
        <v>136619.55684</v>
      </c>
      <c r="AP43" s="612">
        <v>159389.48298</v>
      </c>
      <c r="AQ43" s="612">
        <v>159389.48298</v>
      </c>
      <c r="AR43" s="612">
        <v>182159.40912</v>
      </c>
      <c r="AS43" s="612">
        <v>204929.33526</v>
      </c>
      <c r="AT43" s="612">
        <v>227699.2614</v>
      </c>
      <c r="AU43" s="612">
        <v>227699.2614</v>
      </c>
      <c r="AV43" s="612">
        <v>250469.18753999998</v>
      </c>
      <c r="AW43" s="612">
        <v>273239.11368</v>
      </c>
      <c r="AX43" s="612">
        <v>296009.03982</v>
      </c>
      <c r="AY43" s="612">
        <v>296009.03982</v>
      </c>
      <c r="AZ43" s="612">
        <v>318778.96596</v>
      </c>
      <c r="BA43" s="612">
        <v>341548.8921</v>
      </c>
      <c r="BB43" s="612">
        <v>364318.81824</v>
      </c>
      <c r="BC43" s="612">
        <v>364318.81824</v>
      </c>
      <c r="BD43" s="612">
        <v>387088.74438</v>
      </c>
      <c r="BE43" s="612">
        <v>409858.67052</v>
      </c>
      <c r="BF43" s="612">
        <v>432628.59666</v>
      </c>
      <c r="BG43" s="612">
        <v>432628.59666</v>
      </c>
      <c r="BH43" s="612">
        <v>455398.5228</v>
      </c>
      <c r="BI43" s="612">
        <v>478168.44894</v>
      </c>
      <c r="BJ43" s="612">
        <v>500938.37507999997</v>
      </c>
      <c r="BK43" s="612">
        <v>500938.37507999997</v>
      </c>
      <c r="BL43" s="612">
        <v>523708.30121999996</v>
      </c>
      <c r="BM43" s="612">
        <v>546478.22736</v>
      </c>
      <c r="BN43" s="612">
        <v>569248.1535</v>
      </c>
      <c r="BO43" s="612">
        <v>569248.1535</v>
      </c>
      <c r="BP43" s="612">
        <v>592018.07964</v>
      </c>
      <c r="BQ43" s="612">
        <v>614788.00578</v>
      </c>
      <c r="BR43" s="612">
        <v>637557.93192</v>
      </c>
      <c r="BS43" s="612">
        <v>637557.93192</v>
      </c>
      <c r="BT43" s="612">
        <v>660327.85806</v>
      </c>
      <c r="BU43" s="612">
        <v>683097.7842</v>
      </c>
      <c r="BV43" s="612">
        <v>705867.71034</v>
      </c>
      <c r="BW43" s="612">
        <v>705867.71034</v>
      </c>
      <c r="BX43" s="612">
        <v>728637.63648</v>
      </c>
      <c r="BY43" s="612">
        <v>751407.56262</v>
      </c>
      <c r="BZ43" s="612">
        <v>774177.48876</v>
      </c>
      <c r="CA43" s="612">
        <v>774177.48876</v>
      </c>
      <c r="CB43" s="612">
        <v>796947.4149</v>
      </c>
      <c r="CC43" s="612">
        <v>819717.34104</v>
      </c>
      <c r="CD43" s="612">
        <v>842487.26718</v>
      </c>
      <c r="CE43" s="612">
        <v>842487.26718</v>
      </c>
      <c r="CF43" s="612">
        <v>865257.19332</v>
      </c>
      <c r="CG43" s="612">
        <v>888027.11946</v>
      </c>
      <c r="CH43" s="612">
        <v>910797.0456</v>
      </c>
      <c r="CI43" s="612">
        <v>910797.0456</v>
      </c>
      <c r="CJ43" s="612">
        <v>933566.97174</v>
      </c>
      <c r="CK43" s="612">
        <v>956336.89788</v>
      </c>
      <c r="CL43" s="612">
        <v>979106.82402</v>
      </c>
      <c r="CM43" s="612">
        <v>979106.82402</v>
      </c>
      <c r="CN43" s="612">
        <v>1001876.7501599999</v>
      </c>
      <c r="CO43" s="612">
        <v>1024646.6762999999</v>
      </c>
      <c r="CP43" s="612">
        <v>1047416.6024399999</v>
      </c>
    </row>
    <row r="44">
      <c r="A44" s="645"/>
      <c r="B44" s="629" t="s">
        <v>363</v>
      </c>
      <c r="C44" s="632" t="b">
        <v>0</v>
      </c>
      <c r="D44" s="655" t="s">
        <v>635</v>
      </c>
      <c r="E44" s="656" t="s">
        <v>348</v>
      </c>
      <c r="F44" s="657" t="s">
        <v>636</v>
      </c>
      <c r="G44" s="648">
        <v>1.0</v>
      </c>
      <c r="H44" s="636">
        <v>1.0</v>
      </c>
      <c r="I44" s="617">
        <v>24033.0</v>
      </c>
      <c r="J44" s="594">
        <f>I44*IF($C$7=TRUE,VLOOKUP(B44,BuffsDebuffs!$P$8:$X$26,MATCH(E44,BuffsDebuffs!$P$8:$X$8,0),FALSE),1)*IF(AND($C$8=TRUE,H44=1),1.0778,1)*VLOOKUP($C$2,'scaling OLD'!$A$2:$H$55,8,False)*IF(K44="-",1,(1/K44*(1+((K44-1)*VLOOKUP($C$2,'scaling OLD'!$A$2:$H$55,4,False)))))*IF(K44="-",1,VLOOKUP($C$2,'scaling OLD'!$A$2:$H$55,5,False))*VLOOKUP($C$2,'scaling OLD'!$A$2:$H$55,6,False)*IF(AND(LEFT(C$2,7)="CE - Cr",B44="Sword"),1.35,1)</f>
        <v>25902.7674</v>
      </c>
      <c r="K44" s="186" t="s">
        <v>349</v>
      </c>
      <c r="L44" s="184">
        <v>5.0</v>
      </c>
      <c r="M44" s="184">
        <v>120.0</v>
      </c>
      <c r="N44" s="184">
        <v>28.0</v>
      </c>
      <c r="O44" s="188">
        <v>1.967</v>
      </c>
      <c r="P44" s="638">
        <f t="shared" si="1"/>
        <v>2</v>
      </c>
      <c r="Q44" s="599">
        <f t="shared" si="2"/>
        <v>129513.837</v>
      </c>
      <c r="R44" s="600">
        <f t="shared" si="3"/>
        <v>20.835</v>
      </c>
      <c r="S44" s="622">
        <f t="shared" si="20"/>
        <v>725277.4872</v>
      </c>
      <c r="T44" s="602">
        <f t="shared" si="5"/>
        <v>647569.185</v>
      </c>
      <c r="U44" s="623">
        <f t="shared" si="19"/>
        <v>64756.9185</v>
      </c>
      <c r="V44" s="624">
        <f t="shared" si="7"/>
        <v>34810.53454</v>
      </c>
      <c r="W44" s="605">
        <f t="shared" si="8"/>
        <v>36241.83932</v>
      </c>
      <c r="X44" s="606">
        <f t="shared" si="9"/>
        <v>32647.80363</v>
      </c>
      <c r="Y44" s="607">
        <f t="shared" si="10"/>
        <v>5</v>
      </c>
      <c r="Z44" s="608">
        <f t="shared" si="11"/>
        <v>10.165</v>
      </c>
      <c r="AA44" s="608">
        <f t="shared" si="12"/>
        <v>0</v>
      </c>
      <c r="AB44" s="607">
        <f t="shared" si="13"/>
        <v>5</v>
      </c>
      <c r="AC44" s="607">
        <f t="shared" si="14"/>
        <v>647569.185</v>
      </c>
      <c r="AD44" s="608">
        <f t="shared" si="15"/>
        <v>0.165</v>
      </c>
      <c r="AE44" s="607">
        <f t="shared" si="16"/>
        <v>1</v>
      </c>
      <c r="AF44" s="609">
        <f t="shared" si="17"/>
        <v>25902.7674</v>
      </c>
      <c r="AG44" s="628">
        <f t="shared" si="21"/>
        <v>673471.9524</v>
      </c>
      <c r="AH44" s="611"/>
      <c r="AI44" s="612">
        <v>51805.5348</v>
      </c>
      <c r="AJ44" s="612">
        <v>77708.3022</v>
      </c>
      <c r="AK44" s="612">
        <v>103611.0696</v>
      </c>
      <c r="AL44" s="612">
        <v>129513.837</v>
      </c>
      <c r="AM44" s="612">
        <v>129513.837</v>
      </c>
      <c r="AN44" s="612">
        <v>129513.837</v>
      </c>
      <c r="AO44" s="612">
        <v>129513.837</v>
      </c>
      <c r="AP44" s="612">
        <v>155416.6044</v>
      </c>
      <c r="AQ44" s="612">
        <v>181319.3718</v>
      </c>
      <c r="AR44" s="612">
        <v>207222.1392</v>
      </c>
      <c r="AS44" s="612">
        <v>233124.9066</v>
      </c>
      <c r="AT44" s="612">
        <v>259027.674</v>
      </c>
      <c r="AU44" s="612">
        <v>259027.674</v>
      </c>
      <c r="AV44" s="612">
        <v>259027.674</v>
      </c>
      <c r="AW44" s="612">
        <v>259027.674</v>
      </c>
      <c r="AX44" s="612">
        <v>284930.4414</v>
      </c>
      <c r="AY44" s="612">
        <v>310833.2088</v>
      </c>
      <c r="AZ44" s="612">
        <v>336735.97620000003</v>
      </c>
      <c r="BA44" s="612">
        <v>362638.7436</v>
      </c>
      <c r="BB44" s="612">
        <v>388541.511</v>
      </c>
      <c r="BC44" s="612">
        <v>388541.511</v>
      </c>
      <c r="BD44" s="612">
        <v>388541.511</v>
      </c>
      <c r="BE44" s="612">
        <v>388541.511</v>
      </c>
      <c r="BF44" s="612">
        <v>414444.2784</v>
      </c>
      <c r="BG44" s="612">
        <v>440347.0458</v>
      </c>
      <c r="BH44" s="612">
        <v>466249.8132</v>
      </c>
      <c r="BI44" s="612">
        <v>492152.5806</v>
      </c>
      <c r="BJ44" s="612">
        <v>518055.348</v>
      </c>
      <c r="BK44" s="612">
        <v>518055.348</v>
      </c>
      <c r="BL44" s="612">
        <v>518055.348</v>
      </c>
      <c r="BM44" s="612">
        <v>518055.348</v>
      </c>
      <c r="BN44" s="612">
        <v>543958.1154</v>
      </c>
      <c r="BO44" s="612">
        <v>569860.8828</v>
      </c>
      <c r="BP44" s="612">
        <v>595763.6502</v>
      </c>
      <c r="BQ44" s="612">
        <v>621666.4176</v>
      </c>
      <c r="BR44" s="612">
        <v>647569.185</v>
      </c>
      <c r="BS44" s="612">
        <v>647569.185</v>
      </c>
      <c r="BT44" s="612">
        <v>647569.185</v>
      </c>
      <c r="BU44" s="612">
        <v>647569.185</v>
      </c>
      <c r="BV44" s="612">
        <v>673471.9524000001</v>
      </c>
      <c r="BW44" s="612">
        <v>699374.7198000001</v>
      </c>
      <c r="BX44" s="612">
        <v>725277.4872</v>
      </c>
      <c r="BY44" s="612">
        <v>725277.4872</v>
      </c>
      <c r="BZ44" s="612">
        <v>725277.4872</v>
      </c>
      <c r="CA44" s="612">
        <v>725277.4872</v>
      </c>
      <c r="CB44" s="612">
        <v>725277.4872</v>
      </c>
      <c r="CC44" s="612">
        <v>725277.4872</v>
      </c>
      <c r="CD44" s="612">
        <v>725277.4872</v>
      </c>
      <c r="CE44" s="612">
        <v>725277.4872</v>
      </c>
      <c r="CF44" s="612">
        <v>725277.4872</v>
      </c>
      <c r="CG44" s="612">
        <v>725277.4872</v>
      </c>
      <c r="CH44" s="612">
        <v>725277.4872</v>
      </c>
      <c r="CI44" s="612">
        <v>725277.4872</v>
      </c>
      <c r="CJ44" s="612">
        <v>725277.4872</v>
      </c>
      <c r="CK44" s="612">
        <v>725277.4872</v>
      </c>
      <c r="CL44" s="612">
        <v>725277.4872</v>
      </c>
      <c r="CM44" s="612">
        <v>725277.4872</v>
      </c>
      <c r="CN44" s="612">
        <v>725277.4872</v>
      </c>
      <c r="CO44" s="612">
        <v>725277.4872</v>
      </c>
      <c r="CP44" s="612">
        <v>725277.4872</v>
      </c>
    </row>
    <row r="45">
      <c r="A45" s="645"/>
      <c r="B45" s="629" t="s">
        <v>384</v>
      </c>
      <c r="C45" s="614" t="b">
        <v>0</v>
      </c>
      <c r="D45" s="589" t="s">
        <v>616</v>
      </c>
      <c r="E45" s="615" t="s">
        <v>497</v>
      </c>
      <c r="F45" s="616"/>
      <c r="G45" s="648">
        <v>1.0</v>
      </c>
      <c r="H45" s="625"/>
      <c r="I45" s="637">
        <f>19356*1.07</f>
        <v>20710.92</v>
      </c>
      <c r="J45" s="618">
        <f>I45*IF($C$7=TRUE,VLOOKUP(B45,BuffsDebuffs!$P$8:$X$26,MATCH(E45,BuffsDebuffs!$P$8:$X$8,0),FALSE),1)*IF(AND($C$8=TRUE,H45=1),1.0778,1)*VLOOKUP($C$2,'scaling OLD'!$A$2:$H$55,8,False)*IF(K45="-",1,(1/K45*(1+((K45-1)*VLOOKUP($C$2,'scaling OLD'!$A$2:$H$55,4,False)))))*IF(K45="-",1,VLOOKUP($C$2,'scaling OLD'!$A$2:$H$55,5,False))*VLOOKUP($C$2,'scaling OLD'!$A$2:$H$55,6,False)*IF(AND(LEFT(C$2,7)="CE - Cr",B45="Sword"),1.35,1)</f>
        <v>20710.92</v>
      </c>
      <c r="K45" s="213" t="s">
        <v>349</v>
      </c>
      <c r="L45" s="211">
        <v>13.0</v>
      </c>
      <c r="M45" s="211">
        <v>120.0</v>
      </c>
      <c r="N45" s="211">
        <v>34.0</v>
      </c>
      <c r="O45" s="215">
        <v>3.034</v>
      </c>
      <c r="P45" s="647">
        <f t="shared" si="1"/>
        <v>6</v>
      </c>
      <c r="Q45" s="620">
        <f t="shared" si="2"/>
        <v>269241.96</v>
      </c>
      <c r="R45" s="621">
        <f t="shared" si="3"/>
        <v>21.568</v>
      </c>
      <c r="S45" s="622">
        <f t="shared" si="20"/>
        <v>704171.28</v>
      </c>
      <c r="T45" s="602">
        <f t="shared" si="5"/>
        <v>538483.92</v>
      </c>
      <c r="U45" s="623">
        <f t="shared" si="19"/>
        <v>44873.66</v>
      </c>
      <c r="V45" s="624">
        <f t="shared" si="7"/>
        <v>32648.89095</v>
      </c>
      <c r="W45" s="605">
        <f t="shared" si="8"/>
        <v>35817.74112</v>
      </c>
      <c r="X45" s="606">
        <f t="shared" si="9"/>
        <v>29803.18353</v>
      </c>
      <c r="Y45" s="607">
        <f t="shared" si="10"/>
        <v>2</v>
      </c>
      <c r="Z45" s="608">
        <f t="shared" si="11"/>
        <v>13.932</v>
      </c>
      <c r="AA45" s="608">
        <f t="shared" si="12"/>
        <v>0</v>
      </c>
      <c r="AB45" s="607">
        <f t="shared" si="13"/>
        <v>2</v>
      </c>
      <c r="AC45" s="607">
        <f t="shared" si="14"/>
        <v>538483.92</v>
      </c>
      <c r="AD45" s="608">
        <f t="shared" si="15"/>
        <v>1.932</v>
      </c>
      <c r="AE45" s="607">
        <f t="shared" si="16"/>
        <v>4</v>
      </c>
      <c r="AF45" s="609">
        <f t="shared" si="17"/>
        <v>82843.68</v>
      </c>
      <c r="AG45" s="628">
        <f t="shared" si="21"/>
        <v>621327.6</v>
      </c>
      <c r="AH45" s="611"/>
      <c r="AI45" s="612">
        <v>38712.0</v>
      </c>
      <c r="AJ45" s="612">
        <v>58068.0</v>
      </c>
      <c r="AK45" s="612">
        <v>77424.0</v>
      </c>
      <c r="AL45" s="612">
        <v>96780.0</v>
      </c>
      <c r="AM45" s="612">
        <v>116136.0</v>
      </c>
      <c r="AN45" s="612">
        <v>135492.0</v>
      </c>
      <c r="AO45" s="612">
        <v>154848.0</v>
      </c>
      <c r="AP45" s="612">
        <v>174204.0</v>
      </c>
      <c r="AQ45" s="612">
        <v>193560.0</v>
      </c>
      <c r="AR45" s="612">
        <v>212916.0</v>
      </c>
      <c r="AS45" s="612">
        <v>232272.0</v>
      </c>
      <c r="AT45" s="612">
        <v>251628.0</v>
      </c>
      <c r="AU45" s="612">
        <v>251628.0</v>
      </c>
      <c r="AV45" s="612">
        <v>251628.0</v>
      </c>
      <c r="AW45" s="612">
        <v>251628.0</v>
      </c>
      <c r="AX45" s="612">
        <v>251628.0</v>
      </c>
      <c r="AY45" s="612">
        <v>251628.0</v>
      </c>
      <c r="AZ45" s="612">
        <v>251628.0</v>
      </c>
      <c r="BA45" s="612">
        <v>270984.0</v>
      </c>
      <c r="BB45" s="612">
        <v>290340.0</v>
      </c>
      <c r="BC45" s="612">
        <v>309696.0</v>
      </c>
      <c r="BD45" s="612">
        <v>329052.0</v>
      </c>
      <c r="BE45" s="612">
        <v>348408.0</v>
      </c>
      <c r="BF45" s="612">
        <v>367764.0</v>
      </c>
      <c r="BG45" s="612">
        <v>387120.0</v>
      </c>
      <c r="BH45" s="612">
        <v>406476.0</v>
      </c>
      <c r="BI45" s="612">
        <v>425832.0</v>
      </c>
      <c r="BJ45" s="612">
        <v>445188.0</v>
      </c>
      <c r="BK45" s="612">
        <v>464544.0</v>
      </c>
      <c r="BL45" s="612">
        <v>483900.0</v>
      </c>
      <c r="BM45" s="612">
        <v>503256.0</v>
      </c>
      <c r="BN45" s="612">
        <v>503256.0</v>
      </c>
      <c r="BO45" s="612">
        <v>503256.0</v>
      </c>
      <c r="BP45" s="612">
        <v>503256.0</v>
      </c>
      <c r="BQ45" s="612">
        <v>503256.0</v>
      </c>
      <c r="BR45" s="612">
        <v>503256.0</v>
      </c>
      <c r="BS45" s="612">
        <v>522612.0</v>
      </c>
      <c r="BT45" s="612">
        <v>541968.0</v>
      </c>
      <c r="BU45" s="612">
        <v>561324.0</v>
      </c>
      <c r="BV45" s="612">
        <v>580680.0</v>
      </c>
      <c r="BW45" s="612">
        <v>600036.0</v>
      </c>
      <c r="BX45" s="612">
        <v>619392.0</v>
      </c>
      <c r="BY45" s="612">
        <v>638748.0</v>
      </c>
      <c r="BZ45" s="612">
        <v>658104.0</v>
      </c>
      <c r="CA45" s="612">
        <v>658104.0</v>
      </c>
      <c r="CB45" s="612">
        <v>658104.0</v>
      </c>
      <c r="CC45" s="612">
        <v>658104.0</v>
      </c>
      <c r="CD45" s="612">
        <v>658104.0</v>
      </c>
      <c r="CE45" s="612">
        <v>658104.0</v>
      </c>
      <c r="CF45" s="612">
        <v>658104.0</v>
      </c>
      <c r="CG45" s="612">
        <v>658104.0</v>
      </c>
      <c r="CH45" s="612">
        <v>658104.0</v>
      </c>
      <c r="CI45" s="612">
        <v>658104.0</v>
      </c>
      <c r="CJ45" s="612">
        <v>658104.0</v>
      </c>
      <c r="CK45" s="612">
        <v>658104.0</v>
      </c>
      <c r="CL45" s="612">
        <v>658104.0</v>
      </c>
      <c r="CM45" s="612">
        <v>658104.0</v>
      </c>
      <c r="CN45" s="612">
        <v>658104.0</v>
      </c>
      <c r="CO45" s="612">
        <v>658104.0</v>
      </c>
      <c r="CP45" s="612">
        <v>658104.0</v>
      </c>
    </row>
    <row r="46">
      <c r="A46" s="645"/>
      <c r="B46" s="613" t="s">
        <v>407</v>
      </c>
      <c r="C46" s="614" t="b">
        <v>0</v>
      </c>
      <c r="D46" s="589" t="s">
        <v>637</v>
      </c>
      <c r="E46" s="615" t="s">
        <v>494</v>
      </c>
      <c r="F46" s="616" t="s">
        <v>638</v>
      </c>
      <c r="G46" s="648">
        <v>1.0</v>
      </c>
      <c r="H46" s="625"/>
      <c r="I46" s="637">
        <v>18732.0</v>
      </c>
      <c r="J46" s="594">
        <f>I46*IF($C$7=TRUE,VLOOKUP(B46,BuffsDebuffs!$P$8:$X$26,MATCH(E46,BuffsDebuffs!$P$8:$X$8,0),FALSE),1)*IF(AND($C$8=TRUE,H46=1),1.0778,1)*VLOOKUP($C$2,'scaling OLD'!$A$2:$H$55,8,False)*IF(K46="-",1,(1/K46*(1+((K46-1)*VLOOKUP($C$2,'scaling OLD'!$A$2:$H$55,4,False)))))*IF(K46="-",1,VLOOKUP($C$2,'scaling OLD'!$A$2:$H$55,5,False))*VLOOKUP($C$2,'scaling OLD'!$A$2:$H$55,6,False)*IF(AND(LEFT(C$2,7)="CE - Cr",B46="Sword"),1.35,1)</f>
        <v>18732</v>
      </c>
      <c r="K46" s="213">
        <v>3.44</v>
      </c>
      <c r="L46" s="211">
        <v>10.0</v>
      </c>
      <c r="M46" s="211">
        <v>140.0</v>
      </c>
      <c r="N46" s="211">
        <v>52.0</v>
      </c>
      <c r="O46" s="215">
        <v>1.717</v>
      </c>
      <c r="P46" s="638">
        <f t="shared" si="1"/>
        <v>3.857142857</v>
      </c>
      <c r="Q46" s="599">
        <f t="shared" si="2"/>
        <v>187320</v>
      </c>
      <c r="R46" s="600">
        <f t="shared" si="3"/>
        <v>28.29928571</v>
      </c>
      <c r="S46" s="622">
        <f t="shared" si="20"/>
        <v>974064</v>
      </c>
      <c r="T46" s="602">
        <f t="shared" si="5"/>
        <v>936600</v>
      </c>
      <c r="U46" s="623">
        <f t="shared" si="19"/>
        <v>48564.44444</v>
      </c>
      <c r="V46" s="624">
        <f t="shared" si="7"/>
        <v>34420.09137</v>
      </c>
      <c r="W46" s="605">
        <f t="shared" si="8"/>
        <v>35811.35703</v>
      </c>
      <c r="X46" s="606">
        <f t="shared" si="9"/>
        <v>33605.16671</v>
      </c>
      <c r="Y46" s="607">
        <f t="shared" si="10"/>
        <v>3</v>
      </c>
      <c r="Z46" s="608">
        <f t="shared" si="11"/>
        <v>14.849</v>
      </c>
      <c r="AA46" s="608">
        <f t="shared" si="12"/>
        <v>0</v>
      </c>
      <c r="AB46" s="607">
        <f t="shared" si="13"/>
        <v>3</v>
      </c>
      <c r="AC46" s="607">
        <f t="shared" si="14"/>
        <v>561960</v>
      </c>
      <c r="AD46" s="608">
        <f t="shared" si="15"/>
        <v>3.277571429</v>
      </c>
      <c r="AE46" s="607">
        <f t="shared" si="16"/>
        <v>8</v>
      </c>
      <c r="AF46" s="609">
        <f t="shared" si="17"/>
        <v>149856</v>
      </c>
      <c r="AG46" s="628">
        <f t="shared" si="21"/>
        <v>711816</v>
      </c>
      <c r="AH46" s="611"/>
      <c r="AI46" s="612">
        <v>35830.0</v>
      </c>
      <c r="AJ46" s="612">
        <v>53745.0</v>
      </c>
      <c r="AK46" s="612">
        <v>71660.0</v>
      </c>
      <c r="AL46" s="612">
        <v>89575.0</v>
      </c>
      <c r="AM46" s="612">
        <v>107490.0</v>
      </c>
      <c r="AN46" s="612">
        <v>143320.0</v>
      </c>
      <c r="AO46" s="612">
        <v>161235.0</v>
      </c>
      <c r="AP46" s="612">
        <v>179150.0</v>
      </c>
      <c r="AQ46" s="612">
        <v>179150.0</v>
      </c>
      <c r="AR46" s="612">
        <v>179150.0</v>
      </c>
      <c r="AS46" s="612">
        <v>179150.0</v>
      </c>
      <c r="AT46" s="612">
        <v>197065.0</v>
      </c>
      <c r="AU46" s="612">
        <v>232895.0</v>
      </c>
      <c r="AV46" s="612">
        <v>250810.0</v>
      </c>
      <c r="AW46" s="612">
        <v>268725.0</v>
      </c>
      <c r="AX46" s="612">
        <v>286640.0</v>
      </c>
      <c r="AY46" s="612">
        <v>304555.0</v>
      </c>
      <c r="AZ46" s="612">
        <v>322470.0</v>
      </c>
      <c r="BA46" s="612">
        <v>358300.0</v>
      </c>
      <c r="BB46" s="612">
        <v>358300.0</v>
      </c>
      <c r="BC46" s="612">
        <v>358300.0</v>
      </c>
      <c r="BD46" s="612">
        <v>358300.0</v>
      </c>
      <c r="BE46" s="612">
        <v>376215.0</v>
      </c>
      <c r="BF46" s="612">
        <v>394130.0</v>
      </c>
      <c r="BG46" s="612">
        <v>429960.0</v>
      </c>
      <c r="BH46" s="612">
        <v>447875.0</v>
      </c>
      <c r="BI46" s="612">
        <v>465790.0</v>
      </c>
      <c r="BJ46" s="612">
        <v>483705.0</v>
      </c>
      <c r="BK46" s="612">
        <v>501620.0</v>
      </c>
      <c r="BL46" s="612">
        <v>519535.0</v>
      </c>
      <c r="BM46" s="612">
        <v>537450.0</v>
      </c>
      <c r="BN46" s="612">
        <v>537450.0</v>
      </c>
      <c r="BO46" s="612">
        <v>537450.0</v>
      </c>
      <c r="BP46" s="612">
        <v>555365.0</v>
      </c>
      <c r="BQ46" s="612">
        <v>573280.0</v>
      </c>
      <c r="BR46" s="612">
        <v>591195.0</v>
      </c>
      <c r="BS46" s="612">
        <v>627025.0</v>
      </c>
      <c r="BT46" s="612">
        <v>644940.0</v>
      </c>
      <c r="BU46" s="612">
        <v>662855.0</v>
      </c>
      <c r="BV46" s="612">
        <v>680770.0</v>
      </c>
      <c r="BW46" s="612">
        <v>698685.0</v>
      </c>
      <c r="BX46" s="612">
        <v>716600.0</v>
      </c>
      <c r="BY46" s="612">
        <v>716600.0</v>
      </c>
      <c r="BZ46" s="612">
        <v>716600.0</v>
      </c>
      <c r="CA46" s="612">
        <v>734515.0</v>
      </c>
      <c r="CB46" s="612">
        <v>752430.0</v>
      </c>
      <c r="CC46" s="612">
        <v>770345.0</v>
      </c>
      <c r="CD46" s="612">
        <v>788260.0</v>
      </c>
      <c r="CE46" s="612">
        <v>824090.0</v>
      </c>
      <c r="CF46" s="612">
        <v>842005.0</v>
      </c>
      <c r="CG46" s="612">
        <v>859920.0</v>
      </c>
      <c r="CH46" s="612">
        <v>877835.0</v>
      </c>
      <c r="CI46" s="612">
        <v>895750.0</v>
      </c>
      <c r="CJ46" s="612">
        <v>895750.0</v>
      </c>
      <c r="CK46" s="612">
        <v>895750.0</v>
      </c>
      <c r="CL46" s="612">
        <v>913665.0</v>
      </c>
      <c r="CM46" s="612">
        <v>931580.0</v>
      </c>
      <c r="CN46" s="612">
        <v>931580.0</v>
      </c>
      <c r="CO46" s="612">
        <v>931580.0</v>
      </c>
      <c r="CP46" s="612">
        <v>931580.0</v>
      </c>
    </row>
    <row r="47">
      <c r="A47" s="645"/>
      <c r="B47" s="629" t="s">
        <v>363</v>
      </c>
      <c r="C47" s="632" t="b">
        <v>0</v>
      </c>
      <c r="D47" s="655" t="s">
        <v>639</v>
      </c>
      <c r="E47" s="656" t="s">
        <v>348</v>
      </c>
      <c r="F47" s="657"/>
      <c r="G47" s="648">
        <v>1.0</v>
      </c>
      <c r="H47" s="636">
        <v>1.0</v>
      </c>
      <c r="I47" s="637">
        <v>23603.0</v>
      </c>
      <c r="J47" s="618">
        <f>I47*IF($C$7=TRUE,VLOOKUP(B47,BuffsDebuffs!$P$8:$X$26,MATCH(E47,BuffsDebuffs!$P$8:$X$8,0),FALSE),1)*IF(AND($C$8=TRUE,H47=1),1.0778,1)*VLOOKUP($C$2,'scaling OLD'!$A$2:$H$55,8,False)*IF(K47="-",1,(1/K47*(1+((K47-1)*VLOOKUP($C$2,'scaling OLD'!$A$2:$H$55,4,False)))))*IF(K47="-",1,VLOOKUP($C$2,'scaling OLD'!$A$2:$H$55,5,False))*VLOOKUP($C$2,'scaling OLD'!$A$2:$H$55,6,False)*IF(AND(LEFT(C$2,7)="CE - Cr",B47="Sword"),1.35,1)</f>
        <v>25439.3134</v>
      </c>
      <c r="K47" s="213" t="s">
        <v>349</v>
      </c>
      <c r="L47" s="211">
        <v>5.0</v>
      </c>
      <c r="M47" s="211">
        <v>120.0</v>
      </c>
      <c r="N47" s="211">
        <v>27.0</v>
      </c>
      <c r="O47" s="215">
        <v>1.983</v>
      </c>
      <c r="P47" s="647">
        <f t="shared" si="1"/>
        <v>2</v>
      </c>
      <c r="Q47" s="620">
        <f t="shared" si="2"/>
        <v>127196.567</v>
      </c>
      <c r="R47" s="621">
        <f t="shared" si="3"/>
        <v>20.415</v>
      </c>
      <c r="S47" s="622">
        <f t="shared" si="20"/>
        <v>686861.4618</v>
      </c>
      <c r="T47" s="602">
        <f t="shared" si="5"/>
        <v>635982.835</v>
      </c>
      <c r="U47" s="623">
        <f t="shared" si="19"/>
        <v>63598.2835</v>
      </c>
      <c r="V47" s="624">
        <f t="shared" si="7"/>
        <v>33644.94057</v>
      </c>
      <c r="W47" s="605">
        <f t="shared" si="8"/>
        <v>35466.36376</v>
      </c>
      <c r="X47" s="606">
        <f t="shared" si="9"/>
        <v>31934.86493</v>
      </c>
      <c r="Y47" s="607">
        <f t="shared" si="10"/>
        <v>5</v>
      </c>
      <c r="Z47" s="608">
        <f t="shared" si="11"/>
        <v>10.085</v>
      </c>
      <c r="AA47" s="608">
        <f t="shared" si="12"/>
        <v>0</v>
      </c>
      <c r="AB47" s="607">
        <f t="shared" si="13"/>
        <v>5</v>
      </c>
      <c r="AC47" s="607">
        <f t="shared" si="14"/>
        <v>635982.835</v>
      </c>
      <c r="AD47" s="608">
        <f t="shared" si="15"/>
        <v>0.085</v>
      </c>
      <c r="AE47" s="607">
        <f t="shared" si="16"/>
        <v>1</v>
      </c>
      <c r="AF47" s="609">
        <f t="shared" si="17"/>
        <v>25439.3134</v>
      </c>
      <c r="AG47" s="628">
        <f t="shared" si="21"/>
        <v>661422.1484</v>
      </c>
      <c r="AH47" s="611"/>
      <c r="AI47" s="612">
        <v>50878.626800000005</v>
      </c>
      <c r="AJ47" s="612">
        <v>76317.94020000001</v>
      </c>
      <c r="AK47" s="612">
        <v>101757.25360000001</v>
      </c>
      <c r="AL47" s="612">
        <v>127196.56700000001</v>
      </c>
      <c r="AM47" s="612">
        <v>127196.56700000001</v>
      </c>
      <c r="AN47" s="612">
        <v>127196.56700000001</v>
      </c>
      <c r="AO47" s="612">
        <v>127196.56700000001</v>
      </c>
      <c r="AP47" s="612">
        <v>152635.88040000002</v>
      </c>
      <c r="AQ47" s="612">
        <v>178075.1938</v>
      </c>
      <c r="AR47" s="612">
        <v>203514.50720000002</v>
      </c>
      <c r="AS47" s="612">
        <v>228953.82060000004</v>
      </c>
      <c r="AT47" s="612">
        <v>254393.13400000002</v>
      </c>
      <c r="AU47" s="612">
        <v>254393.13400000002</v>
      </c>
      <c r="AV47" s="612">
        <v>254393.13400000002</v>
      </c>
      <c r="AW47" s="612">
        <v>254393.13400000002</v>
      </c>
      <c r="AX47" s="612">
        <v>279832.4474</v>
      </c>
      <c r="AY47" s="612">
        <v>305271.76080000005</v>
      </c>
      <c r="AZ47" s="612">
        <v>330711.07420000003</v>
      </c>
      <c r="BA47" s="612">
        <v>356150.3876</v>
      </c>
      <c r="BB47" s="612">
        <v>381589.701</v>
      </c>
      <c r="BC47" s="612">
        <v>381589.701</v>
      </c>
      <c r="BD47" s="612">
        <v>381589.701</v>
      </c>
      <c r="BE47" s="612">
        <v>381589.701</v>
      </c>
      <c r="BF47" s="612">
        <v>407029.0144</v>
      </c>
      <c r="BG47" s="612">
        <v>432468.3278</v>
      </c>
      <c r="BH47" s="612">
        <v>457907.6412</v>
      </c>
      <c r="BI47" s="612">
        <v>483346.9546</v>
      </c>
      <c r="BJ47" s="612">
        <v>508786.26800000004</v>
      </c>
      <c r="BK47" s="612">
        <v>508786.26800000004</v>
      </c>
      <c r="BL47" s="612">
        <v>508786.26800000004</v>
      </c>
      <c r="BM47" s="612">
        <v>508786.26800000004</v>
      </c>
      <c r="BN47" s="612">
        <v>534225.5814</v>
      </c>
      <c r="BO47" s="612">
        <v>559664.8948</v>
      </c>
      <c r="BP47" s="612">
        <v>585104.2082</v>
      </c>
      <c r="BQ47" s="612">
        <v>610543.5216000001</v>
      </c>
      <c r="BR47" s="612">
        <v>635982.8350000001</v>
      </c>
      <c r="BS47" s="612">
        <v>635982.8350000001</v>
      </c>
      <c r="BT47" s="612">
        <v>635982.8350000001</v>
      </c>
      <c r="BU47" s="612">
        <v>635982.8350000001</v>
      </c>
      <c r="BV47" s="612">
        <v>661422.1484000001</v>
      </c>
      <c r="BW47" s="612">
        <v>686861.4618</v>
      </c>
      <c r="BX47" s="612">
        <v>686861.4618</v>
      </c>
      <c r="BY47" s="612">
        <v>686861.4618</v>
      </c>
      <c r="BZ47" s="612">
        <v>686861.4618</v>
      </c>
      <c r="CA47" s="612">
        <v>686861.4618</v>
      </c>
      <c r="CB47" s="612">
        <v>686861.4618</v>
      </c>
      <c r="CC47" s="612">
        <v>686861.4618</v>
      </c>
      <c r="CD47" s="612">
        <v>686861.4618</v>
      </c>
      <c r="CE47" s="612">
        <v>686861.4618</v>
      </c>
      <c r="CF47" s="612">
        <v>686861.4618</v>
      </c>
      <c r="CG47" s="612">
        <v>686861.4618</v>
      </c>
      <c r="CH47" s="612">
        <v>686861.4618</v>
      </c>
      <c r="CI47" s="612">
        <v>686861.4618</v>
      </c>
      <c r="CJ47" s="612">
        <v>686861.4618</v>
      </c>
      <c r="CK47" s="612">
        <v>686861.4618</v>
      </c>
      <c r="CL47" s="612">
        <v>686861.4618</v>
      </c>
      <c r="CM47" s="612">
        <v>686861.4618</v>
      </c>
      <c r="CN47" s="612">
        <v>686861.4618</v>
      </c>
      <c r="CO47" s="612">
        <v>686861.4618</v>
      </c>
      <c r="CP47" s="612">
        <v>686861.4618</v>
      </c>
    </row>
    <row r="48">
      <c r="A48" s="645"/>
      <c r="B48" s="629" t="s">
        <v>380</v>
      </c>
      <c r="C48" s="632" t="b">
        <v>1</v>
      </c>
      <c r="D48" s="633" t="s">
        <v>640</v>
      </c>
      <c r="E48" s="658" t="s">
        <v>494</v>
      </c>
      <c r="F48" s="635" t="s">
        <v>641</v>
      </c>
      <c r="G48" s="625"/>
      <c r="H48" s="625">
        <v>1.0</v>
      </c>
      <c r="I48" s="617">
        <f>36252*1.2*1.05</f>
        <v>45677.52</v>
      </c>
      <c r="J48" s="594">
        <f>I48*IF($C$7=TRUE,VLOOKUP(B48,BuffsDebuffs!$P$8:$X$26,MATCH(E48,BuffsDebuffs!$P$8:$X$8,0),FALSE),1)*IF(AND($C$8=TRUE,H48=1),1.0778,1)*VLOOKUP($C$2,'scaling OLD'!$A$2:$H$55,8,False)*IF(K48="-",1,(1/K48*(1+((K48-1)*VLOOKUP($C$2,'scaling OLD'!$A$2:$H$55,4,False)))))*IF(K48="-",1,VLOOKUP($C$2,'scaling OLD'!$A$2:$H$55,5,False))*VLOOKUP($C$2,'scaling OLD'!$A$2:$H$55,6,False)*IF(AND(LEFT(C$2,7)="CE - Cr",B48="Sword"),1.35,1)</f>
        <v>49231.23106</v>
      </c>
      <c r="K48" s="186">
        <v>3.44</v>
      </c>
      <c r="L48" s="184">
        <v>6.0</v>
      </c>
      <c r="M48" s="184">
        <v>41.0</v>
      </c>
      <c r="N48" s="184">
        <v>23.0</v>
      </c>
      <c r="O48" s="188">
        <v>1.65</v>
      </c>
      <c r="P48" s="638">
        <f t="shared" si="1"/>
        <v>7.317073171</v>
      </c>
      <c r="Q48" s="599">
        <f t="shared" si="2"/>
        <v>295387.3863</v>
      </c>
      <c r="R48" s="600">
        <f t="shared" si="3"/>
        <v>32.75487805</v>
      </c>
      <c r="S48" s="622">
        <f t="shared" si="20"/>
        <v>1132318.314</v>
      </c>
      <c r="T48" s="602">
        <f t="shared" si="5"/>
        <v>886162.159</v>
      </c>
      <c r="U48" s="623">
        <f t="shared" si="19"/>
        <v>40369.60947</v>
      </c>
      <c r="V48" s="624">
        <f t="shared" si="7"/>
        <v>34569.45596</v>
      </c>
      <c r="W48" s="605">
        <f t="shared" si="8"/>
        <v>35093.8361</v>
      </c>
      <c r="X48" s="606">
        <f t="shared" si="9"/>
        <v>32941.33779</v>
      </c>
      <c r="Y48" s="607">
        <f t="shared" si="10"/>
        <v>2</v>
      </c>
      <c r="Z48" s="608">
        <f t="shared" si="11"/>
        <v>16.7</v>
      </c>
      <c r="AA48" s="608">
        <f t="shared" si="12"/>
        <v>0</v>
      </c>
      <c r="AB48" s="607">
        <f t="shared" si="13"/>
        <v>2</v>
      </c>
      <c r="AC48" s="607">
        <f t="shared" si="14"/>
        <v>590774.7727</v>
      </c>
      <c r="AD48" s="608">
        <f t="shared" si="15"/>
        <v>2.065853659</v>
      </c>
      <c r="AE48" s="607">
        <f t="shared" si="16"/>
        <v>2</v>
      </c>
      <c r="AF48" s="609">
        <f t="shared" si="17"/>
        <v>98462.46211</v>
      </c>
      <c r="AG48" s="628">
        <f t="shared" si="21"/>
        <v>689237.2348</v>
      </c>
      <c r="AH48" s="611"/>
      <c r="AI48" s="612">
        <v>46886.88672</v>
      </c>
      <c r="AJ48" s="612">
        <v>46886.88672</v>
      </c>
      <c r="AK48" s="612">
        <v>93773.77344</v>
      </c>
      <c r="AL48" s="612">
        <v>93773.77344</v>
      </c>
      <c r="AM48" s="612">
        <v>93773.77344</v>
      </c>
      <c r="AN48" s="612">
        <v>140660.66016</v>
      </c>
      <c r="AO48" s="612">
        <v>140660.66016</v>
      </c>
      <c r="AP48" s="612">
        <v>140660.66016</v>
      </c>
      <c r="AQ48" s="612">
        <v>187547.54688</v>
      </c>
      <c r="AR48" s="612">
        <v>187547.54688</v>
      </c>
      <c r="AS48" s="612">
        <v>187547.54688</v>
      </c>
      <c r="AT48" s="612">
        <v>234434.43360000002</v>
      </c>
      <c r="AU48" s="612">
        <v>234434.43360000002</v>
      </c>
      <c r="AV48" s="612">
        <v>234434.43360000002</v>
      </c>
      <c r="AW48" s="612">
        <v>281321.32032</v>
      </c>
      <c r="AX48" s="612">
        <v>281321.32032</v>
      </c>
      <c r="AY48" s="612">
        <v>281321.32032</v>
      </c>
      <c r="AZ48" s="612">
        <v>328208.20704</v>
      </c>
      <c r="BA48" s="612">
        <v>328208.20704</v>
      </c>
      <c r="BB48" s="612">
        <v>328208.20704</v>
      </c>
      <c r="BC48" s="612">
        <v>375095.09376</v>
      </c>
      <c r="BD48" s="612">
        <v>375095.09376</v>
      </c>
      <c r="BE48" s="612">
        <v>375095.09376</v>
      </c>
      <c r="BF48" s="612">
        <v>421981.98048</v>
      </c>
      <c r="BG48" s="612">
        <v>421981.98048</v>
      </c>
      <c r="BH48" s="612">
        <v>421981.98048</v>
      </c>
      <c r="BI48" s="612">
        <v>468868.8672</v>
      </c>
      <c r="BJ48" s="612">
        <v>468868.8672</v>
      </c>
      <c r="BK48" s="612">
        <v>468868.8672</v>
      </c>
      <c r="BL48" s="612">
        <v>515755.75392000005</v>
      </c>
      <c r="BM48" s="612">
        <v>515755.75392000005</v>
      </c>
      <c r="BN48" s="612">
        <v>515755.75392000005</v>
      </c>
      <c r="BO48" s="612">
        <v>562642.64064</v>
      </c>
      <c r="BP48" s="612">
        <v>562642.64064</v>
      </c>
      <c r="BQ48" s="612">
        <v>562642.64064</v>
      </c>
      <c r="BR48" s="612">
        <v>609529.52736</v>
      </c>
      <c r="BS48" s="612">
        <v>609529.52736</v>
      </c>
      <c r="BT48" s="612">
        <v>609529.52736</v>
      </c>
      <c r="BU48" s="612">
        <v>656416.41408</v>
      </c>
      <c r="BV48" s="612">
        <v>656416.41408</v>
      </c>
      <c r="BW48" s="612">
        <v>656416.41408</v>
      </c>
      <c r="BX48" s="612">
        <v>703303.3008</v>
      </c>
      <c r="BY48" s="612">
        <v>703303.3008</v>
      </c>
      <c r="BZ48" s="612">
        <v>703303.3008</v>
      </c>
      <c r="CA48" s="612">
        <v>750190.18752</v>
      </c>
      <c r="CB48" s="612">
        <v>750190.18752</v>
      </c>
      <c r="CC48" s="612">
        <v>750190.18752</v>
      </c>
      <c r="CD48" s="612">
        <v>797077.07424</v>
      </c>
      <c r="CE48" s="612">
        <v>797077.07424</v>
      </c>
      <c r="CF48" s="612">
        <v>797077.07424</v>
      </c>
      <c r="CG48" s="612">
        <v>843963.96096</v>
      </c>
      <c r="CH48" s="612">
        <v>843963.96096</v>
      </c>
      <c r="CI48" s="612">
        <v>843963.96096</v>
      </c>
      <c r="CJ48" s="612">
        <v>890850.84768</v>
      </c>
      <c r="CK48" s="612">
        <v>890850.84768</v>
      </c>
      <c r="CL48" s="612">
        <v>890850.84768</v>
      </c>
      <c r="CM48" s="612">
        <v>937737.7344000001</v>
      </c>
      <c r="CN48" s="612">
        <v>937737.7344000001</v>
      </c>
      <c r="CO48" s="612">
        <v>937737.7344000001</v>
      </c>
      <c r="CP48" s="612">
        <v>984624.62112</v>
      </c>
    </row>
    <row r="49">
      <c r="A49" s="645"/>
      <c r="B49" s="629" t="s">
        <v>389</v>
      </c>
      <c r="C49" s="614" t="b">
        <v>0</v>
      </c>
      <c r="D49" s="589" t="s">
        <v>642</v>
      </c>
      <c r="E49" s="615" t="s">
        <v>497</v>
      </c>
      <c r="F49" s="616" t="s">
        <v>643</v>
      </c>
      <c r="G49" s="625">
        <v>1.0</v>
      </c>
      <c r="H49" s="625"/>
      <c r="I49" s="637">
        <v>71388.0</v>
      </c>
      <c r="J49" s="618">
        <f>I49*IF($C$7=TRUE,VLOOKUP(B49,BuffsDebuffs!$P$8:$X$26,MATCH(E49,BuffsDebuffs!$P$8:$X$8,0),FALSE),1)*IF(AND($C$8=TRUE,H49=1),1.0778,1)*VLOOKUP($C$2,'scaling OLD'!$A$2:$H$55,8,False)*IF(K49="-",1,(1/K49*(1+((K49-1)*VLOOKUP($C$2,'scaling OLD'!$A$2:$H$55,4,False)))))*IF(K49="-",1,VLOOKUP($C$2,'scaling OLD'!$A$2:$H$55,5,False))*VLOOKUP($C$2,'scaling OLD'!$A$2:$H$55,6,False)*IF(AND(LEFT(C$2,7)="CE - Cr",B49="Sword"),1.35,1)</f>
        <v>71388</v>
      </c>
      <c r="K49" s="213" t="s">
        <v>349</v>
      </c>
      <c r="L49" s="211">
        <v>1.0</v>
      </c>
      <c r="M49" s="211">
        <v>20.0</v>
      </c>
      <c r="N49" s="211">
        <v>10.0</v>
      </c>
      <c r="O49" s="215">
        <v>2.383</v>
      </c>
      <c r="P49" s="647">
        <f t="shared" si="1"/>
        <v>0</v>
      </c>
      <c r="Q49" s="620">
        <f t="shared" si="2"/>
        <v>71388</v>
      </c>
      <c r="R49" s="621">
        <f t="shared" si="3"/>
        <v>21.447</v>
      </c>
      <c r="S49" s="622">
        <f>N49*J49+(0.5*J49)</f>
        <v>749574</v>
      </c>
      <c r="T49" s="602">
        <f t="shared" si="5"/>
        <v>713880</v>
      </c>
      <c r="U49" s="623" t="str">
        <f t="shared" si="19"/>
        <v>-</v>
      </c>
      <c r="V49" s="624">
        <f t="shared" si="7"/>
        <v>34950.06295</v>
      </c>
      <c r="W49" s="605">
        <f t="shared" si="8"/>
        <v>34950.06295</v>
      </c>
      <c r="X49" s="606">
        <f t="shared" si="9"/>
        <v>29957.19681</v>
      </c>
      <c r="Y49" s="607">
        <f t="shared" si="10"/>
        <v>8</v>
      </c>
      <c r="Z49" s="608">
        <f t="shared" si="11"/>
        <v>0.936</v>
      </c>
      <c r="AA49" s="608">
        <f t="shared" si="12"/>
        <v>0.936</v>
      </c>
      <c r="AB49" s="607">
        <f t="shared" si="13"/>
        <v>9</v>
      </c>
      <c r="AC49" s="607">
        <f t="shared" si="14"/>
        <v>642492</v>
      </c>
      <c r="AD49" s="608">
        <f t="shared" si="15"/>
        <v>0</v>
      </c>
      <c r="AE49" s="607">
        <f t="shared" si="16"/>
        <v>0</v>
      </c>
      <c r="AF49" s="609">
        <f t="shared" si="17"/>
        <v>0</v>
      </c>
      <c r="AG49" s="628">
        <f>Min(S49,AF49+AC49+(0.5*J49))</f>
        <v>678186</v>
      </c>
      <c r="AH49" s="611"/>
      <c r="AI49" s="612">
        <v>107082.0</v>
      </c>
      <c r="AJ49" s="612">
        <v>107082.0</v>
      </c>
      <c r="AK49" s="612">
        <v>107082.0</v>
      </c>
      <c r="AL49" s="612">
        <v>107082.0</v>
      </c>
      <c r="AM49" s="612">
        <v>178470.0</v>
      </c>
      <c r="AN49" s="612">
        <v>178470.0</v>
      </c>
      <c r="AO49" s="612">
        <v>178470.0</v>
      </c>
      <c r="AP49" s="612">
        <v>178470.0</v>
      </c>
      <c r="AQ49" s="612">
        <v>178470.0</v>
      </c>
      <c r="AR49" s="612">
        <v>249858.0</v>
      </c>
      <c r="AS49" s="612">
        <v>249858.0</v>
      </c>
      <c r="AT49" s="612">
        <v>249858.0</v>
      </c>
      <c r="AU49" s="612">
        <v>249858.0</v>
      </c>
      <c r="AV49" s="612">
        <v>249858.0</v>
      </c>
      <c r="AW49" s="612">
        <v>321246.0</v>
      </c>
      <c r="AX49" s="612">
        <v>321246.0</v>
      </c>
      <c r="AY49" s="612">
        <v>321246.0</v>
      </c>
      <c r="AZ49" s="612">
        <v>321246.0</v>
      </c>
      <c r="BA49" s="612">
        <v>321246.0</v>
      </c>
      <c r="BB49" s="612">
        <v>392634.0</v>
      </c>
      <c r="BC49" s="612">
        <v>392634.0</v>
      </c>
      <c r="BD49" s="612">
        <v>392634.0</v>
      </c>
      <c r="BE49" s="612">
        <v>392634.0</v>
      </c>
      <c r="BF49" s="612">
        <v>464022.0</v>
      </c>
      <c r="BG49" s="612">
        <v>464022.0</v>
      </c>
      <c r="BH49" s="612">
        <v>464022.0</v>
      </c>
      <c r="BI49" s="612">
        <v>464022.0</v>
      </c>
      <c r="BJ49" s="612">
        <v>464022.0</v>
      </c>
      <c r="BK49" s="612">
        <v>535410.0</v>
      </c>
      <c r="BL49" s="612">
        <v>535410.0</v>
      </c>
      <c r="BM49" s="612">
        <v>535410.0</v>
      </c>
      <c r="BN49" s="612">
        <v>535410.0</v>
      </c>
      <c r="BO49" s="612">
        <v>535410.0</v>
      </c>
      <c r="BP49" s="612">
        <v>606798.0</v>
      </c>
      <c r="BQ49" s="612">
        <v>606798.0</v>
      </c>
      <c r="BR49" s="612">
        <v>606798.0</v>
      </c>
      <c r="BS49" s="612">
        <v>606798.0</v>
      </c>
      <c r="BT49" s="612">
        <v>606798.0</v>
      </c>
      <c r="BU49" s="612">
        <v>678186.0</v>
      </c>
      <c r="BV49" s="612">
        <v>678186.0</v>
      </c>
      <c r="BW49" s="612">
        <v>678186.0</v>
      </c>
      <c r="BX49" s="612">
        <v>678186.0</v>
      </c>
      <c r="BY49" s="612">
        <v>749574.0</v>
      </c>
      <c r="BZ49" s="612">
        <v>749574.0</v>
      </c>
      <c r="CA49" s="612">
        <v>749574.0</v>
      </c>
      <c r="CB49" s="612">
        <v>749574.0</v>
      </c>
      <c r="CC49" s="612">
        <v>749574.0</v>
      </c>
      <c r="CD49" s="612">
        <v>749574.0</v>
      </c>
      <c r="CE49" s="612">
        <v>749574.0</v>
      </c>
      <c r="CF49" s="612">
        <v>749574.0</v>
      </c>
      <c r="CG49" s="612">
        <v>749574.0</v>
      </c>
      <c r="CH49" s="612">
        <v>749574.0</v>
      </c>
      <c r="CI49" s="612">
        <v>749574.0</v>
      </c>
      <c r="CJ49" s="612">
        <v>749574.0</v>
      </c>
      <c r="CK49" s="612">
        <v>749574.0</v>
      </c>
      <c r="CL49" s="612">
        <v>749574.0</v>
      </c>
      <c r="CM49" s="612">
        <v>749574.0</v>
      </c>
      <c r="CN49" s="612">
        <v>749574.0</v>
      </c>
      <c r="CO49" s="612">
        <v>749574.0</v>
      </c>
      <c r="CP49" s="612">
        <v>749574.0</v>
      </c>
    </row>
    <row r="50">
      <c r="A50" s="645"/>
      <c r="B50" s="629" t="s">
        <v>384</v>
      </c>
      <c r="C50" s="614" t="b">
        <v>0</v>
      </c>
      <c r="D50" s="589" t="s">
        <v>644</v>
      </c>
      <c r="E50" s="615" t="s">
        <v>494</v>
      </c>
      <c r="F50" s="616" t="s">
        <v>645</v>
      </c>
      <c r="G50" s="625">
        <v>1.0</v>
      </c>
      <c r="H50" s="630"/>
      <c r="I50" s="617">
        <f>3082*1.07</f>
        <v>3297.74</v>
      </c>
      <c r="J50" s="594">
        <f>I50*IF($C$7=TRUE,VLOOKUP(B50,BuffsDebuffs!$P$8:$X$26,MATCH(E50,BuffsDebuffs!$P$8:$X$8,0),FALSE),1)*IF(AND($C$8=TRUE,H50=1),1.0778,1)*VLOOKUP($C$2,'scaling OLD'!$A$2:$H$55,8,False)*IF(K50="-",1,(1/K50*(1+((K50-1)*VLOOKUP($C$2,'scaling OLD'!$A$2:$H$55,4,False)))))*IF(K50="-",1,VLOOKUP($C$2,'scaling OLD'!$A$2:$H$55,5,False))*VLOOKUP($C$2,'scaling OLD'!$A$2:$H$55,6,False)*IF(AND(LEFT(C$2,7)="CE - Cr",B50="Sword"),1.35,1)</f>
        <v>3297.74</v>
      </c>
      <c r="K50" s="186">
        <v>1.405</v>
      </c>
      <c r="L50" s="184">
        <v>195.0</v>
      </c>
      <c r="M50" s="184">
        <v>673.05</v>
      </c>
      <c r="N50" s="184">
        <v>409.0</v>
      </c>
      <c r="O50" s="188">
        <v>3.05</v>
      </c>
      <c r="P50" s="638">
        <f t="shared" si="1"/>
        <v>17.29440606</v>
      </c>
      <c r="Q50" s="599">
        <f t="shared" si="2"/>
        <v>643059.3</v>
      </c>
      <c r="R50" s="600">
        <f t="shared" si="3"/>
        <v>42.29344774</v>
      </c>
      <c r="S50" s="622">
        <f t="shared" ref="S50:S137" si="22">N50*J50</f>
        <v>1348775.66</v>
      </c>
      <c r="T50" s="602">
        <f t="shared" si="5"/>
        <v>1286118.6</v>
      </c>
      <c r="U50" s="623">
        <f t="shared" si="19"/>
        <v>37183.08092</v>
      </c>
      <c r="V50" s="624">
        <f t="shared" si="7"/>
        <v>31890.8893</v>
      </c>
      <c r="W50" s="605">
        <f t="shared" si="8"/>
        <v>34170.01035</v>
      </c>
      <c r="X50" s="606">
        <f t="shared" si="9"/>
        <v>31608.65439</v>
      </c>
      <c r="Y50" s="607">
        <f t="shared" si="10"/>
        <v>0</v>
      </c>
      <c r="Z50" s="608">
        <f t="shared" si="11"/>
        <v>20</v>
      </c>
      <c r="AA50" s="608">
        <f t="shared" si="12"/>
        <v>2.705593938</v>
      </c>
      <c r="AB50" s="607">
        <f t="shared" si="13"/>
        <v>1</v>
      </c>
      <c r="AC50" s="607">
        <f t="shared" si="14"/>
        <v>643059.3</v>
      </c>
      <c r="AD50" s="608">
        <f t="shared" si="15"/>
        <v>0</v>
      </c>
      <c r="AE50" s="607">
        <f t="shared" si="16"/>
        <v>0</v>
      </c>
      <c r="AF50" s="609">
        <f t="shared" si="17"/>
        <v>0</v>
      </c>
      <c r="AG50" s="628">
        <f t="shared" ref="AG50:AG137" si="23">Min(S50,AF50+AC50)</f>
        <v>643059.3</v>
      </c>
      <c r="AH50" s="611"/>
      <c r="AI50" s="612">
        <v>18492.0</v>
      </c>
      <c r="AJ50" s="612">
        <v>36984.0</v>
      </c>
      <c r="AK50" s="612">
        <v>52394.0</v>
      </c>
      <c r="AL50" s="612">
        <v>70886.0</v>
      </c>
      <c r="AM50" s="612">
        <v>89378.0</v>
      </c>
      <c r="AN50" s="612">
        <v>104788.0</v>
      </c>
      <c r="AO50" s="612">
        <v>123280.0</v>
      </c>
      <c r="AP50" s="612">
        <v>138690.0</v>
      </c>
      <c r="AQ50" s="612">
        <v>157182.0</v>
      </c>
      <c r="AR50" s="612">
        <v>175674.0</v>
      </c>
      <c r="AS50" s="612">
        <v>191084.0</v>
      </c>
      <c r="AT50" s="612">
        <v>209576.0</v>
      </c>
      <c r="AU50" s="612">
        <v>224986.0</v>
      </c>
      <c r="AV50" s="612">
        <v>243478.0</v>
      </c>
      <c r="AW50" s="612">
        <v>261970.0</v>
      </c>
      <c r="AX50" s="612">
        <v>277380.0</v>
      </c>
      <c r="AY50" s="612">
        <v>295872.0</v>
      </c>
      <c r="AZ50" s="612">
        <v>311282.0</v>
      </c>
      <c r="BA50" s="612">
        <v>329774.0</v>
      </c>
      <c r="BB50" s="612">
        <v>348266.0</v>
      </c>
      <c r="BC50" s="612">
        <v>363676.0</v>
      </c>
      <c r="BD50" s="612">
        <v>382168.0</v>
      </c>
      <c r="BE50" s="612">
        <v>400660.0</v>
      </c>
      <c r="BF50" s="612">
        <v>416070.0</v>
      </c>
      <c r="BG50" s="612">
        <v>434562.0</v>
      </c>
      <c r="BH50" s="612">
        <v>449972.0</v>
      </c>
      <c r="BI50" s="612">
        <v>468464.0</v>
      </c>
      <c r="BJ50" s="612">
        <v>486956.0</v>
      </c>
      <c r="BK50" s="612">
        <v>502366.0</v>
      </c>
      <c r="BL50" s="612">
        <v>520858.0</v>
      </c>
      <c r="BM50" s="612">
        <v>536268.0</v>
      </c>
      <c r="BN50" s="612">
        <v>554760.0</v>
      </c>
      <c r="BO50" s="612">
        <v>573252.0</v>
      </c>
      <c r="BP50" s="612">
        <v>588662.0</v>
      </c>
      <c r="BQ50" s="612">
        <v>600990.0</v>
      </c>
      <c r="BR50" s="612">
        <v>600990.0</v>
      </c>
      <c r="BS50" s="612">
        <v>600990.0</v>
      </c>
      <c r="BT50" s="612">
        <v>600990.0</v>
      </c>
      <c r="BU50" s="612">
        <v>600990.0</v>
      </c>
      <c r="BV50" s="612">
        <v>600990.0</v>
      </c>
      <c r="BW50" s="612">
        <v>607154.0</v>
      </c>
      <c r="BX50" s="612">
        <v>625646.0</v>
      </c>
      <c r="BY50" s="612">
        <v>641056.0</v>
      </c>
      <c r="BZ50" s="612">
        <v>659548.0</v>
      </c>
      <c r="CA50" s="612">
        <v>678040.0</v>
      </c>
      <c r="CB50" s="612">
        <v>693450.0</v>
      </c>
      <c r="CC50" s="612">
        <v>711942.0</v>
      </c>
      <c r="CD50" s="612">
        <v>730434.0</v>
      </c>
      <c r="CE50" s="612">
        <v>745844.0</v>
      </c>
      <c r="CF50" s="612">
        <v>764336.0</v>
      </c>
      <c r="CG50" s="612">
        <v>779746.0</v>
      </c>
      <c r="CH50" s="612">
        <v>798238.0</v>
      </c>
      <c r="CI50" s="612">
        <v>816730.0</v>
      </c>
      <c r="CJ50" s="612">
        <v>832140.0</v>
      </c>
      <c r="CK50" s="612">
        <v>850632.0</v>
      </c>
      <c r="CL50" s="612">
        <v>866042.0</v>
      </c>
      <c r="CM50" s="612">
        <v>884534.0</v>
      </c>
      <c r="CN50" s="612">
        <v>903026.0</v>
      </c>
      <c r="CO50" s="612">
        <v>918436.0</v>
      </c>
      <c r="CP50" s="612">
        <v>936928.0</v>
      </c>
    </row>
    <row r="51">
      <c r="A51" s="645"/>
      <c r="B51" s="629" t="s">
        <v>411</v>
      </c>
      <c r="C51" s="614" t="b">
        <v>0</v>
      </c>
      <c r="D51" s="589" t="s">
        <v>646</v>
      </c>
      <c r="E51" s="615" t="s">
        <v>500</v>
      </c>
      <c r="F51" s="616" t="s">
        <v>604</v>
      </c>
      <c r="G51" s="625">
        <v>1.0</v>
      </c>
      <c r="H51" s="625"/>
      <c r="I51" s="617">
        <f>8121*1.07</f>
        <v>8689.47</v>
      </c>
      <c r="J51" s="618">
        <f>I51*IF($C$7=TRUE,VLOOKUP(B51,BuffsDebuffs!$P$8:$X$26,MATCH(E51,BuffsDebuffs!$P$8:$X$8,0),FALSE),1)*IF(AND($C$8=TRUE,H51=1),1.0778,1)*VLOOKUP($C$2,'scaling OLD'!$A$2:$H$55,8,False)*IF(K51="-",1,(1/K51*(1+((K51-1)*VLOOKUP($C$2,'scaling OLD'!$A$2:$H$55,4,False)))))*IF(K51="-",1,VLOOKUP($C$2,'scaling OLD'!$A$2:$H$55,5,False))*VLOOKUP($C$2,'scaling OLD'!$A$2:$H$55,6,False)*IF(AND(LEFT(C$2,7)="CE - Cr",B51="Sword"),1.35,1)</f>
        <v>8689.47</v>
      </c>
      <c r="K51" s="186" t="s">
        <v>349</v>
      </c>
      <c r="L51" s="184">
        <v>69.0</v>
      </c>
      <c r="M51" s="184">
        <v>230.7</v>
      </c>
      <c r="N51" s="184">
        <v>69.0</v>
      </c>
      <c r="O51" s="188">
        <v>0.0</v>
      </c>
      <c r="P51" s="647">
        <f t="shared" si="1"/>
        <v>17.68530559</v>
      </c>
      <c r="Q51" s="620">
        <f t="shared" si="2"/>
        <v>599573.43</v>
      </c>
      <c r="R51" s="621">
        <f t="shared" si="3"/>
        <v>17.68530559</v>
      </c>
      <c r="S51" s="622">
        <f t="shared" si="22"/>
        <v>599573.43</v>
      </c>
      <c r="T51" s="602">
        <f t="shared" si="5"/>
        <v>599573.43</v>
      </c>
      <c r="U51" s="623">
        <f t="shared" si="19"/>
        <v>33902.35056</v>
      </c>
      <c r="V51" s="624">
        <f t="shared" si="7"/>
        <v>33902.35056</v>
      </c>
      <c r="W51" s="605">
        <f t="shared" si="8"/>
        <v>33902.35056</v>
      </c>
      <c r="X51" s="606">
        <f t="shared" si="9"/>
        <v>33902.35056</v>
      </c>
      <c r="Y51" s="607">
        <f t="shared" si="10"/>
        <v>1</v>
      </c>
      <c r="Z51" s="608">
        <f t="shared" si="11"/>
        <v>20</v>
      </c>
      <c r="AA51" s="608">
        <f t="shared" si="12"/>
        <v>0</v>
      </c>
      <c r="AB51" s="607">
        <f t="shared" si="13"/>
        <v>1</v>
      </c>
      <c r="AC51" s="607">
        <f t="shared" si="14"/>
        <v>599573.43</v>
      </c>
      <c r="AD51" s="608">
        <f t="shared" si="15"/>
        <v>2.314694408</v>
      </c>
      <c r="AE51" s="607">
        <f t="shared" si="16"/>
        <v>9</v>
      </c>
      <c r="AF51" s="609">
        <f t="shared" si="17"/>
        <v>78205.23</v>
      </c>
      <c r="AG51" s="628">
        <f t="shared" si="23"/>
        <v>599573.43</v>
      </c>
      <c r="AH51" s="611"/>
      <c r="AI51" s="612">
        <v>16242.0</v>
      </c>
      <c r="AJ51" s="612">
        <v>32484.0</v>
      </c>
      <c r="AK51" s="612">
        <v>48726.0</v>
      </c>
      <c r="AL51" s="612">
        <v>64968.0</v>
      </c>
      <c r="AM51" s="612">
        <v>81210.0</v>
      </c>
      <c r="AN51" s="612">
        <v>97452.0</v>
      </c>
      <c r="AO51" s="612">
        <v>113694.0</v>
      </c>
      <c r="AP51" s="612">
        <v>129936.0</v>
      </c>
      <c r="AQ51" s="612">
        <v>146178.0</v>
      </c>
      <c r="AR51" s="612">
        <v>162420.0</v>
      </c>
      <c r="AS51" s="612">
        <v>178662.0</v>
      </c>
      <c r="AT51" s="612">
        <v>194904.0</v>
      </c>
      <c r="AU51" s="612">
        <v>203025.0</v>
      </c>
      <c r="AV51" s="612">
        <v>219267.0</v>
      </c>
      <c r="AW51" s="612">
        <v>235509.0</v>
      </c>
      <c r="AX51" s="612">
        <v>251751.0</v>
      </c>
      <c r="AY51" s="612">
        <v>267993.0</v>
      </c>
      <c r="AZ51" s="612">
        <v>284235.0</v>
      </c>
      <c r="BA51" s="612">
        <v>300477.0</v>
      </c>
      <c r="BB51" s="612">
        <v>316719.0</v>
      </c>
      <c r="BC51" s="612">
        <v>332961.0</v>
      </c>
      <c r="BD51" s="612">
        <v>349203.0</v>
      </c>
      <c r="BE51" s="612">
        <v>365445.0</v>
      </c>
      <c r="BF51" s="612">
        <v>381687.0</v>
      </c>
      <c r="BG51" s="612">
        <v>397929.0</v>
      </c>
      <c r="BH51" s="612">
        <v>406050.0</v>
      </c>
      <c r="BI51" s="612">
        <v>422292.0</v>
      </c>
      <c r="BJ51" s="612">
        <v>438534.0</v>
      </c>
      <c r="BK51" s="612">
        <v>454776.0</v>
      </c>
      <c r="BL51" s="612">
        <v>471018.0</v>
      </c>
      <c r="BM51" s="612">
        <v>487260.0</v>
      </c>
      <c r="BN51" s="612">
        <v>503502.0</v>
      </c>
      <c r="BO51" s="612">
        <v>519744.0</v>
      </c>
      <c r="BP51" s="612">
        <v>535986.0</v>
      </c>
      <c r="BQ51" s="612">
        <v>552228.0</v>
      </c>
      <c r="BR51" s="612">
        <v>560349.0</v>
      </c>
      <c r="BS51" s="612">
        <v>560349.0</v>
      </c>
      <c r="BT51" s="612">
        <v>560349.0</v>
      </c>
      <c r="BU51" s="612">
        <v>560349.0</v>
      </c>
      <c r="BV51" s="612">
        <v>560349.0</v>
      </c>
      <c r="BW51" s="612">
        <v>560349.0</v>
      </c>
      <c r="BX51" s="612">
        <v>560349.0</v>
      </c>
      <c r="BY51" s="612">
        <v>560349.0</v>
      </c>
      <c r="BZ51" s="612">
        <v>560349.0</v>
      </c>
      <c r="CA51" s="612">
        <v>560349.0</v>
      </c>
      <c r="CB51" s="612">
        <v>560349.0</v>
      </c>
      <c r="CC51" s="612">
        <v>560349.0</v>
      </c>
      <c r="CD51" s="612">
        <v>560349.0</v>
      </c>
      <c r="CE51" s="612">
        <v>560349.0</v>
      </c>
      <c r="CF51" s="612">
        <v>560349.0</v>
      </c>
      <c r="CG51" s="612">
        <v>560349.0</v>
      </c>
      <c r="CH51" s="612">
        <v>560349.0</v>
      </c>
      <c r="CI51" s="612">
        <v>560349.0</v>
      </c>
      <c r="CJ51" s="612">
        <v>560349.0</v>
      </c>
      <c r="CK51" s="612">
        <v>560349.0</v>
      </c>
      <c r="CL51" s="612">
        <v>560349.0</v>
      </c>
      <c r="CM51" s="612">
        <v>560349.0</v>
      </c>
      <c r="CN51" s="612">
        <v>560349.0</v>
      </c>
      <c r="CO51" s="612">
        <v>560349.0</v>
      </c>
      <c r="CP51" s="612">
        <v>560349.0</v>
      </c>
    </row>
    <row r="52">
      <c r="A52" s="645"/>
      <c r="B52" s="613" t="s">
        <v>394</v>
      </c>
      <c r="C52" s="614" t="b">
        <v>0</v>
      </c>
      <c r="D52" s="589" t="s">
        <v>647</v>
      </c>
      <c r="E52" s="615" t="s">
        <v>468</v>
      </c>
      <c r="F52" s="649" t="s">
        <v>648</v>
      </c>
      <c r="G52" s="648">
        <v>1.0</v>
      </c>
      <c r="H52" s="648"/>
      <c r="I52" s="637">
        <f>26940*1.09</f>
        <v>29364.6</v>
      </c>
      <c r="J52" s="594">
        <f>I52*IF($C$7=TRUE,VLOOKUP(B52,BuffsDebuffs!$P$8:$X$26,MATCH(E52,BuffsDebuffs!$P$8:$X$8,0),FALSE),1)*IF(AND($C$8=TRUE,H52=1),1.0778,1)*VLOOKUP($C$2,'scaling OLD'!$A$2:$H$55,8,False)*IF(K52="-",1,(1/K52*(1+((K52-1)*VLOOKUP($C$2,'scaling OLD'!$A$2:$H$55,4,False)))))*IF(K52="-",1,VLOOKUP($C$2,'scaling OLD'!$A$2:$H$55,5,False))*VLOOKUP($C$2,'scaling OLD'!$A$2:$H$55,6,False)*IF(AND(LEFT(C$2,7)="CE - Cr",B52="Sword"),1.35,1)</f>
        <v>29364.6</v>
      </c>
      <c r="K52" s="213">
        <v>2.15</v>
      </c>
      <c r="L52" s="211">
        <v>5.0</v>
      </c>
      <c r="M52" s="211">
        <v>120.0</v>
      </c>
      <c r="N52" s="211">
        <v>21.0</v>
      </c>
      <c r="O52" s="215">
        <v>2.45</v>
      </c>
      <c r="P52" s="638">
        <f>60/M52*(L52)</f>
        <v>2.5</v>
      </c>
      <c r="Q52" s="599">
        <f t="shared" si="2"/>
        <v>146823</v>
      </c>
      <c r="R52" s="600">
        <f t="shared" si="3"/>
        <v>19.8</v>
      </c>
      <c r="S52" s="622">
        <f t="shared" si="22"/>
        <v>616656.6</v>
      </c>
      <c r="T52" s="602">
        <f t="shared" si="5"/>
        <v>587292</v>
      </c>
      <c r="U52" s="623">
        <f t="shared" si="19"/>
        <v>58729.2</v>
      </c>
      <c r="V52" s="624">
        <f t="shared" si="7"/>
        <v>31144.27273</v>
      </c>
      <c r="W52" s="605">
        <f t="shared" si="8"/>
        <v>33849.683</v>
      </c>
      <c r="X52" s="606">
        <f t="shared" si="9"/>
        <v>29661.21212</v>
      </c>
      <c r="Y52" s="607">
        <f t="shared" si="10"/>
        <v>4</v>
      </c>
      <c r="Z52" s="608">
        <f t="shared" si="11"/>
        <v>10.2</v>
      </c>
      <c r="AA52" s="608">
        <f t="shared" si="12"/>
        <v>0</v>
      </c>
      <c r="AB52" s="607">
        <f t="shared" si="13"/>
        <v>4</v>
      </c>
      <c r="AC52" s="607">
        <f t="shared" si="14"/>
        <v>587292</v>
      </c>
      <c r="AD52" s="608">
        <f t="shared" si="15"/>
        <v>0.2</v>
      </c>
      <c r="AE52" s="607">
        <f t="shared" si="16"/>
        <v>1</v>
      </c>
      <c r="AF52" s="609">
        <f t="shared" si="17"/>
        <v>29364.6</v>
      </c>
      <c r="AG52" s="628">
        <f t="shared" si="23"/>
        <v>616656.6</v>
      </c>
      <c r="AH52" s="611"/>
      <c r="AI52" s="612">
        <v>53880.0</v>
      </c>
      <c r="AJ52" s="612">
        <v>80820.0</v>
      </c>
      <c r="AK52" s="612">
        <v>107760.0</v>
      </c>
      <c r="AL52" s="612">
        <v>134700.0</v>
      </c>
      <c r="AM52" s="612">
        <v>134700.0</v>
      </c>
      <c r="AN52" s="612">
        <v>134700.0</v>
      </c>
      <c r="AO52" s="612">
        <v>134700.0</v>
      </c>
      <c r="AP52" s="612">
        <v>134700.0</v>
      </c>
      <c r="AQ52" s="612">
        <v>134700.0</v>
      </c>
      <c r="AR52" s="612">
        <v>161640.0</v>
      </c>
      <c r="AS52" s="612">
        <v>188580.0</v>
      </c>
      <c r="AT52" s="612">
        <v>215520.0</v>
      </c>
      <c r="AU52" s="612">
        <v>242460.0</v>
      </c>
      <c r="AV52" s="612">
        <v>269400.0</v>
      </c>
      <c r="AW52" s="612">
        <v>269400.0</v>
      </c>
      <c r="AX52" s="612">
        <v>269400.0</v>
      </c>
      <c r="AY52" s="612">
        <v>269400.0</v>
      </c>
      <c r="AZ52" s="612">
        <v>269400.0</v>
      </c>
      <c r="BA52" s="612">
        <v>269400.0</v>
      </c>
      <c r="BB52" s="612">
        <v>296340.0</v>
      </c>
      <c r="BC52" s="612">
        <v>323280.0</v>
      </c>
      <c r="BD52" s="612">
        <v>350220.0</v>
      </c>
      <c r="BE52" s="612">
        <v>377160.0</v>
      </c>
      <c r="BF52" s="612">
        <v>404100.0</v>
      </c>
      <c r="BG52" s="612">
        <v>404100.0</v>
      </c>
      <c r="BH52" s="612">
        <v>404100.0</v>
      </c>
      <c r="BI52" s="612">
        <v>404100.0</v>
      </c>
      <c r="BJ52" s="612">
        <v>404100.0</v>
      </c>
      <c r="BK52" s="612">
        <v>404100.0</v>
      </c>
      <c r="BL52" s="612">
        <v>431040.0</v>
      </c>
      <c r="BM52" s="612">
        <v>457980.0</v>
      </c>
      <c r="BN52" s="612">
        <v>484920.0</v>
      </c>
      <c r="BO52" s="612">
        <v>511860.0</v>
      </c>
      <c r="BP52" s="612">
        <v>538800.0</v>
      </c>
      <c r="BQ52" s="612">
        <v>538800.0</v>
      </c>
      <c r="BR52" s="612">
        <v>538800.0</v>
      </c>
      <c r="BS52" s="612">
        <v>538800.0</v>
      </c>
      <c r="BT52" s="612">
        <v>538800.0</v>
      </c>
      <c r="BU52" s="612">
        <v>538800.0</v>
      </c>
      <c r="BV52" s="612">
        <v>565740.0</v>
      </c>
      <c r="BW52" s="612">
        <v>565740.0</v>
      </c>
      <c r="BX52" s="612">
        <v>565740.0</v>
      </c>
      <c r="BY52" s="612">
        <v>565740.0</v>
      </c>
      <c r="BZ52" s="612">
        <v>565740.0</v>
      </c>
      <c r="CA52" s="612">
        <v>565740.0</v>
      </c>
      <c r="CB52" s="612">
        <v>565740.0</v>
      </c>
      <c r="CC52" s="612">
        <v>565740.0</v>
      </c>
      <c r="CD52" s="612">
        <v>565740.0</v>
      </c>
      <c r="CE52" s="612">
        <v>565740.0</v>
      </c>
      <c r="CF52" s="612">
        <v>565740.0</v>
      </c>
      <c r="CG52" s="612">
        <v>565740.0</v>
      </c>
      <c r="CH52" s="612">
        <v>565740.0</v>
      </c>
      <c r="CI52" s="612">
        <v>565740.0</v>
      </c>
      <c r="CJ52" s="612">
        <v>565740.0</v>
      </c>
      <c r="CK52" s="612">
        <v>565740.0</v>
      </c>
      <c r="CL52" s="612">
        <v>565740.0</v>
      </c>
      <c r="CM52" s="612">
        <v>565740.0</v>
      </c>
      <c r="CN52" s="612">
        <v>565740.0</v>
      </c>
      <c r="CO52" s="612">
        <v>565740.0</v>
      </c>
      <c r="CP52" s="612">
        <v>565740.0</v>
      </c>
    </row>
    <row r="53">
      <c r="A53" s="645"/>
      <c r="B53" s="629" t="s">
        <v>389</v>
      </c>
      <c r="C53" s="614" t="b">
        <v>0</v>
      </c>
      <c r="D53" s="589" t="s">
        <v>649</v>
      </c>
      <c r="E53" s="615" t="s">
        <v>497</v>
      </c>
      <c r="F53" s="659" t="s">
        <v>650</v>
      </c>
      <c r="G53" s="648">
        <v>1.0</v>
      </c>
      <c r="H53" s="648"/>
      <c r="I53" s="617">
        <v>63850.0</v>
      </c>
      <c r="J53" s="618">
        <f>I53*IF($C$7=TRUE,VLOOKUP(B53,BuffsDebuffs!$P$8:$X$26,MATCH(E53,BuffsDebuffs!$P$8:$X$8,0),FALSE),1)*IF(AND($C$8=TRUE,H53=1),1.0778,1)*VLOOKUP($C$2,'scaling OLD'!$A$2:$H$55,8,False)*IF(K53="-",1,(1/K53*(1+((K53-1)*VLOOKUP($C$2,'scaling OLD'!$A$2:$H$55,4,False)))))*IF(K53="-",1,VLOOKUP($C$2,'scaling OLD'!$A$2:$H$55,5,False))*VLOOKUP($C$2,'scaling OLD'!$A$2:$H$55,6,False)*IF(AND(LEFT(C$2,7)="CE - Cr",B53="Sword"),1.35,1)</f>
        <v>63850</v>
      </c>
      <c r="K53" s="186" t="s">
        <v>349</v>
      </c>
      <c r="L53" s="184">
        <v>1.0</v>
      </c>
      <c r="M53" s="184">
        <v>46.5</v>
      </c>
      <c r="N53" s="184">
        <v>12.0</v>
      </c>
      <c r="O53" s="188">
        <v>2.067</v>
      </c>
      <c r="P53" s="647">
        <f t="shared" ref="P53:P137" si="24">60/M53*(L53-1)</f>
        <v>0</v>
      </c>
      <c r="Q53" s="620">
        <f t="shared" si="2"/>
        <v>63850</v>
      </c>
      <c r="R53" s="621">
        <f t="shared" si="3"/>
        <v>22.737</v>
      </c>
      <c r="S53" s="622">
        <f t="shared" si="22"/>
        <v>766200</v>
      </c>
      <c r="T53" s="602">
        <f t="shared" si="5"/>
        <v>766200</v>
      </c>
      <c r="U53" s="623" t="str">
        <f t="shared" si="19"/>
        <v>-</v>
      </c>
      <c r="V53" s="624">
        <f t="shared" si="7"/>
        <v>33698.37709</v>
      </c>
      <c r="W53" s="605">
        <f t="shared" si="8"/>
        <v>33698.37709</v>
      </c>
      <c r="X53" s="606">
        <f t="shared" si="9"/>
        <v>30890.179</v>
      </c>
      <c r="Y53" s="607">
        <f t="shared" si="10"/>
        <v>9</v>
      </c>
      <c r="Z53" s="608">
        <f t="shared" si="11"/>
        <v>1.397</v>
      </c>
      <c r="AA53" s="608">
        <f t="shared" si="12"/>
        <v>1.397</v>
      </c>
      <c r="AB53" s="607">
        <f t="shared" si="13"/>
        <v>10</v>
      </c>
      <c r="AC53" s="607">
        <f t="shared" si="14"/>
        <v>638500</v>
      </c>
      <c r="AD53" s="608">
        <f t="shared" si="15"/>
        <v>0</v>
      </c>
      <c r="AE53" s="607">
        <f t="shared" si="16"/>
        <v>0</v>
      </c>
      <c r="AF53" s="609">
        <f t="shared" si="17"/>
        <v>0</v>
      </c>
      <c r="AG53" s="628">
        <f t="shared" si="23"/>
        <v>638500</v>
      </c>
      <c r="AH53" s="611"/>
      <c r="AI53" s="612">
        <v>63850.0</v>
      </c>
      <c r="AJ53" s="612">
        <v>63850.0</v>
      </c>
      <c r="AK53" s="612">
        <v>63850.0</v>
      </c>
      <c r="AL53" s="612">
        <v>63850.0</v>
      </c>
      <c r="AM53" s="612">
        <v>127700.0</v>
      </c>
      <c r="AN53" s="612">
        <v>127700.0</v>
      </c>
      <c r="AO53" s="612">
        <v>127700.0</v>
      </c>
      <c r="AP53" s="612">
        <v>127700.0</v>
      </c>
      <c r="AQ53" s="612">
        <v>191550.0</v>
      </c>
      <c r="AR53" s="612">
        <v>191550.0</v>
      </c>
      <c r="AS53" s="612">
        <v>191550.0</v>
      </c>
      <c r="AT53" s="612">
        <v>191550.0</v>
      </c>
      <c r="AU53" s="612">
        <v>255400.0</v>
      </c>
      <c r="AV53" s="612">
        <v>255400.0</v>
      </c>
      <c r="AW53" s="612">
        <v>255400.0</v>
      </c>
      <c r="AX53" s="612">
        <v>255400.0</v>
      </c>
      <c r="AY53" s="612">
        <v>319250.0</v>
      </c>
      <c r="AZ53" s="612">
        <v>319250.0</v>
      </c>
      <c r="BA53" s="612">
        <v>319250.0</v>
      </c>
      <c r="BB53" s="612">
        <v>319250.0</v>
      </c>
      <c r="BC53" s="612">
        <v>383100.0</v>
      </c>
      <c r="BD53" s="612">
        <v>383100.0</v>
      </c>
      <c r="BE53" s="612">
        <v>383100.0</v>
      </c>
      <c r="BF53" s="612">
        <v>383100.0</v>
      </c>
      <c r="BG53" s="612">
        <v>446950.0</v>
      </c>
      <c r="BH53" s="612">
        <v>446950.0</v>
      </c>
      <c r="BI53" s="612">
        <v>446950.0</v>
      </c>
      <c r="BJ53" s="612">
        <v>446950.0</v>
      </c>
      <c r="BK53" s="612">
        <v>510800.0</v>
      </c>
      <c r="BL53" s="612">
        <v>510800.0</v>
      </c>
      <c r="BM53" s="612">
        <v>510800.0</v>
      </c>
      <c r="BN53" s="612">
        <v>510800.0</v>
      </c>
      <c r="BO53" s="612">
        <v>510800.0</v>
      </c>
      <c r="BP53" s="612">
        <v>574650.0</v>
      </c>
      <c r="BQ53" s="612">
        <v>574650.0</v>
      </c>
      <c r="BR53" s="612">
        <v>574650.0</v>
      </c>
      <c r="BS53" s="612">
        <v>574650.0</v>
      </c>
      <c r="BT53" s="612">
        <v>638500.0</v>
      </c>
      <c r="BU53" s="612">
        <v>638500.0</v>
      </c>
      <c r="BV53" s="612">
        <v>638500.0</v>
      </c>
      <c r="BW53" s="612">
        <v>638500.0</v>
      </c>
      <c r="BX53" s="612">
        <v>702350.0</v>
      </c>
      <c r="BY53" s="612">
        <v>702350.0</v>
      </c>
      <c r="BZ53" s="612">
        <v>702350.0</v>
      </c>
      <c r="CA53" s="612">
        <v>702350.0</v>
      </c>
      <c r="CB53" s="612">
        <v>766200.0</v>
      </c>
      <c r="CC53" s="612">
        <v>766200.0</v>
      </c>
      <c r="CD53" s="612">
        <v>766200.0</v>
      </c>
      <c r="CE53" s="612">
        <v>766200.0</v>
      </c>
      <c r="CF53" s="612">
        <v>766200.0</v>
      </c>
      <c r="CG53" s="612">
        <v>766200.0</v>
      </c>
      <c r="CH53" s="612">
        <v>766200.0</v>
      </c>
      <c r="CI53" s="612">
        <v>766200.0</v>
      </c>
      <c r="CJ53" s="612">
        <v>766200.0</v>
      </c>
      <c r="CK53" s="612">
        <v>766200.0</v>
      </c>
      <c r="CL53" s="612">
        <v>766200.0</v>
      </c>
      <c r="CM53" s="612">
        <v>766200.0</v>
      </c>
      <c r="CN53" s="612">
        <v>766200.0</v>
      </c>
      <c r="CO53" s="612">
        <v>766200.0</v>
      </c>
      <c r="CP53" s="612">
        <v>766200.0</v>
      </c>
    </row>
    <row r="54">
      <c r="A54" s="645"/>
      <c r="B54" s="629" t="s">
        <v>389</v>
      </c>
      <c r="C54" s="660" t="b">
        <v>0</v>
      </c>
      <c r="D54" s="651" t="s">
        <v>651</v>
      </c>
      <c r="E54" s="652" t="s">
        <v>497</v>
      </c>
      <c r="F54" s="653" t="s">
        <v>602</v>
      </c>
      <c r="G54" s="648">
        <v>1.0</v>
      </c>
      <c r="H54" s="648"/>
      <c r="I54" s="637">
        <v>49952.0</v>
      </c>
      <c r="J54" s="594">
        <f>I54*IF($C$7=TRUE,VLOOKUP(B54,BuffsDebuffs!$P$8:$X$26,MATCH(E54,BuffsDebuffs!$P$8:$X$8,0),FALSE),1)*IF(AND($C$8=TRUE,H54=1),1.0778,1)*VLOOKUP($C$2,'scaling OLD'!$A$2:$H$55,8,False)*IF(K54="-",1,(1/K54*(1+((K54-1)*VLOOKUP($C$2,'scaling OLD'!$A$2:$H$55,4,False)))))*IF(K54="-",1,VLOOKUP($C$2,'scaling OLD'!$A$2:$H$55,5,False))*VLOOKUP($C$2,'scaling OLD'!$A$2:$H$55,6,False)*IF(AND(LEFT(C$2,7)="CE - Cr",B54="Sword"),1.35,1)</f>
        <v>49952</v>
      </c>
      <c r="K54" s="213" t="s">
        <v>349</v>
      </c>
      <c r="L54" s="211">
        <v>2.0</v>
      </c>
      <c r="M54" s="211">
        <v>47.0</v>
      </c>
      <c r="N54" s="211">
        <v>12.0</v>
      </c>
      <c r="O54" s="215">
        <v>2.067</v>
      </c>
      <c r="P54" s="638">
        <f t="shared" si="24"/>
        <v>1.276595745</v>
      </c>
      <c r="Q54" s="599">
        <f t="shared" si="2"/>
        <v>99904</v>
      </c>
      <c r="R54" s="600">
        <f t="shared" si="3"/>
        <v>17.99457447</v>
      </c>
      <c r="S54" s="622">
        <f t="shared" si="22"/>
        <v>599424</v>
      </c>
      <c r="T54" s="602">
        <f t="shared" si="5"/>
        <v>599424</v>
      </c>
      <c r="U54" s="623">
        <f t="shared" si="19"/>
        <v>78258.13333</v>
      </c>
      <c r="V54" s="624">
        <f t="shared" si="7"/>
        <v>33311.374</v>
      </c>
      <c r="W54" s="605">
        <f t="shared" si="8"/>
        <v>33311.374</v>
      </c>
      <c r="X54" s="606">
        <f t="shared" si="9"/>
        <v>29879.21018</v>
      </c>
      <c r="Y54" s="607">
        <f t="shared" si="10"/>
        <v>5</v>
      </c>
      <c r="Z54" s="608">
        <f t="shared" si="11"/>
        <v>9.665</v>
      </c>
      <c r="AA54" s="608">
        <f t="shared" si="12"/>
        <v>2.005425532</v>
      </c>
      <c r="AB54" s="607">
        <f t="shared" si="13"/>
        <v>6</v>
      </c>
      <c r="AC54" s="607">
        <f t="shared" si="14"/>
        <v>599424</v>
      </c>
      <c r="AD54" s="608">
        <f t="shared" si="15"/>
        <v>0</v>
      </c>
      <c r="AE54" s="607">
        <f t="shared" si="16"/>
        <v>0</v>
      </c>
      <c r="AF54" s="609">
        <f t="shared" si="17"/>
        <v>0</v>
      </c>
      <c r="AG54" s="628">
        <f t="shared" si="23"/>
        <v>599424</v>
      </c>
      <c r="AH54" s="611"/>
      <c r="AI54" s="612">
        <v>49952.0</v>
      </c>
      <c r="AJ54" s="612">
        <v>49952.0</v>
      </c>
      <c r="AK54" s="612">
        <v>99904.0</v>
      </c>
      <c r="AL54" s="612">
        <v>99904.0</v>
      </c>
      <c r="AM54" s="612">
        <v>99904.0</v>
      </c>
      <c r="AN54" s="612">
        <v>99904.0</v>
      </c>
      <c r="AO54" s="612">
        <v>149856.0</v>
      </c>
      <c r="AP54" s="612">
        <v>149856.0</v>
      </c>
      <c r="AQ54" s="612">
        <v>149856.0</v>
      </c>
      <c r="AR54" s="612">
        <v>199808.0</v>
      </c>
      <c r="AS54" s="612">
        <v>199808.0</v>
      </c>
      <c r="AT54" s="612">
        <v>199808.0</v>
      </c>
      <c r="AU54" s="612">
        <v>199808.0</v>
      </c>
      <c r="AV54" s="612">
        <v>249760.0</v>
      </c>
      <c r="AW54" s="612">
        <v>249760.0</v>
      </c>
      <c r="AX54" s="612">
        <v>299712.0</v>
      </c>
      <c r="AY54" s="612">
        <v>299712.0</v>
      </c>
      <c r="AZ54" s="612">
        <v>299712.0</v>
      </c>
      <c r="BA54" s="612">
        <v>299712.0</v>
      </c>
      <c r="BB54" s="612">
        <v>299712.0</v>
      </c>
      <c r="BC54" s="612">
        <v>349664.0</v>
      </c>
      <c r="BD54" s="612">
        <v>349664.0</v>
      </c>
      <c r="BE54" s="612">
        <v>399616.0</v>
      </c>
      <c r="BF54" s="612">
        <v>399616.0</v>
      </c>
      <c r="BG54" s="612">
        <v>399616.0</v>
      </c>
      <c r="BH54" s="612">
        <v>399616.0</v>
      </c>
      <c r="BI54" s="612">
        <v>449568.0</v>
      </c>
      <c r="BJ54" s="612">
        <v>449568.0</v>
      </c>
      <c r="BK54" s="612">
        <v>449568.0</v>
      </c>
      <c r="BL54" s="612">
        <v>499520.0</v>
      </c>
      <c r="BM54" s="612">
        <v>499520.0</v>
      </c>
      <c r="BN54" s="612">
        <v>499520.0</v>
      </c>
      <c r="BO54" s="612">
        <v>499520.0</v>
      </c>
      <c r="BP54" s="612">
        <v>549472.0</v>
      </c>
      <c r="BQ54" s="612">
        <v>549472.0</v>
      </c>
      <c r="BR54" s="612">
        <v>599424.0</v>
      </c>
      <c r="BS54" s="612">
        <v>599424.0</v>
      </c>
      <c r="BT54" s="612">
        <v>599424.0</v>
      </c>
      <c r="BU54" s="612">
        <v>599424.0</v>
      </c>
      <c r="BV54" s="612">
        <v>599424.0</v>
      </c>
      <c r="BW54" s="612">
        <v>599424.0</v>
      </c>
      <c r="BX54" s="612">
        <v>599424.0</v>
      </c>
      <c r="BY54" s="612">
        <v>599424.0</v>
      </c>
      <c r="BZ54" s="612">
        <v>599424.0</v>
      </c>
      <c r="CA54" s="612">
        <v>599424.0</v>
      </c>
      <c r="CB54" s="612">
        <v>599424.0</v>
      </c>
      <c r="CC54" s="612">
        <v>599424.0</v>
      </c>
      <c r="CD54" s="612">
        <v>599424.0</v>
      </c>
      <c r="CE54" s="612">
        <v>599424.0</v>
      </c>
      <c r="CF54" s="612">
        <v>599424.0</v>
      </c>
      <c r="CG54" s="612">
        <v>599424.0</v>
      </c>
      <c r="CH54" s="612">
        <v>599424.0</v>
      </c>
      <c r="CI54" s="612">
        <v>599424.0</v>
      </c>
      <c r="CJ54" s="612">
        <v>599424.0</v>
      </c>
      <c r="CK54" s="612">
        <v>599424.0</v>
      </c>
      <c r="CL54" s="612">
        <v>599424.0</v>
      </c>
      <c r="CM54" s="612">
        <v>599424.0</v>
      </c>
      <c r="CN54" s="612">
        <v>599424.0</v>
      </c>
      <c r="CO54" s="612">
        <v>599424.0</v>
      </c>
      <c r="CP54" s="612">
        <v>599424.0</v>
      </c>
    </row>
    <row r="55">
      <c r="A55" s="645"/>
      <c r="B55" s="613" t="s">
        <v>394</v>
      </c>
      <c r="C55" s="614" t="b">
        <v>0</v>
      </c>
      <c r="D55" s="589" t="s">
        <v>652</v>
      </c>
      <c r="E55" s="615" t="s">
        <v>497</v>
      </c>
      <c r="F55" s="616" t="s">
        <v>653</v>
      </c>
      <c r="G55" s="625">
        <v>1.0</v>
      </c>
      <c r="H55" s="625"/>
      <c r="I55" s="617">
        <f>26155*1.1</f>
        <v>28770.5</v>
      </c>
      <c r="J55" s="618">
        <f>I55*IF($C$7=TRUE,VLOOKUP(B55,BuffsDebuffs!$P$8:$X$26,MATCH(E55,BuffsDebuffs!$P$8:$X$8,0),FALSE),1)*IF(AND($C$8=TRUE,H55=1),1.0778,1)*VLOOKUP($C$2,'scaling OLD'!$A$2:$H$55,8,False)*IF(K55="-",1,(1/K55*(1+((K55-1)*VLOOKUP($C$2,'scaling OLD'!$A$2:$H$55,4,False)))))*IF(K55="-",1,VLOOKUP($C$2,'scaling OLD'!$A$2:$H$55,5,False))*VLOOKUP($C$2,'scaling OLD'!$A$2:$H$55,6,False)*IF(AND(LEFT(C$2,7)="CE - Cr",B55="Sword"),1.35,1)</f>
        <v>28770.5</v>
      </c>
      <c r="K55" s="186">
        <v>1.75</v>
      </c>
      <c r="L55" s="184">
        <v>8.0</v>
      </c>
      <c r="M55" s="184">
        <v>65.0</v>
      </c>
      <c r="N55" s="184">
        <v>20.0</v>
      </c>
      <c r="O55" s="188">
        <v>0.899</v>
      </c>
      <c r="P55" s="647">
        <f t="shared" si="24"/>
        <v>6.461538462</v>
      </c>
      <c r="Q55" s="620">
        <f t="shared" si="2"/>
        <v>230164</v>
      </c>
      <c r="R55" s="621">
        <f t="shared" si="3"/>
        <v>17.49030769</v>
      </c>
      <c r="S55" s="622">
        <f t="shared" si="22"/>
        <v>575410</v>
      </c>
      <c r="T55" s="602">
        <f t="shared" si="5"/>
        <v>460328</v>
      </c>
      <c r="U55" s="623">
        <f t="shared" si="19"/>
        <v>35620.61905</v>
      </c>
      <c r="V55" s="624">
        <f t="shared" si="7"/>
        <v>32898.7923</v>
      </c>
      <c r="W55" s="605">
        <f t="shared" si="8"/>
        <v>33303.82276</v>
      </c>
      <c r="X55" s="606">
        <f t="shared" si="9"/>
        <v>31269.99488</v>
      </c>
      <c r="Y55" s="607">
        <f t="shared" si="10"/>
        <v>2</v>
      </c>
      <c r="Z55" s="608">
        <f t="shared" si="11"/>
        <v>18.202</v>
      </c>
      <c r="AA55" s="608">
        <f t="shared" si="12"/>
        <v>0</v>
      </c>
      <c r="AB55" s="607">
        <f t="shared" si="13"/>
        <v>2</v>
      </c>
      <c r="AC55" s="607">
        <f t="shared" si="14"/>
        <v>460328</v>
      </c>
      <c r="AD55" s="608">
        <f t="shared" si="15"/>
        <v>5.278923077</v>
      </c>
      <c r="AE55" s="607">
        <f t="shared" si="16"/>
        <v>6</v>
      </c>
      <c r="AF55" s="609">
        <f t="shared" si="17"/>
        <v>172623</v>
      </c>
      <c r="AG55" s="628">
        <f t="shared" si="23"/>
        <v>575410</v>
      </c>
      <c r="AH55" s="611"/>
      <c r="AI55" s="612">
        <v>26155.0</v>
      </c>
      <c r="AJ55" s="612">
        <v>52310.0</v>
      </c>
      <c r="AK55" s="612">
        <v>52310.0</v>
      </c>
      <c r="AL55" s="612">
        <v>78465.0</v>
      </c>
      <c r="AM55" s="612">
        <v>78465.0</v>
      </c>
      <c r="AN55" s="612">
        <v>104620.0</v>
      </c>
      <c r="AO55" s="612">
        <v>104620.0</v>
      </c>
      <c r="AP55" s="612">
        <v>130775.0</v>
      </c>
      <c r="AQ55" s="612">
        <v>130775.0</v>
      </c>
      <c r="AR55" s="612">
        <v>156930.0</v>
      </c>
      <c r="AS55" s="612">
        <v>156930.0</v>
      </c>
      <c r="AT55" s="612">
        <v>183085.0</v>
      </c>
      <c r="AU55" s="612">
        <v>209240.0</v>
      </c>
      <c r="AV55" s="612">
        <v>209240.0</v>
      </c>
      <c r="AW55" s="612">
        <v>235395.0</v>
      </c>
      <c r="AX55" s="612">
        <v>235395.0</v>
      </c>
      <c r="AY55" s="612">
        <v>261550.0</v>
      </c>
      <c r="AZ55" s="612">
        <v>261550.0</v>
      </c>
      <c r="BA55" s="612">
        <v>287705.0</v>
      </c>
      <c r="BB55" s="612">
        <v>287705.0</v>
      </c>
      <c r="BC55" s="612">
        <v>313860.0</v>
      </c>
      <c r="BD55" s="612">
        <v>313860.0</v>
      </c>
      <c r="BE55" s="612">
        <v>340015.0</v>
      </c>
      <c r="BF55" s="612">
        <v>366170.0</v>
      </c>
      <c r="BG55" s="612">
        <v>366170.0</v>
      </c>
      <c r="BH55" s="612">
        <v>392325.0</v>
      </c>
      <c r="BI55" s="612">
        <v>392325.0</v>
      </c>
      <c r="BJ55" s="612">
        <v>418480.0</v>
      </c>
      <c r="BK55" s="612">
        <v>418480.0</v>
      </c>
      <c r="BL55" s="612">
        <v>444635.0</v>
      </c>
      <c r="BM55" s="612">
        <v>444635.0</v>
      </c>
      <c r="BN55" s="612">
        <v>470790.0</v>
      </c>
      <c r="BO55" s="612">
        <v>470790.0</v>
      </c>
      <c r="BP55" s="612">
        <v>496945.0</v>
      </c>
      <c r="BQ55" s="612">
        <v>523100.0</v>
      </c>
      <c r="BR55" s="612">
        <v>523100.0</v>
      </c>
      <c r="BS55" s="612">
        <v>523100.0</v>
      </c>
      <c r="BT55" s="612">
        <v>523100.0</v>
      </c>
      <c r="BU55" s="612">
        <v>523100.0</v>
      </c>
      <c r="BV55" s="612">
        <v>523100.0</v>
      </c>
      <c r="BW55" s="612">
        <v>523100.0</v>
      </c>
      <c r="BX55" s="612">
        <v>523100.0</v>
      </c>
      <c r="BY55" s="612">
        <v>523100.0</v>
      </c>
      <c r="BZ55" s="612">
        <v>523100.0</v>
      </c>
      <c r="CA55" s="612">
        <v>523100.0</v>
      </c>
      <c r="CB55" s="612">
        <v>523100.0</v>
      </c>
      <c r="CC55" s="612">
        <v>523100.0</v>
      </c>
      <c r="CD55" s="612">
        <v>523100.0</v>
      </c>
      <c r="CE55" s="612">
        <v>523100.0</v>
      </c>
      <c r="CF55" s="612">
        <v>523100.0</v>
      </c>
      <c r="CG55" s="612">
        <v>523100.0</v>
      </c>
      <c r="CH55" s="612">
        <v>523100.0</v>
      </c>
      <c r="CI55" s="612">
        <v>523100.0</v>
      </c>
      <c r="CJ55" s="612">
        <v>523100.0</v>
      </c>
      <c r="CK55" s="612">
        <v>523100.0</v>
      </c>
      <c r="CL55" s="612">
        <v>523100.0</v>
      </c>
      <c r="CM55" s="612">
        <v>523100.0</v>
      </c>
      <c r="CN55" s="612">
        <v>523100.0</v>
      </c>
      <c r="CO55" s="612">
        <v>523100.0</v>
      </c>
      <c r="CP55" s="612">
        <v>523100.0</v>
      </c>
    </row>
    <row r="56">
      <c r="A56" s="645"/>
      <c r="B56" s="661" t="str">
        <f>'Crafting OLD'!B7</f>
        <v>Linear Fusion Rifle</v>
      </c>
      <c r="C56" s="662"/>
      <c r="D56" s="663" t="s">
        <v>654</v>
      </c>
      <c r="E56" s="664" t="str">
        <f>'Crafting OLD'!D87</f>
        <v/>
      </c>
      <c r="F56" s="665" t="s">
        <v>655</v>
      </c>
      <c r="G56" s="666"/>
      <c r="H56" s="666">
        <v>1.0</v>
      </c>
      <c r="I56" s="617">
        <f>'Crafting OLD'!H7</f>
        <v>26727.75</v>
      </c>
      <c r="J56" s="594">
        <f>'Crafting OLD'!O7</f>
        <v>37449.31964</v>
      </c>
      <c r="K56" s="186">
        <f>'Crafting OLD'!J7</f>
        <v>3.44</v>
      </c>
      <c r="L56" s="184">
        <f>'Crafting OLD'!Q7</f>
        <v>10</v>
      </c>
      <c r="M56" s="184">
        <f>'Crafting OLD'!R7</f>
        <v>57</v>
      </c>
      <c r="N56" s="184">
        <f>'Crafting OLD'!S7</f>
        <v>37</v>
      </c>
      <c r="O56" s="188">
        <f>'Crafting OLD'!T7</f>
        <v>1.65</v>
      </c>
      <c r="P56" s="638">
        <f t="shared" si="24"/>
        <v>9.473684211</v>
      </c>
      <c r="Q56" s="599">
        <f t="shared" si="2"/>
        <v>374493.1964</v>
      </c>
      <c r="R56" s="600">
        <f t="shared" si="3"/>
        <v>39.68684211</v>
      </c>
      <c r="S56" s="622">
        <f t="shared" si="22"/>
        <v>1385624.826</v>
      </c>
      <c r="T56" s="602">
        <f t="shared" si="5"/>
        <v>1123479.589</v>
      </c>
      <c r="U56" s="623">
        <f t="shared" si="19"/>
        <v>39529.83739</v>
      </c>
      <c r="V56" s="624">
        <f t="shared" si="7"/>
        <v>34913.96022</v>
      </c>
      <c r="W56" s="605">
        <f t="shared" si="8"/>
        <v>35417.47502</v>
      </c>
      <c r="X56" s="606">
        <f t="shared" si="9"/>
        <v>33666.2916</v>
      </c>
      <c r="Y56" s="607">
        <f t="shared" si="10"/>
        <v>1</v>
      </c>
      <c r="Z56" s="608">
        <f t="shared" si="11"/>
        <v>18.35</v>
      </c>
      <c r="AA56" s="608">
        <f t="shared" si="12"/>
        <v>0</v>
      </c>
      <c r="AB56" s="607">
        <f t="shared" si="13"/>
        <v>1</v>
      </c>
      <c r="AC56" s="607">
        <f t="shared" si="14"/>
        <v>374493.1964</v>
      </c>
      <c r="AD56" s="608">
        <f t="shared" si="15"/>
        <v>8.876315789</v>
      </c>
      <c r="AE56" s="607">
        <f t="shared" si="16"/>
        <v>9</v>
      </c>
      <c r="AF56" s="609">
        <f t="shared" si="17"/>
        <v>337043.8767</v>
      </c>
      <c r="AG56" s="628">
        <f t="shared" si="23"/>
        <v>711537.0731</v>
      </c>
      <c r="AH56" s="103"/>
      <c r="AI56" s="667"/>
      <c r="AJ56" s="667"/>
      <c r="AK56" s="667"/>
      <c r="AL56" s="667"/>
      <c r="AM56" s="667"/>
      <c r="AN56" s="667"/>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7"/>
      <c r="BS56" s="667"/>
      <c r="BT56" s="667"/>
      <c r="BU56" s="667"/>
      <c r="BV56" s="667"/>
      <c r="BW56" s="667"/>
      <c r="BX56" s="667"/>
      <c r="BY56" s="667"/>
      <c r="BZ56" s="667"/>
      <c r="CA56" s="667"/>
      <c r="CB56" s="667"/>
      <c r="CC56" s="667"/>
      <c r="CD56" s="667"/>
      <c r="CE56" s="667"/>
      <c r="CF56" s="667"/>
      <c r="CG56" s="667"/>
      <c r="CH56" s="667"/>
      <c r="CI56" s="667"/>
      <c r="CJ56" s="667"/>
      <c r="CK56" s="667"/>
      <c r="CL56" s="667"/>
      <c r="CM56" s="667"/>
      <c r="CN56" s="667"/>
      <c r="CO56" s="667"/>
      <c r="CP56" s="667"/>
    </row>
    <row r="57">
      <c r="A57" s="645"/>
      <c r="B57" s="613" t="s">
        <v>421</v>
      </c>
      <c r="C57" s="614" t="b">
        <v>0</v>
      </c>
      <c r="D57" s="589" t="s">
        <v>656</v>
      </c>
      <c r="E57" s="615" t="s">
        <v>485</v>
      </c>
      <c r="F57" s="616" t="s">
        <v>657</v>
      </c>
      <c r="G57" s="625">
        <v>1.0</v>
      </c>
      <c r="H57" s="630"/>
      <c r="I57" s="617">
        <v>2164.0</v>
      </c>
      <c r="J57" s="618">
        <f>I57*IF($C$7=TRUE,VLOOKUP(B57,BuffsDebuffs!$P$8:$X$26,MATCH(E57,BuffsDebuffs!$P$8:$X$8,0),FALSE),1)*IF(AND($C$8=TRUE,H57=1),1.0778,1)*VLOOKUP($C$2,'scaling OLD'!$A$2:$H$55,8,False)*IF(K57="-",1,(1/K57*(1+((K57-1)*VLOOKUP($C$2,'scaling OLD'!$A$2:$H$55,4,False)))))*IF(K57="-",1,VLOOKUP($C$2,'scaling OLD'!$A$2:$H$55,5,False))*VLOOKUP($C$2,'scaling OLD'!$A$2:$H$55,6,False)*IF(AND(LEFT(C$2,7)="CE - Cr",B57="Sword"),1.35,1)</f>
        <v>2164</v>
      </c>
      <c r="K57" s="186">
        <v>1.34</v>
      </c>
      <c r="L57" s="184">
        <v>194.0</v>
      </c>
      <c r="M57" s="184">
        <v>900.0</v>
      </c>
      <c r="N57" s="184">
        <v>194.0</v>
      </c>
      <c r="O57" s="188">
        <v>1.234</v>
      </c>
      <c r="P57" s="647">
        <f t="shared" si="24"/>
        <v>12.86666667</v>
      </c>
      <c r="Q57" s="620">
        <f t="shared" si="2"/>
        <v>419816</v>
      </c>
      <c r="R57" s="621">
        <f t="shared" si="3"/>
        <v>12.86666667</v>
      </c>
      <c r="S57" s="622">
        <f t="shared" si="22"/>
        <v>419816</v>
      </c>
      <c r="T57" s="602">
        <f t="shared" si="5"/>
        <v>419816</v>
      </c>
      <c r="U57" s="623">
        <f t="shared" si="19"/>
        <v>32628.18653</v>
      </c>
      <c r="V57" s="624">
        <f t="shared" si="7"/>
        <v>32628.18653</v>
      </c>
      <c r="W57" s="605">
        <f t="shared" si="8"/>
        <v>32628.18653</v>
      </c>
      <c r="X57" s="606">
        <f t="shared" si="9"/>
        <v>32628.18653</v>
      </c>
      <c r="Y57" s="607">
        <f t="shared" si="10"/>
        <v>1</v>
      </c>
      <c r="Z57" s="608">
        <f t="shared" si="11"/>
        <v>18.766</v>
      </c>
      <c r="AA57" s="608">
        <f t="shared" si="12"/>
        <v>0</v>
      </c>
      <c r="AB57" s="607">
        <f t="shared" si="13"/>
        <v>1</v>
      </c>
      <c r="AC57" s="607">
        <f t="shared" si="14"/>
        <v>419816</v>
      </c>
      <c r="AD57" s="608">
        <f t="shared" si="15"/>
        <v>5.899333333</v>
      </c>
      <c r="AE57" s="607">
        <f t="shared" si="16"/>
        <v>89</v>
      </c>
      <c r="AF57" s="609">
        <f t="shared" si="17"/>
        <v>192596</v>
      </c>
      <c r="AG57" s="628">
        <f t="shared" si="23"/>
        <v>419816</v>
      </c>
      <c r="AH57" s="611"/>
      <c r="AI57" s="612">
        <v>17312.0</v>
      </c>
      <c r="AJ57" s="612">
        <v>34624.0</v>
      </c>
      <c r="AK57" s="612">
        <v>49772.0</v>
      </c>
      <c r="AL57" s="612">
        <v>67084.0</v>
      </c>
      <c r="AM57" s="612">
        <v>82232.0</v>
      </c>
      <c r="AN57" s="612">
        <v>99544.0</v>
      </c>
      <c r="AO57" s="612">
        <v>114692.0</v>
      </c>
      <c r="AP57" s="612">
        <v>132004.0</v>
      </c>
      <c r="AQ57" s="612">
        <v>147152.0</v>
      </c>
      <c r="AR57" s="612">
        <v>164464.0</v>
      </c>
      <c r="AS57" s="612">
        <v>179612.0</v>
      </c>
      <c r="AT57" s="612">
        <v>196924.0</v>
      </c>
      <c r="AU57" s="612">
        <v>212072.0</v>
      </c>
      <c r="AV57" s="612">
        <v>229384.0</v>
      </c>
      <c r="AW57" s="612">
        <v>244532.0</v>
      </c>
      <c r="AX57" s="612">
        <v>261844.0</v>
      </c>
      <c r="AY57" s="612">
        <v>276992.0</v>
      </c>
      <c r="AZ57" s="612">
        <v>294304.0</v>
      </c>
      <c r="BA57" s="612">
        <v>309452.0</v>
      </c>
      <c r="BB57" s="612">
        <v>326764.0</v>
      </c>
      <c r="BC57" s="612">
        <v>341912.0</v>
      </c>
      <c r="BD57" s="612">
        <v>359224.0</v>
      </c>
      <c r="BE57" s="612">
        <v>374372.0</v>
      </c>
      <c r="BF57" s="612">
        <v>391684.0</v>
      </c>
      <c r="BG57" s="612">
        <v>406832.0</v>
      </c>
      <c r="BH57" s="612">
        <v>419816.0</v>
      </c>
      <c r="BI57" s="612">
        <v>419816.0</v>
      </c>
      <c r="BJ57" s="612">
        <v>419816.0</v>
      </c>
      <c r="BK57" s="612">
        <v>419816.0</v>
      </c>
      <c r="BL57" s="612">
        <v>419816.0</v>
      </c>
      <c r="BM57" s="612">
        <v>419816.0</v>
      </c>
      <c r="BN57" s="612">
        <v>419816.0</v>
      </c>
      <c r="BO57" s="612">
        <v>419816.0</v>
      </c>
      <c r="BP57" s="612">
        <v>419816.0</v>
      </c>
      <c r="BQ57" s="612">
        <v>419816.0</v>
      </c>
      <c r="BR57" s="612">
        <v>419816.0</v>
      </c>
      <c r="BS57" s="612">
        <v>419816.0</v>
      </c>
      <c r="BT57" s="612">
        <v>419816.0</v>
      </c>
      <c r="BU57" s="612">
        <v>419816.0</v>
      </c>
      <c r="BV57" s="612">
        <v>419816.0</v>
      </c>
      <c r="BW57" s="612">
        <v>419816.0</v>
      </c>
      <c r="BX57" s="612">
        <v>419816.0</v>
      </c>
      <c r="BY57" s="612">
        <v>419816.0</v>
      </c>
      <c r="BZ57" s="612">
        <v>419816.0</v>
      </c>
      <c r="CA57" s="612">
        <v>419816.0</v>
      </c>
      <c r="CB57" s="612">
        <v>419816.0</v>
      </c>
      <c r="CC57" s="612">
        <v>419816.0</v>
      </c>
      <c r="CD57" s="612">
        <v>419816.0</v>
      </c>
      <c r="CE57" s="612">
        <v>419816.0</v>
      </c>
      <c r="CF57" s="612">
        <v>419816.0</v>
      </c>
      <c r="CG57" s="612">
        <v>419816.0</v>
      </c>
      <c r="CH57" s="612">
        <v>419816.0</v>
      </c>
      <c r="CI57" s="612">
        <v>419816.0</v>
      </c>
      <c r="CJ57" s="612">
        <v>419816.0</v>
      </c>
      <c r="CK57" s="612">
        <v>419816.0</v>
      </c>
      <c r="CL57" s="612">
        <v>419816.0</v>
      </c>
      <c r="CM57" s="612">
        <v>419816.0</v>
      </c>
      <c r="CN57" s="612">
        <v>419816.0</v>
      </c>
      <c r="CO57" s="612">
        <v>419816.0</v>
      </c>
      <c r="CP57" s="612">
        <v>419816.0</v>
      </c>
    </row>
    <row r="58">
      <c r="A58" s="645"/>
      <c r="B58" s="629" t="s">
        <v>384</v>
      </c>
      <c r="C58" s="650" t="b">
        <v>0</v>
      </c>
      <c r="D58" s="651" t="s">
        <v>658</v>
      </c>
      <c r="E58" s="652" t="s">
        <v>494</v>
      </c>
      <c r="F58" s="653" t="s">
        <v>659</v>
      </c>
      <c r="G58" s="625">
        <v>1.0</v>
      </c>
      <c r="H58" s="625"/>
      <c r="I58" s="637">
        <f>23412*1.07</f>
        <v>25050.84</v>
      </c>
      <c r="J58" s="594">
        <f>I58*IF($C$7=TRUE,VLOOKUP(B58,BuffsDebuffs!$P$8:$X$26,MATCH(E58,BuffsDebuffs!$P$8:$X$8,0),FALSE),1)*IF(AND($C$8=TRUE,H58=1),1.0778,1)*VLOOKUP($C$2,'scaling OLD'!$A$2:$H$55,8,False)*IF(K58="-",1,(1/K58*(1+((K58-1)*VLOOKUP($C$2,'scaling OLD'!$A$2:$H$55,4,False)))))*IF(K58="-",1,VLOOKUP($C$2,'scaling OLD'!$A$2:$H$55,5,False))*VLOOKUP($C$2,'scaling OLD'!$A$2:$H$55,6,False)*IF(AND(LEFT(C$2,7)="CE - Cr",B58="Sword"),1.35,1)</f>
        <v>25050.84</v>
      </c>
      <c r="K58" s="213" t="s">
        <v>349</v>
      </c>
      <c r="L58" s="211">
        <v>20.0</v>
      </c>
      <c r="M58" s="211">
        <v>100.0</v>
      </c>
      <c r="N58" s="211">
        <v>69.0</v>
      </c>
      <c r="O58" s="215">
        <v>6.166</v>
      </c>
      <c r="P58" s="638">
        <f t="shared" si="24"/>
        <v>11.4</v>
      </c>
      <c r="Q58" s="599">
        <f t="shared" si="2"/>
        <v>501016.8</v>
      </c>
      <c r="R58" s="600">
        <f t="shared" si="3"/>
        <v>57.498</v>
      </c>
      <c r="S58" s="622">
        <f t="shared" si="22"/>
        <v>1728507.96</v>
      </c>
      <c r="T58" s="602">
        <f t="shared" si="5"/>
        <v>1503050.4</v>
      </c>
      <c r="U58" s="623">
        <f t="shared" si="19"/>
        <v>43948.84211</v>
      </c>
      <c r="V58" s="624">
        <f t="shared" si="7"/>
        <v>30062.05364</v>
      </c>
      <c r="W58" s="605">
        <f t="shared" si="8"/>
        <v>32301.43557</v>
      </c>
      <c r="X58" s="606">
        <f t="shared" si="9"/>
        <v>28521.96288</v>
      </c>
      <c r="Y58" s="607">
        <f t="shared" si="10"/>
        <v>1</v>
      </c>
      <c r="Z58" s="608">
        <f t="shared" si="11"/>
        <v>13.834</v>
      </c>
      <c r="AA58" s="608">
        <f t="shared" si="12"/>
        <v>0</v>
      </c>
      <c r="AB58" s="607">
        <f t="shared" si="13"/>
        <v>1</v>
      </c>
      <c r="AC58" s="607">
        <f t="shared" si="14"/>
        <v>501016.8</v>
      </c>
      <c r="AD58" s="608">
        <f t="shared" si="15"/>
        <v>2.434</v>
      </c>
      <c r="AE58" s="607">
        <f t="shared" si="16"/>
        <v>5</v>
      </c>
      <c r="AF58" s="609">
        <f t="shared" si="17"/>
        <v>125254.2</v>
      </c>
      <c r="AG58" s="628">
        <f t="shared" si="23"/>
        <v>626271</v>
      </c>
      <c r="AH58" s="611"/>
      <c r="AI58" s="612">
        <v>23412.0</v>
      </c>
      <c r="AJ58" s="612">
        <v>46824.0</v>
      </c>
      <c r="AK58" s="612">
        <v>70236.0</v>
      </c>
      <c r="AL58" s="612">
        <v>93648.0</v>
      </c>
      <c r="AM58" s="612">
        <v>117060.0</v>
      </c>
      <c r="AN58" s="612">
        <v>140472.0</v>
      </c>
      <c r="AO58" s="612">
        <v>140472.0</v>
      </c>
      <c r="AP58" s="612">
        <v>163884.0</v>
      </c>
      <c r="AQ58" s="612">
        <v>187296.0</v>
      </c>
      <c r="AR58" s="612">
        <v>210708.0</v>
      </c>
      <c r="AS58" s="612">
        <v>234120.0</v>
      </c>
      <c r="AT58" s="612">
        <v>257532.0</v>
      </c>
      <c r="AU58" s="612">
        <v>257532.0</v>
      </c>
      <c r="AV58" s="612">
        <v>280944.0</v>
      </c>
      <c r="AW58" s="612">
        <v>304356.0</v>
      </c>
      <c r="AX58" s="612">
        <v>327768.0</v>
      </c>
      <c r="AY58" s="612">
        <v>351180.0</v>
      </c>
      <c r="AZ58" s="612">
        <v>374592.0</v>
      </c>
      <c r="BA58" s="612">
        <v>374592.0</v>
      </c>
      <c r="BB58" s="612">
        <v>398004.0</v>
      </c>
      <c r="BC58" s="612">
        <v>421416.0</v>
      </c>
      <c r="BD58" s="612">
        <v>444828.0</v>
      </c>
      <c r="BE58" s="612">
        <v>468240.0</v>
      </c>
      <c r="BF58" s="612">
        <v>468240.0</v>
      </c>
      <c r="BG58" s="612">
        <v>468240.0</v>
      </c>
      <c r="BH58" s="612">
        <v>468240.0</v>
      </c>
      <c r="BI58" s="612">
        <v>468240.0</v>
      </c>
      <c r="BJ58" s="612">
        <v>468240.0</v>
      </c>
      <c r="BK58" s="612">
        <v>468240.0</v>
      </c>
      <c r="BL58" s="612">
        <v>468240.0</v>
      </c>
      <c r="BM58" s="612">
        <v>468240.0</v>
      </c>
      <c r="BN58" s="612">
        <v>468240.0</v>
      </c>
      <c r="BO58" s="612">
        <v>468240.0</v>
      </c>
      <c r="BP58" s="612">
        <v>468240.0</v>
      </c>
      <c r="BQ58" s="612">
        <v>468240.0</v>
      </c>
      <c r="BR58" s="612">
        <v>491652.0</v>
      </c>
      <c r="BS58" s="612">
        <v>515064.0</v>
      </c>
      <c r="BT58" s="612">
        <v>538476.0</v>
      </c>
      <c r="BU58" s="612">
        <v>561888.0</v>
      </c>
      <c r="BV58" s="612">
        <v>585300.0</v>
      </c>
      <c r="BW58" s="612">
        <v>585300.0</v>
      </c>
      <c r="BX58" s="612">
        <v>608712.0</v>
      </c>
      <c r="BY58" s="612">
        <v>632124.0</v>
      </c>
      <c r="BZ58" s="612">
        <v>655536.0</v>
      </c>
      <c r="CA58" s="612">
        <v>678948.0</v>
      </c>
      <c r="CB58" s="612">
        <v>702360.0</v>
      </c>
      <c r="CC58" s="612">
        <v>702360.0</v>
      </c>
      <c r="CD58" s="612">
        <v>725772.0</v>
      </c>
      <c r="CE58" s="612">
        <v>749184.0</v>
      </c>
      <c r="CF58" s="612">
        <v>772596.0</v>
      </c>
      <c r="CG58" s="612">
        <v>796008.0</v>
      </c>
      <c r="CH58" s="612">
        <v>819420.0</v>
      </c>
      <c r="CI58" s="612">
        <v>819420.0</v>
      </c>
      <c r="CJ58" s="612">
        <v>842832.0</v>
      </c>
      <c r="CK58" s="612">
        <v>866244.0</v>
      </c>
      <c r="CL58" s="612">
        <v>889656.0</v>
      </c>
      <c r="CM58" s="612">
        <v>913068.0</v>
      </c>
      <c r="CN58" s="612">
        <v>936480.0</v>
      </c>
      <c r="CO58" s="612">
        <v>936480.0</v>
      </c>
      <c r="CP58" s="612">
        <v>936480.0</v>
      </c>
    </row>
    <row r="59">
      <c r="A59" s="645"/>
      <c r="B59" s="629" t="s">
        <v>380</v>
      </c>
      <c r="C59" s="632" t="b">
        <v>0</v>
      </c>
      <c r="D59" s="633" t="s">
        <v>660</v>
      </c>
      <c r="E59" s="634" t="s">
        <v>485</v>
      </c>
      <c r="F59" s="635" t="s">
        <v>661</v>
      </c>
      <c r="G59" s="646"/>
      <c r="H59" s="646">
        <v>1.0</v>
      </c>
      <c r="I59" s="617">
        <f>25455*1.2*1.05</f>
        <v>32073.3</v>
      </c>
      <c r="J59" s="618">
        <f>I59*IF($C$7=TRUE,VLOOKUP(B59,BuffsDebuffs!$P$8:$X$26,MATCH(E59,BuffsDebuffs!$P$8:$X$8,0),FALSE),1)*IF(AND($C$8=TRUE,H59=1),1.0778,1)*VLOOKUP($C$2,'scaling OLD'!$A$2:$H$55,8,False)*IF(K59="-",1,(1/K59*(1+((K59-1)*VLOOKUP($C$2,'scaling OLD'!$A$2:$H$55,4,False)))))*IF(K59="-",1,VLOOKUP($C$2,'scaling OLD'!$A$2:$H$55,5,False))*VLOOKUP($C$2,'scaling OLD'!$A$2:$H$55,6,False)*IF(AND(LEFT(C$2,7)="CE - Cr",B59="Sword"),1.35,1)</f>
        <v>34568.60274</v>
      </c>
      <c r="K59" s="186">
        <v>3.44</v>
      </c>
      <c r="L59" s="184">
        <v>7.0</v>
      </c>
      <c r="M59" s="184">
        <v>57.0</v>
      </c>
      <c r="N59" s="184">
        <v>33.0</v>
      </c>
      <c r="O59" s="188">
        <v>1.65</v>
      </c>
      <c r="P59" s="647">
        <f t="shared" si="24"/>
        <v>6.315789474</v>
      </c>
      <c r="Q59" s="620">
        <f t="shared" si="2"/>
        <v>241980.2192</v>
      </c>
      <c r="R59" s="621">
        <f t="shared" si="3"/>
        <v>36.07368421</v>
      </c>
      <c r="S59" s="622">
        <f t="shared" si="22"/>
        <v>1140763.89</v>
      </c>
      <c r="T59" s="602">
        <f t="shared" si="5"/>
        <v>967920.8767</v>
      </c>
      <c r="U59" s="623">
        <f t="shared" si="19"/>
        <v>38313.5347</v>
      </c>
      <c r="V59" s="624">
        <f t="shared" si="7"/>
        <v>31623.16008</v>
      </c>
      <c r="W59" s="605">
        <f t="shared" si="8"/>
        <v>32036.40216</v>
      </c>
      <c r="X59" s="606">
        <f t="shared" si="9"/>
        <v>30377.43088</v>
      </c>
      <c r="Y59" s="607">
        <f t="shared" si="10"/>
        <v>2</v>
      </c>
      <c r="Z59" s="608">
        <f t="shared" si="11"/>
        <v>16.7</v>
      </c>
      <c r="AA59" s="608">
        <f t="shared" si="12"/>
        <v>0</v>
      </c>
      <c r="AB59" s="607">
        <f t="shared" si="13"/>
        <v>2</v>
      </c>
      <c r="AC59" s="607">
        <f t="shared" si="14"/>
        <v>483960.4384</v>
      </c>
      <c r="AD59" s="608">
        <f t="shared" si="15"/>
        <v>4.068421053</v>
      </c>
      <c r="AE59" s="607">
        <f t="shared" si="16"/>
        <v>4</v>
      </c>
      <c r="AF59" s="609">
        <f t="shared" si="17"/>
        <v>138274.411</v>
      </c>
      <c r="AG59" s="628">
        <f t="shared" si="23"/>
        <v>622234.8493</v>
      </c>
      <c r="AH59" s="611"/>
      <c r="AI59" s="612">
        <v>32922.478800000004</v>
      </c>
      <c r="AJ59" s="612">
        <v>32922.478800000004</v>
      </c>
      <c r="AK59" s="612">
        <v>65844.95760000001</v>
      </c>
      <c r="AL59" s="612">
        <v>65844.95760000001</v>
      </c>
      <c r="AM59" s="612">
        <v>98767.4364</v>
      </c>
      <c r="AN59" s="612">
        <v>98767.4364</v>
      </c>
      <c r="AO59" s="612">
        <v>131689.91520000002</v>
      </c>
      <c r="AP59" s="612">
        <v>131689.91520000002</v>
      </c>
      <c r="AQ59" s="612">
        <v>164612.39400000003</v>
      </c>
      <c r="AR59" s="612">
        <v>164612.39400000003</v>
      </c>
      <c r="AS59" s="612">
        <v>197534.8728</v>
      </c>
      <c r="AT59" s="612">
        <v>197534.8728</v>
      </c>
      <c r="AU59" s="612">
        <v>230457.35160000002</v>
      </c>
      <c r="AV59" s="612">
        <v>230457.35160000002</v>
      </c>
      <c r="AW59" s="612">
        <v>230457.35160000002</v>
      </c>
      <c r="AX59" s="612">
        <v>263379.83040000004</v>
      </c>
      <c r="AY59" s="612">
        <v>263379.83040000004</v>
      </c>
      <c r="AZ59" s="612">
        <v>263379.83040000004</v>
      </c>
      <c r="BA59" s="612">
        <v>296302.3092</v>
      </c>
      <c r="BB59" s="612">
        <v>296302.3092</v>
      </c>
      <c r="BC59" s="612">
        <v>329224.78800000006</v>
      </c>
      <c r="BD59" s="612">
        <v>329224.78800000006</v>
      </c>
      <c r="BE59" s="612">
        <v>362147.26680000004</v>
      </c>
      <c r="BF59" s="612">
        <v>362147.26680000004</v>
      </c>
      <c r="BG59" s="612">
        <v>395069.7456</v>
      </c>
      <c r="BH59" s="612">
        <v>395069.7456</v>
      </c>
      <c r="BI59" s="612">
        <v>427992.22440000006</v>
      </c>
      <c r="BJ59" s="612">
        <v>427992.22440000006</v>
      </c>
      <c r="BK59" s="612">
        <v>460914.70320000005</v>
      </c>
      <c r="BL59" s="612">
        <v>460914.70320000005</v>
      </c>
      <c r="BM59" s="612">
        <v>460914.70320000005</v>
      </c>
      <c r="BN59" s="612">
        <v>493837.18200000003</v>
      </c>
      <c r="BO59" s="612">
        <v>493837.18200000003</v>
      </c>
      <c r="BP59" s="612">
        <v>526759.6608000001</v>
      </c>
      <c r="BQ59" s="612">
        <v>526759.6608000001</v>
      </c>
      <c r="BR59" s="612">
        <v>526759.6608000001</v>
      </c>
      <c r="BS59" s="612">
        <v>559682.1396000001</v>
      </c>
      <c r="BT59" s="612">
        <v>559682.1396000001</v>
      </c>
      <c r="BU59" s="612">
        <v>592604.6184</v>
      </c>
      <c r="BV59" s="612">
        <v>592604.6184</v>
      </c>
      <c r="BW59" s="612">
        <v>625527.0972000001</v>
      </c>
      <c r="BX59" s="612">
        <v>625527.0972000001</v>
      </c>
      <c r="BY59" s="612">
        <v>658449.5760000001</v>
      </c>
      <c r="BZ59" s="612">
        <v>658449.5760000001</v>
      </c>
      <c r="CA59" s="612">
        <v>691372.0548</v>
      </c>
      <c r="CB59" s="612">
        <v>691372.0548</v>
      </c>
      <c r="CC59" s="612">
        <v>691372.0548</v>
      </c>
      <c r="CD59" s="612">
        <v>724294.5336000001</v>
      </c>
      <c r="CE59" s="612">
        <v>724294.5336000001</v>
      </c>
      <c r="CF59" s="612">
        <v>757217.0124</v>
      </c>
      <c r="CG59" s="612">
        <v>757217.0124</v>
      </c>
      <c r="CH59" s="612">
        <v>757217.0124</v>
      </c>
      <c r="CI59" s="612">
        <v>790139.4912</v>
      </c>
      <c r="CJ59" s="612">
        <v>790139.4912</v>
      </c>
      <c r="CK59" s="612">
        <v>823061.9700000001</v>
      </c>
      <c r="CL59" s="612">
        <v>823061.9700000001</v>
      </c>
      <c r="CM59" s="612">
        <v>855984.4488000001</v>
      </c>
      <c r="CN59" s="612">
        <v>855984.4488000001</v>
      </c>
      <c r="CO59" s="612">
        <v>888906.9276</v>
      </c>
      <c r="CP59" s="612">
        <v>888906.9276</v>
      </c>
    </row>
    <row r="60">
      <c r="A60" s="645"/>
      <c r="B60" s="629" t="s">
        <v>389</v>
      </c>
      <c r="C60" s="614" t="b">
        <v>0</v>
      </c>
      <c r="D60" s="589" t="s">
        <v>662</v>
      </c>
      <c r="E60" s="615" t="s">
        <v>500</v>
      </c>
      <c r="F60" s="616" t="s">
        <v>663</v>
      </c>
      <c r="G60" s="625">
        <v>1.0</v>
      </c>
      <c r="H60" s="625"/>
      <c r="I60" s="637">
        <v>43140.0</v>
      </c>
      <c r="J60" s="594">
        <f>I60*IF($C$7=TRUE,VLOOKUP(B60,BuffsDebuffs!$P$8:$X$26,MATCH(E60,BuffsDebuffs!$P$8:$X$8,0),FALSE),1)*IF(AND($C$8=TRUE,H60=1),1.0778,1)*VLOOKUP($C$2,'scaling OLD'!$A$2:$H$55,8,False)*IF(K60="-",1,(1/K60*(1+((K60-1)*VLOOKUP($C$2,'scaling OLD'!$A$2:$H$55,4,False)))))*IF(K60="-",1,VLOOKUP($C$2,'scaling OLD'!$A$2:$H$55,5,False))*VLOOKUP($C$2,'scaling OLD'!$A$2:$H$55,6,False)*IF(AND(LEFT(C$2,7)="CE - Cr",B60="Sword"),1.35,1)</f>
        <v>43140</v>
      </c>
      <c r="K60" s="213" t="s">
        <v>349</v>
      </c>
      <c r="L60" s="211">
        <v>3.0</v>
      </c>
      <c r="M60" s="211">
        <v>45.0</v>
      </c>
      <c r="N60" s="211">
        <v>11.0</v>
      </c>
      <c r="O60" s="215">
        <v>2.067</v>
      </c>
      <c r="P60" s="638">
        <f t="shared" si="24"/>
        <v>2.666666667</v>
      </c>
      <c r="Q60" s="599">
        <f t="shared" si="2"/>
        <v>129420</v>
      </c>
      <c r="R60" s="600">
        <f t="shared" si="3"/>
        <v>15.53433333</v>
      </c>
      <c r="S60" s="622">
        <f t="shared" si="22"/>
        <v>474540</v>
      </c>
      <c r="T60" s="602">
        <f t="shared" si="5"/>
        <v>388260</v>
      </c>
      <c r="U60" s="623">
        <f t="shared" si="19"/>
        <v>48532.5</v>
      </c>
      <c r="V60" s="624">
        <f t="shared" si="7"/>
        <v>30547.81881</v>
      </c>
      <c r="W60" s="605">
        <f t="shared" si="8"/>
        <v>31997.69243</v>
      </c>
      <c r="X60" s="606">
        <f t="shared" si="9"/>
        <v>27340.32815</v>
      </c>
      <c r="Y60" s="607">
        <f t="shared" si="10"/>
        <v>4</v>
      </c>
      <c r="Z60" s="608">
        <f t="shared" si="11"/>
        <v>11.732</v>
      </c>
      <c r="AA60" s="608">
        <f t="shared" si="12"/>
        <v>0</v>
      </c>
      <c r="AB60" s="607">
        <f t="shared" si="13"/>
        <v>4</v>
      </c>
      <c r="AC60" s="607">
        <f t="shared" si="14"/>
        <v>517680</v>
      </c>
      <c r="AD60" s="608">
        <f t="shared" si="15"/>
        <v>1.065333333</v>
      </c>
      <c r="AE60" s="607">
        <f t="shared" si="16"/>
        <v>1</v>
      </c>
      <c r="AF60" s="609">
        <f t="shared" si="17"/>
        <v>43140</v>
      </c>
      <c r="AG60" s="628">
        <f t="shared" si="23"/>
        <v>474540</v>
      </c>
      <c r="AH60" s="611"/>
      <c r="AI60" s="612">
        <v>43140.0</v>
      </c>
      <c r="AJ60" s="612">
        <v>43140.0</v>
      </c>
      <c r="AK60" s="612">
        <v>86280.0</v>
      </c>
      <c r="AL60" s="612">
        <v>86280.0</v>
      </c>
      <c r="AM60" s="612">
        <v>86280.0</v>
      </c>
      <c r="AN60" s="612">
        <v>129420.0</v>
      </c>
      <c r="AO60" s="612">
        <v>129420.0</v>
      </c>
      <c r="AP60" s="612">
        <v>129420.0</v>
      </c>
      <c r="AQ60" s="612">
        <v>129420.0</v>
      </c>
      <c r="AR60" s="612">
        <v>172560.0</v>
      </c>
      <c r="AS60" s="612">
        <v>172560.0</v>
      </c>
      <c r="AT60" s="612">
        <v>172560.0</v>
      </c>
      <c r="AU60" s="612">
        <v>215700.0</v>
      </c>
      <c r="AV60" s="612">
        <v>215700.0</v>
      </c>
      <c r="AW60" s="612">
        <v>258840.0</v>
      </c>
      <c r="AX60" s="612">
        <v>258840.0</v>
      </c>
      <c r="AY60" s="612">
        <v>258840.0</v>
      </c>
      <c r="AZ60" s="612">
        <v>258840.0</v>
      </c>
      <c r="BA60" s="612">
        <v>301980.0</v>
      </c>
      <c r="BB60" s="612">
        <v>301980.0</v>
      </c>
      <c r="BC60" s="612">
        <v>301980.0</v>
      </c>
      <c r="BD60" s="612">
        <v>345120.0</v>
      </c>
      <c r="BE60" s="612">
        <v>345120.0</v>
      </c>
      <c r="BF60" s="612">
        <v>345120.0</v>
      </c>
      <c r="BG60" s="612">
        <v>388260.0</v>
      </c>
      <c r="BH60" s="612">
        <v>388260.0</v>
      </c>
      <c r="BI60" s="612">
        <v>388260.0</v>
      </c>
      <c r="BJ60" s="612">
        <v>388260.0</v>
      </c>
      <c r="BK60" s="612">
        <v>431400.0</v>
      </c>
      <c r="BL60" s="612">
        <v>431400.0</v>
      </c>
      <c r="BM60" s="612">
        <v>431400.0</v>
      </c>
      <c r="BN60" s="612">
        <v>474540.0</v>
      </c>
      <c r="BO60" s="612">
        <v>474540.0</v>
      </c>
      <c r="BP60" s="612">
        <v>474540.0</v>
      </c>
      <c r="BQ60" s="612">
        <v>474540.0</v>
      </c>
      <c r="BR60" s="612">
        <v>474540.0</v>
      </c>
      <c r="BS60" s="612">
        <v>474540.0</v>
      </c>
      <c r="BT60" s="612">
        <v>474540.0</v>
      </c>
      <c r="BU60" s="612">
        <v>474540.0</v>
      </c>
      <c r="BV60" s="612">
        <v>474540.0</v>
      </c>
      <c r="BW60" s="612">
        <v>474540.0</v>
      </c>
      <c r="BX60" s="612">
        <v>474540.0</v>
      </c>
      <c r="BY60" s="612">
        <v>474540.0</v>
      </c>
      <c r="BZ60" s="612">
        <v>474540.0</v>
      </c>
      <c r="CA60" s="612">
        <v>474540.0</v>
      </c>
      <c r="CB60" s="612">
        <v>474540.0</v>
      </c>
      <c r="CC60" s="612">
        <v>474540.0</v>
      </c>
      <c r="CD60" s="612">
        <v>474540.0</v>
      </c>
      <c r="CE60" s="612">
        <v>474540.0</v>
      </c>
      <c r="CF60" s="612">
        <v>474540.0</v>
      </c>
      <c r="CG60" s="612">
        <v>474540.0</v>
      </c>
      <c r="CH60" s="612">
        <v>474540.0</v>
      </c>
      <c r="CI60" s="612">
        <v>474540.0</v>
      </c>
      <c r="CJ60" s="612">
        <v>474540.0</v>
      </c>
      <c r="CK60" s="612">
        <v>474540.0</v>
      </c>
      <c r="CL60" s="612">
        <v>474540.0</v>
      </c>
      <c r="CM60" s="612">
        <v>474540.0</v>
      </c>
      <c r="CN60" s="612">
        <v>474540.0</v>
      </c>
      <c r="CO60" s="612">
        <v>474540.0</v>
      </c>
      <c r="CP60" s="612">
        <v>474540.0</v>
      </c>
    </row>
    <row r="61">
      <c r="A61" s="645"/>
      <c r="B61" s="613" t="s">
        <v>380</v>
      </c>
      <c r="C61" s="614" t="b">
        <v>0</v>
      </c>
      <c r="D61" s="589" t="s">
        <v>664</v>
      </c>
      <c r="E61" s="615" t="s">
        <v>500</v>
      </c>
      <c r="F61" s="616" t="s">
        <v>665</v>
      </c>
      <c r="G61" s="625">
        <v>1.0</v>
      </c>
      <c r="H61" s="625"/>
      <c r="I61" s="637">
        <f>32455*1.05</f>
        <v>34077.75</v>
      </c>
      <c r="J61" s="618">
        <f>I61*IF($C$7=TRUE,VLOOKUP(B61,BuffsDebuffs!$P$8:$X$26,MATCH(E61,BuffsDebuffs!$P$8:$X$8,0),FALSE),1)*IF(AND($C$8=TRUE,H61=1),1.0778,1)*VLOOKUP($C$2,'scaling OLD'!$A$2:$H$55,8,False)*IF(K61="-",1,(1/K61*(1+((K61-1)*VLOOKUP($C$2,'scaling OLD'!$A$2:$H$55,4,False)))))*IF(K61="-",1,VLOOKUP($C$2,'scaling OLD'!$A$2:$H$55,5,False))*VLOOKUP($C$2,'scaling OLD'!$A$2:$H$55,6,False)*IF(AND(LEFT(C$2,7)="CE - Cr",B61="Sword"),1.35,1)</f>
        <v>34077.75</v>
      </c>
      <c r="K61" s="213">
        <v>3.44</v>
      </c>
      <c r="L61" s="211">
        <v>6.0</v>
      </c>
      <c r="M61" s="211">
        <v>56.69</v>
      </c>
      <c r="N61" s="211">
        <v>23.0</v>
      </c>
      <c r="O61" s="215">
        <v>1.683</v>
      </c>
      <c r="P61" s="647">
        <f t="shared" si="24"/>
        <v>5.291938614</v>
      </c>
      <c r="Q61" s="620">
        <f t="shared" si="2"/>
        <v>204466.5</v>
      </c>
      <c r="R61" s="621">
        <f t="shared" si="3"/>
        <v>25.15836673</v>
      </c>
      <c r="S61" s="622">
        <f t="shared" si="22"/>
        <v>783788.25</v>
      </c>
      <c r="T61" s="602">
        <f t="shared" si="5"/>
        <v>613399.5</v>
      </c>
      <c r="U61" s="623">
        <f t="shared" si="19"/>
        <v>38637.35295</v>
      </c>
      <c r="V61" s="624">
        <f t="shared" si="7"/>
        <v>31154.17858</v>
      </c>
      <c r="W61" s="605">
        <f t="shared" si="8"/>
        <v>31878.46226</v>
      </c>
      <c r="X61" s="606">
        <f t="shared" si="9"/>
        <v>29314.45154</v>
      </c>
      <c r="Y61" s="607">
        <f t="shared" si="10"/>
        <v>2</v>
      </c>
      <c r="Z61" s="608">
        <f t="shared" si="11"/>
        <v>16.634</v>
      </c>
      <c r="AA61" s="608">
        <f t="shared" si="12"/>
        <v>0.7581841595</v>
      </c>
      <c r="AB61" s="607">
        <f t="shared" si="13"/>
        <v>3</v>
      </c>
      <c r="AC61" s="607">
        <f t="shared" si="14"/>
        <v>613399.5</v>
      </c>
      <c r="AD61" s="608">
        <f t="shared" si="15"/>
        <v>0</v>
      </c>
      <c r="AE61" s="607">
        <f t="shared" si="16"/>
        <v>0</v>
      </c>
      <c r="AF61" s="609">
        <f t="shared" si="17"/>
        <v>0</v>
      </c>
      <c r="AG61" s="628">
        <f t="shared" si="23"/>
        <v>613399.5</v>
      </c>
      <c r="AH61" s="611"/>
      <c r="AI61" s="612">
        <v>32455.0</v>
      </c>
      <c r="AJ61" s="612">
        <v>32455.0</v>
      </c>
      <c r="AK61" s="612">
        <v>64910.0</v>
      </c>
      <c r="AL61" s="612">
        <v>64910.0</v>
      </c>
      <c r="AM61" s="612">
        <v>97365.0</v>
      </c>
      <c r="AN61" s="612">
        <v>97365.0</v>
      </c>
      <c r="AO61" s="612">
        <v>129820.0</v>
      </c>
      <c r="AP61" s="612">
        <v>129820.0</v>
      </c>
      <c r="AQ61" s="612">
        <v>162275.0</v>
      </c>
      <c r="AR61" s="612">
        <v>162275.0</v>
      </c>
      <c r="AS61" s="612">
        <v>194730.0</v>
      </c>
      <c r="AT61" s="612">
        <v>194730.0</v>
      </c>
      <c r="AU61" s="612">
        <v>194730.0</v>
      </c>
      <c r="AV61" s="612">
        <v>227185.0</v>
      </c>
      <c r="AW61" s="612">
        <v>227185.0</v>
      </c>
      <c r="AX61" s="612">
        <v>227185.0</v>
      </c>
      <c r="AY61" s="612">
        <v>259640.0</v>
      </c>
      <c r="AZ61" s="612">
        <v>259640.0</v>
      </c>
      <c r="BA61" s="612">
        <v>292095.0</v>
      </c>
      <c r="BB61" s="612">
        <v>292095.0</v>
      </c>
      <c r="BC61" s="612">
        <v>324550.0</v>
      </c>
      <c r="BD61" s="612">
        <v>324550.0</v>
      </c>
      <c r="BE61" s="612">
        <v>357005.0</v>
      </c>
      <c r="BF61" s="612">
        <v>357005.0</v>
      </c>
      <c r="BG61" s="612">
        <v>389460.0</v>
      </c>
      <c r="BH61" s="612">
        <v>389460.0</v>
      </c>
      <c r="BI61" s="612">
        <v>389460.0</v>
      </c>
      <c r="BJ61" s="612">
        <v>421915.0</v>
      </c>
      <c r="BK61" s="612">
        <v>421915.0</v>
      </c>
      <c r="BL61" s="612">
        <v>421915.0</v>
      </c>
      <c r="BM61" s="612">
        <v>454370.0</v>
      </c>
      <c r="BN61" s="612">
        <v>454370.0</v>
      </c>
      <c r="BO61" s="612">
        <v>486825.0</v>
      </c>
      <c r="BP61" s="612">
        <v>486825.0</v>
      </c>
      <c r="BQ61" s="612">
        <v>519280.0</v>
      </c>
      <c r="BR61" s="612">
        <v>519280.0</v>
      </c>
      <c r="BS61" s="612">
        <v>551735.0</v>
      </c>
      <c r="BT61" s="612">
        <v>551735.0</v>
      </c>
      <c r="BU61" s="612">
        <v>584190.0</v>
      </c>
      <c r="BV61" s="612">
        <v>584190.0</v>
      </c>
      <c r="BW61" s="612">
        <v>584190.0</v>
      </c>
      <c r="BX61" s="612">
        <v>616645.0</v>
      </c>
      <c r="BY61" s="612">
        <v>616645.0</v>
      </c>
      <c r="BZ61" s="612">
        <v>649100.0</v>
      </c>
      <c r="CA61" s="612">
        <v>649100.0</v>
      </c>
      <c r="CB61" s="612">
        <v>649100.0</v>
      </c>
      <c r="CC61" s="612">
        <v>681555.0</v>
      </c>
      <c r="CD61" s="612">
        <v>681555.0</v>
      </c>
      <c r="CE61" s="612">
        <v>714010.0</v>
      </c>
      <c r="CF61" s="612">
        <v>714010.0</v>
      </c>
      <c r="CG61" s="612">
        <v>746465.0</v>
      </c>
      <c r="CH61" s="612">
        <v>746465.0</v>
      </c>
      <c r="CI61" s="612">
        <v>746465.0</v>
      </c>
      <c r="CJ61" s="612">
        <v>746465.0</v>
      </c>
      <c r="CK61" s="612">
        <v>746465.0</v>
      </c>
      <c r="CL61" s="612">
        <v>746465.0</v>
      </c>
      <c r="CM61" s="612">
        <v>746465.0</v>
      </c>
      <c r="CN61" s="612">
        <v>746465.0</v>
      </c>
      <c r="CO61" s="612">
        <v>746465.0</v>
      </c>
      <c r="CP61" s="612">
        <v>746465.0</v>
      </c>
    </row>
    <row r="62">
      <c r="A62" s="645"/>
      <c r="B62" s="629" t="s">
        <v>363</v>
      </c>
      <c r="C62" s="632" t="b">
        <v>0</v>
      </c>
      <c r="D62" s="655" t="s">
        <v>666</v>
      </c>
      <c r="E62" s="656" t="s">
        <v>348</v>
      </c>
      <c r="F62" s="657" t="s">
        <v>636</v>
      </c>
      <c r="G62" s="625">
        <v>1.0</v>
      </c>
      <c r="H62" s="636">
        <v>1.0</v>
      </c>
      <c r="I62" s="637">
        <v>19399.0</v>
      </c>
      <c r="J62" s="594">
        <f>I62*IF($C$7=TRUE,VLOOKUP(B62,BuffsDebuffs!$P$8:$X$26,MATCH(E62,BuffsDebuffs!$P$8:$X$8,0),FALSE),1)*IF(AND($C$8=TRUE,H62=1),1.0778,1)*VLOOKUP($C$2,'scaling OLD'!$A$2:$H$55,8,False)*IF(K62="-",1,(1/K62*(1+((K62-1)*VLOOKUP($C$2,'scaling OLD'!$A$2:$H$55,4,False)))))*IF(K62="-",1,VLOOKUP($C$2,'scaling OLD'!$A$2:$H$55,5,False))*VLOOKUP($C$2,'scaling OLD'!$A$2:$H$55,6,False)*IF(AND(LEFT(C$2,7)="CE - Cr",B62="Sword"),1.35,1)</f>
        <v>20908.2422</v>
      </c>
      <c r="K62" s="213" t="s">
        <v>349</v>
      </c>
      <c r="L62" s="211">
        <v>5.0</v>
      </c>
      <c r="M62" s="211">
        <v>150.0</v>
      </c>
      <c r="N62" s="211">
        <v>35.0</v>
      </c>
      <c r="O62" s="215">
        <v>1.967</v>
      </c>
      <c r="P62" s="638">
        <f t="shared" si="24"/>
        <v>1.6</v>
      </c>
      <c r="Q62" s="599">
        <f t="shared" si="2"/>
        <v>104541.211</v>
      </c>
      <c r="R62" s="600">
        <f t="shared" si="3"/>
        <v>23.002</v>
      </c>
      <c r="S62" s="622">
        <f t="shared" si="22"/>
        <v>731788.477</v>
      </c>
      <c r="T62" s="602">
        <f t="shared" si="5"/>
        <v>731788.477</v>
      </c>
      <c r="U62" s="623">
        <f t="shared" si="19"/>
        <v>65338.25688</v>
      </c>
      <c r="V62" s="624">
        <f t="shared" si="7"/>
        <v>31814.12386</v>
      </c>
      <c r="W62" s="605">
        <f t="shared" si="8"/>
        <v>31814.12386</v>
      </c>
      <c r="X62" s="606">
        <f t="shared" si="9"/>
        <v>29307.88085</v>
      </c>
      <c r="Y62" s="607">
        <f t="shared" si="10"/>
        <v>5</v>
      </c>
      <c r="Z62" s="608">
        <f t="shared" si="11"/>
        <v>10.165</v>
      </c>
      <c r="AA62" s="608">
        <f t="shared" si="12"/>
        <v>0.565</v>
      </c>
      <c r="AB62" s="607">
        <f t="shared" si="13"/>
        <v>6</v>
      </c>
      <c r="AC62" s="607">
        <f t="shared" si="14"/>
        <v>627247.266</v>
      </c>
      <c r="AD62" s="608">
        <f t="shared" si="15"/>
        <v>0</v>
      </c>
      <c r="AE62" s="607">
        <f t="shared" si="16"/>
        <v>0</v>
      </c>
      <c r="AF62" s="609">
        <f t="shared" si="17"/>
        <v>0</v>
      </c>
      <c r="AG62" s="628">
        <f t="shared" si="23"/>
        <v>627247.266</v>
      </c>
      <c r="AH62" s="611"/>
      <c r="AI62" s="612">
        <v>41816.4844</v>
      </c>
      <c r="AJ62" s="612">
        <v>62724.7266</v>
      </c>
      <c r="AK62" s="612">
        <v>83632.9688</v>
      </c>
      <c r="AL62" s="612">
        <v>104541.21100000001</v>
      </c>
      <c r="AM62" s="612">
        <v>104541.21100000001</v>
      </c>
      <c r="AN62" s="612">
        <v>104541.21100000001</v>
      </c>
      <c r="AO62" s="612">
        <v>104541.21100000001</v>
      </c>
      <c r="AP62" s="612">
        <v>146357.69540000003</v>
      </c>
      <c r="AQ62" s="612">
        <v>167265.9376</v>
      </c>
      <c r="AR62" s="612">
        <v>188174.1798</v>
      </c>
      <c r="AS62" s="612">
        <v>209082.42200000002</v>
      </c>
      <c r="AT62" s="612">
        <v>209082.42200000002</v>
      </c>
      <c r="AU62" s="612">
        <v>209082.42200000002</v>
      </c>
      <c r="AV62" s="612">
        <v>209082.42200000002</v>
      </c>
      <c r="AW62" s="612">
        <v>229990.66420000003</v>
      </c>
      <c r="AX62" s="612">
        <v>271807.1486</v>
      </c>
      <c r="AY62" s="612">
        <v>292715.39080000005</v>
      </c>
      <c r="AZ62" s="612">
        <v>313623.63300000003</v>
      </c>
      <c r="BA62" s="612">
        <v>313623.63300000003</v>
      </c>
      <c r="BB62" s="612">
        <v>313623.63300000003</v>
      </c>
      <c r="BC62" s="612">
        <v>313623.63300000003</v>
      </c>
      <c r="BD62" s="612">
        <v>334531.8752</v>
      </c>
      <c r="BE62" s="612">
        <v>355440.11740000005</v>
      </c>
      <c r="BF62" s="612">
        <v>397256.60180000006</v>
      </c>
      <c r="BG62" s="612">
        <v>418164.84400000004</v>
      </c>
      <c r="BH62" s="612">
        <v>418164.84400000004</v>
      </c>
      <c r="BI62" s="612">
        <v>418164.84400000004</v>
      </c>
      <c r="BJ62" s="612">
        <v>418164.84400000004</v>
      </c>
      <c r="BK62" s="612">
        <v>439073.0862</v>
      </c>
      <c r="BL62" s="612">
        <v>459981.32840000006</v>
      </c>
      <c r="BM62" s="612">
        <v>501797.8128000001</v>
      </c>
      <c r="BN62" s="612">
        <v>522706.05500000005</v>
      </c>
      <c r="BO62" s="612">
        <v>522706.05500000005</v>
      </c>
      <c r="BP62" s="612">
        <v>522706.05500000005</v>
      </c>
      <c r="BQ62" s="612">
        <v>522706.05500000005</v>
      </c>
      <c r="BR62" s="612">
        <v>543614.2972</v>
      </c>
      <c r="BS62" s="612">
        <v>564522.5394</v>
      </c>
      <c r="BT62" s="612">
        <v>585430.7816000001</v>
      </c>
      <c r="BU62" s="612">
        <v>627247.2660000001</v>
      </c>
      <c r="BV62" s="612">
        <v>627247.2660000001</v>
      </c>
      <c r="BW62" s="612">
        <v>627247.2660000001</v>
      </c>
      <c r="BX62" s="612">
        <v>627247.2660000001</v>
      </c>
      <c r="BY62" s="612">
        <v>648155.5082</v>
      </c>
      <c r="BZ62" s="612">
        <v>669063.7504</v>
      </c>
      <c r="CA62" s="612">
        <v>689971.9926000001</v>
      </c>
      <c r="CB62" s="612">
        <v>710880.2348000001</v>
      </c>
      <c r="CC62" s="612">
        <v>731788.4770000001</v>
      </c>
      <c r="CD62" s="612">
        <v>731788.4770000001</v>
      </c>
      <c r="CE62" s="612">
        <v>731788.4770000001</v>
      </c>
      <c r="CF62" s="612">
        <v>731788.4770000001</v>
      </c>
      <c r="CG62" s="612">
        <v>731788.4770000001</v>
      </c>
      <c r="CH62" s="612">
        <v>731788.4770000001</v>
      </c>
      <c r="CI62" s="612">
        <v>731788.4770000001</v>
      </c>
      <c r="CJ62" s="612">
        <v>731788.4770000001</v>
      </c>
      <c r="CK62" s="612">
        <v>731788.4770000001</v>
      </c>
      <c r="CL62" s="612">
        <v>731788.4770000001</v>
      </c>
      <c r="CM62" s="612">
        <v>731788.4770000001</v>
      </c>
      <c r="CN62" s="612">
        <v>731788.4770000001</v>
      </c>
      <c r="CO62" s="612">
        <v>731788.4770000001</v>
      </c>
      <c r="CP62" s="612">
        <v>731788.4770000001</v>
      </c>
    </row>
    <row r="63">
      <c r="A63" s="645"/>
      <c r="B63" s="629" t="s">
        <v>358</v>
      </c>
      <c r="C63" s="668" t="b">
        <v>0</v>
      </c>
      <c r="D63" s="669" t="s">
        <v>667</v>
      </c>
      <c r="E63" s="670" t="s">
        <v>485</v>
      </c>
      <c r="F63" s="671" t="s">
        <v>668</v>
      </c>
      <c r="G63" s="625">
        <v>1.0</v>
      </c>
      <c r="H63" s="636"/>
      <c r="I63" s="637">
        <v>44194.0</v>
      </c>
      <c r="J63" s="618">
        <f>I63*IF($C$7=TRUE,VLOOKUP(B63,BuffsDebuffs!$P$8:$X$26,MATCH(E63,BuffsDebuffs!$P$8:$X$8,0),FALSE),1)*IF(AND($C$8=TRUE,H63=1),1.0778,1)*VLOOKUP($C$2,'scaling OLD'!$A$2:$H$55,8,False)*IF(K63="-",1,(1/K63*(1+((K63-1)*VLOOKUP($C$2,'scaling OLD'!$A$2:$H$55,4,False)))))*IF(K63="-",1,VLOOKUP($C$2,'scaling OLD'!$A$2:$H$55,5,False))*VLOOKUP($C$2,'scaling OLD'!$A$2:$H$55,6,False)*IF(AND(LEFT(C$2,7)="CE - Cr",B63="Sword"),1.35,1)</f>
        <v>44194</v>
      </c>
      <c r="K63" s="213" t="s">
        <v>349</v>
      </c>
      <c r="L63" s="211">
        <v>3.0</v>
      </c>
      <c r="M63" s="211">
        <v>40.0</v>
      </c>
      <c r="N63" s="211">
        <v>17.0</v>
      </c>
      <c r="O63" s="215">
        <v>1.5</v>
      </c>
      <c r="P63" s="647">
        <f t="shared" si="24"/>
        <v>3</v>
      </c>
      <c r="Q63" s="620">
        <f t="shared" si="2"/>
        <v>132582</v>
      </c>
      <c r="R63" s="621">
        <f t="shared" si="3"/>
        <v>24</v>
      </c>
      <c r="S63" s="622">
        <f t="shared" si="22"/>
        <v>751298</v>
      </c>
      <c r="T63" s="602">
        <f t="shared" si="5"/>
        <v>662910</v>
      </c>
      <c r="U63" s="623">
        <f t="shared" si="19"/>
        <v>44194</v>
      </c>
      <c r="V63" s="624">
        <f t="shared" si="7"/>
        <v>31304.08333</v>
      </c>
      <c r="W63" s="605">
        <f t="shared" si="8"/>
        <v>31567.14286</v>
      </c>
      <c r="X63" s="606">
        <f t="shared" si="9"/>
        <v>29462.66667</v>
      </c>
      <c r="Y63" s="607">
        <f t="shared" si="10"/>
        <v>4</v>
      </c>
      <c r="Z63" s="608">
        <f t="shared" si="11"/>
        <v>14</v>
      </c>
      <c r="AA63" s="608">
        <f t="shared" si="12"/>
        <v>0</v>
      </c>
      <c r="AB63" s="607">
        <f t="shared" si="13"/>
        <v>4</v>
      </c>
      <c r="AC63" s="607">
        <f t="shared" si="14"/>
        <v>530328</v>
      </c>
      <c r="AD63" s="608">
        <f t="shared" si="15"/>
        <v>2</v>
      </c>
      <c r="AE63" s="607">
        <f t="shared" si="16"/>
        <v>2</v>
      </c>
      <c r="AF63" s="609">
        <f t="shared" si="17"/>
        <v>88388</v>
      </c>
      <c r="AG63" s="628">
        <f t="shared" si="23"/>
        <v>618716</v>
      </c>
      <c r="AH63" s="611"/>
      <c r="AI63" s="612">
        <v>44194.0</v>
      </c>
      <c r="AJ63" s="612">
        <v>44194.0</v>
      </c>
      <c r="AK63" s="612">
        <v>88388.0</v>
      </c>
      <c r="AL63" s="612">
        <v>88388.0</v>
      </c>
      <c r="AM63" s="612">
        <v>88388.0</v>
      </c>
      <c r="AN63" s="612">
        <v>132582.0</v>
      </c>
      <c r="AO63" s="612">
        <v>132582.0</v>
      </c>
      <c r="AP63" s="612">
        <v>132582.0</v>
      </c>
      <c r="AQ63" s="612">
        <v>132582.0</v>
      </c>
      <c r="AR63" s="612">
        <v>176776.0</v>
      </c>
      <c r="AS63" s="612">
        <v>176776.0</v>
      </c>
      <c r="AT63" s="612">
        <v>220970.0</v>
      </c>
      <c r="AU63" s="612">
        <v>220970.0</v>
      </c>
      <c r="AV63" s="612">
        <v>220970.0</v>
      </c>
      <c r="AW63" s="612">
        <v>265164.0</v>
      </c>
      <c r="AX63" s="612">
        <v>265164.0</v>
      </c>
      <c r="AY63" s="612">
        <v>265164.0</v>
      </c>
      <c r="AZ63" s="612">
        <v>265164.0</v>
      </c>
      <c r="BA63" s="612">
        <v>309358.0</v>
      </c>
      <c r="BB63" s="612">
        <v>309358.0</v>
      </c>
      <c r="BC63" s="612">
        <v>353552.0</v>
      </c>
      <c r="BD63" s="612">
        <v>353552.0</v>
      </c>
      <c r="BE63" s="612">
        <v>353552.0</v>
      </c>
      <c r="BF63" s="612">
        <v>397746.0</v>
      </c>
      <c r="BG63" s="612">
        <v>397746.0</v>
      </c>
      <c r="BH63" s="612">
        <v>397746.0</v>
      </c>
      <c r="BI63" s="612">
        <v>397746.0</v>
      </c>
      <c r="BJ63" s="612">
        <v>441940.0</v>
      </c>
      <c r="BK63" s="612">
        <v>441940.0</v>
      </c>
      <c r="BL63" s="612">
        <v>486134.0</v>
      </c>
      <c r="BM63" s="612">
        <v>486134.0</v>
      </c>
      <c r="BN63" s="612">
        <v>486134.0</v>
      </c>
      <c r="BO63" s="612">
        <v>530328.0</v>
      </c>
      <c r="BP63" s="612">
        <v>530328.0</v>
      </c>
      <c r="BQ63" s="612">
        <v>530328.0</v>
      </c>
      <c r="BR63" s="612">
        <v>530328.0</v>
      </c>
      <c r="BS63" s="612">
        <v>574522.0</v>
      </c>
      <c r="BT63" s="612">
        <v>574522.0</v>
      </c>
      <c r="BU63" s="612">
        <v>618716.0</v>
      </c>
      <c r="BV63" s="612">
        <v>618716.0</v>
      </c>
      <c r="BW63" s="612">
        <v>618716.0</v>
      </c>
      <c r="BX63" s="612">
        <v>662910.0</v>
      </c>
      <c r="BY63" s="612">
        <v>662910.0</v>
      </c>
      <c r="BZ63" s="612">
        <v>662910.0</v>
      </c>
      <c r="CA63" s="612">
        <v>662910.0</v>
      </c>
      <c r="CB63" s="612">
        <v>707104.0</v>
      </c>
      <c r="CC63" s="612">
        <v>707104.0</v>
      </c>
      <c r="CD63" s="612">
        <v>751298.0</v>
      </c>
      <c r="CE63" s="612">
        <v>751298.0</v>
      </c>
      <c r="CF63" s="612">
        <v>751298.0</v>
      </c>
      <c r="CG63" s="612">
        <v>751298.0</v>
      </c>
      <c r="CH63" s="612">
        <v>751298.0</v>
      </c>
      <c r="CI63" s="612">
        <v>751298.0</v>
      </c>
      <c r="CJ63" s="612">
        <v>751298.0</v>
      </c>
      <c r="CK63" s="612">
        <v>751298.0</v>
      </c>
      <c r="CL63" s="612">
        <v>751298.0</v>
      </c>
      <c r="CM63" s="612">
        <v>751298.0</v>
      </c>
      <c r="CN63" s="612">
        <v>751298.0</v>
      </c>
      <c r="CO63" s="612">
        <v>751298.0</v>
      </c>
      <c r="CP63" s="612">
        <v>751298.0</v>
      </c>
    </row>
    <row r="64">
      <c r="A64" s="645"/>
      <c r="B64" s="629" t="s">
        <v>363</v>
      </c>
      <c r="C64" s="614" t="b">
        <v>0</v>
      </c>
      <c r="D64" s="589" t="s">
        <v>669</v>
      </c>
      <c r="E64" s="615" t="s">
        <v>500</v>
      </c>
      <c r="F64" s="616" t="s">
        <v>602</v>
      </c>
      <c r="G64" s="625">
        <v>1.0</v>
      </c>
      <c r="H64" s="625"/>
      <c r="I64" s="617">
        <v>16898.0</v>
      </c>
      <c r="J64" s="594">
        <f>I64*IF($C$7=TRUE,VLOOKUP(B64,BuffsDebuffs!$P$8:$X$26,MATCH(E64,BuffsDebuffs!$P$8:$X$8,0),FALSE),1)*IF(AND($C$8=TRUE,H64=1),1.0778,1)*VLOOKUP($C$2,'scaling OLD'!$A$2:$H$55,8,False)*IF(K64="-",1,(1/K64*(1+((K64-1)*VLOOKUP($C$2,'scaling OLD'!$A$2:$H$55,4,False)))))*IF(K64="-",1,VLOOKUP($C$2,'scaling OLD'!$A$2:$H$55,5,False))*VLOOKUP($C$2,'scaling OLD'!$A$2:$H$55,6,False)*IF(AND(LEFT(C$2,7)="CE - Cr",B64="Sword"),1.35,1)</f>
        <v>16898</v>
      </c>
      <c r="K64" s="186" t="s">
        <v>349</v>
      </c>
      <c r="L64" s="184">
        <v>8.0</v>
      </c>
      <c r="M64" s="184">
        <v>140.0</v>
      </c>
      <c r="N64" s="184">
        <v>28.0</v>
      </c>
      <c r="O64" s="188">
        <v>1.967</v>
      </c>
      <c r="P64" s="638">
        <f t="shared" si="24"/>
        <v>3</v>
      </c>
      <c r="Q64" s="599">
        <f t="shared" si="2"/>
        <v>135184</v>
      </c>
      <c r="R64" s="600">
        <f t="shared" si="3"/>
        <v>16.18671429</v>
      </c>
      <c r="S64" s="622">
        <f t="shared" si="22"/>
        <v>473144</v>
      </c>
      <c r="T64" s="602">
        <f t="shared" si="5"/>
        <v>405552</v>
      </c>
      <c r="U64" s="623">
        <f t="shared" si="19"/>
        <v>45061.33333</v>
      </c>
      <c r="V64" s="624">
        <f t="shared" si="7"/>
        <v>29230.39177</v>
      </c>
      <c r="W64" s="605">
        <f t="shared" si="8"/>
        <v>31355.49714</v>
      </c>
      <c r="X64" s="606">
        <f t="shared" si="9"/>
        <v>27216.42843</v>
      </c>
      <c r="Y64" s="607">
        <f t="shared" si="10"/>
        <v>4</v>
      </c>
      <c r="Z64" s="608">
        <f t="shared" si="11"/>
        <v>12.132</v>
      </c>
      <c r="AA64" s="608">
        <f t="shared" si="12"/>
        <v>0</v>
      </c>
      <c r="AB64" s="607">
        <f t="shared" si="13"/>
        <v>4</v>
      </c>
      <c r="AC64" s="607">
        <f t="shared" si="14"/>
        <v>540736</v>
      </c>
      <c r="AD64" s="608">
        <f t="shared" si="15"/>
        <v>0.132</v>
      </c>
      <c r="AE64" s="607">
        <f t="shared" si="16"/>
        <v>1</v>
      </c>
      <c r="AF64" s="609">
        <f t="shared" si="17"/>
        <v>16898</v>
      </c>
      <c r="AG64" s="628">
        <f t="shared" si="23"/>
        <v>473144</v>
      </c>
      <c r="AH64" s="611"/>
      <c r="AI64" s="612">
        <v>33796.0</v>
      </c>
      <c r="AJ64" s="612">
        <v>50694.0</v>
      </c>
      <c r="AK64" s="612">
        <v>67592.0</v>
      </c>
      <c r="AL64" s="612">
        <v>84490.0</v>
      </c>
      <c r="AM64" s="612">
        <v>101388.0</v>
      </c>
      <c r="AN64" s="612">
        <v>135184.0</v>
      </c>
      <c r="AO64" s="612">
        <v>135184.0</v>
      </c>
      <c r="AP64" s="612">
        <v>135184.0</v>
      </c>
      <c r="AQ64" s="612">
        <v>135184.0</v>
      </c>
      <c r="AR64" s="612">
        <v>152082.0</v>
      </c>
      <c r="AS64" s="612">
        <v>168980.0</v>
      </c>
      <c r="AT64" s="612">
        <v>185878.0</v>
      </c>
      <c r="AU64" s="612">
        <v>202776.0</v>
      </c>
      <c r="AV64" s="612">
        <v>219674.0</v>
      </c>
      <c r="AW64" s="612">
        <v>236572.0</v>
      </c>
      <c r="AX64" s="612">
        <v>270368.0</v>
      </c>
      <c r="AY64" s="612">
        <v>270368.0</v>
      </c>
      <c r="AZ64" s="612">
        <v>270368.0</v>
      </c>
      <c r="BA64" s="612">
        <v>270368.0</v>
      </c>
      <c r="BB64" s="612">
        <v>287266.0</v>
      </c>
      <c r="BC64" s="612">
        <v>304164.0</v>
      </c>
      <c r="BD64" s="612">
        <v>321062.0</v>
      </c>
      <c r="BE64" s="612">
        <v>337960.0</v>
      </c>
      <c r="BF64" s="612">
        <v>354858.0</v>
      </c>
      <c r="BG64" s="612">
        <v>371756.0</v>
      </c>
      <c r="BH64" s="612">
        <v>405552.0</v>
      </c>
      <c r="BI64" s="612">
        <v>405552.0</v>
      </c>
      <c r="BJ64" s="612">
        <v>405552.0</v>
      </c>
      <c r="BK64" s="612">
        <v>405552.0</v>
      </c>
      <c r="BL64" s="612">
        <v>422450.0</v>
      </c>
      <c r="BM64" s="612">
        <v>439348.0</v>
      </c>
      <c r="BN64" s="612">
        <v>456246.0</v>
      </c>
      <c r="BO64" s="612">
        <v>473144.0</v>
      </c>
      <c r="BP64" s="612">
        <v>473144.0</v>
      </c>
      <c r="BQ64" s="612">
        <v>473144.0</v>
      </c>
      <c r="BR64" s="612">
        <v>473144.0</v>
      </c>
      <c r="BS64" s="612">
        <v>473144.0</v>
      </c>
      <c r="BT64" s="612">
        <v>473144.0</v>
      </c>
      <c r="BU64" s="612">
        <v>473144.0</v>
      </c>
      <c r="BV64" s="612">
        <v>473144.0</v>
      </c>
      <c r="BW64" s="612">
        <v>473144.0</v>
      </c>
      <c r="BX64" s="612">
        <v>473144.0</v>
      </c>
      <c r="BY64" s="612">
        <v>473144.0</v>
      </c>
      <c r="BZ64" s="612">
        <v>473144.0</v>
      </c>
      <c r="CA64" s="612">
        <v>473144.0</v>
      </c>
      <c r="CB64" s="612">
        <v>473144.0</v>
      </c>
      <c r="CC64" s="612">
        <v>473144.0</v>
      </c>
      <c r="CD64" s="612">
        <v>473144.0</v>
      </c>
      <c r="CE64" s="612">
        <v>473144.0</v>
      </c>
      <c r="CF64" s="612">
        <v>473144.0</v>
      </c>
      <c r="CG64" s="612">
        <v>473144.0</v>
      </c>
      <c r="CH64" s="612">
        <v>473144.0</v>
      </c>
      <c r="CI64" s="612">
        <v>473144.0</v>
      </c>
      <c r="CJ64" s="612">
        <v>473144.0</v>
      </c>
      <c r="CK64" s="612">
        <v>473144.0</v>
      </c>
      <c r="CL64" s="612">
        <v>473144.0</v>
      </c>
      <c r="CM64" s="612">
        <v>473144.0</v>
      </c>
      <c r="CN64" s="612">
        <v>473144.0</v>
      </c>
      <c r="CO64" s="612">
        <v>473144.0</v>
      </c>
      <c r="CP64" s="612">
        <v>473144.0</v>
      </c>
    </row>
    <row r="65">
      <c r="A65" s="645"/>
      <c r="B65" s="629" t="s">
        <v>389</v>
      </c>
      <c r="C65" s="632" t="b">
        <v>0</v>
      </c>
      <c r="D65" s="655" t="s">
        <v>670</v>
      </c>
      <c r="E65" s="656" t="s">
        <v>348</v>
      </c>
      <c r="F65" s="657" t="s">
        <v>671</v>
      </c>
      <c r="G65" s="625">
        <v>1.0</v>
      </c>
      <c r="H65" s="636">
        <v>1.0</v>
      </c>
      <c r="I65" s="637">
        <v>53444.0</v>
      </c>
      <c r="J65" s="618">
        <f>I65*IF($C$7=TRUE,VLOOKUP(B65,BuffsDebuffs!$P$8:$X$26,MATCH(E65,BuffsDebuffs!$P$8:$X$8,0),FALSE),1)*IF(AND($C$8=TRUE,H65=1),1.0778,1)*VLOOKUP($C$2,'scaling OLD'!$A$2:$H$55,8,False)*IF(K65="-",1,(1/K65*(1+((K65-1)*VLOOKUP($C$2,'scaling OLD'!$A$2:$H$55,4,False)))))*IF(K65="-",1,VLOOKUP($C$2,'scaling OLD'!$A$2:$H$55,5,False))*VLOOKUP($C$2,'scaling OLD'!$A$2:$H$55,6,False)*IF(AND(LEFT(C$2,7)="CE - Cr",B65="Sword"),1.35,1)</f>
        <v>57601.9432</v>
      </c>
      <c r="K65" s="213" t="s">
        <v>349</v>
      </c>
      <c r="L65" s="211">
        <v>1.0</v>
      </c>
      <c r="M65" s="211">
        <v>50.5</v>
      </c>
      <c r="N65" s="211">
        <v>9.0</v>
      </c>
      <c r="O65" s="215">
        <v>2.067</v>
      </c>
      <c r="P65" s="647">
        <f t="shared" si="24"/>
        <v>0</v>
      </c>
      <c r="Q65" s="620">
        <f t="shared" si="2"/>
        <v>57601.9432</v>
      </c>
      <c r="R65" s="621">
        <f t="shared" si="3"/>
        <v>16.536</v>
      </c>
      <c r="S65" s="622">
        <f t="shared" si="22"/>
        <v>518417.4888</v>
      </c>
      <c r="T65" s="602">
        <f t="shared" si="5"/>
        <v>518417.4888</v>
      </c>
      <c r="U65" s="623" t="str">
        <f t="shared" si="19"/>
        <v>-</v>
      </c>
      <c r="V65" s="624">
        <f t="shared" si="7"/>
        <v>31350.83991</v>
      </c>
      <c r="W65" s="605">
        <f t="shared" si="8"/>
        <v>31350.83991</v>
      </c>
      <c r="X65" s="606">
        <f t="shared" si="9"/>
        <v>27867.41326</v>
      </c>
      <c r="Y65" s="607">
        <f t="shared" si="10"/>
        <v>9</v>
      </c>
      <c r="Z65" s="608">
        <f t="shared" si="11"/>
        <v>1.397</v>
      </c>
      <c r="AA65" s="608">
        <f t="shared" si="12"/>
        <v>1.397</v>
      </c>
      <c r="AB65" s="607">
        <f t="shared" si="13"/>
        <v>10</v>
      </c>
      <c r="AC65" s="607">
        <f t="shared" si="14"/>
        <v>576019.432</v>
      </c>
      <c r="AD65" s="608">
        <f t="shared" si="15"/>
        <v>0</v>
      </c>
      <c r="AE65" s="607">
        <f t="shared" si="16"/>
        <v>0</v>
      </c>
      <c r="AF65" s="609">
        <f t="shared" si="17"/>
        <v>0</v>
      </c>
      <c r="AG65" s="628">
        <f t="shared" si="23"/>
        <v>518417.4888</v>
      </c>
      <c r="AH65" s="611"/>
      <c r="AI65" s="612">
        <v>57601.9432</v>
      </c>
      <c r="AJ65" s="612">
        <v>57601.9432</v>
      </c>
      <c r="AK65" s="612">
        <v>57601.9432</v>
      </c>
      <c r="AL65" s="612">
        <v>57601.9432</v>
      </c>
      <c r="AM65" s="612">
        <v>115203.8864</v>
      </c>
      <c r="AN65" s="612">
        <v>115203.8864</v>
      </c>
      <c r="AO65" s="612">
        <v>115203.8864</v>
      </c>
      <c r="AP65" s="612">
        <v>115203.8864</v>
      </c>
      <c r="AQ65" s="612">
        <v>172805.8296</v>
      </c>
      <c r="AR65" s="612">
        <v>172805.8296</v>
      </c>
      <c r="AS65" s="612">
        <v>172805.8296</v>
      </c>
      <c r="AT65" s="612">
        <v>172805.8296</v>
      </c>
      <c r="AU65" s="612">
        <v>230407.7728</v>
      </c>
      <c r="AV65" s="612">
        <v>230407.7728</v>
      </c>
      <c r="AW65" s="612">
        <v>230407.7728</v>
      </c>
      <c r="AX65" s="612">
        <v>230407.7728</v>
      </c>
      <c r="AY65" s="612">
        <v>288009.716</v>
      </c>
      <c r="AZ65" s="612">
        <v>288009.716</v>
      </c>
      <c r="BA65" s="612">
        <v>288009.716</v>
      </c>
      <c r="BB65" s="612">
        <v>288009.716</v>
      </c>
      <c r="BC65" s="612">
        <v>345611.6592</v>
      </c>
      <c r="BD65" s="612">
        <v>345611.6592</v>
      </c>
      <c r="BE65" s="612">
        <v>345611.6592</v>
      </c>
      <c r="BF65" s="612">
        <v>345611.6592</v>
      </c>
      <c r="BG65" s="612">
        <v>403213.60240000003</v>
      </c>
      <c r="BH65" s="612">
        <v>403213.60240000003</v>
      </c>
      <c r="BI65" s="612">
        <v>403213.60240000003</v>
      </c>
      <c r="BJ65" s="612">
        <v>403213.60240000003</v>
      </c>
      <c r="BK65" s="612">
        <v>460815.5456</v>
      </c>
      <c r="BL65" s="612">
        <v>460815.5456</v>
      </c>
      <c r="BM65" s="612">
        <v>460815.5456</v>
      </c>
      <c r="BN65" s="612">
        <v>460815.5456</v>
      </c>
      <c r="BO65" s="612">
        <v>460815.5456</v>
      </c>
      <c r="BP65" s="612">
        <v>518417.4888</v>
      </c>
      <c r="BQ65" s="612">
        <v>518417.4888</v>
      </c>
      <c r="BR65" s="612">
        <v>518417.4888</v>
      </c>
      <c r="BS65" s="612">
        <v>518417.4888</v>
      </c>
      <c r="BT65" s="612">
        <v>518417.4888</v>
      </c>
      <c r="BU65" s="612">
        <v>518417.4888</v>
      </c>
      <c r="BV65" s="612">
        <v>518417.4888</v>
      </c>
      <c r="BW65" s="612">
        <v>518417.4888</v>
      </c>
      <c r="BX65" s="612">
        <v>518417.4888</v>
      </c>
      <c r="BY65" s="612">
        <v>518417.4888</v>
      </c>
      <c r="BZ65" s="612">
        <v>518417.4888</v>
      </c>
      <c r="CA65" s="612">
        <v>518417.4888</v>
      </c>
      <c r="CB65" s="612">
        <v>518417.4888</v>
      </c>
      <c r="CC65" s="612">
        <v>518417.4888</v>
      </c>
      <c r="CD65" s="612">
        <v>518417.4888</v>
      </c>
      <c r="CE65" s="612">
        <v>518417.4888</v>
      </c>
      <c r="CF65" s="612">
        <v>518417.4888</v>
      </c>
      <c r="CG65" s="612">
        <v>518417.4888</v>
      </c>
      <c r="CH65" s="612">
        <v>518417.4888</v>
      </c>
      <c r="CI65" s="612">
        <v>518417.4888</v>
      </c>
      <c r="CJ65" s="612">
        <v>518417.4888</v>
      </c>
      <c r="CK65" s="612">
        <v>518417.4888</v>
      </c>
      <c r="CL65" s="612">
        <v>518417.4888</v>
      </c>
      <c r="CM65" s="612">
        <v>518417.4888</v>
      </c>
      <c r="CN65" s="612">
        <v>518417.4888</v>
      </c>
      <c r="CO65" s="612">
        <v>518417.4888</v>
      </c>
      <c r="CP65" s="612">
        <v>518417.4888</v>
      </c>
    </row>
    <row r="66">
      <c r="A66" s="645"/>
      <c r="B66" s="613" t="s">
        <v>407</v>
      </c>
      <c r="C66" s="614" t="b">
        <v>0</v>
      </c>
      <c r="D66" s="589" t="s">
        <v>672</v>
      </c>
      <c r="E66" s="615" t="s">
        <v>468</v>
      </c>
      <c r="F66" s="616" t="s">
        <v>673</v>
      </c>
      <c r="G66" s="625">
        <v>1.0</v>
      </c>
      <c r="H66" s="625"/>
      <c r="I66" s="617">
        <v>83171.0</v>
      </c>
      <c r="J66" s="594">
        <f>I66*IF($C$7=TRUE,VLOOKUP(B66,BuffsDebuffs!$P$8:$X$26,MATCH(E66,BuffsDebuffs!$P$8:$X$8,0),FALSE),1)*IF(AND($C$8=TRUE,H66=1),1.0778,1)*VLOOKUP($C$2,'scaling OLD'!$A$2:$H$55,8,False)*IF(K66="-",1,(1/K66*(1+((K66-1)*VLOOKUP($C$2,'scaling OLD'!$A$2:$H$55,4,False)))))*IF(K66="-",1,VLOOKUP($C$2,'scaling OLD'!$A$2:$H$55,5,False))*VLOOKUP($C$2,'scaling OLD'!$A$2:$H$55,6,False)*IF(AND(LEFT(C$2,7)="CE - Cr",B66="Sword"),1.35,1)</f>
        <v>83171</v>
      </c>
      <c r="K66" s="186">
        <v>5.99</v>
      </c>
      <c r="L66" s="184">
        <v>1.0</v>
      </c>
      <c r="M66" s="184">
        <v>90.0</v>
      </c>
      <c r="N66" s="184">
        <v>6.0</v>
      </c>
      <c r="O66" s="188">
        <v>3.216</v>
      </c>
      <c r="P66" s="638">
        <f t="shared" si="24"/>
        <v>0</v>
      </c>
      <c r="Q66" s="599">
        <f t="shared" si="2"/>
        <v>83171</v>
      </c>
      <c r="R66" s="600">
        <f t="shared" si="3"/>
        <v>16.08</v>
      </c>
      <c r="S66" s="622">
        <f t="shared" si="22"/>
        <v>499026</v>
      </c>
      <c r="T66" s="602">
        <f t="shared" si="5"/>
        <v>499026</v>
      </c>
      <c r="U66" s="623" t="str">
        <f t="shared" si="19"/>
        <v>-</v>
      </c>
      <c r="V66" s="624">
        <f t="shared" si="7"/>
        <v>31033.95522</v>
      </c>
      <c r="W66" s="605">
        <f t="shared" si="8"/>
        <v>31033.95522</v>
      </c>
      <c r="X66" s="606">
        <f t="shared" si="9"/>
        <v>25861.62935</v>
      </c>
      <c r="Y66" s="607">
        <f t="shared" si="10"/>
        <v>6</v>
      </c>
      <c r="Z66" s="608">
        <f t="shared" si="11"/>
        <v>0.704</v>
      </c>
      <c r="AA66" s="608">
        <f t="shared" si="12"/>
        <v>0.704</v>
      </c>
      <c r="AB66" s="607">
        <f t="shared" si="13"/>
        <v>7</v>
      </c>
      <c r="AC66" s="607">
        <f t="shared" si="14"/>
        <v>582197</v>
      </c>
      <c r="AD66" s="608">
        <f t="shared" si="15"/>
        <v>0</v>
      </c>
      <c r="AE66" s="607">
        <f t="shared" si="16"/>
        <v>0</v>
      </c>
      <c r="AF66" s="609">
        <f t="shared" si="17"/>
        <v>0</v>
      </c>
      <c r="AG66" s="628">
        <f t="shared" si="23"/>
        <v>499026</v>
      </c>
      <c r="AH66" s="611"/>
      <c r="AI66" s="612">
        <v>83171.0</v>
      </c>
      <c r="AJ66" s="612">
        <v>83171.0</v>
      </c>
      <c r="AK66" s="612">
        <v>83171.0</v>
      </c>
      <c r="AL66" s="612">
        <v>83171.0</v>
      </c>
      <c r="AM66" s="612">
        <v>83171.0</v>
      </c>
      <c r="AN66" s="612">
        <v>83171.0</v>
      </c>
      <c r="AO66" s="612">
        <v>166342.0</v>
      </c>
      <c r="AP66" s="612">
        <v>166342.0</v>
      </c>
      <c r="AQ66" s="612">
        <v>166342.0</v>
      </c>
      <c r="AR66" s="612">
        <v>166342.0</v>
      </c>
      <c r="AS66" s="612">
        <v>166342.0</v>
      </c>
      <c r="AT66" s="612">
        <v>166342.0</v>
      </c>
      <c r="AU66" s="612">
        <v>249513.0</v>
      </c>
      <c r="AV66" s="612">
        <v>249513.0</v>
      </c>
      <c r="AW66" s="612">
        <v>249513.0</v>
      </c>
      <c r="AX66" s="612">
        <v>249513.0</v>
      </c>
      <c r="AY66" s="612">
        <v>249513.0</v>
      </c>
      <c r="AZ66" s="612">
        <v>249513.0</v>
      </c>
      <c r="BA66" s="612">
        <v>249513.0</v>
      </c>
      <c r="BB66" s="612">
        <v>332684.0</v>
      </c>
      <c r="BC66" s="612">
        <v>332684.0</v>
      </c>
      <c r="BD66" s="612">
        <v>332684.0</v>
      </c>
      <c r="BE66" s="612">
        <v>332684.0</v>
      </c>
      <c r="BF66" s="612">
        <v>332684.0</v>
      </c>
      <c r="BG66" s="612">
        <v>332684.0</v>
      </c>
      <c r="BH66" s="612">
        <v>415855.0</v>
      </c>
      <c r="BI66" s="612">
        <v>415855.0</v>
      </c>
      <c r="BJ66" s="612">
        <v>415855.0</v>
      </c>
      <c r="BK66" s="612">
        <v>415855.0</v>
      </c>
      <c r="BL66" s="612">
        <v>415855.0</v>
      </c>
      <c r="BM66" s="612">
        <v>415855.0</v>
      </c>
      <c r="BN66" s="612">
        <v>415855.0</v>
      </c>
      <c r="BO66" s="612">
        <v>499026.0</v>
      </c>
      <c r="BP66" s="612">
        <v>499026.0</v>
      </c>
      <c r="BQ66" s="612">
        <v>499026.0</v>
      </c>
      <c r="BR66" s="612">
        <v>499026.0</v>
      </c>
      <c r="BS66" s="612">
        <v>499026.0</v>
      </c>
      <c r="BT66" s="612">
        <v>499026.0</v>
      </c>
      <c r="BU66" s="612">
        <v>499026.0</v>
      </c>
      <c r="BV66" s="612">
        <v>499026.0</v>
      </c>
      <c r="BW66" s="612">
        <v>499026.0</v>
      </c>
      <c r="BX66" s="612">
        <v>499026.0</v>
      </c>
      <c r="BY66" s="612">
        <v>499026.0</v>
      </c>
      <c r="BZ66" s="612">
        <v>499026.0</v>
      </c>
      <c r="CA66" s="612">
        <v>499026.0</v>
      </c>
      <c r="CB66" s="612">
        <v>499026.0</v>
      </c>
      <c r="CC66" s="612">
        <v>499026.0</v>
      </c>
      <c r="CD66" s="612">
        <v>499026.0</v>
      </c>
      <c r="CE66" s="612">
        <v>499026.0</v>
      </c>
      <c r="CF66" s="612">
        <v>499026.0</v>
      </c>
      <c r="CG66" s="612">
        <v>499026.0</v>
      </c>
      <c r="CH66" s="612">
        <v>499026.0</v>
      </c>
      <c r="CI66" s="612">
        <v>499026.0</v>
      </c>
      <c r="CJ66" s="612">
        <v>499026.0</v>
      </c>
      <c r="CK66" s="612">
        <v>499026.0</v>
      </c>
      <c r="CL66" s="612">
        <v>499026.0</v>
      </c>
      <c r="CM66" s="612">
        <v>499026.0</v>
      </c>
      <c r="CN66" s="612">
        <v>499026.0</v>
      </c>
      <c r="CO66" s="612">
        <v>499026.0</v>
      </c>
      <c r="CP66" s="612">
        <v>499026.0</v>
      </c>
    </row>
    <row r="67">
      <c r="A67" s="645"/>
      <c r="B67" s="629" t="s">
        <v>389</v>
      </c>
      <c r="C67" s="632" t="b">
        <v>0</v>
      </c>
      <c r="D67" s="655" t="s">
        <v>674</v>
      </c>
      <c r="E67" s="656" t="s">
        <v>348</v>
      </c>
      <c r="F67" s="657" t="s">
        <v>671</v>
      </c>
      <c r="G67" s="625">
        <v>1.0</v>
      </c>
      <c r="H67" s="636">
        <v>1.0</v>
      </c>
      <c r="I67" s="637">
        <v>53444.0</v>
      </c>
      <c r="J67" s="618">
        <f>I67*IF($C$7=TRUE,VLOOKUP(B67,BuffsDebuffs!$P$8:$X$26,MATCH(E67,BuffsDebuffs!$P$8:$X$8,0),FALSE),1)*IF(AND($C$8=TRUE,H67=1),1.0778,1)*VLOOKUP($C$2,'scaling OLD'!$A$2:$H$55,8,False)*IF(K67="-",1,(1/K67*(1+((K67-1)*VLOOKUP($C$2,'scaling OLD'!$A$2:$H$55,4,False)))))*IF(K67="-",1,VLOOKUP($C$2,'scaling OLD'!$A$2:$H$55,5,False))*VLOOKUP($C$2,'scaling OLD'!$A$2:$H$55,6,False)*IF(AND(LEFT(C$2,7)="CE - Cr",B67="Sword"),1.35,1)</f>
        <v>57601.9432</v>
      </c>
      <c r="K67" s="213" t="s">
        <v>349</v>
      </c>
      <c r="L67" s="211">
        <v>1.0</v>
      </c>
      <c r="M67" s="211">
        <v>54.5</v>
      </c>
      <c r="N67" s="211">
        <v>10.0</v>
      </c>
      <c r="O67" s="215">
        <v>2.067</v>
      </c>
      <c r="P67" s="647">
        <f t="shared" si="24"/>
        <v>0</v>
      </c>
      <c r="Q67" s="620">
        <f t="shared" si="2"/>
        <v>57601.9432</v>
      </c>
      <c r="R67" s="621">
        <f t="shared" si="3"/>
        <v>18.603</v>
      </c>
      <c r="S67" s="622">
        <f t="shared" si="22"/>
        <v>576019.432</v>
      </c>
      <c r="T67" s="602">
        <f t="shared" si="5"/>
        <v>576019.432</v>
      </c>
      <c r="U67" s="623" t="str">
        <f t="shared" si="19"/>
        <v>-</v>
      </c>
      <c r="V67" s="624">
        <f t="shared" si="7"/>
        <v>30963.79251</v>
      </c>
      <c r="W67" s="605">
        <f t="shared" si="8"/>
        <v>30963.79251</v>
      </c>
      <c r="X67" s="606">
        <f t="shared" si="9"/>
        <v>27867.41326</v>
      </c>
      <c r="Y67" s="607">
        <f t="shared" si="10"/>
        <v>9</v>
      </c>
      <c r="Z67" s="608">
        <f t="shared" si="11"/>
        <v>1.397</v>
      </c>
      <c r="AA67" s="608">
        <f t="shared" si="12"/>
        <v>1.397</v>
      </c>
      <c r="AB67" s="607">
        <f t="shared" si="13"/>
        <v>10</v>
      </c>
      <c r="AC67" s="607">
        <f t="shared" si="14"/>
        <v>576019.432</v>
      </c>
      <c r="AD67" s="608">
        <f t="shared" si="15"/>
        <v>0</v>
      </c>
      <c r="AE67" s="607">
        <f t="shared" si="16"/>
        <v>0</v>
      </c>
      <c r="AF67" s="609">
        <f t="shared" si="17"/>
        <v>0</v>
      </c>
      <c r="AG67" s="628">
        <f t="shared" si="23"/>
        <v>576019.432</v>
      </c>
      <c r="AH67" s="611"/>
      <c r="AI67" s="612">
        <v>57601.9432</v>
      </c>
      <c r="AJ67" s="612">
        <v>57601.9432</v>
      </c>
      <c r="AK67" s="612">
        <v>57601.9432</v>
      </c>
      <c r="AL67" s="612">
        <v>57601.9432</v>
      </c>
      <c r="AM67" s="612">
        <v>115203.8864</v>
      </c>
      <c r="AN67" s="612">
        <v>115203.8864</v>
      </c>
      <c r="AO67" s="612">
        <v>115203.8864</v>
      </c>
      <c r="AP67" s="612">
        <v>115203.8864</v>
      </c>
      <c r="AQ67" s="612">
        <v>172805.8296</v>
      </c>
      <c r="AR67" s="612">
        <v>172805.8296</v>
      </c>
      <c r="AS67" s="612">
        <v>172805.8296</v>
      </c>
      <c r="AT67" s="612">
        <v>172805.8296</v>
      </c>
      <c r="AU67" s="612">
        <v>230407.7728</v>
      </c>
      <c r="AV67" s="612">
        <v>230407.7728</v>
      </c>
      <c r="AW67" s="612">
        <v>230407.7728</v>
      </c>
      <c r="AX67" s="612">
        <v>230407.7728</v>
      </c>
      <c r="AY67" s="612">
        <v>288009.716</v>
      </c>
      <c r="AZ67" s="612">
        <v>288009.716</v>
      </c>
      <c r="BA67" s="612">
        <v>288009.716</v>
      </c>
      <c r="BB67" s="612">
        <v>288009.716</v>
      </c>
      <c r="BC67" s="612">
        <v>345611.6592</v>
      </c>
      <c r="BD67" s="612">
        <v>345611.6592</v>
      </c>
      <c r="BE67" s="612">
        <v>345611.6592</v>
      </c>
      <c r="BF67" s="612">
        <v>345611.6592</v>
      </c>
      <c r="BG67" s="612">
        <v>403213.60240000003</v>
      </c>
      <c r="BH67" s="612">
        <v>403213.60240000003</v>
      </c>
      <c r="BI67" s="612">
        <v>403213.60240000003</v>
      </c>
      <c r="BJ67" s="612">
        <v>403213.60240000003</v>
      </c>
      <c r="BK67" s="612">
        <v>460815.5456</v>
      </c>
      <c r="BL67" s="612">
        <v>460815.5456</v>
      </c>
      <c r="BM67" s="612">
        <v>460815.5456</v>
      </c>
      <c r="BN67" s="612">
        <v>460815.5456</v>
      </c>
      <c r="BO67" s="612">
        <v>460815.5456</v>
      </c>
      <c r="BP67" s="612">
        <v>518417.4888</v>
      </c>
      <c r="BQ67" s="612">
        <v>518417.4888</v>
      </c>
      <c r="BR67" s="612">
        <v>518417.4888</v>
      </c>
      <c r="BS67" s="612">
        <v>518417.4888</v>
      </c>
      <c r="BT67" s="612">
        <v>576019.432</v>
      </c>
      <c r="BU67" s="612">
        <v>576019.432</v>
      </c>
      <c r="BV67" s="612">
        <v>576019.432</v>
      </c>
      <c r="BW67" s="612">
        <v>576019.432</v>
      </c>
      <c r="BX67" s="612">
        <v>576019.432</v>
      </c>
      <c r="BY67" s="612">
        <v>576019.432</v>
      </c>
      <c r="BZ67" s="612">
        <v>576019.432</v>
      </c>
      <c r="CA67" s="612">
        <v>576019.432</v>
      </c>
      <c r="CB67" s="612">
        <v>576019.432</v>
      </c>
      <c r="CC67" s="612">
        <v>576019.432</v>
      </c>
      <c r="CD67" s="612">
        <v>576019.432</v>
      </c>
      <c r="CE67" s="612">
        <v>576019.432</v>
      </c>
      <c r="CF67" s="612">
        <v>576019.432</v>
      </c>
      <c r="CG67" s="612">
        <v>576019.432</v>
      </c>
      <c r="CH67" s="612">
        <v>576019.432</v>
      </c>
      <c r="CI67" s="612">
        <v>576019.432</v>
      </c>
      <c r="CJ67" s="612">
        <v>576019.432</v>
      </c>
      <c r="CK67" s="612">
        <v>576019.432</v>
      </c>
      <c r="CL67" s="612">
        <v>576019.432</v>
      </c>
      <c r="CM67" s="612">
        <v>576019.432</v>
      </c>
      <c r="CN67" s="612">
        <v>576019.432</v>
      </c>
      <c r="CO67" s="612">
        <v>576019.432</v>
      </c>
      <c r="CP67" s="612">
        <v>576019.432</v>
      </c>
    </row>
    <row r="68">
      <c r="A68" s="645"/>
      <c r="B68" s="613" t="s">
        <v>394</v>
      </c>
      <c r="C68" s="614" t="b">
        <v>0</v>
      </c>
      <c r="D68" s="589" t="s">
        <v>596</v>
      </c>
      <c r="E68" s="615" t="s">
        <v>497</v>
      </c>
      <c r="F68" s="672"/>
      <c r="G68" s="648">
        <v>1.0</v>
      </c>
      <c r="H68" s="630"/>
      <c r="I68" s="637">
        <f>3043*1.1</f>
        <v>3347.3</v>
      </c>
      <c r="J68" s="594">
        <f>I68*IF($C$7=TRUE,VLOOKUP(B68,BuffsDebuffs!$P$8:$X$26,MATCH(E68,BuffsDebuffs!$P$8:$X$8,0),FALSE),1)*IF(AND($C$8=TRUE,H68=1),1.0778,1)*VLOOKUP($C$2,'scaling OLD'!$A$2:$H$55,8,False)*IF(K68="-",1,(1/K68*(1+((K68-1)*VLOOKUP($C$2,'scaling OLD'!$A$2:$H$55,4,False)))))*IF(K68="-",1,VLOOKUP($C$2,'scaling OLD'!$A$2:$H$55,5,False))*VLOOKUP($C$2,'scaling OLD'!$A$2:$H$55,6,False)*IF(AND(LEFT(C$2,7)="CE - Cr",B68="Sword"),1.35,1)</f>
        <v>3347.3</v>
      </c>
      <c r="K68" s="213">
        <v>1.44</v>
      </c>
      <c r="L68" s="211">
        <v>30.0</v>
      </c>
      <c r="M68" s="211">
        <v>687.0</v>
      </c>
      <c r="N68" s="211">
        <v>120.0</v>
      </c>
      <c r="O68" s="215">
        <v>0.95</v>
      </c>
      <c r="P68" s="638">
        <f t="shared" si="24"/>
        <v>2.532751092</v>
      </c>
      <c r="Q68" s="599">
        <f t="shared" si="2"/>
        <v>100419</v>
      </c>
      <c r="R68" s="600">
        <f t="shared" si="3"/>
        <v>12.98100437</v>
      </c>
      <c r="S68" s="622">
        <f t="shared" si="22"/>
        <v>401676</v>
      </c>
      <c r="T68" s="602">
        <f t="shared" si="5"/>
        <v>401676</v>
      </c>
      <c r="U68" s="623">
        <f t="shared" si="19"/>
        <v>39648.19138</v>
      </c>
      <c r="V68" s="624">
        <f t="shared" si="7"/>
        <v>30943.36838</v>
      </c>
      <c r="W68" s="605">
        <f t="shared" si="8"/>
        <v>30943.36838</v>
      </c>
      <c r="X68" s="606">
        <f t="shared" si="9"/>
        <v>28833.24055</v>
      </c>
      <c r="Y68" s="607">
        <f t="shared" si="10"/>
        <v>5</v>
      </c>
      <c r="Z68" s="608">
        <f t="shared" si="11"/>
        <v>15.25</v>
      </c>
      <c r="AA68" s="608">
        <f t="shared" si="12"/>
        <v>0.05349344978</v>
      </c>
      <c r="AB68" s="607">
        <f t="shared" si="13"/>
        <v>6</v>
      </c>
      <c r="AC68" s="607">
        <f t="shared" si="14"/>
        <v>602514</v>
      </c>
      <c r="AD68" s="608">
        <f t="shared" si="15"/>
        <v>0</v>
      </c>
      <c r="AE68" s="607">
        <f t="shared" si="16"/>
        <v>0</v>
      </c>
      <c r="AF68" s="609">
        <f t="shared" si="17"/>
        <v>0</v>
      </c>
      <c r="AG68" s="628">
        <f t="shared" si="23"/>
        <v>401676</v>
      </c>
      <c r="AH68" s="611"/>
      <c r="AI68" s="612">
        <v>18257.999999999996</v>
      </c>
      <c r="AJ68" s="612">
        <v>36515.99999999999</v>
      </c>
      <c r="AK68" s="612">
        <v>54773.99999999999</v>
      </c>
      <c r="AL68" s="612">
        <v>69988.99999999999</v>
      </c>
      <c r="AM68" s="612">
        <v>88246.99999999999</v>
      </c>
      <c r="AN68" s="612">
        <v>91289.99999999999</v>
      </c>
      <c r="AO68" s="612">
        <v>94332.99999999999</v>
      </c>
      <c r="AP68" s="612">
        <v>109547.99999999999</v>
      </c>
      <c r="AQ68" s="612">
        <v>127805.99999999997</v>
      </c>
      <c r="AR68" s="612">
        <v>146063.99999999997</v>
      </c>
      <c r="AS68" s="612">
        <v>164321.99999999997</v>
      </c>
      <c r="AT68" s="612">
        <v>179536.99999999997</v>
      </c>
      <c r="AU68" s="612">
        <v>182579.99999999997</v>
      </c>
      <c r="AV68" s="612">
        <v>185622.99999999997</v>
      </c>
      <c r="AW68" s="612">
        <v>203880.99999999997</v>
      </c>
      <c r="AX68" s="612">
        <v>219095.99999999997</v>
      </c>
      <c r="AY68" s="612">
        <v>237353.99999999997</v>
      </c>
      <c r="AZ68" s="612">
        <v>255611.99999999994</v>
      </c>
      <c r="BA68" s="612">
        <v>273869.99999999994</v>
      </c>
      <c r="BB68" s="612">
        <v>273869.99999999994</v>
      </c>
      <c r="BC68" s="612">
        <v>276912.99999999994</v>
      </c>
      <c r="BD68" s="612">
        <v>295170.99999999994</v>
      </c>
      <c r="BE68" s="612">
        <v>313428.99999999994</v>
      </c>
      <c r="BF68" s="612">
        <v>328643.99999999994</v>
      </c>
      <c r="BG68" s="612">
        <v>346901.99999999994</v>
      </c>
      <c r="BH68" s="612">
        <v>365159.99999999994</v>
      </c>
      <c r="BI68" s="612">
        <v>365159.99999999994</v>
      </c>
      <c r="BJ68" s="612">
        <v>365159.99999999994</v>
      </c>
      <c r="BK68" s="612">
        <v>365159.99999999994</v>
      </c>
      <c r="BL68" s="612">
        <v>365159.99999999994</v>
      </c>
      <c r="BM68" s="612">
        <v>365159.99999999994</v>
      </c>
      <c r="BN68" s="612">
        <v>365159.99999999994</v>
      </c>
      <c r="BO68" s="612">
        <v>365159.99999999994</v>
      </c>
      <c r="BP68" s="612">
        <v>365159.99999999994</v>
      </c>
      <c r="BQ68" s="612">
        <v>365159.99999999994</v>
      </c>
      <c r="BR68" s="612">
        <v>365159.99999999994</v>
      </c>
      <c r="BS68" s="612">
        <v>365159.99999999994</v>
      </c>
      <c r="BT68" s="612">
        <v>365159.99999999994</v>
      </c>
      <c r="BU68" s="612">
        <v>365159.99999999994</v>
      </c>
      <c r="BV68" s="612">
        <v>365159.99999999994</v>
      </c>
      <c r="BW68" s="612">
        <v>365159.99999999994</v>
      </c>
      <c r="BX68" s="612">
        <v>365159.99999999994</v>
      </c>
      <c r="BY68" s="612">
        <v>365159.99999999994</v>
      </c>
      <c r="BZ68" s="612">
        <v>365159.99999999994</v>
      </c>
      <c r="CA68" s="612">
        <v>365159.99999999994</v>
      </c>
      <c r="CB68" s="612">
        <v>365159.99999999994</v>
      </c>
      <c r="CC68" s="612">
        <v>365159.99999999994</v>
      </c>
      <c r="CD68" s="612">
        <v>365159.99999999994</v>
      </c>
      <c r="CE68" s="612">
        <v>365159.99999999994</v>
      </c>
      <c r="CF68" s="612">
        <v>365159.99999999994</v>
      </c>
      <c r="CG68" s="612">
        <v>365159.99999999994</v>
      </c>
      <c r="CH68" s="612">
        <v>365159.99999999994</v>
      </c>
      <c r="CI68" s="612">
        <v>365159.99999999994</v>
      </c>
      <c r="CJ68" s="612">
        <v>365159.99999999994</v>
      </c>
      <c r="CK68" s="612">
        <v>365159.99999999994</v>
      </c>
      <c r="CL68" s="612">
        <v>365159.99999999994</v>
      </c>
      <c r="CM68" s="612">
        <v>365159.99999999994</v>
      </c>
      <c r="CN68" s="612">
        <v>365159.99999999994</v>
      </c>
      <c r="CO68" s="612">
        <v>365159.99999999994</v>
      </c>
      <c r="CP68" s="612">
        <v>365159.99999999994</v>
      </c>
    </row>
    <row r="69">
      <c r="A69" s="645"/>
      <c r="B69" s="613" t="s">
        <v>407</v>
      </c>
      <c r="C69" s="632" t="b">
        <v>0</v>
      </c>
      <c r="D69" s="633" t="s">
        <v>675</v>
      </c>
      <c r="E69" s="634" t="s">
        <v>500</v>
      </c>
      <c r="F69" s="635" t="s">
        <v>676</v>
      </c>
      <c r="G69" s="646"/>
      <c r="H69" s="646">
        <v>1.0</v>
      </c>
      <c r="I69" s="637">
        <f>11660*1.2*1.07</f>
        <v>14971.44</v>
      </c>
      <c r="J69" s="618">
        <f>I69*IF($C$7=TRUE,VLOOKUP(B69,BuffsDebuffs!$P$8:$X$26,MATCH(E69,BuffsDebuffs!$P$8:$X$8,0),FALSE),1)*IF(AND($C$8=TRUE,H69=1),1.0778,1)*VLOOKUP($C$2,'scaling OLD'!$A$2:$H$55,8,False)*IF(K69="-",1,(1/K69*(1+((K69-1)*VLOOKUP($C$2,'scaling OLD'!$A$2:$H$55,4,False)))))*IF(K69="-",1,VLOOKUP($C$2,'scaling OLD'!$A$2:$H$55,5,False))*VLOOKUP($C$2,'scaling OLD'!$A$2:$H$55,6,False)*IF(AND(LEFT(C$2,7)="CE - Cr",B69="Sword"),1.35,1)</f>
        <v>16136.21803</v>
      </c>
      <c r="K69" s="213">
        <v>3.44</v>
      </c>
      <c r="L69" s="211">
        <v>10.0</v>
      </c>
      <c r="M69" s="211">
        <v>140.0</v>
      </c>
      <c r="N69" s="211">
        <v>55.0</v>
      </c>
      <c r="O69" s="215">
        <v>1.717</v>
      </c>
      <c r="P69" s="647">
        <f t="shared" si="24"/>
        <v>3.857142857</v>
      </c>
      <c r="Q69" s="620">
        <f t="shared" si="2"/>
        <v>161362.1803</v>
      </c>
      <c r="R69" s="621">
        <f t="shared" si="3"/>
        <v>29.585</v>
      </c>
      <c r="S69" s="622">
        <f t="shared" si="22"/>
        <v>887491.9918</v>
      </c>
      <c r="T69" s="602">
        <f t="shared" si="5"/>
        <v>806810.9016</v>
      </c>
      <c r="U69" s="623">
        <f t="shared" si="19"/>
        <v>41834.63934</v>
      </c>
      <c r="V69" s="624">
        <f t="shared" si="7"/>
        <v>29998.03927</v>
      </c>
      <c r="W69" s="605">
        <f t="shared" si="8"/>
        <v>30848.80766</v>
      </c>
      <c r="X69" s="606">
        <f t="shared" si="9"/>
        <v>28948.33958</v>
      </c>
      <c r="Y69" s="607">
        <f t="shared" si="10"/>
        <v>3</v>
      </c>
      <c r="Z69" s="608">
        <f t="shared" si="11"/>
        <v>14.849</v>
      </c>
      <c r="AA69" s="608">
        <f t="shared" si="12"/>
        <v>0</v>
      </c>
      <c r="AB69" s="607">
        <f t="shared" si="13"/>
        <v>3</v>
      </c>
      <c r="AC69" s="607">
        <f t="shared" si="14"/>
        <v>484086.541</v>
      </c>
      <c r="AD69" s="608">
        <f t="shared" si="15"/>
        <v>3.277571429</v>
      </c>
      <c r="AE69" s="607">
        <f t="shared" si="16"/>
        <v>8</v>
      </c>
      <c r="AF69" s="609">
        <f t="shared" si="17"/>
        <v>129089.7443</v>
      </c>
      <c r="AG69" s="628">
        <f t="shared" si="23"/>
        <v>613176.2852</v>
      </c>
      <c r="AH69" s="611"/>
      <c r="AI69" s="612">
        <v>30161.1552</v>
      </c>
      <c r="AJ69" s="612">
        <v>45241.7328</v>
      </c>
      <c r="AK69" s="612">
        <v>60322.3104</v>
      </c>
      <c r="AL69" s="612">
        <v>75402.888</v>
      </c>
      <c r="AM69" s="612">
        <v>90483.4656</v>
      </c>
      <c r="AN69" s="612">
        <v>120644.6208</v>
      </c>
      <c r="AO69" s="612">
        <v>135725.1984</v>
      </c>
      <c r="AP69" s="612">
        <v>150805.776</v>
      </c>
      <c r="AQ69" s="612">
        <v>150805.776</v>
      </c>
      <c r="AR69" s="612">
        <v>150805.776</v>
      </c>
      <c r="AS69" s="612">
        <v>150805.776</v>
      </c>
      <c r="AT69" s="612">
        <v>165886.3536</v>
      </c>
      <c r="AU69" s="612">
        <v>196047.5088</v>
      </c>
      <c r="AV69" s="612">
        <v>211128.08640000003</v>
      </c>
      <c r="AW69" s="612">
        <v>226208.66400000002</v>
      </c>
      <c r="AX69" s="612">
        <v>241289.2416</v>
      </c>
      <c r="AY69" s="612">
        <v>256369.81920000003</v>
      </c>
      <c r="AZ69" s="612">
        <v>271450.3968</v>
      </c>
      <c r="BA69" s="612">
        <v>301611.552</v>
      </c>
      <c r="BB69" s="612">
        <v>301611.552</v>
      </c>
      <c r="BC69" s="612">
        <v>301611.552</v>
      </c>
      <c r="BD69" s="612">
        <v>301611.552</v>
      </c>
      <c r="BE69" s="612">
        <v>316692.12960000004</v>
      </c>
      <c r="BF69" s="612">
        <v>331772.7072</v>
      </c>
      <c r="BG69" s="612">
        <v>361933.86240000004</v>
      </c>
      <c r="BH69" s="612">
        <v>377014.44000000006</v>
      </c>
      <c r="BI69" s="612">
        <v>392095.0176</v>
      </c>
      <c r="BJ69" s="612">
        <v>407175.59520000004</v>
      </c>
      <c r="BK69" s="612">
        <v>422256.17280000006</v>
      </c>
      <c r="BL69" s="612">
        <v>437336.7504</v>
      </c>
      <c r="BM69" s="612">
        <v>452417.32800000004</v>
      </c>
      <c r="BN69" s="612">
        <v>452417.32800000004</v>
      </c>
      <c r="BO69" s="612">
        <v>452417.32800000004</v>
      </c>
      <c r="BP69" s="612">
        <v>467497.90560000006</v>
      </c>
      <c r="BQ69" s="612">
        <v>482578.4832</v>
      </c>
      <c r="BR69" s="612">
        <v>497659.06080000004</v>
      </c>
      <c r="BS69" s="612">
        <v>527820.216</v>
      </c>
      <c r="BT69" s="612">
        <v>542900.7936</v>
      </c>
      <c r="BU69" s="612">
        <v>557981.3712</v>
      </c>
      <c r="BV69" s="612">
        <v>573061.9488</v>
      </c>
      <c r="BW69" s="612">
        <v>588142.5264000001</v>
      </c>
      <c r="BX69" s="612">
        <v>603223.104</v>
      </c>
      <c r="BY69" s="612">
        <v>603223.104</v>
      </c>
      <c r="BZ69" s="612">
        <v>603223.104</v>
      </c>
      <c r="CA69" s="612">
        <v>618303.6816</v>
      </c>
      <c r="CB69" s="612">
        <v>633384.2592000001</v>
      </c>
      <c r="CC69" s="612">
        <v>648464.8368</v>
      </c>
      <c r="CD69" s="612">
        <v>663545.4144</v>
      </c>
      <c r="CE69" s="612">
        <v>693706.5696</v>
      </c>
      <c r="CF69" s="612">
        <v>708787.1472</v>
      </c>
      <c r="CG69" s="612">
        <v>723867.7248000001</v>
      </c>
      <c r="CH69" s="612">
        <v>738948.3024</v>
      </c>
      <c r="CI69" s="612">
        <v>754028.8800000001</v>
      </c>
      <c r="CJ69" s="612">
        <v>754028.8800000001</v>
      </c>
      <c r="CK69" s="612">
        <v>754028.8800000001</v>
      </c>
      <c r="CL69" s="612">
        <v>769109.4576000001</v>
      </c>
      <c r="CM69" s="612">
        <v>784190.0352000002</v>
      </c>
      <c r="CN69" s="612">
        <v>799270.6128000001</v>
      </c>
      <c r="CO69" s="612">
        <v>814351.1904000001</v>
      </c>
      <c r="CP69" s="612">
        <v>829431.768</v>
      </c>
    </row>
    <row r="70">
      <c r="A70" s="645"/>
      <c r="B70" s="613" t="s">
        <v>407</v>
      </c>
      <c r="C70" s="614" t="b">
        <v>0</v>
      </c>
      <c r="D70" s="589" t="s">
        <v>677</v>
      </c>
      <c r="E70" s="615" t="s">
        <v>348</v>
      </c>
      <c r="F70" s="649" t="s">
        <v>678</v>
      </c>
      <c r="G70" s="648">
        <v>1.0</v>
      </c>
      <c r="H70" s="648"/>
      <c r="I70" s="617">
        <f>18836*1.4*1.07</f>
        <v>28216.328</v>
      </c>
      <c r="J70" s="594">
        <f>I70*IF($C$7=TRUE,VLOOKUP(B70,BuffsDebuffs!$P$8:$X$26,MATCH(E70,BuffsDebuffs!$P$8:$X$8,0),FALSE),1)*IF(AND($C$8=TRUE,H70=1),1.0778,1)*VLOOKUP($C$2,'scaling OLD'!$A$2:$H$55,8,False)*IF(K70="-",1,(1/K70*(1+((K70-1)*VLOOKUP($C$2,'scaling OLD'!$A$2:$H$55,4,False)))))*IF(K70="-",1,VLOOKUP($C$2,'scaling OLD'!$A$2:$H$55,5,False))*VLOOKUP($C$2,'scaling OLD'!$A$2:$H$55,6,False)*IF(AND(LEFT(C$2,7)="CE - Cr",B70="Sword"),1.35,1)</f>
        <v>28216.328</v>
      </c>
      <c r="K70" s="186">
        <v>3.5</v>
      </c>
      <c r="L70" s="184">
        <v>5.0</v>
      </c>
      <c r="M70" s="184">
        <v>72.0</v>
      </c>
      <c r="N70" s="184">
        <v>24.0</v>
      </c>
      <c r="O70" s="188">
        <v>1.717</v>
      </c>
      <c r="P70" s="638">
        <f t="shared" si="24"/>
        <v>3.333333333</v>
      </c>
      <c r="Q70" s="599">
        <f t="shared" si="2"/>
        <v>141081.64</v>
      </c>
      <c r="R70" s="600">
        <f t="shared" si="3"/>
        <v>22.70133333</v>
      </c>
      <c r="S70" s="622">
        <f t="shared" si="22"/>
        <v>677191.872</v>
      </c>
      <c r="T70" s="602">
        <f t="shared" si="5"/>
        <v>564326.56</v>
      </c>
      <c r="U70" s="623">
        <f t="shared" si="19"/>
        <v>42324.492</v>
      </c>
      <c r="V70" s="624">
        <f t="shared" si="7"/>
        <v>29830.4889</v>
      </c>
      <c r="W70" s="605">
        <f t="shared" si="8"/>
        <v>30529.99261</v>
      </c>
      <c r="X70" s="606">
        <f t="shared" si="9"/>
        <v>27935.11451</v>
      </c>
      <c r="Y70" s="607">
        <f t="shared" si="10"/>
        <v>3</v>
      </c>
      <c r="Z70" s="608">
        <f t="shared" si="11"/>
        <v>14.849</v>
      </c>
      <c r="AA70" s="608">
        <f t="shared" si="12"/>
        <v>1.515666667</v>
      </c>
      <c r="AB70" s="607">
        <f t="shared" si="13"/>
        <v>4</v>
      </c>
      <c r="AC70" s="607">
        <f t="shared" si="14"/>
        <v>564326.56</v>
      </c>
      <c r="AD70" s="608">
        <f t="shared" si="15"/>
        <v>0</v>
      </c>
      <c r="AE70" s="607">
        <f t="shared" si="16"/>
        <v>0</v>
      </c>
      <c r="AF70" s="609">
        <f t="shared" si="17"/>
        <v>0</v>
      </c>
      <c r="AG70" s="628">
        <f t="shared" si="23"/>
        <v>564326.56</v>
      </c>
      <c r="AH70" s="611"/>
      <c r="AI70" s="612">
        <v>26370.399999999998</v>
      </c>
      <c r="AJ70" s="612">
        <v>52740.799999999996</v>
      </c>
      <c r="AK70" s="612">
        <v>52740.799999999996</v>
      </c>
      <c r="AL70" s="612">
        <v>79111.2</v>
      </c>
      <c r="AM70" s="612">
        <v>105481.59999999999</v>
      </c>
      <c r="AN70" s="612">
        <v>105481.59999999999</v>
      </c>
      <c r="AO70" s="612">
        <v>131852.0</v>
      </c>
      <c r="AP70" s="612">
        <v>131852.0</v>
      </c>
      <c r="AQ70" s="612">
        <v>131852.0</v>
      </c>
      <c r="AR70" s="612">
        <v>131852.0</v>
      </c>
      <c r="AS70" s="612">
        <v>158222.4</v>
      </c>
      <c r="AT70" s="612">
        <v>184592.8</v>
      </c>
      <c r="AU70" s="612">
        <v>184592.8</v>
      </c>
      <c r="AV70" s="612">
        <v>210963.2</v>
      </c>
      <c r="AW70" s="612">
        <v>210963.2</v>
      </c>
      <c r="AX70" s="612">
        <v>237333.59999999998</v>
      </c>
      <c r="AY70" s="612">
        <v>263704.0</v>
      </c>
      <c r="AZ70" s="612">
        <v>263704.0</v>
      </c>
      <c r="BA70" s="612">
        <v>263704.0</v>
      </c>
      <c r="BB70" s="612">
        <v>263704.0</v>
      </c>
      <c r="BC70" s="612">
        <v>290074.4</v>
      </c>
      <c r="BD70" s="612">
        <v>316444.8</v>
      </c>
      <c r="BE70" s="612">
        <v>316444.8</v>
      </c>
      <c r="BF70" s="612">
        <v>342815.2</v>
      </c>
      <c r="BG70" s="612">
        <v>342815.2</v>
      </c>
      <c r="BH70" s="612">
        <v>369185.6</v>
      </c>
      <c r="BI70" s="612">
        <v>395556.0</v>
      </c>
      <c r="BJ70" s="612">
        <v>395556.0</v>
      </c>
      <c r="BK70" s="612">
        <v>395556.0</v>
      </c>
      <c r="BL70" s="612">
        <v>395556.0</v>
      </c>
      <c r="BM70" s="612">
        <v>421926.4</v>
      </c>
      <c r="BN70" s="612">
        <v>448296.8</v>
      </c>
      <c r="BO70" s="612">
        <v>448296.8</v>
      </c>
      <c r="BP70" s="612">
        <v>474667.2</v>
      </c>
      <c r="BQ70" s="612">
        <v>474667.2</v>
      </c>
      <c r="BR70" s="612">
        <v>501037.6</v>
      </c>
      <c r="BS70" s="612">
        <v>527408.0</v>
      </c>
      <c r="BT70" s="612">
        <v>527408.0</v>
      </c>
      <c r="BU70" s="612">
        <v>527408.0</v>
      </c>
      <c r="BV70" s="612">
        <v>527408.0</v>
      </c>
      <c r="BW70" s="612">
        <v>553778.4</v>
      </c>
      <c r="BX70" s="612">
        <v>553778.4</v>
      </c>
      <c r="BY70" s="612">
        <v>580148.8</v>
      </c>
      <c r="BZ70" s="612">
        <v>606519.2</v>
      </c>
      <c r="CA70" s="612">
        <v>606519.2</v>
      </c>
      <c r="CB70" s="612">
        <v>632889.6</v>
      </c>
      <c r="CC70" s="612">
        <v>632889.6</v>
      </c>
      <c r="CD70" s="612">
        <v>632889.6</v>
      </c>
      <c r="CE70" s="612">
        <v>632889.6</v>
      </c>
      <c r="CF70" s="612">
        <v>632889.6</v>
      </c>
      <c r="CG70" s="612">
        <v>632889.6</v>
      </c>
      <c r="CH70" s="612">
        <v>632889.6</v>
      </c>
      <c r="CI70" s="612">
        <v>632889.6</v>
      </c>
      <c r="CJ70" s="612">
        <v>632889.6</v>
      </c>
      <c r="CK70" s="612">
        <v>632889.6</v>
      </c>
      <c r="CL70" s="612">
        <v>632889.6</v>
      </c>
      <c r="CM70" s="612">
        <v>632889.6</v>
      </c>
      <c r="CN70" s="612">
        <v>632889.6</v>
      </c>
      <c r="CO70" s="612">
        <v>632889.6</v>
      </c>
      <c r="CP70" s="612">
        <v>632889.6</v>
      </c>
    </row>
    <row r="71">
      <c r="A71" s="645"/>
      <c r="B71" s="629" t="s">
        <v>389</v>
      </c>
      <c r="C71" s="614" t="b">
        <v>0</v>
      </c>
      <c r="D71" s="589" t="s">
        <v>679</v>
      </c>
      <c r="E71" s="615" t="s">
        <v>500</v>
      </c>
      <c r="F71" s="616" t="s">
        <v>680</v>
      </c>
      <c r="G71" s="625">
        <v>1.0</v>
      </c>
      <c r="H71" s="625"/>
      <c r="I71" s="617">
        <v>84224.0</v>
      </c>
      <c r="J71" s="618">
        <f>I71*IF($C$7=TRUE,VLOOKUP(B71,BuffsDebuffs!$P$8:$X$26,MATCH(E71,BuffsDebuffs!$P$8:$X$8,0),FALSE),1)*IF(AND($C$8=TRUE,H71=1),1.0778,1)*VLOOKUP($C$2,'scaling OLD'!$A$2:$H$55,8,False)*IF(K71="-",1,(1/K71*(1+((K71-1)*VLOOKUP($C$2,'scaling OLD'!$A$2:$H$55,4,False)))))*IF(K71="-",1,VLOOKUP($C$2,'scaling OLD'!$A$2:$H$55,5,False))*VLOOKUP($C$2,'scaling OLD'!$A$2:$H$55,6,False)*IF(AND(LEFT(C$2,7)="CE - Cr",B71="Sword"),1.35,1)</f>
        <v>84224</v>
      </c>
      <c r="K71" s="186" t="s">
        <v>349</v>
      </c>
      <c r="L71" s="184">
        <v>1.0</v>
      </c>
      <c r="M71" s="184">
        <v>40.0</v>
      </c>
      <c r="N71" s="184">
        <v>10.0</v>
      </c>
      <c r="O71" s="188">
        <v>3.1</v>
      </c>
      <c r="P71" s="647">
        <f t="shared" si="24"/>
        <v>0</v>
      </c>
      <c r="Q71" s="620">
        <f t="shared" si="2"/>
        <v>84224</v>
      </c>
      <c r="R71" s="621">
        <f t="shared" si="3"/>
        <v>27.9</v>
      </c>
      <c r="S71" s="622">
        <f t="shared" si="22"/>
        <v>842240</v>
      </c>
      <c r="T71" s="602">
        <f t="shared" si="5"/>
        <v>842240</v>
      </c>
      <c r="U71" s="623" t="str">
        <f t="shared" si="19"/>
        <v>-</v>
      </c>
      <c r="V71" s="624">
        <f t="shared" si="7"/>
        <v>30187.81362</v>
      </c>
      <c r="W71" s="605">
        <f t="shared" si="8"/>
        <v>30187.81362</v>
      </c>
      <c r="X71" s="606">
        <f t="shared" si="9"/>
        <v>27169.03226</v>
      </c>
      <c r="Y71" s="607">
        <f t="shared" si="10"/>
        <v>6</v>
      </c>
      <c r="Z71" s="608">
        <f t="shared" si="11"/>
        <v>1.4</v>
      </c>
      <c r="AA71" s="608">
        <f t="shared" si="12"/>
        <v>1.4</v>
      </c>
      <c r="AB71" s="607">
        <f t="shared" si="13"/>
        <v>7</v>
      </c>
      <c r="AC71" s="607">
        <f t="shared" si="14"/>
        <v>589568</v>
      </c>
      <c r="AD71" s="608">
        <f t="shared" si="15"/>
        <v>0</v>
      </c>
      <c r="AE71" s="607">
        <f t="shared" si="16"/>
        <v>0</v>
      </c>
      <c r="AF71" s="609">
        <f t="shared" si="17"/>
        <v>0</v>
      </c>
      <c r="AG71" s="628">
        <f t="shared" si="23"/>
        <v>589568</v>
      </c>
      <c r="AH71" s="611"/>
      <c r="AI71" s="612">
        <v>84224.0</v>
      </c>
      <c r="AJ71" s="612">
        <v>84224.0</v>
      </c>
      <c r="AK71" s="612">
        <v>84224.0</v>
      </c>
      <c r="AL71" s="612">
        <v>84224.0</v>
      </c>
      <c r="AM71" s="612">
        <v>84224.0</v>
      </c>
      <c r="AN71" s="612">
        <v>84224.0</v>
      </c>
      <c r="AO71" s="612">
        <v>168448.0</v>
      </c>
      <c r="AP71" s="612">
        <v>168448.0</v>
      </c>
      <c r="AQ71" s="612">
        <v>168448.0</v>
      </c>
      <c r="AR71" s="612">
        <v>168448.0</v>
      </c>
      <c r="AS71" s="612">
        <v>168448.0</v>
      </c>
      <c r="AT71" s="612">
        <v>168448.0</v>
      </c>
      <c r="AU71" s="612">
        <v>252672.0</v>
      </c>
      <c r="AV71" s="612">
        <v>252672.0</v>
      </c>
      <c r="AW71" s="612">
        <v>252672.0</v>
      </c>
      <c r="AX71" s="612">
        <v>252672.0</v>
      </c>
      <c r="AY71" s="612">
        <v>252672.0</v>
      </c>
      <c r="AZ71" s="612">
        <v>252672.0</v>
      </c>
      <c r="BA71" s="612">
        <v>336896.0</v>
      </c>
      <c r="BB71" s="612">
        <v>336896.0</v>
      </c>
      <c r="BC71" s="612">
        <v>336896.0</v>
      </c>
      <c r="BD71" s="612">
        <v>336896.0</v>
      </c>
      <c r="BE71" s="612">
        <v>336896.0</v>
      </c>
      <c r="BF71" s="612">
        <v>336896.0</v>
      </c>
      <c r="BG71" s="612">
        <v>421120.0</v>
      </c>
      <c r="BH71" s="612">
        <v>421120.0</v>
      </c>
      <c r="BI71" s="612">
        <v>421120.0</v>
      </c>
      <c r="BJ71" s="612">
        <v>421120.0</v>
      </c>
      <c r="BK71" s="612">
        <v>421120.0</v>
      </c>
      <c r="BL71" s="612">
        <v>421120.0</v>
      </c>
      <c r="BM71" s="612">
        <v>505344.0</v>
      </c>
      <c r="BN71" s="612">
        <v>505344.0</v>
      </c>
      <c r="BO71" s="612">
        <v>505344.0</v>
      </c>
      <c r="BP71" s="612">
        <v>505344.0</v>
      </c>
      <c r="BQ71" s="612">
        <v>505344.0</v>
      </c>
      <c r="BR71" s="612">
        <v>505344.0</v>
      </c>
      <c r="BS71" s="612">
        <v>505344.0</v>
      </c>
      <c r="BT71" s="612">
        <v>589568.0</v>
      </c>
      <c r="BU71" s="612">
        <v>589568.0</v>
      </c>
      <c r="BV71" s="612">
        <v>589568.0</v>
      </c>
      <c r="BW71" s="612">
        <v>589568.0</v>
      </c>
      <c r="BX71" s="612">
        <v>589568.0</v>
      </c>
      <c r="BY71" s="612">
        <v>589568.0</v>
      </c>
      <c r="BZ71" s="612">
        <v>673792.0</v>
      </c>
      <c r="CA71" s="612">
        <v>673792.0</v>
      </c>
      <c r="CB71" s="612">
        <v>673792.0</v>
      </c>
      <c r="CC71" s="612">
        <v>673792.0</v>
      </c>
      <c r="CD71" s="612">
        <v>673792.0</v>
      </c>
      <c r="CE71" s="612">
        <v>673792.0</v>
      </c>
      <c r="CF71" s="612">
        <v>758016.0</v>
      </c>
      <c r="CG71" s="612">
        <v>758016.0</v>
      </c>
      <c r="CH71" s="612">
        <v>758016.0</v>
      </c>
      <c r="CI71" s="612">
        <v>758016.0</v>
      </c>
      <c r="CJ71" s="612">
        <v>758016.0</v>
      </c>
      <c r="CK71" s="612">
        <v>758016.0</v>
      </c>
      <c r="CL71" s="612">
        <v>842240.0</v>
      </c>
      <c r="CM71" s="612">
        <v>842240.0</v>
      </c>
      <c r="CN71" s="612">
        <v>842240.0</v>
      </c>
      <c r="CO71" s="612">
        <v>842240.0</v>
      </c>
      <c r="CP71" s="612">
        <v>842240.0</v>
      </c>
    </row>
    <row r="72">
      <c r="A72" s="645"/>
      <c r="B72" s="613" t="s">
        <v>394</v>
      </c>
      <c r="C72" s="632" t="b">
        <v>0</v>
      </c>
      <c r="D72" s="633" t="s">
        <v>681</v>
      </c>
      <c r="E72" s="634" t="s">
        <v>468</v>
      </c>
      <c r="F72" s="635" t="s">
        <v>682</v>
      </c>
      <c r="G72" s="636"/>
      <c r="H72" s="636">
        <v>1.0</v>
      </c>
      <c r="I72" s="637">
        <f>25323*1.09</f>
        <v>27602.07</v>
      </c>
      <c r="J72" s="594">
        <f>I72*IF($C$7=TRUE,VLOOKUP(B72,BuffsDebuffs!$P$8:$X$26,MATCH(E72,BuffsDebuffs!$P$8:$X$8,0),FALSE),1)*IF(AND($C$8=TRUE,H72=1),1.0778,1)*VLOOKUP($C$2,'scaling OLD'!$A$2:$H$55,8,False)*IF(K72="-",1,(1/K72*(1+((K72-1)*VLOOKUP($C$2,'scaling OLD'!$A$2:$H$55,4,False)))))*IF(K72="-",1,VLOOKUP($C$2,'scaling OLD'!$A$2:$H$55,5,False))*VLOOKUP($C$2,'scaling OLD'!$A$2:$H$55,6,False)*IF(AND(LEFT(C$2,7)="CE - Cr",B72="Sword"),1.35,1)</f>
        <v>29749.51105</v>
      </c>
      <c r="K72" s="213">
        <v>1.75</v>
      </c>
      <c r="L72" s="211">
        <v>10.0</v>
      </c>
      <c r="M72" s="211">
        <v>65.0</v>
      </c>
      <c r="N72" s="211">
        <v>33.0</v>
      </c>
      <c r="O72" s="215">
        <v>2.45</v>
      </c>
      <c r="P72" s="638">
        <f t="shared" si="24"/>
        <v>8.307692308</v>
      </c>
      <c r="Q72" s="599">
        <f t="shared" si="2"/>
        <v>297495.1105</v>
      </c>
      <c r="R72" s="600">
        <f t="shared" si="3"/>
        <v>34.11923077</v>
      </c>
      <c r="S72" s="622">
        <f t="shared" si="22"/>
        <v>981733.8645</v>
      </c>
      <c r="T72" s="602">
        <f t="shared" si="5"/>
        <v>892485.3314</v>
      </c>
      <c r="U72" s="623">
        <f t="shared" si="19"/>
        <v>35809.59663</v>
      </c>
      <c r="V72" s="624">
        <f t="shared" si="7"/>
        <v>28773.62245</v>
      </c>
      <c r="W72" s="605">
        <f t="shared" si="8"/>
        <v>29925.9977</v>
      </c>
      <c r="X72" s="606">
        <f t="shared" si="9"/>
        <v>27654.17544</v>
      </c>
      <c r="Y72" s="607">
        <f t="shared" si="10"/>
        <v>1</v>
      </c>
      <c r="Z72" s="608">
        <f t="shared" si="11"/>
        <v>17.55</v>
      </c>
      <c r="AA72" s="608">
        <f t="shared" si="12"/>
        <v>0.9346153846</v>
      </c>
      <c r="AB72" s="607">
        <f t="shared" si="13"/>
        <v>2</v>
      </c>
      <c r="AC72" s="607">
        <f t="shared" si="14"/>
        <v>594990.2209</v>
      </c>
      <c r="AD72" s="608">
        <f t="shared" si="15"/>
        <v>0</v>
      </c>
      <c r="AE72" s="607">
        <f t="shared" si="16"/>
        <v>0</v>
      </c>
      <c r="AF72" s="609">
        <f t="shared" si="17"/>
        <v>0</v>
      </c>
      <c r="AG72" s="628">
        <f t="shared" si="23"/>
        <v>594990.2209</v>
      </c>
      <c r="AH72" s="611"/>
      <c r="AI72" s="612">
        <v>27293.1294</v>
      </c>
      <c r="AJ72" s="612">
        <v>54586.2588</v>
      </c>
      <c r="AK72" s="612">
        <v>54586.2588</v>
      </c>
      <c r="AL72" s="612">
        <v>81879.3882</v>
      </c>
      <c r="AM72" s="612">
        <v>81879.3882</v>
      </c>
      <c r="AN72" s="612">
        <v>109172.5176</v>
      </c>
      <c r="AO72" s="612">
        <v>109172.5176</v>
      </c>
      <c r="AP72" s="612">
        <v>136465.647</v>
      </c>
      <c r="AQ72" s="612">
        <v>136465.647</v>
      </c>
      <c r="AR72" s="612">
        <v>163758.7764</v>
      </c>
      <c r="AS72" s="612">
        <v>163758.7764</v>
      </c>
      <c r="AT72" s="612">
        <v>191051.9058</v>
      </c>
      <c r="AU72" s="612">
        <v>218345.0352</v>
      </c>
      <c r="AV72" s="612">
        <v>218345.0352</v>
      </c>
      <c r="AW72" s="612">
        <v>245638.16460000002</v>
      </c>
      <c r="AX72" s="612">
        <v>245638.16460000002</v>
      </c>
      <c r="AY72" s="612">
        <v>272931.294</v>
      </c>
      <c r="AZ72" s="612">
        <v>272931.294</v>
      </c>
      <c r="BA72" s="612">
        <v>272931.294</v>
      </c>
      <c r="BB72" s="612">
        <v>272931.294</v>
      </c>
      <c r="BC72" s="612">
        <v>272931.294</v>
      </c>
      <c r="BD72" s="612">
        <v>300224.42339999997</v>
      </c>
      <c r="BE72" s="612">
        <v>300224.42339999997</v>
      </c>
      <c r="BF72" s="612">
        <v>327517.5528</v>
      </c>
      <c r="BG72" s="612">
        <v>327517.5528</v>
      </c>
      <c r="BH72" s="612">
        <v>354810.6822</v>
      </c>
      <c r="BI72" s="612">
        <v>354810.6822</v>
      </c>
      <c r="BJ72" s="612">
        <v>382103.8116</v>
      </c>
      <c r="BK72" s="612">
        <v>409396.941</v>
      </c>
      <c r="BL72" s="612">
        <v>409396.941</v>
      </c>
      <c r="BM72" s="612">
        <v>436690.07039999997</v>
      </c>
      <c r="BN72" s="612">
        <v>436690.07039999997</v>
      </c>
      <c r="BO72" s="612">
        <v>463983.1998</v>
      </c>
      <c r="BP72" s="612">
        <v>463983.1998</v>
      </c>
      <c r="BQ72" s="612">
        <v>491276.32920000004</v>
      </c>
      <c r="BR72" s="612">
        <v>491276.32920000004</v>
      </c>
      <c r="BS72" s="612">
        <v>518569.4586</v>
      </c>
      <c r="BT72" s="612">
        <v>518569.4586</v>
      </c>
      <c r="BU72" s="612">
        <v>545862.588</v>
      </c>
      <c r="BV72" s="612">
        <v>545862.588</v>
      </c>
      <c r="BW72" s="612">
        <v>545862.588</v>
      </c>
      <c r="BX72" s="612">
        <v>545862.588</v>
      </c>
      <c r="BY72" s="612">
        <v>545862.588</v>
      </c>
      <c r="BZ72" s="612">
        <v>573155.7174</v>
      </c>
      <c r="CA72" s="612">
        <v>600448.8467999999</v>
      </c>
      <c r="CB72" s="612">
        <v>600448.8467999999</v>
      </c>
      <c r="CC72" s="612">
        <v>627741.9762</v>
      </c>
      <c r="CD72" s="612">
        <v>627741.9762</v>
      </c>
      <c r="CE72" s="612">
        <v>655035.1056</v>
      </c>
      <c r="CF72" s="612">
        <v>655035.1056</v>
      </c>
      <c r="CG72" s="612">
        <v>682328.235</v>
      </c>
      <c r="CH72" s="612">
        <v>682328.235</v>
      </c>
      <c r="CI72" s="612">
        <v>709621.3644</v>
      </c>
      <c r="CJ72" s="612">
        <v>709621.3644</v>
      </c>
      <c r="CK72" s="612">
        <v>736914.4938</v>
      </c>
      <c r="CL72" s="612">
        <v>764207.6232</v>
      </c>
      <c r="CM72" s="612">
        <v>764207.6232</v>
      </c>
      <c r="CN72" s="612">
        <v>791500.7526</v>
      </c>
      <c r="CO72" s="612">
        <v>791500.7526</v>
      </c>
      <c r="CP72" s="612">
        <v>818793.882</v>
      </c>
    </row>
    <row r="73">
      <c r="A73" s="645"/>
      <c r="B73" s="629" t="s">
        <v>384</v>
      </c>
      <c r="C73" s="632" t="b">
        <v>0</v>
      </c>
      <c r="D73" s="633" t="s">
        <v>683</v>
      </c>
      <c r="E73" s="634" t="s">
        <v>500</v>
      </c>
      <c r="F73" s="635" t="s">
        <v>684</v>
      </c>
      <c r="G73" s="625"/>
      <c r="H73" s="646">
        <v>1.0</v>
      </c>
      <c r="I73" s="617">
        <f>1463*1.3649*1.07</f>
        <v>2136.628109</v>
      </c>
      <c r="J73" s="618">
        <f>I73*IF($C$7=TRUE,VLOOKUP(B73,BuffsDebuffs!$P$8:$X$26,MATCH(E73,BuffsDebuffs!$P$8:$X$8,0),FALSE),1)*IF(AND($C$8=TRUE,H73=1),1.0778,1)*VLOOKUP($C$2,'scaling OLD'!$A$2:$H$55,8,False)*IF(K73="-",1,(1/K73*(1+((K73-1)*VLOOKUP($C$2,'scaling OLD'!$A$2:$H$55,4,False)))))*IF(K73="-",1,VLOOKUP($C$2,'scaling OLD'!$A$2:$H$55,5,False))*VLOOKUP($C$2,'scaling OLD'!$A$2:$H$55,6,False)*IF(AND(LEFT(C$2,7)="CE - Cr",B73="Sword"),1.35,1)</f>
        <v>2302.857776</v>
      </c>
      <c r="K73" s="186">
        <v>1.3</v>
      </c>
      <c r="L73" s="184">
        <v>191.0</v>
      </c>
      <c r="M73" s="184">
        <v>900.0</v>
      </c>
      <c r="N73" s="184">
        <v>1216.0</v>
      </c>
      <c r="O73" s="188">
        <v>2.45</v>
      </c>
      <c r="P73" s="647">
        <f t="shared" si="24"/>
        <v>12.66666667</v>
      </c>
      <c r="Q73" s="620">
        <f t="shared" si="2"/>
        <v>439845.8352</v>
      </c>
      <c r="R73" s="621">
        <f t="shared" si="3"/>
        <v>95.3</v>
      </c>
      <c r="S73" s="622">
        <f t="shared" si="22"/>
        <v>2800275.055</v>
      </c>
      <c r="T73" s="602">
        <f t="shared" si="5"/>
        <v>2639075.011</v>
      </c>
      <c r="U73" s="623">
        <f t="shared" si="19"/>
        <v>34724.6712</v>
      </c>
      <c r="V73" s="624">
        <f t="shared" si="7"/>
        <v>29383.78862</v>
      </c>
      <c r="W73" s="605">
        <f t="shared" si="8"/>
        <v>29904.5327</v>
      </c>
      <c r="X73" s="606">
        <f t="shared" si="9"/>
        <v>29096.74764</v>
      </c>
      <c r="Y73" s="607">
        <f t="shared" si="10"/>
        <v>1</v>
      </c>
      <c r="Z73" s="608">
        <f t="shared" si="11"/>
        <v>17.55</v>
      </c>
      <c r="AA73" s="608">
        <f t="shared" si="12"/>
        <v>0</v>
      </c>
      <c r="AB73" s="607">
        <f t="shared" si="13"/>
        <v>1</v>
      </c>
      <c r="AC73" s="607">
        <f t="shared" si="14"/>
        <v>439845.8352</v>
      </c>
      <c r="AD73" s="608">
        <f t="shared" si="15"/>
        <v>4.883333333</v>
      </c>
      <c r="AE73" s="607">
        <f t="shared" si="16"/>
        <v>74</v>
      </c>
      <c r="AF73" s="609">
        <f t="shared" si="17"/>
        <v>170411.4754</v>
      </c>
      <c r="AG73" s="628">
        <f t="shared" si="23"/>
        <v>610257.3106</v>
      </c>
      <c r="AH73" s="611"/>
      <c r="AI73" s="612">
        <v>17217.62823088</v>
      </c>
      <c r="AJ73" s="612">
        <v>34435.25646176</v>
      </c>
      <c r="AK73" s="612">
        <v>49500.68116378</v>
      </c>
      <c r="AL73" s="612">
        <v>66718.30939466</v>
      </c>
      <c r="AM73" s="612">
        <v>81783.73409668</v>
      </c>
      <c r="AN73" s="612">
        <v>99001.36232756</v>
      </c>
      <c r="AO73" s="612">
        <v>114066.78702958</v>
      </c>
      <c r="AP73" s="612">
        <v>131284.41526046</v>
      </c>
      <c r="AQ73" s="612">
        <v>146349.83996248</v>
      </c>
      <c r="AR73" s="612">
        <v>163567.46819336</v>
      </c>
      <c r="AS73" s="612">
        <v>178632.89289538</v>
      </c>
      <c r="AT73" s="612">
        <v>195850.52112626</v>
      </c>
      <c r="AU73" s="612">
        <v>210915.94582828</v>
      </c>
      <c r="AV73" s="612">
        <v>228133.57405916</v>
      </c>
      <c r="AW73" s="612">
        <v>243198.99876118</v>
      </c>
      <c r="AX73" s="612">
        <v>260416.62699206</v>
      </c>
      <c r="AY73" s="612">
        <v>275482.05169408</v>
      </c>
      <c r="AZ73" s="612">
        <v>292699.67992496</v>
      </c>
      <c r="BA73" s="612">
        <v>307765.10462698</v>
      </c>
      <c r="BB73" s="612">
        <v>324982.73285786</v>
      </c>
      <c r="BC73" s="612">
        <v>340048.15755988</v>
      </c>
      <c r="BD73" s="612">
        <v>357265.78579076</v>
      </c>
      <c r="BE73" s="612">
        <v>372331.21049278</v>
      </c>
      <c r="BF73" s="612">
        <v>389548.83872366</v>
      </c>
      <c r="BG73" s="612">
        <v>404614.26342568</v>
      </c>
      <c r="BH73" s="612">
        <v>411070.87401226</v>
      </c>
      <c r="BI73" s="612">
        <v>411070.87401226</v>
      </c>
      <c r="BJ73" s="612">
        <v>411070.87401226</v>
      </c>
      <c r="BK73" s="612">
        <v>411070.87401226</v>
      </c>
      <c r="BL73" s="612">
        <v>411070.87401226</v>
      </c>
      <c r="BM73" s="612">
        <v>423984.09518542</v>
      </c>
      <c r="BN73" s="612">
        <v>441201.7234163</v>
      </c>
      <c r="BO73" s="612">
        <v>456267.14811832</v>
      </c>
      <c r="BP73" s="612">
        <v>473484.7763492</v>
      </c>
      <c r="BQ73" s="612">
        <v>488550.20105122</v>
      </c>
      <c r="BR73" s="612">
        <v>505767.82928209996</v>
      </c>
      <c r="BS73" s="612">
        <v>520833.25398412</v>
      </c>
      <c r="BT73" s="612">
        <v>538050.882215</v>
      </c>
      <c r="BU73" s="612">
        <v>553116.30691702</v>
      </c>
      <c r="BV73" s="612">
        <v>570333.9351479</v>
      </c>
      <c r="BW73" s="612">
        <v>585399.35984992</v>
      </c>
      <c r="BX73" s="612">
        <v>602616.9880808</v>
      </c>
      <c r="BY73" s="612">
        <v>617682.4127828199</v>
      </c>
      <c r="BZ73" s="612">
        <v>634900.0410137</v>
      </c>
      <c r="CA73" s="612">
        <v>649965.46571572</v>
      </c>
      <c r="CB73" s="612">
        <v>667183.0939466</v>
      </c>
      <c r="CC73" s="612">
        <v>682248.51864862</v>
      </c>
      <c r="CD73" s="612">
        <v>699466.1468795</v>
      </c>
      <c r="CE73" s="612">
        <v>714531.57158152</v>
      </c>
      <c r="CF73" s="612">
        <v>731749.1998123999</v>
      </c>
      <c r="CG73" s="612">
        <v>746814.62451442</v>
      </c>
      <c r="CH73" s="612">
        <v>764032.2527453001</v>
      </c>
      <c r="CI73" s="612">
        <v>779097.67744732</v>
      </c>
      <c r="CJ73" s="612">
        <v>796315.3056782</v>
      </c>
      <c r="CK73" s="612">
        <v>811380.73038022</v>
      </c>
      <c r="CL73" s="612">
        <v>822141.74802452</v>
      </c>
      <c r="CM73" s="612">
        <v>822141.74802452</v>
      </c>
      <c r="CN73" s="612">
        <v>822141.74802452</v>
      </c>
      <c r="CO73" s="612">
        <v>822141.74802452</v>
      </c>
      <c r="CP73" s="612">
        <v>822141.74802452</v>
      </c>
    </row>
    <row r="74">
      <c r="A74" s="645"/>
      <c r="B74" s="629" t="s">
        <v>380</v>
      </c>
      <c r="C74" s="632" t="b">
        <v>0</v>
      </c>
      <c r="D74" s="673" t="s">
        <v>685</v>
      </c>
      <c r="E74" s="658" t="s">
        <v>348</v>
      </c>
      <c r="F74" s="657" t="s">
        <v>686</v>
      </c>
      <c r="G74" s="625">
        <v>1.0</v>
      </c>
      <c r="H74" s="625">
        <v>1.0</v>
      </c>
      <c r="I74" s="617">
        <f>36252*1.05</f>
        <v>38064.6</v>
      </c>
      <c r="J74" s="594">
        <f>I74*IF($C$7=TRUE,VLOOKUP(B74,BuffsDebuffs!$P$8:$X$26,MATCH(E74,BuffsDebuffs!$P$8:$X$8,0),FALSE),1)*IF(AND($C$8=TRUE,H74=1),1.0778,1)*VLOOKUP($C$2,'scaling OLD'!$A$2:$H$55,8,False)*IF(K74="-",1,(1/K74*(1+((K74-1)*VLOOKUP($C$2,'scaling OLD'!$A$2:$H$55,4,False)))))*IF(K74="-",1,VLOOKUP($C$2,'scaling OLD'!$A$2:$H$55,5,False))*VLOOKUP($C$2,'scaling OLD'!$A$2:$H$55,6,False)*IF(AND(LEFT(C$2,7)="CE - Cr",B74="Sword"),1.35,1)</f>
        <v>41026.02588</v>
      </c>
      <c r="K74" s="186">
        <v>3.44</v>
      </c>
      <c r="L74" s="184">
        <v>6.0</v>
      </c>
      <c r="M74" s="184">
        <v>41.0</v>
      </c>
      <c r="N74" s="184">
        <v>23.0</v>
      </c>
      <c r="O74" s="188">
        <v>1.65</v>
      </c>
      <c r="P74" s="638">
        <f t="shared" si="24"/>
        <v>7.317073171</v>
      </c>
      <c r="Q74" s="599">
        <f t="shared" si="2"/>
        <v>246156.1553</v>
      </c>
      <c r="R74" s="600">
        <f t="shared" si="3"/>
        <v>32.75487805</v>
      </c>
      <c r="S74" s="622">
        <f t="shared" si="22"/>
        <v>943598.5952</v>
      </c>
      <c r="T74" s="602">
        <f t="shared" si="5"/>
        <v>738468.4658</v>
      </c>
      <c r="U74" s="623">
        <f t="shared" si="19"/>
        <v>33641.34122</v>
      </c>
      <c r="V74" s="624">
        <f t="shared" si="7"/>
        <v>28807.87997</v>
      </c>
      <c r="W74" s="605">
        <f t="shared" si="8"/>
        <v>29244.86342</v>
      </c>
      <c r="X74" s="606">
        <f t="shared" si="9"/>
        <v>27451.11483</v>
      </c>
      <c r="Y74" s="607">
        <f t="shared" si="10"/>
        <v>2</v>
      </c>
      <c r="Z74" s="608">
        <f t="shared" si="11"/>
        <v>16.7</v>
      </c>
      <c r="AA74" s="608">
        <f t="shared" si="12"/>
        <v>0</v>
      </c>
      <c r="AB74" s="607">
        <f t="shared" si="13"/>
        <v>2</v>
      </c>
      <c r="AC74" s="607">
        <f t="shared" si="14"/>
        <v>492312.3106</v>
      </c>
      <c r="AD74" s="608">
        <f t="shared" si="15"/>
        <v>2.065853659</v>
      </c>
      <c r="AE74" s="607">
        <f t="shared" si="16"/>
        <v>2</v>
      </c>
      <c r="AF74" s="609">
        <f t="shared" si="17"/>
        <v>82052.05176</v>
      </c>
      <c r="AG74" s="628">
        <f t="shared" si="23"/>
        <v>574364.3623</v>
      </c>
      <c r="AH74" s="611"/>
      <c r="AI74" s="612">
        <v>39072.405600000006</v>
      </c>
      <c r="AJ74" s="612">
        <v>39072.405600000006</v>
      </c>
      <c r="AK74" s="612">
        <v>78144.81120000001</v>
      </c>
      <c r="AL74" s="612">
        <v>78144.81120000001</v>
      </c>
      <c r="AM74" s="612">
        <v>78144.81120000001</v>
      </c>
      <c r="AN74" s="612">
        <v>117217.21680000002</v>
      </c>
      <c r="AO74" s="612">
        <v>117217.21680000002</v>
      </c>
      <c r="AP74" s="612">
        <v>117217.21680000002</v>
      </c>
      <c r="AQ74" s="612">
        <v>156289.62240000002</v>
      </c>
      <c r="AR74" s="612">
        <v>156289.62240000002</v>
      </c>
      <c r="AS74" s="612">
        <v>156289.62240000002</v>
      </c>
      <c r="AT74" s="612">
        <v>195362.02800000002</v>
      </c>
      <c r="AU74" s="612">
        <v>195362.02800000002</v>
      </c>
      <c r="AV74" s="612">
        <v>195362.02800000002</v>
      </c>
      <c r="AW74" s="612">
        <v>234434.43360000005</v>
      </c>
      <c r="AX74" s="612">
        <v>234434.43360000005</v>
      </c>
      <c r="AY74" s="612">
        <v>234434.43360000005</v>
      </c>
      <c r="AZ74" s="612">
        <v>273506.83920000005</v>
      </c>
      <c r="BA74" s="612">
        <v>273506.83920000005</v>
      </c>
      <c r="BB74" s="612">
        <v>273506.83920000005</v>
      </c>
      <c r="BC74" s="612">
        <v>312579.24480000004</v>
      </c>
      <c r="BD74" s="612">
        <v>312579.24480000004</v>
      </c>
      <c r="BE74" s="612">
        <v>312579.24480000004</v>
      </c>
      <c r="BF74" s="612">
        <v>351651.65040000004</v>
      </c>
      <c r="BG74" s="612">
        <v>351651.65040000004</v>
      </c>
      <c r="BH74" s="612">
        <v>351651.65040000004</v>
      </c>
      <c r="BI74" s="612">
        <v>390724.0560000001</v>
      </c>
      <c r="BJ74" s="612">
        <v>390724.0560000001</v>
      </c>
      <c r="BK74" s="612">
        <v>390724.0560000001</v>
      </c>
      <c r="BL74" s="612">
        <v>429796.46160000004</v>
      </c>
      <c r="BM74" s="612">
        <v>429796.46160000004</v>
      </c>
      <c r="BN74" s="612">
        <v>429796.46160000004</v>
      </c>
      <c r="BO74" s="612">
        <v>468868.8672000001</v>
      </c>
      <c r="BP74" s="612">
        <v>468868.8672000001</v>
      </c>
      <c r="BQ74" s="612">
        <v>468868.8672000001</v>
      </c>
      <c r="BR74" s="612">
        <v>507941.2728000001</v>
      </c>
      <c r="BS74" s="612">
        <v>507941.2728000001</v>
      </c>
      <c r="BT74" s="612">
        <v>507941.2728000001</v>
      </c>
      <c r="BU74" s="612">
        <v>547013.6784000001</v>
      </c>
      <c r="BV74" s="612">
        <v>547013.6784000001</v>
      </c>
      <c r="BW74" s="612">
        <v>547013.6784000001</v>
      </c>
      <c r="BX74" s="612">
        <v>586086.0840000001</v>
      </c>
      <c r="BY74" s="612">
        <v>586086.0840000001</v>
      </c>
      <c r="BZ74" s="612">
        <v>586086.0840000001</v>
      </c>
      <c r="CA74" s="612">
        <v>625158.4896000001</v>
      </c>
      <c r="CB74" s="612">
        <v>625158.4896000001</v>
      </c>
      <c r="CC74" s="612">
        <v>625158.4896000001</v>
      </c>
      <c r="CD74" s="612">
        <v>664230.8952000001</v>
      </c>
      <c r="CE74" s="612">
        <v>664230.8952000001</v>
      </c>
      <c r="CF74" s="612">
        <v>664230.8952000001</v>
      </c>
      <c r="CG74" s="612">
        <v>703303.3008000001</v>
      </c>
      <c r="CH74" s="612">
        <v>703303.3008000001</v>
      </c>
      <c r="CI74" s="612">
        <v>703303.3008000001</v>
      </c>
      <c r="CJ74" s="612">
        <v>742375.7064000001</v>
      </c>
      <c r="CK74" s="612">
        <v>742375.7064000001</v>
      </c>
      <c r="CL74" s="612">
        <v>742375.7064000001</v>
      </c>
      <c r="CM74" s="612">
        <v>781448.1120000001</v>
      </c>
      <c r="CN74" s="612">
        <v>781448.1120000001</v>
      </c>
      <c r="CO74" s="612">
        <v>781448.1120000001</v>
      </c>
      <c r="CP74" s="612">
        <v>820520.5176000001</v>
      </c>
    </row>
    <row r="75">
      <c r="A75" s="645"/>
      <c r="B75" s="629" t="s">
        <v>411</v>
      </c>
      <c r="C75" s="632" t="b">
        <v>0</v>
      </c>
      <c r="D75" s="655" t="s">
        <v>687</v>
      </c>
      <c r="E75" s="656" t="s">
        <v>348</v>
      </c>
      <c r="F75" s="657" t="s">
        <v>688</v>
      </c>
      <c r="G75" s="674">
        <v>1.0</v>
      </c>
      <c r="H75" s="636">
        <v>1.0</v>
      </c>
      <c r="I75" s="637">
        <f>10834*1.07</f>
        <v>11592.38</v>
      </c>
      <c r="J75" s="618">
        <f>I75*IF($C$7=TRUE,VLOOKUP(B75,BuffsDebuffs!$P$8:$X$26,MATCH(E75,BuffsDebuffs!$P$8:$X$8,0),FALSE),1)*IF(AND($C$8=TRUE,H75=1),1.0778,1)*VLOOKUP($C$2,'scaling OLD'!$A$2:$H$55,8,False)*IF(K75="-",1,(1/K75*(1+((K75-1)*VLOOKUP($C$2,'scaling OLD'!$A$2:$H$55,4,False)))))*IF(K75="-",1,VLOOKUP($C$2,'scaling OLD'!$A$2:$H$55,5,False))*VLOOKUP($C$2,'scaling OLD'!$A$2:$H$55,6,False)*IF(AND(LEFT(C$2,7)="CE - Cr",B75="Sword"),1.35,1)</f>
        <v>12494.26716</v>
      </c>
      <c r="K75" s="213" t="s">
        <v>349</v>
      </c>
      <c r="L75" s="211">
        <v>77.0</v>
      </c>
      <c r="M75" s="211">
        <v>138.0</v>
      </c>
      <c r="N75" s="211">
        <v>77.0</v>
      </c>
      <c r="O75" s="215">
        <v>0.0</v>
      </c>
      <c r="P75" s="647">
        <f t="shared" si="24"/>
        <v>33.04347826</v>
      </c>
      <c r="Q75" s="620">
        <f t="shared" si="2"/>
        <v>962058.5716</v>
      </c>
      <c r="R75" s="621">
        <f t="shared" si="3"/>
        <v>33.04347826</v>
      </c>
      <c r="S75" s="622">
        <f t="shared" si="22"/>
        <v>962058.5716</v>
      </c>
      <c r="T75" s="602">
        <f t="shared" si="5"/>
        <v>962058.5716</v>
      </c>
      <c r="U75" s="623">
        <f t="shared" si="19"/>
        <v>29114.93046</v>
      </c>
      <c r="V75" s="624">
        <f t="shared" si="7"/>
        <v>29114.93046</v>
      </c>
      <c r="W75" s="605">
        <f t="shared" si="8"/>
        <v>29114.93046</v>
      </c>
      <c r="X75" s="606">
        <f t="shared" si="9"/>
        <v>29114.93046</v>
      </c>
      <c r="Y75" s="607">
        <f t="shared" si="10"/>
        <v>0</v>
      </c>
      <c r="Z75" s="608">
        <f t="shared" si="11"/>
        <v>20</v>
      </c>
      <c r="AA75" s="608">
        <f t="shared" si="12"/>
        <v>0</v>
      </c>
      <c r="AB75" s="607">
        <f t="shared" si="13"/>
        <v>0</v>
      </c>
      <c r="AC75" s="607">
        <f t="shared" si="14"/>
        <v>0</v>
      </c>
      <c r="AD75" s="608">
        <f t="shared" si="15"/>
        <v>20</v>
      </c>
      <c r="AE75" s="607">
        <f t="shared" si="16"/>
        <v>47</v>
      </c>
      <c r="AF75" s="609">
        <f t="shared" si="17"/>
        <v>587230.5567</v>
      </c>
      <c r="AG75" s="628">
        <f t="shared" si="23"/>
        <v>587230.5567</v>
      </c>
      <c r="AH75" s="611"/>
      <c r="AI75" s="612">
        <v>23353.7704</v>
      </c>
      <c r="AJ75" s="612">
        <v>35030.6556</v>
      </c>
      <c r="AK75" s="612">
        <v>46707.5408</v>
      </c>
      <c r="AL75" s="612">
        <v>58384.42600000001</v>
      </c>
      <c r="AM75" s="612">
        <v>70061.3112</v>
      </c>
      <c r="AN75" s="612">
        <v>81738.1964</v>
      </c>
      <c r="AO75" s="612">
        <v>105091.96680000001</v>
      </c>
      <c r="AP75" s="612">
        <v>116768.85200000001</v>
      </c>
      <c r="AQ75" s="612">
        <v>128445.7372</v>
      </c>
      <c r="AR75" s="612">
        <v>140122.6224</v>
      </c>
      <c r="AS75" s="612">
        <v>151799.5076</v>
      </c>
      <c r="AT75" s="612">
        <v>163476.3928</v>
      </c>
      <c r="AU75" s="612">
        <v>175153.27800000002</v>
      </c>
      <c r="AV75" s="612">
        <v>198507.0484</v>
      </c>
      <c r="AW75" s="612">
        <v>210183.93360000002</v>
      </c>
      <c r="AX75" s="612">
        <v>221860.8188</v>
      </c>
      <c r="AY75" s="612">
        <v>233537.70400000003</v>
      </c>
      <c r="AZ75" s="612">
        <v>245214.58920000002</v>
      </c>
      <c r="BA75" s="612">
        <v>256891.4744</v>
      </c>
      <c r="BB75" s="612">
        <v>280245.2448</v>
      </c>
      <c r="BC75" s="612">
        <v>291922.13</v>
      </c>
      <c r="BD75" s="612">
        <v>303599.0152</v>
      </c>
      <c r="BE75" s="612">
        <v>315275.90040000004</v>
      </c>
      <c r="BF75" s="612">
        <v>326952.7856</v>
      </c>
      <c r="BG75" s="612">
        <v>338629.6708</v>
      </c>
      <c r="BH75" s="612">
        <v>350306.55600000004</v>
      </c>
      <c r="BI75" s="612">
        <v>373660.3264</v>
      </c>
      <c r="BJ75" s="612">
        <v>385337.21160000004</v>
      </c>
      <c r="BK75" s="612">
        <v>397014.0968</v>
      </c>
      <c r="BL75" s="612">
        <v>408690.982</v>
      </c>
      <c r="BM75" s="612">
        <v>420367.86720000004</v>
      </c>
      <c r="BN75" s="612">
        <v>432044.7524</v>
      </c>
      <c r="BO75" s="612">
        <v>443721.6376</v>
      </c>
      <c r="BP75" s="612">
        <v>467075.40800000005</v>
      </c>
      <c r="BQ75" s="612">
        <v>478752.2932</v>
      </c>
      <c r="BR75" s="612">
        <v>490429.17840000003</v>
      </c>
      <c r="BS75" s="612">
        <v>502106.06360000005</v>
      </c>
      <c r="BT75" s="612">
        <v>513782.9488</v>
      </c>
      <c r="BU75" s="612">
        <v>525459.834</v>
      </c>
      <c r="BV75" s="612">
        <v>548813.6044000001</v>
      </c>
      <c r="BW75" s="612">
        <v>560490.4896</v>
      </c>
      <c r="BX75" s="612">
        <v>572167.3748</v>
      </c>
      <c r="BY75" s="612">
        <v>583844.26</v>
      </c>
      <c r="BZ75" s="612">
        <v>595521.1452</v>
      </c>
      <c r="CA75" s="612">
        <v>607198.0304</v>
      </c>
      <c r="CB75" s="612">
        <v>618874.9156000001</v>
      </c>
      <c r="CC75" s="612">
        <v>642228.686</v>
      </c>
      <c r="CD75" s="612">
        <v>653905.5712</v>
      </c>
      <c r="CE75" s="612">
        <v>665582.4564</v>
      </c>
      <c r="CF75" s="612">
        <v>677259.3416</v>
      </c>
      <c r="CG75" s="612">
        <v>688936.2268000001</v>
      </c>
      <c r="CH75" s="612">
        <v>700613.1120000001</v>
      </c>
      <c r="CI75" s="612">
        <v>712289.9972</v>
      </c>
      <c r="CJ75" s="612">
        <v>735643.7676</v>
      </c>
      <c r="CK75" s="612">
        <v>747320.6528</v>
      </c>
      <c r="CL75" s="612">
        <v>758997.5380000001</v>
      </c>
      <c r="CM75" s="612">
        <v>770674.4232000001</v>
      </c>
      <c r="CN75" s="612">
        <v>782351.3084000001</v>
      </c>
      <c r="CO75" s="612">
        <v>794028.1936</v>
      </c>
      <c r="CP75" s="612">
        <v>817381.964</v>
      </c>
    </row>
    <row r="76">
      <c r="A76" s="645"/>
      <c r="B76" s="629" t="s">
        <v>411</v>
      </c>
      <c r="C76" s="614" t="b">
        <v>0</v>
      </c>
      <c r="D76" s="589" t="s">
        <v>689</v>
      </c>
      <c r="E76" s="615" t="s">
        <v>494</v>
      </c>
      <c r="F76" s="616" t="s">
        <v>690</v>
      </c>
      <c r="G76" s="625">
        <v>1.0</v>
      </c>
      <c r="H76" s="625"/>
      <c r="I76" s="617">
        <f>11489*1.07</f>
        <v>12293.23</v>
      </c>
      <c r="J76" s="594">
        <f>I76*IF($C$7=TRUE,VLOOKUP(B76,BuffsDebuffs!$P$8:$X$26,MATCH(E76,BuffsDebuffs!$P$8:$X$8,0),FALSE),1)*IF(AND($C$8=TRUE,H76=1),1.0778,1)*VLOOKUP($C$2,'scaling OLD'!$A$2:$H$55,8,False)*IF(K76="-",1,(1/K76*(1+((K76-1)*VLOOKUP($C$2,'scaling OLD'!$A$2:$H$55,4,False)))))*IF(K76="-",1,VLOOKUP($C$2,'scaling OLD'!$A$2:$H$55,5,False))*VLOOKUP($C$2,'scaling OLD'!$A$2:$H$55,6,False)*IF(AND(LEFT(C$2,7)="CE - Cr",B76="Sword"),1.35,1)</f>
        <v>12293.23</v>
      </c>
      <c r="K76" s="186" t="s">
        <v>349</v>
      </c>
      <c r="L76" s="184">
        <v>69.0</v>
      </c>
      <c r="M76" s="184">
        <v>138.6</v>
      </c>
      <c r="N76" s="184">
        <v>69.0</v>
      </c>
      <c r="O76" s="188">
        <v>0.0</v>
      </c>
      <c r="P76" s="638">
        <f t="shared" si="24"/>
        <v>29.43722944</v>
      </c>
      <c r="Q76" s="599">
        <f t="shared" si="2"/>
        <v>848232.87</v>
      </c>
      <c r="R76" s="600">
        <f t="shared" si="3"/>
        <v>29.43722944</v>
      </c>
      <c r="S76" s="622">
        <f t="shared" si="22"/>
        <v>848232.87</v>
      </c>
      <c r="T76" s="602">
        <f t="shared" si="5"/>
        <v>848232.87</v>
      </c>
      <c r="U76" s="623">
        <f t="shared" si="19"/>
        <v>28814.96955</v>
      </c>
      <c r="V76" s="624">
        <f t="shared" si="7"/>
        <v>28814.96955</v>
      </c>
      <c r="W76" s="605">
        <f t="shared" si="8"/>
        <v>28814.96955</v>
      </c>
      <c r="X76" s="606">
        <f t="shared" si="9"/>
        <v>28814.96955</v>
      </c>
      <c r="Y76" s="607">
        <f t="shared" si="10"/>
        <v>0</v>
      </c>
      <c r="Z76" s="608">
        <f t="shared" si="11"/>
        <v>20</v>
      </c>
      <c r="AA76" s="608">
        <f t="shared" si="12"/>
        <v>0</v>
      </c>
      <c r="AB76" s="607">
        <f t="shared" si="13"/>
        <v>0</v>
      </c>
      <c r="AC76" s="607">
        <f t="shared" si="14"/>
        <v>0</v>
      </c>
      <c r="AD76" s="608">
        <f t="shared" si="15"/>
        <v>20</v>
      </c>
      <c r="AE76" s="607">
        <f t="shared" si="16"/>
        <v>47</v>
      </c>
      <c r="AF76" s="609">
        <f t="shared" si="17"/>
        <v>577781.81</v>
      </c>
      <c r="AG76" s="628">
        <f t="shared" si="23"/>
        <v>577781.81</v>
      </c>
      <c r="AH76" s="611"/>
      <c r="AI76" s="612">
        <v>22978.0</v>
      </c>
      <c r="AJ76" s="612">
        <v>34467.0</v>
      </c>
      <c r="AK76" s="612">
        <v>45956.0</v>
      </c>
      <c r="AL76" s="612">
        <v>57445.0</v>
      </c>
      <c r="AM76" s="612">
        <v>68934.0</v>
      </c>
      <c r="AN76" s="612">
        <v>80423.0</v>
      </c>
      <c r="AO76" s="612">
        <v>103401.0</v>
      </c>
      <c r="AP76" s="612">
        <v>114890.0</v>
      </c>
      <c r="AQ76" s="612">
        <v>126379.0</v>
      </c>
      <c r="AR76" s="612">
        <v>137868.0</v>
      </c>
      <c r="AS76" s="612">
        <v>149357.0</v>
      </c>
      <c r="AT76" s="612">
        <v>160846.0</v>
      </c>
      <c r="AU76" s="612">
        <v>183824.0</v>
      </c>
      <c r="AV76" s="612">
        <v>195313.0</v>
      </c>
      <c r="AW76" s="612">
        <v>206802.0</v>
      </c>
      <c r="AX76" s="612">
        <v>218291.0</v>
      </c>
      <c r="AY76" s="612">
        <v>229780.0</v>
      </c>
      <c r="AZ76" s="612">
        <v>241269.0</v>
      </c>
      <c r="BA76" s="612">
        <v>252758.0</v>
      </c>
      <c r="BB76" s="612">
        <v>275736.0</v>
      </c>
      <c r="BC76" s="612">
        <v>287225.0</v>
      </c>
      <c r="BD76" s="612">
        <v>298714.0</v>
      </c>
      <c r="BE76" s="612">
        <v>310203.0</v>
      </c>
      <c r="BF76" s="612">
        <v>321692.0</v>
      </c>
      <c r="BG76" s="612">
        <v>333181.0</v>
      </c>
      <c r="BH76" s="612">
        <v>356159.0</v>
      </c>
      <c r="BI76" s="612">
        <v>367648.0</v>
      </c>
      <c r="BJ76" s="612">
        <v>379137.0</v>
      </c>
      <c r="BK76" s="612">
        <v>390626.0</v>
      </c>
      <c r="BL76" s="612">
        <v>402115.0</v>
      </c>
      <c r="BM76" s="612">
        <v>413604.0</v>
      </c>
      <c r="BN76" s="612">
        <v>425093.0</v>
      </c>
      <c r="BO76" s="612">
        <v>448071.0</v>
      </c>
      <c r="BP76" s="612">
        <v>459560.0</v>
      </c>
      <c r="BQ76" s="612">
        <v>471049.0</v>
      </c>
      <c r="BR76" s="612">
        <v>482538.0</v>
      </c>
      <c r="BS76" s="612">
        <v>494027.0</v>
      </c>
      <c r="BT76" s="612">
        <v>505516.0</v>
      </c>
      <c r="BU76" s="612">
        <v>528494.0</v>
      </c>
      <c r="BV76" s="612">
        <v>539983.0</v>
      </c>
      <c r="BW76" s="612">
        <v>551472.0</v>
      </c>
      <c r="BX76" s="612">
        <v>562961.0</v>
      </c>
      <c r="BY76" s="612">
        <v>574450.0</v>
      </c>
      <c r="BZ76" s="612">
        <v>585939.0</v>
      </c>
      <c r="CA76" s="612">
        <v>597428.0</v>
      </c>
      <c r="CB76" s="612">
        <v>620406.0</v>
      </c>
      <c r="CC76" s="612">
        <v>631895.0</v>
      </c>
      <c r="CD76" s="612">
        <v>643384.0</v>
      </c>
      <c r="CE76" s="612">
        <v>654873.0</v>
      </c>
      <c r="CF76" s="612">
        <v>666362.0</v>
      </c>
      <c r="CG76" s="612">
        <v>677851.0</v>
      </c>
      <c r="CH76" s="612">
        <v>700829.0</v>
      </c>
      <c r="CI76" s="612">
        <v>712318.0</v>
      </c>
      <c r="CJ76" s="612">
        <v>723807.0</v>
      </c>
      <c r="CK76" s="612">
        <v>735296.0</v>
      </c>
      <c r="CL76" s="612">
        <v>746785.0</v>
      </c>
      <c r="CM76" s="612">
        <v>758274.0</v>
      </c>
      <c r="CN76" s="612">
        <v>769763.0</v>
      </c>
      <c r="CO76" s="612">
        <v>792741.0</v>
      </c>
      <c r="CP76" s="612">
        <v>792741.0</v>
      </c>
    </row>
    <row r="77">
      <c r="A77" s="645"/>
      <c r="B77" s="629" t="s">
        <v>380</v>
      </c>
      <c r="C77" s="614" t="b">
        <v>0</v>
      </c>
      <c r="D77" s="589" t="s">
        <v>691</v>
      </c>
      <c r="E77" s="615" t="s">
        <v>494</v>
      </c>
      <c r="F77" s="616" t="s">
        <v>692</v>
      </c>
      <c r="G77" s="625">
        <v>1.0</v>
      </c>
      <c r="H77" s="625"/>
      <c r="I77" s="617">
        <f>32664*1.05</f>
        <v>34297.2</v>
      </c>
      <c r="J77" s="618">
        <f>I77*IF($C$7=TRUE,VLOOKUP(B77,BuffsDebuffs!$P$8:$X$26,MATCH(E77,BuffsDebuffs!$P$8:$X$8,0),FALSE),1)*IF(AND($C$8=TRUE,H77=1),1.0778,1)*VLOOKUP($C$2,'scaling OLD'!$A$2:$H$55,8,False)*IF(K77="-",1,(1/K77*(1+((K77-1)*VLOOKUP($C$2,'scaling OLD'!$A$2:$H$55,4,False)))))*IF(K77="-",1,VLOOKUP($C$2,'scaling OLD'!$A$2:$H$55,5,False))*VLOOKUP($C$2,'scaling OLD'!$A$2:$H$55,6,False)*IF(AND(LEFT(C$2,7)="CE - Cr",B77="Sword"),1.35,1)</f>
        <v>34297.2</v>
      </c>
      <c r="K77" s="186">
        <v>3.44</v>
      </c>
      <c r="L77" s="184">
        <v>5.0</v>
      </c>
      <c r="M77" s="184">
        <v>51.7</v>
      </c>
      <c r="N77" s="184">
        <v>24.0</v>
      </c>
      <c r="O77" s="188">
        <v>1.784</v>
      </c>
      <c r="P77" s="647">
        <f t="shared" si="24"/>
        <v>4.642166344</v>
      </c>
      <c r="Q77" s="620">
        <f t="shared" si="2"/>
        <v>171486</v>
      </c>
      <c r="R77" s="621">
        <f t="shared" si="3"/>
        <v>29.18629014</v>
      </c>
      <c r="S77" s="622">
        <f t="shared" si="22"/>
        <v>823132.8</v>
      </c>
      <c r="T77" s="602">
        <f t="shared" si="5"/>
        <v>685944</v>
      </c>
      <c r="U77" s="623">
        <f t="shared" si="19"/>
        <v>36940.9425</v>
      </c>
      <c r="V77" s="624">
        <f t="shared" si="7"/>
        <v>28202.72108</v>
      </c>
      <c r="W77" s="605">
        <f t="shared" si="8"/>
        <v>28675.79096</v>
      </c>
      <c r="X77" s="606">
        <f t="shared" si="9"/>
        <v>26685.58372</v>
      </c>
      <c r="Y77" s="607">
        <f t="shared" si="10"/>
        <v>3</v>
      </c>
      <c r="Z77" s="608">
        <f t="shared" si="11"/>
        <v>14.648</v>
      </c>
      <c r="AA77" s="608">
        <f t="shared" si="12"/>
        <v>0</v>
      </c>
      <c r="AB77" s="607">
        <f t="shared" si="13"/>
        <v>3</v>
      </c>
      <c r="AC77" s="607">
        <f t="shared" si="14"/>
        <v>514458</v>
      </c>
      <c r="AD77" s="608">
        <f t="shared" si="15"/>
        <v>0.7215009671</v>
      </c>
      <c r="AE77" s="607">
        <f t="shared" si="16"/>
        <v>1</v>
      </c>
      <c r="AF77" s="609">
        <f t="shared" si="17"/>
        <v>34297.2</v>
      </c>
      <c r="AG77" s="628">
        <f t="shared" si="23"/>
        <v>548755.2</v>
      </c>
      <c r="AH77" s="611"/>
      <c r="AI77" s="612">
        <v>32664.0</v>
      </c>
      <c r="AJ77" s="612">
        <v>32664.0</v>
      </c>
      <c r="AK77" s="612">
        <v>65328.0</v>
      </c>
      <c r="AL77" s="612">
        <v>65328.0</v>
      </c>
      <c r="AM77" s="612">
        <v>97992.0</v>
      </c>
      <c r="AN77" s="612">
        <v>97992.0</v>
      </c>
      <c r="AO77" s="612">
        <v>130656.0</v>
      </c>
      <c r="AP77" s="612">
        <v>130656.0</v>
      </c>
      <c r="AQ77" s="612">
        <v>130656.0</v>
      </c>
      <c r="AR77" s="612">
        <v>163320.0</v>
      </c>
      <c r="AS77" s="612">
        <v>163320.0</v>
      </c>
      <c r="AT77" s="612">
        <v>163320.0</v>
      </c>
      <c r="AU77" s="612">
        <v>195984.0</v>
      </c>
      <c r="AV77" s="612">
        <v>195984.0</v>
      </c>
      <c r="AW77" s="612">
        <v>195984.0</v>
      </c>
      <c r="AX77" s="612">
        <v>228648.0</v>
      </c>
      <c r="AY77" s="612">
        <v>228648.0</v>
      </c>
      <c r="AZ77" s="612">
        <v>261312.0</v>
      </c>
      <c r="BA77" s="612">
        <v>261312.0</v>
      </c>
      <c r="BB77" s="612">
        <v>293976.0</v>
      </c>
      <c r="BC77" s="612">
        <v>293976.0</v>
      </c>
      <c r="BD77" s="612">
        <v>293976.0</v>
      </c>
      <c r="BE77" s="612">
        <v>326640.0</v>
      </c>
      <c r="BF77" s="612">
        <v>326640.0</v>
      </c>
      <c r="BG77" s="612">
        <v>326640.0</v>
      </c>
      <c r="BH77" s="612">
        <v>359304.0</v>
      </c>
      <c r="BI77" s="612">
        <v>359304.0</v>
      </c>
      <c r="BJ77" s="612">
        <v>359304.0</v>
      </c>
      <c r="BK77" s="612">
        <v>391968.0</v>
      </c>
      <c r="BL77" s="612">
        <v>391968.0</v>
      </c>
      <c r="BM77" s="612">
        <v>424632.0</v>
      </c>
      <c r="BN77" s="612">
        <v>424632.0</v>
      </c>
      <c r="BO77" s="612">
        <v>457296.0</v>
      </c>
      <c r="BP77" s="612">
        <v>457296.0</v>
      </c>
      <c r="BQ77" s="612">
        <v>489960.0</v>
      </c>
      <c r="BR77" s="612">
        <v>489960.0</v>
      </c>
      <c r="BS77" s="612">
        <v>489960.0</v>
      </c>
      <c r="BT77" s="612">
        <v>489960.0</v>
      </c>
      <c r="BU77" s="612">
        <v>522624.0</v>
      </c>
      <c r="BV77" s="612">
        <v>522624.0</v>
      </c>
      <c r="BW77" s="612">
        <v>555288.0</v>
      </c>
      <c r="BX77" s="612">
        <v>555288.0</v>
      </c>
      <c r="BY77" s="612">
        <v>555288.0</v>
      </c>
      <c r="BZ77" s="612">
        <v>587952.0</v>
      </c>
      <c r="CA77" s="612">
        <v>587952.0</v>
      </c>
      <c r="CB77" s="612">
        <v>620616.0</v>
      </c>
      <c r="CC77" s="612">
        <v>620616.0</v>
      </c>
      <c r="CD77" s="612">
        <v>653280.0</v>
      </c>
      <c r="CE77" s="612">
        <v>653280.0</v>
      </c>
      <c r="CF77" s="612">
        <v>653280.0</v>
      </c>
      <c r="CG77" s="612">
        <v>653280.0</v>
      </c>
      <c r="CH77" s="612">
        <v>685944.0</v>
      </c>
      <c r="CI77" s="612">
        <v>685944.0</v>
      </c>
      <c r="CJ77" s="612">
        <v>718608.0</v>
      </c>
      <c r="CK77" s="612">
        <v>718608.0</v>
      </c>
      <c r="CL77" s="612">
        <v>718608.0</v>
      </c>
      <c r="CM77" s="612">
        <v>751272.0</v>
      </c>
      <c r="CN77" s="612">
        <v>751272.0</v>
      </c>
      <c r="CO77" s="612">
        <v>783936.0</v>
      </c>
      <c r="CP77" s="612">
        <v>783936.0</v>
      </c>
    </row>
    <row r="78">
      <c r="A78" s="645"/>
      <c r="B78" s="629" t="s">
        <v>411</v>
      </c>
      <c r="C78" s="632" t="b">
        <v>0</v>
      </c>
      <c r="D78" s="655" t="s">
        <v>693</v>
      </c>
      <c r="E78" s="656" t="s">
        <v>348</v>
      </c>
      <c r="F78" s="657" t="s">
        <v>688</v>
      </c>
      <c r="G78" s="674">
        <v>1.0</v>
      </c>
      <c r="H78" s="636">
        <v>1.0</v>
      </c>
      <c r="I78" s="637">
        <f>16251*1.07</f>
        <v>17388.57</v>
      </c>
      <c r="J78" s="594">
        <f>I78*IF($C$7=TRUE,VLOOKUP(B78,BuffsDebuffs!$P$8:$X$26,MATCH(E78,BuffsDebuffs!$P$8:$X$8,0),FALSE),1)*IF(AND($C$8=TRUE,H78=1),1.0778,1)*VLOOKUP($C$2,'scaling OLD'!$A$2:$H$55,8,False)*IF(K78="-",1,(1/K78*(1+((K78-1)*VLOOKUP($C$2,'scaling OLD'!$A$2:$H$55,4,False)))))*IF(K78="-",1,VLOOKUP($C$2,'scaling OLD'!$A$2:$H$55,5,False))*VLOOKUP($C$2,'scaling OLD'!$A$2:$H$55,6,False)*IF(AND(LEFT(C$2,7)="CE - Cr",B78="Sword"),1.35,1)</f>
        <v>18741.40075</v>
      </c>
      <c r="K78" s="213" t="s">
        <v>349</v>
      </c>
      <c r="L78" s="211">
        <v>51.0</v>
      </c>
      <c r="M78" s="211">
        <v>90.0</v>
      </c>
      <c r="N78" s="211">
        <v>51.0</v>
      </c>
      <c r="O78" s="215">
        <v>0.0</v>
      </c>
      <c r="P78" s="638">
        <f t="shared" si="24"/>
        <v>33.33333333</v>
      </c>
      <c r="Q78" s="599">
        <f t="shared" si="2"/>
        <v>955811.438</v>
      </c>
      <c r="R78" s="600">
        <f t="shared" si="3"/>
        <v>33.33333333</v>
      </c>
      <c r="S78" s="622">
        <f t="shared" si="22"/>
        <v>955811.438</v>
      </c>
      <c r="T78" s="602">
        <f t="shared" si="5"/>
        <v>955811.438</v>
      </c>
      <c r="U78" s="623">
        <f t="shared" si="19"/>
        <v>28674.34314</v>
      </c>
      <c r="V78" s="624">
        <f t="shared" si="7"/>
        <v>28674.34314</v>
      </c>
      <c r="W78" s="605">
        <f t="shared" si="8"/>
        <v>28674.34314</v>
      </c>
      <c r="X78" s="606">
        <f t="shared" si="9"/>
        <v>28674.34314</v>
      </c>
      <c r="Y78" s="607">
        <f t="shared" si="10"/>
        <v>0</v>
      </c>
      <c r="Z78" s="608">
        <f t="shared" si="11"/>
        <v>20</v>
      </c>
      <c r="AA78" s="608">
        <f t="shared" si="12"/>
        <v>0</v>
      </c>
      <c r="AB78" s="607">
        <f t="shared" si="13"/>
        <v>0</v>
      </c>
      <c r="AC78" s="607">
        <f t="shared" si="14"/>
        <v>0</v>
      </c>
      <c r="AD78" s="608">
        <f t="shared" si="15"/>
        <v>20</v>
      </c>
      <c r="AE78" s="607">
        <f t="shared" si="16"/>
        <v>31</v>
      </c>
      <c r="AF78" s="609">
        <f t="shared" si="17"/>
        <v>580983.4231</v>
      </c>
      <c r="AG78" s="628">
        <f t="shared" si="23"/>
        <v>580983.4231</v>
      </c>
      <c r="AH78" s="611"/>
      <c r="AI78" s="612">
        <v>17515.327800000003</v>
      </c>
      <c r="AJ78" s="612">
        <v>35030.655600000006</v>
      </c>
      <c r="AK78" s="612">
        <v>52545.98340000001</v>
      </c>
      <c r="AL78" s="612">
        <v>70061.31120000001</v>
      </c>
      <c r="AM78" s="612">
        <v>70061.31120000001</v>
      </c>
      <c r="AN78" s="612">
        <v>87576.63900000001</v>
      </c>
      <c r="AO78" s="612">
        <v>105091.96680000002</v>
      </c>
      <c r="AP78" s="612">
        <v>122607.29460000002</v>
      </c>
      <c r="AQ78" s="612">
        <v>122607.29460000002</v>
      </c>
      <c r="AR78" s="612">
        <v>140122.62240000002</v>
      </c>
      <c r="AS78" s="612">
        <v>157637.95020000002</v>
      </c>
      <c r="AT78" s="612">
        <v>175153.27800000002</v>
      </c>
      <c r="AU78" s="612">
        <v>175153.27800000002</v>
      </c>
      <c r="AV78" s="612">
        <v>192668.60580000002</v>
      </c>
      <c r="AW78" s="612">
        <v>210183.93360000005</v>
      </c>
      <c r="AX78" s="612">
        <v>227699.26140000005</v>
      </c>
      <c r="AY78" s="612">
        <v>227699.26140000005</v>
      </c>
      <c r="AZ78" s="612">
        <v>245214.58920000005</v>
      </c>
      <c r="BA78" s="612">
        <v>262729.917</v>
      </c>
      <c r="BB78" s="612">
        <v>280245.24480000004</v>
      </c>
      <c r="BC78" s="612">
        <v>280245.24480000004</v>
      </c>
      <c r="BD78" s="612">
        <v>297760.5726000001</v>
      </c>
      <c r="BE78" s="612">
        <v>315275.90040000004</v>
      </c>
      <c r="BF78" s="612">
        <v>332791.22820000007</v>
      </c>
      <c r="BG78" s="612">
        <v>332791.22820000007</v>
      </c>
      <c r="BH78" s="612">
        <v>350306.55600000004</v>
      </c>
      <c r="BI78" s="612">
        <v>367821.88380000007</v>
      </c>
      <c r="BJ78" s="612">
        <v>385337.21160000004</v>
      </c>
      <c r="BK78" s="612">
        <v>385337.21160000004</v>
      </c>
      <c r="BL78" s="612">
        <v>402852.53940000007</v>
      </c>
      <c r="BM78" s="612">
        <v>420367.8672000001</v>
      </c>
      <c r="BN78" s="612">
        <v>437883.19500000007</v>
      </c>
      <c r="BO78" s="612">
        <v>437883.19500000007</v>
      </c>
      <c r="BP78" s="612">
        <v>455398.5228000001</v>
      </c>
      <c r="BQ78" s="612">
        <v>472913.85060000006</v>
      </c>
      <c r="BR78" s="612">
        <v>490429.1784000001</v>
      </c>
      <c r="BS78" s="612">
        <v>490429.1784000001</v>
      </c>
      <c r="BT78" s="612">
        <v>507944.50620000006</v>
      </c>
      <c r="BU78" s="612">
        <v>525459.834</v>
      </c>
      <c r="BV78" s="612">
        <v>542975.1618000001</v>
      </c>
      <c r="BW78" s="612">
        <v>542975.1618000001</v>
      </c>
      <c r="BX78" s="612">
        <v>560490.4896000001</v>
      </c>
      <c r="BY78" s="612">
        <v>578005.8174</v>
      </c>
      <c r="BZ78" s="612">
        <v>595521.1452000001</v>
      </c>
      <c r="CA78" s="612">
        <v>595521.1452000001</v>
      </c>
      <c r="CB78" s="612">
        <v>613036.4730000001</v>
      </c>
      <c r="CC78" s="612">
        <v>630551.8008000001</v>
      </c>
      <c r="CD78" s="612">
        <v>648067.1286</v>
      </c>
      <c r="CE78" s="612">
        <v>648067.1286</v>
      </c>
      <c r="CF78" s="612">
        <v>665582.4564000001</v>
      </c>
      <c r="CG78" s="612">
        <v>683097.7842000001</v>
      </c>
      <c r="CH78" s="612">
        <v>700613.1120000001</v>
      </c>
      <c r="CI78" s="612">
        <v>700613.1120000001</v>
      </c>
      <c r="CJ78" s="612">
        <v>718128.4398000002</v>
      </c>
      <c r="CK78" s="612">
        <v>735643.7676000001</v>
      </c>
      <c r="CL78" s="612">
        <v>753159.0954000001</v>
      </c>
      <c r="CM78" s="612">
        <v>753159.0954000001</v>
      </c>
      <c r="CN78" s="612">
        <v>770674.4232000001</v>
      </c>
      <c r="CO78" s="612">
        <v>788189.7510000002</v>
      </c>
      <c r="CP78" s="612">
        <v>805705.0788000001</v>
      </c>
    </row>
    <row r="79">
      <c r="A79" s="645"/>
      <c r="B79" s="629" t="s">
        <v>389</v>
      </c>
      <c r="C79" s="632" t="b">
        <v>0</v>
      </c>
      <c r="D79" s="655" t="s">
        <v>694</v>
      </c>
      <c r="E79" s="656" t="s">
        <v>348</v>
      </c>
      <c r="F79" s="657" t="s">
        <v>671</v>
      </c>
      <c r="G79" s="625">
        <v>1.0</v>
      </c>
      <c r="H79" s="636">
        <v>1.0</v>
      </c>
      <c r="I79" s="637">
        <v>48603.0</v>
      </c>
      <c r="J79" s="618">
        <f>I79*IF($C$7=TRUE,VLOOKUP(B79,BuffsDebuffs!$P$8:$X$26,MATCH(E79,BuffsDebuffs!$P$8:$X$8,0),FALSE),1)*IF(AND($C$8=TRUE,H79=1),1.0778,1)*VLOOKUP($C$2,'scaling OLD'!$A$2:$H$55,8,False)*IF(K79="-",1,(1/K79*(1+((K79-1)*VLOOKUP($C$2,'scaling OLD'!$A$2:$H$55,4,False)))))*IF(K79="-",1,VLOOKUP($C$2,'scaling OLD'!$A$2:$H$55,5,False))*VLOOKUP($C$2,'scaling OLD'!$A$2:$H$55,6,False)*IF(AND(LEFT(C$2,7)="CE - Cr",B79="Sword"),1.35,1)</f>
        <v>52384.3134</v>
      </c>
      <c r="K79" s="213" t="s">
        <v>349</v>
      </c>
      <c r="L79" s="211">
        <v>1.0</v>
      </c>
      <c r="M79" s="211">
        <v>46.5</v>
      </c>
      <c r="N79" s="211">
        <v>11.0</v>
      </c>
      <c r="O79" s="215">
        <v>2.067</v>
      </c>
      <c r="P79" s="647">
        <f t="shared" si="24"/>
        <v>0</v>
      </c>
      <c r="Q79" s="620">
        <f t="shared" si="2"/>
        <v>52384.3134</v>
      </c>
      <c r="R79" s="621">
        <f t="shared" si="3"/>
        <v>20.67</v>
      </c>
      <c r="S79" s="622">
        <f t="shared" si="22"/>
        <v>576227.4474</v>
      </c>
      <c r="T79" s="602">
        <f t="shared" si="5"/>
        <v>576227.4474</v>
      </c>
      <c r="U79" s="623" t="str">
        <f t="shared" si="19"/>
        <v>-</v>
      </c>
      <c r="V79" s="624">
        <f t="shared" si="7"/>
        <v>27877.47689</v>
      </c>
      <c r="W79" s="605">
        <f t="shared" si="8"/>
        <v>27877.47689</v>
      </c>
      <c r="X79" s="606">
        <f t="shared" si="9"/>
        <v>25343.16081</v>
      </c>
      <c r="Y79" s="607">
        <f t="shared" si="10"/>
        <v>9</v>
      </c>
      <c r="Z79" s="608">
        <f t="shared" si="11"/>
        <v>1.397</v>
      </c>
      <c r="AA79" s="608">
        <f t="shared" si="12"/>
        <v>1.397</v>
      </c>
      <c r="AB79" s="607">
        <f t="shared" si="13"/>
        <v>10</v>
      </c>
      <c r="AC79" s="607">
        <f t="shared" si="14"/>
        <v>523843.134</v>
      </c>
      <c r="AD79" s="608">
        <f t="shared" si="15"/>
        <v>0</v>
      </c>
      <c r="AE79" s="607">
        <f t="shared" si="16"/>
        <v>0</v>
      </c>
      <c r="AF79" s="609">
        <f t="shared" si="17"/>
        <v>0</v>
      </c>
      <c r="AG79" s="628">
        <f t="shared" si="23"/>
        <v>523843.134</v>
      </c>
      <c r="AH79" s="611"/>
      <c r="AI79" s="612">
        <v>52384.31340000001</v>
      </c>
      <c r="AJ79" s="612">
        <v>52384.31340000001</v>
      </c>
      <c r="AK79" s="612">
        <v>52384.31340000001</v>
      </c>
      <c r="AL79" s="612">
        <v>52384.31340000001</v>
      </c>
      <c r="AM79" s="612">
        <v>104768.62680000001</v>
      </c>
      <c r="AN79" s="612">
        <v>104768.62680000001</v>
      </c>
      <c r="AO79" s="612">
        <v>104768.62680000001</v>
      </c>
      <c r="AP79" s="612">
        <v>104768.62680000001</v>
      </c>
      <c r="AQ79" s="612">
        <v>157152.9402</v>
      </c>
      <c r="AR79" s="612">
        <v>157152.9402</v>
      </c>
      <c r="AS79" s="612">
        <v>157152.9402</v>
      </c>
      <c r="AT79" s="612">
        <v>157152.9402</v>
      </c>
      <c r="AU79" s="612">
        <v>209537.25360000003</v>
      </c>
      <c r="AV79" s="612">
        <v>209537.25360000003</v>
      </c>
      <c r="AW79" s="612">
        <v>209537.25360000003</v>
      </c>
      <c r="AX79" s="612">
        <v>209537.25360000003</v>
      </c>
      <c r="AY79" s="612">
        <v>261921.56700000004</v>
      </c>
      <c r="AZ79" s="612">
        <v>261921.56700000004</v>
      </c>
      <c r="BA79" s="612">
        <v>261921.56700000004</v>
      </c>
      <c r="BB79" s="612">
        <v>261921.56700000004</v>
      </c>
      <c r="BC79" s="612">
        <v>314305.8804</v>
      </c>
      <c r="BD79" s="612">
        <v>314305.8804</v>
      </c>
      <c r="BE79" s="612">
        <v>314305.8804</v>
      </c>
      <c r="BF79" s="612">
        <v>314305.8804</v>
      </c>
      <c r="BG79" s="612">
        <v>366690.19380000007</v>
      </c>
      <c r="BH79" s="612">
        <v>366690.19380000007</v>
      </c>
      <c r="BI79" s="612">
        <v>366690.19380000007</v>
      </c>
      <c r="BJ79" s="612">
        <v>366690.19380000007</v>
      </c>
      <c r="BK79" s="612">
        <v>419074.50720000005</v>
      </c>
      <c r="BL79" s="612">
        <v>419074.50720000005</v>
      </c>
      <c r="BM79" s="612">
        <v>419074.50720000005</v>
      </c>
      <c r="BN79" s="612">
        <v>419074.50720000005</v>
      </c>
      <c r="BO79" s="612">
        <v>419074.50720000005</v>
      </c>
      <c r="BP79" s="612">
        <v>471458.82060000004</v>
      </c>
      <c r="BQ79" s="612">
        <v>471458.82060000004</v>
      </c>
      <c r="BR79" s="612">
        <v>471458.82060000004</v>
      </c>
      <c r="BS79" s="612">
        <v>471458.82060000004</v>
      </c>
      <c r="BT79" s="612">
        <v>523843.1340000001</v>
      </c>
      <c r="BU79" s="612">
        <v>523843.1340000001</v>
      </c>
      <c r="BV79" s="612">
        <v>523843.1340000001</v>
      </c>
      <c r="BW79" s="612">
        <v>523843.1340000001</v>
      </c>
      <c r="BX79" s="612">
        <v>576227.4474000001</v>
      </c>
      <c r="BY79" s="612">
        <v>576227.4474000001</v>
      </c>
      <c r="BZ79" s="612">
        <v>576227.4474000001</v>
      </c>
      <c r="CA79" s="612">
        <v>576227.4474000001</v>
      </c>
      <c r="CB79" s="612">
        <v>576227.4474000001</v>
      </c>
      <c r="CC79" s="612">
        <v>576227.4474000001</v>
      </c>
      <c r="CD79" s="612">
        <v>576227.4474000001</v>
      </c>
      <c r="CE79" s="612">
        <v>576227.4474000001</v>
      </c>
      <c r="CF79" s="612">
        <v>576227.4474000001</v>
      </c>
      <c r="CG79" s="612">
        <v>576227.4474000001</v>
      </c>
      <c r="CH79" s="612">
        <v>576227.4474000001</v>
      </c>
      <c r="CI79" s="612">
        <v>576227.4474000001</v>
      </c>
      <c r="CJ79" s="612">
        <v>576227.4474000001</v>
      </c>
      <c r="CK79" s="612">
        <v>576227.4474000001</v>
      </c>
      <c r="CL79" s="612">
        <v>576227.4474000001</v>
      </c>
      <c r="CM79" s="612">
        <v>576227.4474000001</v>
      </c>
      <c r="CN79" s="612">
        <v>576227.4474000001</v>
      </c>
      <c r="CO79" s="612">
        <v>576227.4474000001</v>
      </c>
      <c r="CP79" s="612">
        <v>576227.4474000001</v>
      </c>
    </row>
    <row r="80">
      <c r="A80" s="645"/>
      <c r="B80" s="613" t="s">
        <v>345</v>
      </c>
      <c r="C80" s="614" t="b">
        <v>0</v>
      </c>
      <c r="D80" s="589" t="s">
        <v>695</v>
      </c>
      <c r="E80" s="615" t="s">
        <v>468</v>
      </c>
      <c r="F80" s="672"/>
      <c r="G80" s="648">
        <v>1.0</v>
      </c>
      <c r="H80" s="630"/>
      <c r="I80" s="637">
        <f>39123*1.07</f>
        <v>41861.61</v>
      </c>
      <c r="J80" s="594">
        <f>I80*IF($C$7=TRUE,VLOOKUP(B80,BuffsDebuffs!$P$8:$X$26,MATCH(E80,BuffsDebuffs!$P$8:$X$8,0),FALSE),1)*IF(AND($C$8=TRUE,H80=1),1.0778,1)*VLOOKUP($C$2,'scaling OLD'!$A$2:$H$55,8,False)*IF(K80="-",1,(1/K80*(1+((K80-1)*VLOOKUP($C$2,'scaling OLD'!$A$2:$H$55,4,False)))))*IF(K80="-",1,VLOOKUP($C$2,'scaling OLD'!$A$2:$H$55,5,False))*VLOOKUP($C$2,'scaling OLD'!$A$2:$H$55,6,False)*IF(AND(LEFT(C$2,7)="CE - Cr",B80="Sword"),1.35,1)</f>
        <v>41861.61</v>
      </c>
      <c r="K80" s="213" t="s">
        <v>349</v>
      </c>
      <c r="L80" s="211">
        <v>4.0</v>
      </c>
      <c r="M80" s="211">
        <v>39.41</v>
      </c>
      <c r="N80" s="211">
        <v>21.0</v>
      </c>
      <c r="O80" s="215">
        <v>1.917</v>
      </c>
      <c r="P80" s="638">
        <f t="shared" si="24"/>
        <v>4.567368688</v>
      </c>
      <c r="Q80" s="599">
        <f t="shared" si="2"/>
        <v>167446.44</v>
      </c>
      <c r="R80" s="600">
        <f t="shared" si="3"/>
        <v>32.42184344</v>
      </c>
      <c r="S80" s="622">
        <f t="shared" si="22"/>
        <v>879093.81</v>
      </c>
      <c r="T80" s="602">
        <f t="shared" si="5"/>
        <v>837232.2</v>
      </c>
      <c r="U80" s="623">
        <f t="shared" si="19"/>
        <v>36661.46778</v>
      </c>
      <c r="V80" s="624">
        <f t="shared" si="7"/>
        <v>27114.24511</v>
      </c>
      <c r="W80" s="605">
        <f t="shared" si="8"/>
        <v>27445.87762</v>
      </c>
      <c r="X80" s="606">
        <f t="shared" si="9"/>
        <v>25823.09058</v>
      </c>
      <c r="Y80" s="607">
        <f t="shared" si="10"/>
        <v>3</v>
      </c>
      <c r="Z80" s="608">
        <f t="shared" si="11"/>
        <v>14.249</v>
      </c>
      <c r="AA80" s="608">
        <f t="shared" si="12"/>
        <v>0</v>
      </c>
      <c r="AB80" s="607">
        <f t="shared" si="13"/>
        <v>3</v>
      </c>
      <c r="AC80" s="607">
        <f t="shared" si="14"/>
        <v>502339.32</v>
      </c>
      <c r="AD80" s="608">
        <f t="shared" si="15"/>
        <v>0.5468939355</v>
      </c>
      <c r="AE80" s="607">
        <f t="shared" si="16"/>
        <v>1</v>
      </c>
      <c r="AF80" s="609">
        <f t="shared" si="17"/>
        <v>41861.61</v>
      </c>
      <c r="AG80" s="628">
        <f t="shared" si="23"/>
        <v>544200.93</v>
      </c>
      <c r="AH80" s="611"/>
      <c r="AI80" s="612">
        <v>39123.0</v>
      </c>
      <c r="AJ80" s="612">
        <v>39123.0</v>
      </c>
      <c r="AK80" s="612">
        <v>39123.0</v>
      </c>
      <c r="AL80" s="612">
        <v>78246.0</v>
      </c>
      <c r="AM80" s="612">
        <v>78246.0</v>
      </c>
      <c r="AN80" s="612">
        <v>78246.0</v>
      </c>
      <c r="AO80" s="612">
        <v>117369.0</v>
      </c>
      <c r="AP80" s="612">
        <v>117369.0</v>
      </c>
      <c r="AQ80" s="612">
        <v>117369.0</v>
      </c>
      <c r="AR80" s="612">
        <v>156492.0</v>
      </c>
      <c r="AS80" s="612">
        <v>156492.0</v>
      </c>
      <c r="AT80" s="612">
        <v>156492.0</v>
      </c>
      <c r="AU80" s="612">
        <v>195615.0</v>
      </c>
      <c r="AV80" s="612">
        <v>195615.0</v>
      </c>
      <c r="AW80" s="612">
        <v>195615.0</v>
      </c>
      <c r="AX80" s="612">
        <v>195615.0</v>
      </c>
      <c r="AY80" s="612">
        <v>234738.0</v>
      </c>
      <c r="AZ80" s="612">
        <v>234738.0</v>
      </c>
      <c r="BA80" s="612">
        <v>234738.0</v>
      </c>
      <c r="BB80" s="612">
        <v>273861.0</v>
      </c>
      <c r="BC80" s="612">
        <v>273861.0</v>
      </c>
      <c r="BD80" s="612">
        <v>273861.0</v>
      </c>
      <c r="BE80" s="612">
        <v>312984.0</v>
      </c>
      <c r="BF80" s="612">
        <v>312984.0</v>
      </c>
      <c r="BG80" s="612">
        <v>312984.0</v>
      </c>
      <c r="BH80" s="612">
        <v>352107.0</v>
      </c>
      <c r="BI80" s="612">
        <v>352107.0</v>
      </c>
      <c r="BJ80" s="612">
        <v>352107.0</v>
      </c>
      <c r="BK80" s="612">
        <v>391230.0</v>
      </c>
      <c r="BL80" s="612">
        <v>391230.0</v>
      </c>
      <c r="BM80" s="612">
        <v>391230.0</v>
      </c>
      <c r="BN80" s="612">
        <v>391230.0</v>
      </c>
      <c r="BO80" s="612">
        <v>430353.0</v>
      </c>
      <c r="BP80" s="612">
        <v>430353.0</v>
      </c>
      <c r="BQ80" s="612">
        <v>430353.0</v>
      </c>
      <c r="BR80" s="612">
        <v>469476.0</v>
      </c>
      <c r="BS80" s="612">
        <v>469476.0</v>
      </c>
      <c r="BT80" s="612">
        <v>469476.0</v>
      </c>
      <c r="BU80" s="612">
        <v>508599.0</v>
      </c>
      <c r="BV80" s="612">
        <v>508599.0</v>
      </c>
      <c r="BW80" s="612">
        <v>508599.0</v>
      </c>
      <c r="BX80" s="612">
        <v>547722.0</v>
      </c>
      <c r="BY80" s="612">
        <v>547722.0</v>
      </c>
      <c r="BZ80" s="612">
        <v>547722.0</v>
      </c>
      <c r="CA80" s="612">
        <v>586845.0</v>
      </c>
      <c r="CB80" s="612">
        <v>586845.0</v>
      </c>
      <c r="CC80" s="612">
        <v>586845.0</v>
      </c>
      <c r="CD80" s="612">
        <v>586845.0</v>
      </c>
      <c r="CE80" s="612">
        <v>625968.0</v>
      </c>
      <c r="CF80" s="612">
        <v>625968.0</v>
      </c>
      <c r="CG80" s="612">
        <v>625968.0</v>
      </c>
      <c r="CH80" s="612">
        <v>665091.0</v>
      </c>
      <c r="CI80" s="612">
        <v>665091.0</v>
      </c>
      <c r="CJ80" s="612">
        <v>665091.0</v>
      </c>
      <c r="CK80" s="612">
        <v>704214.0</v>
      </c>
      <c r="CL80" s="612">
        <v>704214.0</v>
      </c>
      <c r="CM80" s="612">
        <v>704214.0</v>
      </c>
      <c r="CN80" s="612">
        <v>743337.0</v>
      </c>
      <c r="CO80" s="612">
        <v>743337.0</v>
      </c>
      <c r="CP80" s="612">
        <v>743337.0</v>
      </c>
    </row>
    <row r="81">
      <c r="A81" s="645"/>
      <c r="B81" s="675" t="s">
        <v>345</v>
      </c>
      <c r="C81" s="676" t="b">
        <v>0</v>
      </c>
      <c r="D81" s="633" t="s">
        <v>696</v>
      </c>
      <c r="E81" s="634" t="s">
        <v>494</v>
      </c>
      <c r="F81" s="635" t="s">
        <v>697</v>
      </c>
      <c r="G81" s="636"/>
      <c r="H81" s="636">
        <v>1.0</v>
      </c>
      <c r="I81" s="617">
        <f>26595*1.2*1.07</f>
        <v>34147.98</v>
      </c>
      <c r="J81" s="618">
        <f>I81*IF($C$7=TRUE,VLOOKUP(B81,BuffsDebuffs!$P$8:$X$26,MATCH(E81,BuffsDebuffs!$P$8:$X$8,0),FALSE),1)*IF(AND($C$8=TRUE,H81=1),1.0778,1)*VLOOKUP($C$2,'scaling OLD'!$A$2:$H$55,8,False)*IF(K81="-",1,(1/K81*(1+((K81-1)*VLOOKUP($C$2,'scaling OLD'!$A$2:$H$55,4,False)))))*IF(K81="-",1,VLOOKUP($C$2,'scaling OLD'!$A$2:$H$55,5,False))*VLOOKUP($C$2,'scaling OLD'!$A$2:$H$55,6,False)*IF(AND(LEFT(C$2,7)="CE - Cr",B81="Sword"),1.35,1)</f>
        <v>36804.69284</v>
      </c>
      <c r="K81" s="186" t="s">
        <v>349</v>
      </c>
      <c r="L81" s="184">
        <v>18.0</v>
      </c>
      <c r="M81" s="184">
        <v>42.23</v>
      </c>
      <c r="N81" s="184">
        <v>23.0</v>
      </c>
      <c r="O81" s="188">
        <v>2.034</v>
      </c>
      <c r="P81" s="647">
        <f t="shared" si="24"/>
        <v>24.15344542</v>
      </c>
      <c r="Q81" s="620">
        <f t="shared" si="2"/>
        <v>662484.4712</v>
      </c>
      <c r="R81" s="621">
        <f t="shared" si="3"/>
        <v>31.87060905</v>
      </c>
      <c r="S81" s="622">
        <f t="shared" si="22"/>
        <v>846507.9354</v>
      </c>
      <c r="T81" s="602">
        <f t="shared" si="5"/>
        <v>662484.4712</v>
      </c>
      <c r="U81" s="623">
        <f t="shared" si="19"/>
        <v>27428.1561</v>
      </c>
      <c r="V81" s="624">
        <f t="shared" si="7"/>
        <v>26560.77059</v>
      </c>
      <c r="W81" s="605">
        <f t="shared" si="8"/>
        <v>27428.1561</v>
      </c>
      <c r="X81" s="606">
        <f t="shared" si="9"/>
        <v>25297.7891</v>
      </c>
      <c r="Y81" s="607">
        <f t="shared" si="10"/>
        <v>0</v>
      </c>
      <c r="Z81" s="608">
        <f t="shared" si="11"/>
        <v>20</v>
      </c>
      <c r="AA81" s="608">
        <f t="shared" si="12"/>
        <v>0</v>
      </c>
      <c r="AB81" s="607">
        <f t="shared" si="13"/>
        <v>0</v>
      </c>
      <c r="AC81" s="607">
        <f t="shared" si="14"/>
        <v>0</v>
      </c>
      <c r="AD81" s="608">
        <f t="shared" si="15"/>
        <v>20</v>
      </c>
      <c r="AE81" s="607">
        <f t="shared" si="16"/>
        <v>15</v>
      </c>
      <c r="AF81" s="609">
        <f t="shared" si="17"/>
        <v>552070.3927</v>
      </c>
      <c r="AG81" s="628">
        <f t="shared" si="23"/>
        <v>552070.3927</v>
      </c>
      <c r="AH81" s="611"/>
      <c r="AI81" s="612">
        <v>515953.63800000004</v>
      </c>
      <c r="AJ81" s="612">
        <v>515953.63800000004</v>
      </c>
      <c r="AK81" s="612">
        <v>515953.63800000004</v>
      </c>
      <c r="AL81" s="612">
        <v>515953.63800000004</v>
      </c>
      <c r="AM81" s="612">
        <v>515953.63800000004</v>
      </c>
      <c r="AN81" s="612">
        <v>515953.63800000004</v>
      </c>
      <c r="AO81" s="612">
        <v>515953.63800000004</v>
      </c>
      <c r="AP81" s="612">
        <v>515953.63800000004</v>
      </c>
      <c r="AQ81" s="612">
        <v>515953.63800000004</v>
      </c>
      <c r="AR81" s="612">
        <v>515953.63800000004</v>
      </c>
      <c r="AS81" s="612">
        <v>515953.63800000004</v>
      </c>
      <c r="AT81" s="612">
        <v>515953.63800000004</v>
      </c>
      <c r="AU81" s="612">
        <v>515953.63800000004</v>
      </c>
      <c r="AV81" s="612">
        <v>515953.63800000004</v>
      </c>
      <c r="AW81" s="612">
        <v>515953.63800000004</v>
      </c>
      <c r="AX81" s="612">
        <v>515953.63800000004</v>
      </c>
      <c r="AY81" s="612">
        <v>515953.63800000004</v>
      </c>
      <c r="AZ81" s="612">
        <v>515953.63800000004</v>
      </c>
      <c r="BA81" s="612">
        <v>515953.63800000004</v>
      </c>
      <c r="BB81" s="612">
        <v>515953.63800000004</v>
      </c>
      <c r="BC81" s="612">
        <v>515953.63800000004</v>
      </c>
      <c r="BD81" s="612">
        <v>515953.63800000004</v>
      </c>
      <c r="BE81" s="612">
        <v>515953.63800000004</v>
      </c>
      <c r="BF81" s="612">
        <v>515953.63800000004</v>
      </c>
      <c r="BG81" s="612">
        <v>515953.63800000004</v>
      </c>
      <c r="BH81" s="612">
        <v>515953.63800000004</v>
      </c>
      <c r="BI81" s="612">
        <v>515953.63800000004</v>
      </c>
      <c r="BJ81" s="612">
        <v>515953.63800000004</v>
      </c>
      <c r="BK81" s="612">
        <v>515953.63800000004</v>
      </c>
      <c r="BL81" s="612">
        <v>515953.63800000004</v>
      </c>
      <c r="BM81" s="612">
        <v>515953.63800000004</v>
      </c>
      <c r="BN81" s="612">
        <v>515953.63800000004</v>
      </c>
      <c r="BO81" s="612">
        <v>515953.63800000004</v>
      </c>
      <c r="BP81" s="612">
        <v>515953.63800000004</v>
      </c>
      <c r="BQ81" s="612">
        <v>515953.63800000004</v>
      </c>
      <c r="BR81" s="612">
        <v>515953.63800000004</v>
      </c>
      <c r="BS81" s="612">
        <v>515953.63800000004</v>
      </c>
      <c r="BT81" s="612">
        <v>515953.63800000004</v>
      </c>
      <c r="BU81" s="612">
        <v>515953.63800000004</v>
      </c>
      <c r="BV81" s="612">
        <v>515953.63800000004</v>
      </c>
      <c r="BW81" s="612">
        <v>515953.63800000004</v>
      </c>
      <c r="BX81" s="612">
        <v>515953.63800000004</v>
      </c>
      <c r="BY81" s="612">
        <v>515953.63800000004</v>
      </c>
      <c r="BZ81" s="612">
        <v>515953.63800000004</v>
      </c>
      <c r="CA81" s="612">
        <v>515953.63800000004</v>
      </c>
      <c r="CB81" s="612">
        <v>515953.63800000004</v>
      </c>
      <c r="CC81" s="612">
        <v>515953.63800000004</v>
      </c>
      <c r="CD81" s="612">
        <v>515953.63800000004</v>
      </c>
      <c r="CE81" s="612">
        <v>515953.63800000004</v>
      </c>
      <c r="CF81" s="612">
        <v>515953.63800000004</v>
      </c>
      <c r="CG81" s="612">
        <v>515953.63800000004</v>
      </c>
      <c r="CH81" s="612">
        <v>515953.63800000004</v>
      </c>
      <c r="CI81" s="612">
        <v>515953.63800000004</v>
      </c>
      <c r="CJ81" s="612">
        <v>515953.63800000004</v>
      </c>
      <c r="CK81" s="612">
        <v>515953.63800000004</v>
      </c>
      <c r="CL81" s="612">
        <v>515953.63800000004</v>
      </c>
      <c r="CM81" s="612">
        <v>515953.63800000004</v>
      </c>
      <c r="CN81" s="612">
        <v>515953.63800000004</v>
      </c>
      <c r="CO81" s="612">
        <v>515953.63800000004</v>
      </c>
      <c r="CP81" s="612">
        <v>515953.63800000004</v>
      </c>
    </row>
    <row r="82">
      <c r="A82" s="645"/>
      <c r="B82" s="677" t="s">
        <v>380</v>
      </c>
      <c r="C82" s="676" t="b">
        <v>0</v>
      </c>
      <c r="D82" s="673" t="s">
        <v>698</v>
      </c>
      <c r="E82" s="658" t="s">
        <v>348</v>
      </c>
      <c r="F82" s="657" t="s">
        <v>686</v>
      </c>
      <c r="G82" s="625">
        <v>1.0</v>
      </c>
      <c r="H82" s="646">
        <v>1.0</v>
      </c>
      <c r="I82" s="637">
        <f>25455*1.05</f>
        <v>26727.75</v>
      </c>
      <c r="J82" s="594">
        <f>I82*IF($C$7=TRUE,VLOOKUP(B82,BuffsDebuffs!$P$8:$X$26,MATCH(E82,BuffsDebuffs!$P$8:$X$8,0),FALSE),1)*IF(AND($C$8=TRUE,H82=1),1.0778,1)*VLOOKUP($C$2,'scaling OLD'!$A$2:$H$55,8,False)*IF(K82="-",1,(1/K82*(1+((K82-1)*VLOOKUP($C$2,'scaling OLD'!$A$2:$H$55,4,False)))))*IF(K82="-",1,VLOOKUP($C$2,'scaling OLD'!$A$2:$H$55,5,False))*VLOOKUP($C$2,'scaling OLD'!$A$2:$H$55,6,False)*IF(AND(LEFT(C$2,7)="CE - Cr",B82="Sword"),1.35,1)</f>
        <v>28807.16895</v>
      </c>
      <c r="K82" s="213">
        <v>3.44</v>
      </c>
      <c r="L82" s="211">
        <v>6.0</v>
      </c>
      <c r="M82" s="211">
        <v>57.0</v>
      </c>
      <c r="N82" s="211">
        <v>23.0</v>
      </c>
      <c r="O82" s="215">
        <v>1.65</v>
      </c>
      <c r="P82" s="638">
        <f t="shared" si="24"/>
        <v>5.263157895</v>
      </c>
      <c r="Q82" s="599">
        <f t="shared" si="2"/>
        <v>172843.0137</v>
      </c>
      <c r="R82" s="600">
        <f t="shared" si="3"/>
        <v>24.95</v>
      </c>
      <c r="S82" s="622">
        <f t="shared" si="22"/>
        <v>662564.8859</v>
      </c>
      <c r="T82" s="602">
        <f t="shared" si="5"/>
        <v>518529.0411</v>
      </c>
      <c r="U82" s="623">
        <f t="shared" si="19"/>
        <v>32840.1726</v>
      </c>
      <c r="V82" s="624">
        <f t="shared" si="7"/>
        <v>26555.70685</v>
      </c>
      <c r="W82" s="605">
        <f t="shared" si="8"/>
        <v>27163.08735</v>
      </c>
      <c r="X82" s="606">
        <f t="shared" si="9"/>
        <v>25002.03472</v>
      </c>
      <c r="Y82" s="607">
        <f t="shared" si="10"/>
        <v>2</v>
      </c>
      <c r="Z82" s="608">
        <f t="shared" si="11"/>
        <v>16.7</v>
      </c>
      <c r="AA82" s="608">
        <f t="shared" si="12"/>
        <v>0.9105263158</v>
      </c>
      <c r="AB82" s="607">
        <f t="shared" si="13"/>
        <v>3</v>
      </c>
      <c r="AC82" s="607">
        <f t="shared" si="14"/>
        <v>518529.0411</v>
      </c>
      <c r="AD82" s="608">
        <f t="shared" si="15"/>
        <v>0</v>
      </c>
      <c r="AE82" s="607">
        <f t="shared" si="16"/>
        <v>0</v>
      </c>
      <c r="AF82" s="609">
        <f t="shared" si="17"/>
        <v>0</v>
      </c>
      <c r="AG82" s="628">
        <f t="shared" si="23"/>
        <v>518529.0411</v>
      </c>
      <c r="AH82" s="611"/>
      <c r="AI82" s="612">
        <v>27435.399</v>
      </c>
      <c r="AJ82" s="612">
        <v>27435.399</v>
      </c>
      <c r="AK82" s="612">
        <v>54870.798</v>
      </c>
      <c r="AL82" s="612">
        <v>54870.798</v>
      </c>
      <c r="AM82" s="612">
        <v>82306.197</v>
      </c>
      <c r="AN82" s="612">
        <v>82306.197</v>
      </c>
      <c r="AO82" s="612">
        <v>109741.596</v>
      </c>
      <c r="AP82" s="612">
        <v>109741.596</v>
      </c>
      <c r="AQ82" s="612">
        <v>137176.995</v>
      </c>
      <c r="AR82" s="612">
        <v>137176.995</v>
      </c>
      <c r="AS82" s="612">
        <v>164612.394</v>
      </c>
      <c r="AT82" s="612">
        <v>164612.394</v>
      </c>
      <c r="AU82" s="612">
        <v>164612.394</v>
      </c>
      <c r="AV82" s="612">
        <v>192047.793</v>
      </c>
      <c r="AW82" s="612">
        <v>192047.793</v>
      </c>
      <c r="AX82" s="612">
        <v>219483.192</v>
      </c>
      <c r="AY82" s="612">
        <v>219483.192</v>
      </c>
      <c r="AZ82" s="612">
        <v>219483.192</v>
      </c>
      <c r="BA82" s="612">
        <v>246918.59100000001</v>
      </c>
      <c r="BB82" s="612">
        <v>246918.59100000001</v>
      </c>
      <c r="BC82" s="612">
        <v>274353.99</v>
      </c>
      <c r="BD82" s="612">
        <v>274353.99</v>
      </c>
      <c r="BE82" s="612">
        <v>301789.38899999997</v>
      </c>
      <c r="BF82" s="612">
        <v>301789.38899999997</v>
      </c>
      <c r="BG82" s="612">
        <v>329224.788</v>
      </c>
      <c r="BH82" s="612">
        <v>329224.788</v>
      </c>
      <c r="BI82" s="612">
        <v>329224.788</v>
      </c>
      <c r="BJ82" s="612">
        <v>356660.187</v>
      </c>
      <c r="BK82" s="612">
        <v>356660.187</v>
      </c>
      <c r="BL82" s="612">
        <v>384095.586</v>
      </c>
      <c r="BM82" s="612">
        <v>384095.586</v>
      </c>
      <c r="BN82" s="612">
        <v>411530.985</v>
      </c>
      <c r="BO82" s="612">
        <v>411530.985</v>
      </c>
      <c r="BP82" s="612">
        <v>438966.384</v>
      </c>
      <c r="BQ82" s="612">
        <v>438966.384</v>
      </c>
      <c r="BR82" s="612">
        <v>438966.384</v>
      </c>
      <c r="BS82" s="612">
        <v>466401.783</v>
      </c>
      <c r="BT82" s="612">
        <v>466401.783</v>
      </c>
      <c r="BU82" s="612">
        <v>493837.18200000003</v>
      </c>
      <c r="BV82" s="612">
        <v>493837.18200000003</v>
      </c>
      <c r="BW82" s="612">
        <v>493837.18200000003</v>
      </c>
      <c r="BX82" s="612">
        <v>521272.581</v>
      </c>
      <c r="BY82" s="612">
        <v>521272.581</v>
      </c>
      <c r="BZ82" s="612">
        <v>548707.98</v>
      </c>
      <c r="CA82" s="612">
        <v>548707.98</v>
      </c>
      <c r="CB82" s="612">
        <v>576143.3790000001</v>
      </c>
      <c r="CC82" s="612">
        <v>576143.3790000001</v>
      </c>
      <c r="CD82" s="612">
        <v>603578.778</v>
      </c>
      <c r="CE82" s="612">
        <v>603578.778</v>
      </c>
      <c r="CF82" s="612">
        <v>631014.177</v>
      </c>
      <c r="CG82" s="612">
        <v>631014.177</v>
      </c>
      <c r="CH82" s="612">
        <v>631014.177</v>
      </c>
      <c r="CI82" s="612">
        <v>631014.177</v>
      </c>
      <c r="CJ82" s="612">
        <v>631014.177</v>
      </c>
      <c r="CK82" s="612">
        <v>631014.177</v>
      </c>
      <c r="CL82" s="612">
        <v>631014.177</v>
      </c>
      <c r="CM82" s="612">
        <v>631014.177</v>
      </c>
      <c r="CN82" s="612">
        <v>631014.177</v>
      </c>
      <c r="CO82" s="612">
        <v>631014.177</v>
      </c>
      <c r="CP82" s="612">
        <v>631014.177</v>
      </c>
    </row>
    <row r="83">
      <c r="A83" s="645"/>
      <c r="B83" s="677" t="s">
        <v>389</v>
      </c>
      <c r="C83" s="676" t="b">
        <v>0</v>
      </c>
      <c r="D83" s="655" t="s">
        <v>699</v>
      </c>
      <c r="E83" s="656" t="s">
        <v>348</v>
      </c>
      <c r="F83" s="657" t="s">
        <v>671</v>
      </c>
      <c r="G83" s="625">
        <v>1.0</v>
      </c>
      <c r="H83" s="636">
        <v>1.0</v>
      </c>
      <c r="I83" s="617">
        <v>46157.0</v>
      </c>
      <c r="J83" s="618">
        <f>I83*IF($C$7=TRUE,VLOOKUP(B83,BuffsDebuffs!$P$8:$X$26,MATCH(E83,BuffsDebuffs!$P$8:$X$8,0),FALSE),1)*IF(AND($C$8=TRUE,H83=1),1.0778,1)*VLOOKUP($C$2,'scaling OLD'!$A$2:$H$55,8,False)*IF(K83="-",1,(1/K83*(1+((K83-1)*VLOOKUP($C$2,'scaling OLD'!$A$2:$H$55,4,False)))))*IF(K83="-",1,VLOOKUP($C$2,'scaling OLD'!$A$2:$H$55,5,False))*VLOOKUP($C$2,'scaling OLD'!$A$2:$H$55,6,False)*IF(AND(LEFT(C$2,7)="CE - Cr",B83="Sword"),1.35,1)</f>
        <v>49748.0146</v>
      </c>
      <c r="K83" s="186" t="s">
        <v>349</v>
      </c>
      <c r="L83" s="184">
        <v>1.0</v>
      </c>
      <c r="M83" s="184">
        <v>42.5</v>
      </c>
      <c r="N83" s="184">
        <v>11.0</v>
      </c>
      <c r="O83" s="188">
        <v>2.067</v>
      </c>
      <c r="P83" s="647">
        <f t="shared" si="24"/>
        <v>0</v>
      </c>
      <c r="Q83" s="620">
        <f t="shared" si="2"/>
        <v>49748.0146</v>
      </c>
      <c r="R83" s="621">
        <f t="shared" si="3"/>
        <v>20.67</v>
      </c>
      <c r="S83" s="622">
        <f t="shared" si="22"/>
        <v>547228.1606</v>
      </c>
      <c r="T83" s="602">
        <f t="shared" si="5"/>
        <v>547228.1606</v>
      </c>
      <c r="U83" s="623" t="str">
        <f t="shared" si="19"/>
        <v>-</v>
      </c>
      <c r="V83" s="624">
        <f t="shared" si="7"/>
        <v>26474.51188</v>
      </c>
      <c r="W83" s="605">
        <f t="shared" si="8"/>
        <v>26474.51188</v>
      </c>
      <c r="X83" s="606">
        <f t="shared" si="9"/>
        <v>24067.73807</v>
      </c>
      <c r="Y83" s="607">
        <f t="shared" si="10"/>
        <v>9</v>
      </c>
      <c r="Z83" s="608">
        <f t="shared" si="11"/>
        <v>1.397</v>
      </c>
      <c r="AA83" s="608">
        <f t="shared" si="12"/>
        <v>1.397</v>
      </c>
      <c r="AB83" s="607">
        <f t="shared" si="13"/>
        <v>10</v>
      </c>
      <c r="AC83" s="607">
        <f t="shared" si="14"/>
        <v>497480.146</v>
      </c>
      <c r="AD83" s="608">
        <f t="shared" si="15"/>
        <v>0</v>
      </c>
      <c r="AE83" s="607">
        <f t="shared" si="16"/>
        <v>0</v>
      </c>
      <c r="AF83" s="609">
        <f t="shared" si="17"/>
        <v>0</v>
      </c>
      <c r="AG83" s="628">
        <f t="shared" si="23"/>
        <v>497480.146</v>
      </c>
      <c r="AH83" s="611"/>
      <c r="AI83" s="612">
        <v>49748.0146</v>
      </c>
      <c r="AJ83" s="612">
        <v>49748.0146</v>
      </c>
      <c r="AK83" s="612">
        <v>49748.0146</v>
      </c>
      <c r="AL83" s="612">
        <v>49748.0146</v>
      </c>
      <c r="AM83" s="612">
        <v>99496.0292</v>
      </c>
      <c r="AN83" s="612">
        <v>99496.0292</v>
      </c>
      <c r="AO83" s="612">
        <v>99496.0292</v>
      </c>
      <c r="AP83" s="612">
        <v>99496.0292</v>
      </c>
      <c r="AQ83" s="612">
        <v>149244.0438</v>
      </c>
      <c r="AR83" s="612">
        <v>149244.0438</v>
      </c>
      <c r="AS83" s="612">
        <v>149244.0438</v>
      </c>
      <c r="AT83" s="612">
        <v>149244.0438</v>
      </c>
      <c r="AU83" s="612">
        <v>198992.0584</v>
      </c>
      <c r="AV83" s="612">
        <v>198992.0584</v>
      </c>
      <c r="AW83" s="612">
        <v>198992.0584</v>
      </c>
      <c r="AX83" s="612">
        <v>198992.0584</v>
      </c>
      <c r="AY83" s="612">
        <v>248740.073</v>
      </c>
      <c r="AZ83" s="612">
        <v>248740.073</v>
      </c>
      <c r="BA83" s="612">
        <v>248740.073</v>
      </c>
      <c r="BB83" s="612">
        <v>248740.073</v>
      </c>
      <c r="BC83" s="612">
        <v>298488.0876</v>
      </c>
      <c r="BD83" s="612">
        <v>298488.0876</v>
      </c>
      <c r="BE83" s="612">
        <v>298488.0876</v>
      </c>
      <c r="BF83" s="612">
        <v>298488.0876</v>
      </c>
      <c r="BG83" s="612">
        <v>348236.1022</v>
      </c>
      <c r="BH83" s="612">
        <v>348236.1022</v>
      </c>
      <c r="BI83" s="612">
        <v>348236.1022</v>
      </c>
      <c r="BJ83" s="612">
        <v>348236.1022</v>
      </c>
      <c r="BK83" s="612">
        <v>397984.1168</v>
      </c>
      <c r="BL83" s="612">
        <v>397984.1168</v>
      </c>
      <c r="BM83" s="612">
        <v>397984.1168</v>
      </c>
      <c r="BN83" s="612">
        <v>397984.1168</v>
      </c>
      <c r="BO83" s="612">
        <v>397984.1168</v>
      </c>
      <c r="BP83" s="612">
        <v>447732.1314</v>
      </c>
      <c r="BQ83" s="612">
        <v>447732.1314</v>
      </c>
      <c r="BR83" s="612">
        <v>447732.1314</v>
      </c>
      <c r="BS83" s="612">
        <v>447732.1314</v>
      </c>
      <c r="BT83" s="612">
        <v>497480.146</v>
      </c>
      <c r="BU83" s="612">
        <v>497480.146</v>
      </c>
      <c r="BV83" s="612">
        <v>497480.146</v>
      </c>
      <c r="BW83" s="612">
        <v>497480.146</v>
      </c>
      <c r="BX83" s="612">
        <v>547228.1606000001</v>
      </c>
      <c r="BY83" s="612">
        <v>547228.1606000001</v>
      </c>
      <c r="BZ83" s="612">
        <v>547228.1606000001</v>
      </c>
      <c r="CA83" s="612">
        <v>547228.1606000001</v>
      </c>
      <c r="CB83" s="612">
        <v>547228.1606000001</v>
      </c>
      <c r="CC83" s="612">
        <v>547228.1606000001</v>
      </c>
      <c r="CD83" s="612">
        <v>547228.1606000001</v>
      </c>
      <c r="CE83" s="612">
        <v>547228.1606000001</v>
      </c>
      <c r="CF83" s="612">
        <v>547228.1606000001</v>
      </c>
      <c r="CG83" s="612">
        <v>547228.1606000001</v>
      </c>
      <c r="CH83" s="612">
        <v>547228.1606000001</v>
      </c>
      <c r="CI83" s="612">
        <v>547228.1606000001</v>
      </c>
      <c r="CJ83" s="612">
        <v>547228.1606000001</v>
      </c>
      <c r="CK83" s="612">
        <v>547228.1606000001</v>
      </c>
      <c r="CL83" s="612">
        <v>547228.1606000001</v>
      </c>
      <c r="CM83" s="612">
        <v>547228.1606000001</v>
      </c>
      <c r="CN83" s="612">
        <v>547228.1606000001</v>
      </c>
      <c r="CO83" s="612">
        <v>547228.1606000001</v>
      </c>
      <c r="CP83" s="612">
        <v>547228.1606000001</v>
      </c>
    </row>
    <row r="84">
      <c r="A84" s="645"/>
      <c r="B84" s="677" t="s">
        <v>411</v>
      </c>
      <c r="C84" s="676" t="b">
        <v>0</v>
      </c>
      <c r="D84" s="655" t="s">
        <v>700</v>
      </c>
      <c r="E84" s="656" t="s">
        <v>348</v>
      </c>
      <c r="F84" s="657" t="s">
        <v>688</v>
      </c>
      <c r="G84" s="636">
        <v>1.0</v>
      </c>
      <c r="H84" s="636">
        <v>1.0</v>
      </c>
      <c r="I84" s="637">
        <f t="shared" ref="I84:I86" si="25">10834*1.07</f>
        <v>11592.38</v>
      </c>
      <c r="J84" s="594">
        <f>I84*IF($C$7=TRUE,VLOOKUP(B84,BuffsDebuffs!$P$8:$X$26,MATCH(E84,BuffsDebuffs!$P$8:$X$8,0),FALSE),1)*IF(AND($C$8=TRUE,H84=1),1.0778,1)*VLOOKUP($C$2,'scaling OLD'!$A$2:$H$55,8,False)*IF(K84="-",1,(1/K84*(1+((K84-1)*VLOOKUP($C$2,'scaling OLD'!$A$2:$H$55,4,False)))))*IF(K84="-",1,VLOOKUP($C$2,'scaling OLD'!$A$2:$H$55,5,False))*VLOOKUP($C$2,'scaling OLD'!$A$2:$H$55,6,False)*IF(AND(LEFT(C$2,7)="CE - Cr",B84="Sword"),1.35,1)</f>
        <v>12494.26716</v>
      </c>
      <c r="K84" s="213" t="s">
        <v>349</v>
      </c>
      <c r="L84" s="211">
        <v>57.0</v>
      </c>
      <c r="M84" s="211">
        <v>124.0</v>
      </c>
      <c r="N84" s="211">
        <v>57.0</v>
      </c>
      <c r="O84" s="215">
        <v>0.0</v>
      </c>
      <c r="P84" s="638">
        <f t="shared" si="24"/>
        <v>27.09677419</v>
      </c>
      <c r="Q84" s="599">
        <f t="shared" si="2"/>
        <v>712173.2283</v>
      </c>
      <c r="R84" s="600">
        <f t="shared" si="3"/>
        <v>27.09677419</v>
      </c>
      <c r="S84" s="622">
        <f t="shared" si="22"/>
        <v>712173.2283</v>
      </c>
      <c r="T84" s="602">
        <f t="shared" si="5"/>
        <v>712173.2283</v>
      </c>
      <c r="U84" s="623">
        <f t="shared" si="19"/>
        <v>26282.58343</v>
      </c>
      <c r="V84" s="624">
        <f t="shared" si="7"/>
        <v>26282.58343</v>
      </c>
      <c r="W84" s="605">
        <f t="shared" si="8"/>
        <v>26282.58343</v>
      </c>
      <c r="X84" s="606">
        <f t="shared" si="9"/>
        <v>26282.58343</v>
      </c>
      <c r="Y84" s="607">
        <f t="shared" si="10"/>
        <v>0</v>
      </c>
      <c r="Z84" s="608">
        <f t="shared" si="11"/>
        <v>20</v>
      </c>
      <c r="AA84" s="608">
        <f t="shared" si="12"/>
        <v>0</v>
      </c>
      <c r="AB84" s="607">
        <f t="shared" si="13"/>
        <v>0</v>
      </c>
      <c r="AC84" s="607">
        <f t="shared" si="14"/>
        <v>0</v>
      </c>
      <c r="AD84" s="608">
        <f t="shared" si="15"/>
        <v>20</v>
      </c>
      <c r="AE84" s="607">
        <f t="shared" si="16"/>
        <v>42</v>
      </c>
      <c r="AF84" s="609">
        <f t="shared" si="17"/>
        <v>524759.2209</v>
      </c>
      <c r="AG84" s="628">
        <f t="shared" si="23"/>
        <v>524759.2209</v>
      </c>
      <c r="AH84" s="611"/>
      <c r="AI84" s="612">
        <v>23353.7704</v>
      </c>
      <c r="AJ84" s="612">
        <v>35030.6556</v>
      </c>
      <c r="AK84" s="612">
        <v>46707.5408</v>
      </c>
      <c r="AL84" s="612">
        <v>58384.42600000001</v>
      </c>
      <c r="AM84" s="612">
        <v>70061.3112</v>
      </c>
      <c r="AN84" s="612">
        <v>81738.1964</v>
      </c>
      <c r="AO84" s="612">
        <v>93415.0816</v>
      </c>
      <c r="AP84" s="612">
        <v>105091.96680000001</v>
      </c>
      <c r="AQ84" s="612">
        <v>116768.85200000001</v>
      </c>
      <c r="AR84" s="612">
        <v>128445.7372</v>
      </c>
      <c r="AS84" s="612">
        <v>140122.6224</v>
      </c>
      <c r="AT84" s="612">
        <v>151799.5076</v>
      </c>
      <c r="AU84" s="612">
        <v>163476.3928</v>
      </c>
      <c r="AV84" s="612">
        <v>175153.27800000002</v>
      </c>
      <c r="AW84" s="612">
        <v>186830.1632</v>
      </c>
      <c r="AX84" s="612">
        <v>198507.0484</v>
      </c>
      <c r="AY84" s="612">
        <v>210183.93360000002</v>
      </c>
      <c r="AZ84" s="612">
        <v>221860.8188</v>
      </c>
      <c r="BA84" s="612">
        <v>233537.70400000003</v>
      </c>
      <c r="BB84" s="612">
        <v>245214.58920000002</v>
      </c>
      <c r="BC84" s="612">
        <v>256891.4744</v>
      </c>
      <c r="BD84" s="612">
        <v>268568.3596</v>
      </c>
      <c r="BE84" s="612">
        <v>280245.2448</v>
      </c>
      <c r="BF84" s="612">
        <v>291922.13</v>
      </c>
      <c r="BG84" s="612">
        <v>303599.0152</v>
      </c>
      <c r="BH84" s="612">
        <v>315275.90040000004</v>
      </c>
      <c r="BI84" s="612">
        <v>326952.7856</v>
      </c>
      <c r="BJ84" s="612">
        <v>338629.6708</v>
      </c>
      <c r="BK84" s="612">
        <v>350306.55600000004</v>
      </c>
      <c r="BL84" s="612">
        <v>373660.3264</v>
      </c>
      <c r="BM84" s="612">
        <v>385337.21160000004</v>
      </c>
      <c r="BN84" s="612">
        <v>397014.0968</v>
      </c>
      <c r="BO84" s="612">
        <v>408690.982</v>
      </c>
      <c r="BP84" s="612">
        <v>420367.86720000004</v>
      </c>
      <c r="BQ84" s="612">
        <v>432044.7524</v>
      </c>
      <c r="BR84" s="612">
        <v>443721.6376</v>
      </c>
      <c r="BS84" s="612">
        <v>455398.52280000004</v>
      </c>
      <c r="BT84" s="612">
        <v>467075.40800000005</v>
      </c>
      <c r="BU84" s="612">
        <v>478752.2932</v>
      </c>
      <c r="BV84" s="612">
        <v>490429.17840000003</v>
      </c>
      <c r="BW84" s="612">
        <v>502106.06360000005</v>
      </c>
      <c r="BX84" s="612">
        <v>513782.9488</v>
      </c>
      <c r="BY84" s="612">
        <v>525459.834</v>
      </c>
      <c r="BZ84" s="612">
        <v>537136.7192</v>
      </c>
      <c r="CA84" s="612">
        <v>548813.6044000001</v>
      </c>
      <c r="CB84" s="612">
        <v>560490.4896</v>
      </c>
      <c r="CC84" s="612">
        <v>572167.3748</v>
      </c>
      <c r="CD84" s="612">
        <v>583844.26</v>
      </c>
      <c r="CE84" s="612">
        <v>595521.1452</v>
      </c>
      <c r="CF84" s="612">
        <v>607198.0304</v>
      </c>
      <c r="CG84" s="612">
        <v>618874.9156000001</v>
      </c>
      <c r="CH84" s="612">
        <v>630551.8008000001</v>
      </c>
      <c r="CI84" s="612">
        <v>642228.686</v>
      </c>
      <c r="CJ84" s="612">
        <v>653905.5712</v>
      </c>
      <c r="CK84" s="612">
        <v>665582.4564</v>
      </c>
      <c r="CL84" s="612">
        <v>665582.4564</v>
      </c>
      <c r="CM84" s="612">
        <v>665582.4564</v>
      </c>
      <c r="CN84" s="612">
        <v>665582.4564</v>
      </c>
      <c r="CO84" s="612">
        <v>665582.4564</v>
      </c>
      <c r="CP84" s="612">
        <v>665582.4564</v>
      </c>
    </row>
    <row r="85">
      <c r="A85" s="645"/>
      <c r="B85" s="677" t="s">
        <v>411</v>
      </c>
      <c r="C85" s="676" t="b">
        <v>0</v>
      </c>
      <c r="D85" s="655" t="s">
        <v>701</v>
      </c>
      <c r="E85" s="656" t="s">
        <v>348</v>
      </c>
      <c r="F85" s="657" t="s">
        <v>688</v>
      </c>
      <c r="G85" s="674">
        <v>1.0</v>
      </c>
      <c r="H85" s="636">
        <v>1.0</v>
      </c>
      <c r="I85" s="617">
        <f t="shared" si="25"/>
        <v>11592.38</v>
      </c>
      <c r="J85" s="618">
        <f>I85*IF($C$7=TRUE,VLOOKUP(B85,BuffsDebuffs!$P$8:$X$26,MATCH(E85,BuffsDebuffs!$P$8:$X$8,0),FALSE),1)*IF(AND($C$8=TRUE,H85=1),1.0778,1)*VLOOKUP($C$2,'scaling OLD'!$A$2:$H$55,8,False)*IF(K85="-",1,(1/K85*(1+((K85-1)*VLOOKUP($C$2,'scaling OLD'!$A$2:$H$55,4,False)))))*IF(K85="-",1,VLOOKUP($C$2,'scaling OLD'!$A$2:$H$55,5,False))*VLOOKUP($C$2,'scaling OLD'!$A$2:$H$55,6,False)*IF(AND(LEFT(C$2,7)="CE - Cr",B85="Sword"),1.35,1)</f>
        <v>12494.26716</v>
      </c>
      <c r="K85" s="186" t="s">
        <v>349</v>
      </c>
      <c r="L85" s="184">
        <v>62.0</v>
      </c>
      <c r="M85" s="184">
        <v>124.0</v>
      </c>
      <c r="N85" s="184">
        <v>62.0</v>
      </c>
      <c r="O85" s="188">
        <v>0.0</v>
      </c>
      <c r="P85" s="647">
        <f t="shared" si="24"/>
        <v>29.51612903</v>
      </c>
      <c r="Q85" s="620">
        <f t="shared" si="2"/>
        <v>774644.5642</v>
      </c>
      <c r="R85" s="621">
        <f t="shared" si="3"/>
        <v>29.51612903</v>
      </c>
      <c r="S85" s="622">
        <f t="shared" si="22"/>
        <v>774644.5642</v>
      </c>
      <c r="T85" s="602">
        <f t="shared" si="5"/>
        <v>774644.5642</v>
      </c>
      <c r="U85" s="623">
        <f t="shared" si="19"/>
        <v>26244.78851</v>
      </c>
      <c r="V85" s="624">
        <f t="shared" si="7"/>
        <v>26244.78851</v>
      </c>
      <c r="W85" s="605">
        <f t="shared" si="8"/>
        <v>26244.78851</v>
      </c>
      <c r="X85" s="606">
        <f t="shared" si="9"/>
        <v>26244.78851</v>
      </c>
      <c r="Y85" s="607">
        <f t="shared" si="10"/>
        <v>0</v>
      </c>
      <c r="Z85" s="608">
        <f t="shared" si="11"/>
        <v>20</v>
      </c>
      <c r="AA85" s="608">
        <f t="shared" si="12"/>
        <v>0</v>
      </c>
      <c r="AB85" s="607">
        <f t="shared" si="13"/>
        <v>0</v>
      </c>
      <c r="AC85" s="607">
        <f t="shared" si="14"/>
        <v>0</v>
      </c>
      <c r="AD85" s="608">
        <f t="shared" si="15"/>
        <v>20</v>
      </c>
      <c r="AE85" s="607">
        <f t="shared" si="16"/>
        <v>42</v>
      </c>
      <c r="AF85" s="609">
        <f t="shared" si="17"/>
        <v>524759.2209</v>
      </c>
      <c r="AG85" s="628">
        <f t="shared" si="23"/>
        <v>524759.2209</v>
      </c>
      <c r="AH85" s="611"/>
      <c r="AI85" s="612">
        <v>23353.7704</v>
      </c>
      <c r="AJ85" s="612">
        <v>35030.6556</v>
      </c>
      <c r="AK85" s="612">
        <v>46707.5408</v>
      </c>
      <c r="AL85" s="612">
        <v>58384.42600000001</v>
      </c>
      <c r="AM85" s="612">
        <v>70061.3112</v>
      </c>
      <c r="AN85" s="612">
        <v>81738.1964</v>
      </c>
      <c r="AO85" s="612">
        <v>93415.0816</v>
      </c>
      <c r="AP85" s="612">
        <v>105091.96680000001</v>
      </c>
      <c r="AQ85" s="612">
        <v>116768.85200000001</v>
      </c>
      <c r="AR85" s="612">
        <v>128445.7372</v>
      </c>
      <c r="AS85" s="612">
        <v>140122.6224</v>
      </c>
      <c r="AT85" s="612">
        <v>151799.5076</v>
      </c>
      <c r="AU85" s="612">
        <v>163476.3928</v>
      </c>
      <c r="AV85" s="612">
        <v>175153.27800000002</v>
      </c>
      <c r="AW85" s="612">
        <v>186830.1632</v>
      </c>
      <c r="AX85" s="612">
        <v>198507.0484</v>
      </c>
      <c r="AY85" s="612">
        <v>210183.93360000002</v>
      </c>
      <c r="AZ85" s="612">
        <v>221860.8188</v>
      </c>
      <c r="BA85" s="612">
        <v>233537.70400000003</v>
      </c>
      <c r="BB85" s="612">
        <v>245214.58920000002</v>
      </c>
      <c r="BC85" s="612">
        <v>256891.4744</v>
      </c>
      <c r="BD85" s="612">
        <v>268568.3596</v>
      </c>
      <c r="BE85" s="612">
        <v>280245.2448</v>
      </c>
      <c r="BF85" s="612">
        <v>291922.13</v>
      </c>
      <c r="BG85" s="612">
        <v>303599.0152</v>
      </c>
      <c r="BH85" s="612">
        <v>315275.90040000004</v>
      </c>
      <c r="BI85" s="612">
        <v>326952.7856</v>
      </c>
      <c r="BJ85" s="612">
        <v>338629.6708</v>
      </c>
      <c r="BK85" s="612">
        <v>350306.55600000004</v>
      </c>
      <c r="BL85" s="612">
        <v>373660.3264</v>
      </c>
      <c r="BM85" s="612">
        <v>385337.21160000004</v>
      </c>
      <c r="BN85" s="612">
        <v>397014.0968</v>
      </c>
      <c r="BO85" s="612">
        <v>408690.982</v>
      </c>
      <c r="BP85" s="612">
        <v>420367.86720000004</v>
      </c>
      <c r="BQ85" s="612">
        <v>432044.7524</v>
      </c>
      <c r="BR85" s="612">
        <v>443721.6376</v>
      </c>
      <c r="BS85" s="612">
        <v>455398.52280000004</v>
      </c>
      <c r="BT85" s="612">
        <v>467075.40800000005</v>
      </c>
      <c r="BU85" s="612">
        <v>478752.2932</v>
      </c>
      <c r="BV85" s="612">
        <v>490429.17840000003</v>
      </c>
      <c r="BW85" s="612">
        <v>502106.06360000005</v>
      </c>
      <c r="BX85" s="612">
        <v>513782.9488</v>
      </c>
      <c r="BY85" s="612">
        <v>525459.834</v>
      </c>
      <c r="BZ85" s="612">
        <v>537136.7192</v>
      </c>
      <c r="CA85" s="612">
        <v>548813.6044000001</v>
      </c>
      <c r="CB85" s="612">
        <v>560490.4896</v>
      </c>
      <c r="CC85" s="612">
        <v>572167.3748</v>
      </c>
      <c r="CD85" s="612">
        <v>583844.26</v>
      </c>
      <c r="CE85" s="612">
        <v>595521.1452</v>
      </c>
      <c r="CF85" s="612">
        <v>607198.0304</v>
      </c>
      <c r="CG85" s="612">
        <v>618874.9156000001</v>
      </c>
      <c r="CH85" s="612">
        <v>630551.8008000001</v>
      </c>
      <c r="CI85" s="612">
        <v>642228.686</v>
      </c>
      <c r="CJ85" s="612">
        <v>653905.5712</v>
      </c>
      <c r="CK85" s="612">
        <v>665582.4564</v>
      </c>
      <c r="CL85" s="612">
        <v>677259.3416</v>
      </c>
      <c r="CM85" s="612">
        <v>688936.2268000001</v>
      </c>
      <c r="CN85" s="612">
        <v>700613.1120000001</v>
      </c>
      <c r="CO85" s="612">
        <v>712289.9972</v>
      </c>
      <c r="CP85" s="612">
        <v>723966.8824</v>
      </c>
    </row>
    <row r="86">
      <c r="A86" s="645"/>
      <c r="B86" s="677" t="s">
        <v>411</v>
      </c>
      <c r="C86" s="676" t="b">
        <v>0</v>
      </c>
      <c r="D86" s="655" t="s">
        <v>702</v>
      </c>
      <c r="E86" s="656" t="s">
        <v>348</v>
      </c>
      <c r="F86" s="657" t="s">
        <v>688</v>
      </c>
      <c r="G86" s="674">
        <v>1.0</v>
      </c>
      <c r="H86" s="636">
        <v>1.0</v>
      </c>
      <c r="I86" s="637">
        <f t="shared" si="25"/>
        <v>11592.38</v>
      </c>
      <c r="J86" s="594">
        <f>I86*IF($C$7=TRUE,VLOOKUP(B86,BuffsDebuffs!$P$8:$X$26,MATCH(E86,BuffsDebuffs!$P$8:$X$8,0),FALSE),1)*IF(AND($C$8=TRUE,H86=1),1.0778,1)*VLOOKUP($C$2,'scaling OLD'!$A$2:$H$55,8,False)*IF(K86="-",1,(1/K86*(1+((K86-1)*VLOOKUP($C$2,'scaling OLD'!$A$2:$H$55,4,False)))))*IF(K86="-",1,VLOOKUP($C$2,'scaling OLD'!$A$2:$H$55,5,False))*VLOOKUP($C$2,'scaling OLD'!$A$2:$H$55,6,False)*IF(AND(LEFT(C$2,7)="CE - Cr",B86="Sword"),1.35,1)</f>
        <v>12494.26716</v>
      </c>
      <c r="K86" s="213" t="s">
        <v>349</v>
      </c>
      <c r="L86" s="211">
        <v>62.0</v>
      </c>
      <c r="M86" s="211">
        <v>124.0</v>
      </c>
      <c r="N86" s="211">
        <v>62.0</v>
      </c>
      <c r="O86" s="215">
        <v>0.0</v>
      </c>
      <c r="P86" s="638">
        <f t="shared" si="24"/>
        <v>29.51612903</v>
      </c>
      <c r="Q86" s="599">
        <f t="shared" si="2"/>
        <v>774644.5642</v>
      </c>
      <c r="R86" s="600">
        <f t="shared" si="3"/>
        <v>29.51612903</v>
      </c>
      <c r="S86" s="622">
        <f t="shared" si="22"/>
        <v>774644.5642</v>
      </c>
      <c r="T86" s="602">
        <f t="shared" si="5"/>
        <v>774644.5642</v>
      </c>
      <c r="U86" s="623">
        <f t="shared" si="19"/>
        <v>26244.78851</v>
      </c>
      <c r="V86" s="624">
        <f t="shared" si="7"/>
        <v>26244.78851</v>
      </c>
      <c r="W86" s="605">
        <f t="shared" si="8"/>
        <v>26244.78851</v>
      </c>
      <c r="X86" s="606">
        <f t="shared" si="9"/>
        <v>26244.78851</v>
      </c>
      <c r="Y86" s="607">
        <f t="shared" si="10"/>
        <v>0</v>
      </c>
      <c r="Z86" s="608">
        <f t="shared" si="11"/>
        <v>20</v>
      </c>
      <c r="AA86" s="608">
        <f t="shared" si="12"/>
        <v>0</v>
      </c>
      <c r="AB86" s="607">
        <f t="shared" si="13"/>
        <v>0</v>
      </c>
      <c r="AC86" s="607">
        <f t="shared" si="14"/>
        <v>0</v>
      </c>
      <c r="AD86" s="608">
        <f t="shared" si="15"/>
        <v>20</v>
      </c>
      <c r="AE86" s="607">
        <f t="shared" si="16"/>
        <v>42</v>
      </c>
      <c r="AF86" s="609">
        <f t="shared" si="17"/>
        <v>524759.2209</v>
      </c>
      <c r="AG86" s="628">
        <f t="shared" si="23"/>
        <v>524759.2209</v>
      </c>
      <c r="AH86" s="611"/>
      <c r="AI86" s="612">
        <v>23353.7704</v>
      </c>
      <c r="AJ86" s="612">
        <v>35030.6556</v>
      </c>
      <c r="AK86" s="612">
        <v>46707.5408</v>
      </c>
      <c r="AL86" s="612">
        <v>58384.42600000001</v>
      </c>
      <c r="AM86" s="612">
        <v>70061.3112</v>
      </c>
      <c r="AN86" s="612">
        <v>81738.1964</v>
      </c>
      <c r="AO86" s="612">
        <v>93415.0816</v>
      </c>
      <c r="AP86" s="612">
        <v>105091.96680000001</v>
      </c>
      <c r="AQ86" s="612">
        <v>116768.85200000001</v>
      </c>
      <c r="AR86" s="612">
        <v>128445.7372</v>
      </c>
      <c r="AS86" s="612">
        <v>140122.6224</v>
      </c>
      <c r="AT86" s="612">
        <v>151799.5076</v>
      </c>
      <c r="AU86" s="612">
        <v>163476.3928</v>
      </c>
      <c r="AV86" s="612">
        <v>175153.27800000002</v>
      </c>
      <c r="AW86" s="612">
        <v>186830.1632</v>
      </c>
      <c r="AX86" s="612">
        <v>198507.0484</v>
      </c>
      <c r="AY86" s="612">
        <v>210183.93360000002</v>
      </c>
      <c r="AZ86" s="612">
        <v>221860.8188</v>
      </c>
      <c r="BA86" s="612">
        <v>233537.70400000003</v>
      </c>
      <c r="BB86" s="612">
        <v>245214.58920000002</v>
      </c>
      <c r="BC86" s="612">
        <v>256891.4744</v>
      </c>
      <c r="BD86" s="612">
        <v>268568.3596</v>
      </c>
      <c r="BE86" s="612">
        <v>280245.2448</v>
      </c>
      <c r="BF86" s="612">
        <v>291922.13</v>
      </c>
      <c r="BG86" s="612">
        <v>303599.0152</v>
      </c>
      <c r="BH86" s="612">
        <v>315275.90040000004</v>
      </c>
      <c r="BI86" s="612">
        <v>326952.7856</v>
      </c>
      <c r="BJ86" s="612">
        <v>338629.6708</v>
      </c>
      <c r="BK86" s="612">
        <v>350306.55600000004</v>
      </c>
      <c r="BL86" s="612">
        <v>373660.3264</v>
      </c>
      <c r="BM86" s="612">
        <v>385337.21160000004</v>
      </c>
      <c r="BN86" s="612">
        <v>397014.0968</v>
      </c>
      <c r="BO86" s="612">
        <v>408690.982</v>
      </c>
      <c r="BP86" s="612">
        <v>420367.86720000004</v>
      </c>
      <c r="BQ86" s="612">
        <v>432044.7524</v>
      </c>
      <c r="BR86" s="612">
        <v>443721.6376</v>
      </c>
      <c r="BS86" s="612">
        <v>455398.52280000004</v>
      </c>
      <c r="BT86" s="612">
        <v>467075.40800000005</v>
      </c>
      <c r="BU86" s="612">
        <v>478752.2932</v>
      </c>
      <c r="BV86" s="612">
        <v>490429.17840000003</v>
      </c>
      <c r="BW86" s="612">
        <v>502106.06360000005</v>
      </c>
      <c r="BX86" s="612">
        <v>513782.9488</v>
      </c>
      <c r="BY86" s="612">
        <v>525459.834</v>
      </c>
      <c r="BZ86" s="612">
        <v>537136.7192</v>
      </c>
      <c r="CA86" s="612">
        <v>548813.6044000001</v>
      </c>
      <c r="CB86" s="612">
        <v>560490.4896</v>
      </c>
      <c r="CC86" s="612">
        <v>572167.3748</v>
      </c>
      <c r="CD86" s="612">
        <v>583844.26</v>
      </c>
      <c r="CE86" s="612">
        <v>595521.1452</v>
      </c>
      <c r="CF86" s="612">
        <v>607198.0304</v>
      </c>
      <c r="CG86" s="612">
        <v>618874.9156000001</v>
      </c>
      <c r="CH86" s="612">
        <v>630551.8008000001</v>
      </c>
      <c r="CI86" s="612">
        <v>642228.686</v>
      </c>
      <c r="CJ86" s="612">
        <v>653905.5712</v>
      </c>
      <c r="CK86" s="612">
        <v>665582.4564</v>
      </c>
      <c r="CL86" s="612">
        <v>677259.3416</v>
      </c>
      <c r="CM86" s="612">
        <v>688936.2268000001</v>
      </c>
      <c r="CN86" s="612">
        <v>700613.1120000001</v>
      </c>
      <c r="CO86" s="612">
        <v>712289.9972</v>
      </c>
      <c r="CP86" s="612">
        <v>723966.8824</v>
      </c>
    </row>
    <row r="87">
      <c r="A87" s="645"/>
      <c r="B87" s="613" t="s">
        <v>394</v>
      </c>
      <c r="C87" s="632" t="b">
        <v>0</v>
      </c>
      <c r="D87" s="655" t="s">
        <v>703</v>
      </c>
      <c r="E87" s="656" t="s">
        <v>348</v>
      </c>
      <c r="F87" s="678"/>
      <c r="G87" s="625">
        <v>1.0</v>
      </c>
      <c r="H87" s="636">
        <v>1.0</v>
      </c>
      <c r="I87" s="637">
        <f>13368*1.1</f>
        <v>14704.8</v>
      </c>
      <c r="J87" s="618">
        <f>I87*IF($C$7=TRUE,VLOOKUP(B87,BuffsDebuffs!$P$8:$X$26,MATCH(E87,BuffsDebuffs!$P$8:$X$8,0),FALSE),1)*IF(AND($C$8=TRUE,H87=1),1.0778,1)*VLOOKUP($C$2,'scaling OLD'!$A$2:$H$55,8,False)*IF(K87="-",1,(1/K87*(1+((K87-1)*VLOOKUP($C$2,'scaling OLD'!$A$2:$H$55,4,False)))))*IF(K87="-",1,VLOOKUP($C$2,'scaling OLD'!$A$2:$H$55,5,False))*VLOOKUP($C$2,'scaling OLD'!$A$2:$H$55,6,False)*IF(AND(LEFT(C$2,7)="CE - Cr",B87="Sword"),1.35,1)</f>
        <v>15848.83344</v>
      </c>
      <c r="K87" s="213">
        <v>1.1</v>
      </c>
      <c r="L87" s="211">
        <v>8.0</v>
      </c>
      <c r="M87" s="211">
        <v>140.0</v>
      </c>
      <c r="N87" s="211">
        <v>29.0</v>
      </c>
      <c r="O87" s="215">
        <v>2.799</v>
      </c>
      <c r="P87" s="647">
        <f t="shared" si="24"/>
        <v>3</v>
      </c>
      <c r="Q87" s="620">
        <f t="shared" si="2"/>
        <v>126790.6675</v>
      </c>
      <c r="R87" s="621">
        <f t="shared" si="3"/>
        <v>19.11128571</v>
      </c>
      <c r="S87" s="622">
        <f t="shared" si="22"/>
        <v>459616.1698</v>
      </c>
      <c r="T87" s="602">
        <f t="shared" si="5"/>
        <v>380372.0026</v>
      </c>
      <c r="U87" s="623">
        <f t="shared" si="19"/>
        <v>42263.55584</v>
      </c>
      <c r="V87" s="624">
        <f t="shared" si="7"/>
        <v>24049.46358</v>
      </c>
      <c r="W87" s="605">
        <f t="shared" si="8"/>
        <v>26056.44626</v>
      </c>
      <c r="X87" s="606">
        <f t="shared" si="9"/>
        <v>21864.22961</v>
      </c>
      <c r="Y87" s="607">
        <f t="shared" si="10"/>
        <v>3</v>
      </c>
      <c r="Z87" s="608">
        <f t="shared" si="11"/>
        <v>11.603</v>
      </c>
      <c r="AA87" s="608">
        <f t="shared" si="12"/>
        <v>0</v>
      </c>
      <c r="AB87" s="607">
        <f t="shared" si="13"/>
        <v>3</v>
      </c>
      <c r="AC87" s="607">
        <f t="shared" si="14"/>
        <v>380372.0026</v>
      </c>
      <c r="AD87" s="608">
        <f t="shared" si="15"/>
        <v>2.603</v>
      </c>
      <c r="AE87" s="607">
        <f t="shared" si="16"/>
        <v>7</v>
      </c>
      <c r="AF87" s="609">
        <f t="shared" si="17"/>
        <v>110941.8341</v>
      </c>
      <c r="AG87" s="628">
        <f t="shared" si="23"/>
        <v>459616.1698</v>
      </c>
      <c r="AH87" s="611"/>
      <c r="AI87" s="612">
        <v>28816.060800000003</v>
      </c>
      <c r="AJ87" s="612">
        <v>43224.0912</v>
      </c>
      <c r="AK87" s="612">
        <v>57632.121600000006</v>
      </c>
      <c r="AL87" s="612">
        <v>72040.152</v>
      </c>
      <c r="AM87" s="612">
        <v>86448.1824</v>
      </c>
      <c r="AN87" s="612">
        <v>115264.24320000001</v>
      </c>
      <c r="AO87" s="612">
        <v>115264.24320000001</v>
      </c>
      <c r="AP87" s="612">
        <v>115264.24320000001</v>
      </c>
      <c r="AQ87" s="612">
        <v>115264.24320000001</v>
      </c>
      <c r="AR87" s="612">
        <v>115264.24320000001</v>
      </c>
      <c r="AS87" s="612">
        <v>115264.24320000001</v>
      </c>
      <c r="AT87" s="612">
        <v>129672.27360000001</v>
      </c>
      <c r="AU87" s="612">
        <v>144080.304</v>
      </c>
      <c r="AV87" s="612">
        <v>158488.33440000002</v>
      </c>
      <c r="AW87" s="612">
        <v>172896.3648</v>
      </c>
      <c r="AX87" s="612">
        <v>201712.42560000002</v>
      </c>
      <c r="AY87" s="612">
        <v>216120.456</v>
      </c>
      <c r="AZ87" s="612">
        <v>230528.48640000002</v>
      </c>
      <c r="BA87" s="612">
        <v>230528.48640000002</v>
      </c>
      <c r="BB87" s="612">
        <v>230528.48640000002</v>
      </c>
      <c r="BC87" s="612">
        <v>230528.48640000002</v>
      </c>
      <c r="BD87" s="612">
        <v>230528.48640000002</v>
      </c>
      <c r="BE87" s="612">
        <v>230528.48640000002</v>
      </c>
      <c r="BF87" s="612">
        <v>244936.5168</v>
      </c>
      <c r="BG87" s="612">
        <v>273752.5776</v>
      </c>
      <c r="BH87" s="612">
        <v>288160.608</v>
      </c>
      <c r="BI87" s="612">
        <v>302568.63840000005</v>
      </c>
      <c r="BJ87" s="612">
        <v>316976.66880000004</v>
      </c>
      <c r="BK87" s="612">
        <v>331384.69920000003</v>
      </c>
      <c r="BL87" s="612">
        <v>345792.7296</v>
      </c>
      <c r="BM87" s="612">
        <v>345792.7296</v>
      </c>
      <c r="BN87" s="612">
        <v>345792.7296</v>
      </c>
      <c r="BO87" s="612">
        <v>345792.7296</v>
      </c>
      <c r="BP87" s="612">
        <v>345792.7296</v>
      </c>
      <c r="BQ87" s="612">
        <v>360200.76</v>
      </c>
      <c r="BR87" s="612">
        <v>374608.7904</v>
      </c>
      <c r="BS87" s="612">
        <v>389016.82080000004</v>
      </c>
      <c r="BT87" s="612">
        <v>403424.85120000003</v>
      </c>
      <c r="BU87" s="612">
        <v>417832.8816</v>
      </c>
      <c r="BV87" s="612">
        <v>417832.8816</v>
      </c>
      <c r="BW87" s="612">
        <v>417832.8816</v>
      </c>
      <c r="BX87" s="612">
        <v>417832.8816</v>
      </c>
      <c r="BY87" s="612">
        <v>417832.8816</v>
      </c>
      <c r="BZ87" s="612">
        <v>417832.8816</v>
      </c>
      <c r="CA87" s="612">
        <v>417832.8816</v>
      </c>
      <c r="CB87" s="612">
        <v>417832.8816</v>
      </c>
      <c r="CC87" s="612">
        <v>417832.8816</v>
      </c>
      <c r="CD87" s="612">
        <v>417832.8816</v>
      </c>
      <c r="CE87" s="612">
        <v>417832.8816</v>
      </c>
      <c r="CF87" s="612">
        <v>417832.8816</v>
      </c>
      <c r="CG87" s="612">
        <v>417832.8816</v>
      </c>
      <c r="CH87" s="612">
        <v>417832.8816</v>
      </c>
      <c r="CI87" s="612">
        <v>417832.8816</v>
      </c>
      <c r="CJ87" s="612">
        <v>417832.8816</v>
      </c>
      <c r="CK87" s="612">
        <v>417832.8816</v>
      </c>
      <c r="CL87" s="612">
        <v>417832.8816</v>
      </c>
      <c r="CM87" s="612">
        <v>417832.8816</v>
      </c>
      <c r="CN87" s="612">
        <v>417832.8816</v>
      </c>
      <c r="CO87" s="612">
        <v>417832.8816</v>
      </c>
      <c r="CP87" s="612">
        <v>417832.8816</v>
      </c>
    </row>
    <row r="88">
      <c r="A88" s="645"/>
      <c r="B88" s="613" t="s">
        <v>394</v>
      </c>
      <c r="C88" s="632" t="b">
        <v>0</v>
      </c>
      <c r="D88" s="655" t="s">
        <v>704</v>
      </c>
      <c r="E88" s="656" t="s">
        <v>348</v>
      </c>
      <c r="F88" s="678"/>
      <c r="G88" s="625">
        <v>1.0</v>
      </c>
      <c r="H88" s="646">
        <v>1.0</v>
      </c>
      <c r="I88" s="637">
        <f>18305*1.1</f>
        <v>20135.5</v>
      </c>
      <c r="J88" s="594">
        <f>I88*IF($C$7=TRUE,VLOOKUP(B88,BuffsDebuffs!$P$8:$X$26,MATCH(E88,BuffsDebuffs!$P$8:$X$8,0),FALSE),1)*IF(AND($C$8=TRUE,H88=1),1.0778,1)*VLOOKUP($C$2,'scaling OLD'!$A$2:$H$55,8,False)*IF(K88="-",1,(1/K88*(1+((K88-1)*VLOOKUP($C$2,'scaling OLD'!$A$2:$H$55,4,False)))))*IF(K88="-",1,VLOOKUP($C$2,'scaling OLD'!$A$2:$H$55,5,False))*VLOOKUP($C$2,'scaling OLD'!$A$2:$H$55,6,False)*IF(AND(LEFT(C$2,7)="CE - Cr",B88="Sword"),1.35,1)</f>
        <v>21702.0419</v>
      </c>
      <c r="K88" s="213">
        <v>1.1</v>
      </c>
      <c r="L88" s="211">
        <v>7.0</v>
      </c>
      <c r="M88" s="211">
        <v>80.0</v>
      </c>
      <c r="N88" s="211">
        <v>19.0</v>
      </c>
      <c r="O88" s="215">
        <v>2.799</v>
      </c>
      <c r="P88" s="638">
        <f t="shared" si="24"/>
        <v>4.5</v>
      </c>
      <c r="Q88" s="599">
        <f t="shared" si="2"/>
        <v>151914.2933</v>
      </c>
      <c r="R88" s="600">
        <f t="shared" si="3"/>
        <v>17.598</v>
      </c>
      <c r="S88" s="622">
        <f t="shared" si="22"/>
        <v>412338.7961</v>
      </c>
      <c r="T88" s="602">
        <f t="shared" si="5"/>
        <v>303828.5866</v>
      </c>
      <c r="U88" s="623">
        <f t="shared" si="19"/>
        <v>33758.73184</v>
      </c>
      <c r="V88" s="624">
        <f t="shared" si="7"/>
        <v>23431.0033</v>
      </c>
      <c r="W88" s="605">
        <f t="shared" si="8"/>
        <v>25750.36754</v>
      </c>
      <c r="X88" s="606">
        <f t="shared" si="9"/>
        <v>20813.02826</v>
      </c>
      <c r="Y88" s="607">
        <f t="shared" si="10"/>
        <v>2</v>
      </c>
      <c r="Z88" s="608">
        <f t="shared" si="11"/>
        <v>14.402</v>
      </c>
      <c r="AA88" s="608">
        <f t="shared" si="12"/>
        <v>0.902</v>
      </c>
      <c r="AB88" s="607">
        <f t="shared" si="13"/>
        <v>3</v>
      </c>
      <c r="AC88" s="607">
        <f t="shared" si="14"/>
        <v>455742.8799</v>
      </c>
      <c r="AD88" s="608">
        <f t="shared" si="15"/>
        <v>0</v>
      </c>
      <c r="AE88" s="607">
        <f t="shared" si="16"/>
        <v>0</v>
      </c>
      <c r="AF88" s="609">
        <f t="shared" si="17"/>
        <v>0</v>
      </c>
      <c r="AG88" s="628">
        <f t="shared" si="23"/>
        <v>412338.7961</v>
      </c>
      <c r="AH88" s="611"/>
      <c r="AI88" s="612">
        <v>19729.129</v>
      </c>
      <c r="AJ88" s="612">
        <v>39458.258</v>
      </c>
      <c r="AK88" s="612">
        <v>59187.387</v>
      </c>
      <c r="AL88" s="612">
        <v>59187.387</v>
      </c>
      <c r="AM88" s="612">
        <v>78916.516</v>
      </c>
      <c r="AN88" s="612">
        <v>98645.645</v>
      </c>
      <c r="AO88" s="612">
        <v>98645.645</v>
      </c>
      <c r="AP88" s="612">
        <v>118374.774</v>
      </c>
      <c r="AQ88" s="612">
        <v>138103.903</v>
      </c>
      <c r="AR88" s="612">
        <v>138103.903</v>
      </c>
      <c r="AS88" s="612">
        <v>138103.903</v>
      </c>
      <c r="AT88" s="612">
        <v>138103.903</v>
      </c>
      <c r="AU88" s="612">
        <v>138103.903</v>
      </c>
      <c r="AV88" s="612">
        <v>138103.903</v>
      </c>
      <c r="AW88" s="612">
        <v>157833.032</v>
      </c>
      <c r="AX88" s="612">
        <v>157833.032</v>
      </c>
      <c r="AY88" s="612">
        <v>177562.161</v>
      </c>
      <c r="AZ88" s="612">
        <v>197291.28999999998</v>
      </c>
      <c r="BA88" s="612">
        <v>197291.28999999998</v>
      </c>
      <c r="BB88" s="612">
        <v>217020.419</v>
      </c>
      <c r="BC88" s="612">
        <v>236749.548</v>
      </c>
      <c r="BD88" s="612">
        <v>236749.548</v>
      </c>
      <c r="BE88" s="612">
        <v>256478.677</v>
      </c>
      <c r="BF88" s="612">
        <v>276207.806</v>
      </c>
      <c r="BG88" s="612">
        <v>276207.806</v>
      </c>
      <c r="BH88" s="612">
        <v>276207.806</v>
      </c>
      <c r="BI88" s="612">
        <v>276207.806</v>
      </c>
      <c r="BJ88" s="612">
        <v>276207.806</v>
      </c>
      <c r="BK88" s="612">
        <v>276207.806</v>
      </c>
      <c r="BL88" s="612">
        <v>295936.935</v>
      </c>
      <c r="BM88" s="612">
        <v>315666.064</v>
      </c>
      <c r="BN88" s="612">
        <v>315666.064</v>
      </c>
      <c r="BO88" s="612">
        <v>335395.19299999997</v>
      </c>
      <c r="BP88" s="612">
        <v>355124.322</v>
      </c>
      <c r="BQ88" s="612">
        <v>355124.322</v>
      </c>
      <c r="BR88" s="612">
        <v>374853.451</v>
      </c>
      <c r="BS88" s="612">
        <v>374853.451</v>
      </c>
      <c r="BT88" s="612">
        <v>374853.451</v>
      </c>
      <c r="BU88" s="612">
        <v>374853.451</v>
      </c>
      <c r="BV88" s="612">
        <v>374853.451</v>
      </c>
      <c r="BW88" s="612">
        <v>374853.451</v>
      </c>
      <c r="BX88" s="612">
        <v>374853.451</v>
      </c>
      <c r="BY88" s="612">
        <v>374853.451</v>
      </c>
      <c r="BZ88" s="612">
        <v>374853.451</v>
      </c>
      <c r="CA88" s="612">
        <v>374853.451</v>
      </c>
      <c r="CB88" s="612">
        <v>374853.451</v>
      </c>
      <c r="CC88" s="612">
        <v>374853.451</v>
      </c>
      <c r="CD88" s="612">
        <v>374853.451</v>
      </c>
      <c r="CE88" s="612">
        <v>374853.451</v>
      </c>
      <c r="CF88" s="612">
        <v>374853.451</v>
      </c>
      <c r="CG88" s="612">
        <v>374853.451</v>
      </c>
      <c r="CH88" s="612">
        <v>374853.451</v>
      </c>
      <c r="CI88" s="612">
        <v>374853.451</v>
      </c>
      <c r="CJ88" s="612">
        <v>374853.451</v>
      </c>
      <c r="CK88" s="612">
        <v>374853.451</v>
      </c>
      <c r="CL88" s="612">
        <v>374853.451</v>
      </c>
      <c r="CM88" s="612">
        <v>374853.451</v>
      </c>
      <c r="CN88" s="612">
        <v>374853.451</v>
      </c>
      <c r="CO88" s="612">
        <v>374853.451</v>
      </c>
      <c r="CP88" s="612">
        <v>374853.451</v>
      </c>
    </row>
    <row r="89">
      <c r="A89" s="645"/>
      <c r="B89" s="629" t="s">
        <v>389</v>
      </c>
      <c r="C89" s="679" t="b">
        <v>0</v>
      </c>
      <c r="D89" s="589" t="s">
        <v>705</v>
      </c>
      <c r="E89" s="615" t="s">
        <v>494</v>
      </c>
      <c r="F89" s="616"/>
      <c r="G89" s="648">
        <v>1.0</v>
      </c>
      <c r="H89" s="680"/>
      <c r="I89" s="617">
        <v>63352.0</v>
      </c>
      <c r="J89" s="618">
        <f>I89*IF($C$7=TRUE,VLOOKUP(B89,BuffsDebuffs!$P$8:$X$26,MATCH(E89,BuffsDebuffs!$P$8:$X$8,0),FALSE),1)*IF(AND($C$8=TRUE,H89=1),1.0778,1)*VLOOKUP($C$2,'scaling OLD'!$A$2:$H$55,8,False)*IF(K89="-",1,(1/K89*(1+((K89-1)*VLOOKUP($C$2,'scaling OLD'!$A$2:$H$55,4,False)))))*IF(K89="-",1,VLOOKUP($C$2,'scaling OLD'!$A$2:$H$55,5,False))*VLOOKUP($C$2,'scaling OLD'!$A$2:$H$55,6,False)*IF(AND(LEFT(C$2,7)="CE - Cr",B89="Sword"),1.35,1)</f>
        <v>63352</v>
      </c>
      <c r="K89" s="186" t="s">
        <v>349</v>
      </c>
      <c r="L89" s="184">
        <v>1.0</v>
      </c>
      <c r="M89" s="184">
        <v>60.0</v>
      </c>
      <c r="N89" s="184">
        <v>8.0</v>
      </c>
      <c r="O89" s="188">
        <v>2.817</v>
      </c>
      <c r="P89" s="647">
        <f t="shared" si="24"/>
        <v>0</v>
      </c>
      <c r="Q89" s="620">
        <f t="shared" si="2"/>
        <v>63352</v>
      </c>
      <c r="R89" s="621">
        <f t="shared" si="3"/>
        <v>19.719</v>
      </c>
      <c r="S89" s="622">
        <f t="shared" si="22"/>
        <v>506816</v>
      </c>
      <c r="T89" s="602">
        <f t="shared" si="5"/>
        <v>506816</v>
      </c>
      <c r="U89" s="623" t="str">
        <f t="shared" si="19"/>
        <v>-</v>
      </c>
      <c r="V89" s="624">
        <f t="shared" si="7"/>
        <v>25701.91186</v>
      </c>
      <c r="W89" s="605">
        <f t="shared" si="8"/>
        <v>25701.91186</v>
      </c>
      <c r="X89" s="606">
        <f t="shared" si="9"/>
        <v>22489.17288</v>
      </c>
      <c r="Y89" s="607">
        <f t="shared" si="10"/>
        <v>7</v>
      </c>
      <c r="Z89" s="608">
        <f t="shared" si="11"/>
        <v>0.281</v>
      </c>
      <c r="AA89" s="608">
        <f t="shared" si="12"/>
        <v>0.281</v>
      </c>
      <c r="AB89" s="607">
        <f t="shared" si="13"/>
        <v>8</v>
      </c>
      <c r="AC89" s="607">
        <f t="shared" si="14"/>
        <v>506816</v>
      </c>
      <c r="AD89" s="608">
        <f t="shared" si="15"/>
        <v>0</v>
      </c>
      <c r="AE89" s="607">
        <f t="shared" si="16"/>
        <v>0</v>
      </c>
      <c r="AF89" s="609">
        <f t="shared" si="17"/>
        <v>0</v>
      </c>
      <c r="AG89" s="628">
        <f t="shared" si="23"/>
        <v>506816</v>
      </c>
      <c r="AH89" s="611"/>
      <c r="AI89" s="612">
        <v>63352.0</v>
      </c>
      <c r="AJ89" s="612">
        <v>63352.0</v>
      </c>
      <c r="AK89" s="612">
        <v>63352.0</v>
      </c>
      <c r="AL89" s="612">
        <v>63352.0</v>
      </c>
      <c r="AM89" s="612">
        <v>63352.0</v>
      </c>
      <c r="AN89" s="612">
        <v>126704.0</v>
      </c>
      <c r="AO89" s="612">
        <v>126704.0</v>
      </c>
      <c r="AP89" s="612">
        <v>126704.0</v>
      </c>
      <c r="AQ89" s="612">
        <v>126704.0</v>
      </c>
      <c r="AR89" s="612">
        <v>126704.0</v>
      </c>
      <c r="AS89" s="612">
        <v>126704.0</v>
      </c>
      <c r="AT89" s="612">
        <v>190056.0</v>
      </c>
      <c r="AU89" s="612">
        <v>190056.0</v>
      </c>
      <c r="AV89" s="612">
        <v>190056.0</v>
      </c>
      <c r="AW89" s="612">
        <v>190056.0</v>
      </c>
      <c r="AX89" s="612">
        <v>190056.0</v>
      </c>
      <c r="AY89" s="612">
        <v>253408.0</v>
      </c>
      <c r="AZ89" s="612">
        <v>253408.0</v>
      </c>
      <c r="BA89" s="612">
        <v>253408.0</v>
      </c>
      <c r="BB89" s="612">
        <v>253408.0</v>
      </c>
      <c r="BC89" s="612">
        <v>253408.0</v>
      </c>
      <c r="BD89" s="612">
        <v>253408.0</v>
      </c>
      <c r="BE89" s="612">
        <v>316760.0</v>
      </c>
      <c r="BF89" s="612">
        <v>316760.0</v>
      </c>
      <c r="BG89" s="612">
        <v>316760.0</v>
      </c>
      <c r="BH89" s="612">
        <v>316760.0</v>
      </c>
      <c r="BI89" s="612">
        <v>316760.0</v>
      </c>
      <c r="BJ89" s="612">
        <v>316760.0</v>
      </c>
      <c r="BK89" s="612">
        <v>380112.0</v>
      </c>
      <c r="BL89" s="612">
        <v>380112.0</v>
      </c>
      <c r="BM89" s="612">
        <v>380112.0</v>
      </c>
      <c r="BN89" s="612">
        <v>380112.0</v>
      </c>
      <c r="BO89" s="612">
        <v>380112.0</v>
      </c>
      <c r="BP89" s="612">
        <v>443464.0</v>
      </c>
      <c r="BQ89" s="612">
        <v>443464.0</v>
      </c>
      <c r="BR89" s="612">
        <v>443464.0</v>
      </c>
      <c r="BS89" s="612">
        <v>443464.0</v>
      </c>
      <c r="BT89" s="612">
        <v>443464.0</v>
      </c>
      <c r="BU89" s="612">
        <v>443464.0</v>
      </c>
      <c r="BV89" s="612">
        <v>506816.0</v>
      </c>
      <c r="BW89" s="612">
        <v>506816.0</v>
      </c>
      <c r="BX89" s="612">
        <v>506816.0</v>
      </c>
      <c r="BY89" s="612">
        <v>506816.0</v>
      </c>
      <c r="BZ89" s="612">
        <v>506816.0</v>
      </c>
      <c r="CA89" s="612">
        <v>506816.0</v>
      </c>
      <c r="CB89" s="612">
        <v>506816.0</v>
      </c>
      <c r="CC89" s="612">
        <v>506816.0</v>
      </c>
      <c r="CD89" s="612">
        <v>506816.0</v>
      </c>
      <c r="CE89" s="612">
        <v>506816.0</v>
      </c>
      <c r="CF89" s="612">
        <v>506816.0</v>
      </c>
      <c r="CG89" s="612">
        <v>506816.0</v>
      </c>
      <c r="CH89" s="612">
        <v>506816.0</v>
      </c>
      <c r="CI89" s="612">
        <v>506816.0</v>
      </c>
      <c r="CJ89" s="612">
        <v>506816.0</v>
      </c>
      <c r="CK89" s="612">
        <v>506816.0</v>
      </c>
      <c r="CL89" s="612">
        <v>506816.0</v>
      </c>
      <c r="CM89" s="612">
        <v>506816.0</v>
      </c>
      <c r="CN89" s="612">
        <v>506816.0</v>
      </c>
      <c r="CO89" s="612">
        <v>506816.0</v>
      </c>
      <c r="CP89" s="612">
        <v>506816.0</v>
      </c>
    </row>
    <row r="90">
      <c r="A90" s="645"/>
      <c r="B90" s="613" t="s">
        <v>380</v>
      </c>
      <c r="C90" s="679" t="b">
        <v>0</v>
      </c>
      <c r="D90" s="589" t="s">
        <v>706</v>
      </c>
      <c r="E90" s="615" t="s">
        <v>468</v>
      </c>
      <c r="F90" s="616" t="s">
        <v>602</v>
      </c>
      <c r="G90" s="648">
        <v>1.0</v>
      </c>
      <c r="H90" s="681"/>
      <c r="I90" s="617">
        <f>24882*1.05</f>
        <v>26126.1</v>
      </c>
      <c r="J90" s="594">
        <f>I90*IF($C$7=TRUE,VLOOKUP(B90,BuffsDebuffs!$P$8:$X$26,MATCH(E90,BuffsDebuffs!$P$8:$X$8,0),FALSE),1)*IF(AND($C$8=TRUE,H90=1),1.0778,1)*VLOOKUP($C$2,'scaling OLD'!$A$2:$H$55,8,False)*IF(K90="-",1,(1/K90*(1+((K90-1)*VLOOKUP($C$2,'scaling OLD'!$A$2:$H$55,4,False)))))*IF(K90="-",1,VLOOKUP($C$2,'scaling OLD'!$A$2:$H$55,5,False))*VLOOKUP($C$2,'scaling OLD'!$A$2:$H$55,6,False)*IF(AND(LEFT(C$2,7)="CE - Cr",B90="Sword"),1.35,1)</f>
        <v>26126.1</v>
      </c>
      <c r="K90" s="186">
        <v>3.44</v>
      </c>
      <c r="L90" s="184">
        <v>6.0</v>
      </c>
      <c r="M90" s="184">
        <v>56.69</v>
      </c>
      <c r="N90" s="184">
        <v>23.0</v>
      </c>
      <c r="O90" s="188">
        <v>1.683</v>
      </c>
      <c r="P90" s="638">
        <f t="shared" si="24"/>
        <v>5.291938614</v>
      </c>
      <c r="Q90" s="599">
        <f t="shared" si="2"/>
        <v>156756.6</v>
      </c>
      <c r="R90" s="600">
        <f t="shared" si="3"/>
        <v>25.15836673</v>
      </c>
      <c r="S90" s="622">
        <f t="shared" si="22"/>
        <v>600900.3</v>
      </c>
      <c r="T90" s="602">
        <f t="shared" si="5"/>
        <v>470269.8</v>
      </c>
      <c r="U90" s="623">
        <f t="shared" si="19"/>
        <v>29621.77218</v>
      </c>
      <c r="V90" s="624">
        <f t="shared" si="7"/>
        <v>23884.71026</v>
      </c>
      <c r="W90" s="605">
        <f t="shared" si="8"/>
        <v>24439.99069</v>
      </c>
      <c r="X90" s="606">
        <f t="shared" si="9"/>
        <v>22474.26231</v>
      </c>
      <c r="Y90" s="607">
        <f t="shared" si="10"/>
        <v>2</v>
      </c>
      <c r="Z90" s="608">
        <f t="shared" si="11"/>
        <v>16.634</v>
      </c>
      <c r="AA90" s="608">
        <f t="shared" si="12"/>
        <v>0.7581841595</v>
      </c>
      <c r="AB90" s="607">
        <f t="shared" si="13"/>
        <v>3</v>
      </c>
      <c r="AC90" s="607">
        <f t="shared" si="14"/>
        <v>470269.8</v>
      </c>
      <c r="AD90" s="608">
        <f t="shared" si="15"/>
        <v>0</v>
      </c>
      <c r="AE90" s="607">
        <f t="shared" si="16"/>
        <v>0</v>
      </c>
      <c r="AF90" s="609">
        <f t="shared" si="17"/>
        <v>0</v>
      </c>
      <c r="AG90" s="628">
        <f t="shared" si="23"/>
        <v>470269.8</v>
      </c>
      <c r="AH90" s="611"/>
      <c r="AI90" s="612">
        <v>24882.0</v>
      </c>
      <c r="AJ90" s="612">
        <v>24882.0</v>
      </c>
      <c r="AK90" s="612">
        <v>49764.0</v>
      </c>
      <c r="AL90" s="612">
        <v>49764.0</v>
      </c>
      <c r="AM90" s="612">
        <v>74646.0</v>
      </c>
      <c r="AN90" s="612">
        <v>74646.0</v>
      </c>
      <c r="AO90" s="612">
        <v>99528.0</v>
      </c>
      <c r="AP90" s="612">
        <v>99528.0</v>
      </c>
      <c r="AQ90" s="612">
        <v>124410.0</v>
      </c>
      <c r="AR90" s="612">
        <v>124410.0</v>
      </c>
      <c r="AS90" s="612">
        <v>149292.0</v>
      </c>
      <c r="AT90" s="612">
        <v>149292.0</v>
      </c>
      <c r="AU90" s="612">
        <v>149292.0</v>
      </c>
      <c r="AV90" s="612">
        <v>174174.0</v>
      </c>
      <c r="AW90" s="612">
        <v>174174.0</v>
      </c>
      <c r="AX90" s="612">
        <v>174174.0</v>
      </c>
      <c r="AY90" s="612">
        <v>199056.0</v>
      </c>
      <c r="AZ90" s="612">
        <v>199056.0</v>
      </c>
      <c r="BA90" s="612">
        <v>223938.0</v>
      </c>
      <c r="BB90" s="612">
        <v>223938.0</v>
      </c>
      <c r="BC90" s="612">
        <v>248820.0</v>
      </c>
      <c r="BD90" s="612">
        <v>248820.0</v>
      </c>
      <c r="BE90" s="612">
        <v>273702.0</v>
      </c>
      <c r="BF90" s="612">
        <v>273702.0</v>
      </c>
      <c r="BG90" s="612">
        <v>298584.0</v>
      </c>
      <c r="BH90" s="612">
        <v>298584.0</v>
      </c>
      <c r="BI90" s="612">
        <v>298584.0</v>
      </c>
      <c r="BJ90" s="612">
        <v>323466.0</v>
      </c>
      <c r="BK90" s="612">
        <v>323466.0</v>
      </c>
      <c r="BL90" s="612">
        <v>323466.0</v>
      </c>
      <c r="BM90" s="612">
        <v>348348.0</v>
      </c>
      <c r="BN90" s="612">
        <v>348348.0</v>
      </c>
      <c r="BO90" s="612">
        <v>373230.0</v>
      </c>
      <c r="BP90" s="612">
        <v>373230.0</v>
      </c>
      <c r="BQ90" s="612">
        <v>398112.0</v>
      </c>
      <c r="BR90" s="612">
        <v>398112.0</v>
      </c>
      <c r="BS90" s="612">
        <v>422994.0</v>
      </c>
      <c r="BT90" s="612">
        <v>422994.0</v>
      </c>
      <c r="BU90" s="612">
        <v>447876.0</v>
      </c>
      <c r="BV90" s="612">
        <v>447876.0</v>
      </c>
      <c r="BW90" s="612">
        <v>447876.0</v>
      </c>
      <c r="BX90" s="612">
        <v>472758.0</v>
      </c>
      <c r="BY90" s="612">
        <v>472758.0</v>
      </c>
      <c r="BZ90" s="612">
        <v>497640.0</v>
      </c>
      <c r="CA90" s="612">
        <v>497640.0</v>
      </c>
      <c r="CB90" s="612">
        <v>497640.0</v>
      </c>
      <c r="CC90" s="612">
        <v>522522.0</v>
      </c>
      <c r="CD90" s="612">
        <v>522522.0</v>
      </c>
      <c r="CE90" s="612">
        <v>547404.0</v>
      </c>
      <c r="CF90" s="612">
        <v>547404.0</v>
      </c>
      <c r="CG90" s="612">
        <v>572286.0</v>
      </c>
      <c r="CH90" s="612">
        <v>572286.0</v>
      </c>
      <c r="CI90" s="612">
        <v>572286.0</v>
      </c>
      <c r="CJ90" s="612">
        <v>572286.0</v>
      </c>
      <c r="CK90" s="612">
        <v>572286.0</v>
      </c>
      <c r="CL90" s="612">
        <v>572286.0</v>
      </c>
      <c r="CM90" s="612">
        <v>572286.0</v>
      </c>
      <c r="CN90" s="612">
        <v>572286.0</v>
      </c>
      <c r="CO90" s="612">
        <v>572286.0</v>
      </c>
      <c r="CP90" s="612">
        <v>572286.0</v>
      </c>
    </row>
    <row r="91">
      <c r="A91" s="645"/>
      <c r="B91" s="613" t="s">
        <v>394</v>
      </c>
      <c r="C91" s="679" t="b">
        <v>0</v>
      </c>
      <c r="D91" s="589" t="s">
        <v>647</v>
      </c>
      <c r="E91" s="615" t="s">
        <v>468</v>
      </c>
      <c r="F91" s="672"/>
      <c r="G91" s="625">
        <v>1.0</v>
      </c>
      <c r="H91" s="681"/>
      <c r="I91" s="617">
        <f>22020*1.09</f>
        <v>24001.8</v>
      </c>
      <c r="J91" s="618">
        <f>I91*IF($C$7=TRUE,VLOOKUP(B91,BuffsDebuffs!$P$8:$X$26,MATCH(E91,BuffsDebuffs!$P$8:$X$8,0),FALSE),1)*IF(AND($C$8=TRUE,H91=1),1.0778,1)*VLOOKUP($C$2,'scaling OLD'!$A$2:$H$55,8,False)*IF(K91="-",1,(1/K91*(1+((K91-1)*VLOOKUP($C$2,'scaling OLD'!$A$2:$H$55,4,False)))))*IF(K91="-",1,VLOOKUP($C$2,'scaling OLD'!$A$2:$H$55,5,False))*VLOOKUP($C$2,'scaling OLD'!$A$2:$H$55,6,False)*IF(AND(LEFT(C$2,7)="CE - Cr",B91="Sword"),1.35,1)</f>
        <v>24001.8</v>
      </c>
      <c r="K91" s="186">
        <v>1.75</v>
      </c>
      <c r="L91" s="184">
        <v>6.0</v>
      </c>
      <c r="M91" s="184">
        <v>70.0</v>
      </c>
      <c r="N91" s="184">
        <v>21.0</v>
      </c>
      <c r="O91" s="188">
        <v>2.45</v>
      </c>
      <c r="P91" s="647">
        <f t="shared" si="24"/>
        <v>4.285714286</v>
      </c>
      <c r="Q91" s="620">
        <f t="shared" si="2"/>
        <v>144010.8</v>
      </c>
      <c r="R91" s="621">
        <f t="shared" si="3"/>
        <v>21.92142857</v>
      </c>
      <c r="S91" s="622">
        <f t="shared" si="22"/>
        <v>504037.8</v>
      </c>
      <c r="T91" s="602">
        <f t="shared" si="5"/>
        <v>432032.4</v>
      </c>
      <c r="U91" s="623">
        <f t="shared" si="19"/>
        <v>33602.52</v>
      </c>
      <c r="V91" s="624">
        <f t="shared" si="7"/>
        <v>22992.92669</v>
      </c>
      <c r="W91" s="605">
        <f t="shared" si="8"/>
        <v>24330.06275</v>
      </c>
      <c r="X91" s="606">
        <f t="shared" si="9"/>
        <v>21380.1824</v>
      </c>
      <c r="Y91" s="607">
        <f t="shared" si="10"/>
        <v>2</v>
      </c>
      <c r="Z91" s="608">
        <f t="shared" si="11"/>
        <v>15.1</v>
      </c>
      <c r="AA91" s="608">
        <f t="shared" si="12"/>
        <v>2.242857143</v>
      </c>
      <c r="AB91" s="607">
        <f t="shared" si="13"/>
        <v>3</v>
      </c>
      <c r="AC91" s="607">
        <f t="shared" si="14"/>
        <v>432032.4</v>
      </c>
      <c r="AD91" s="608">
        <f t="shared" si="15"/>
        <v>0</v>
      </c>
      <c r="AE91" s="607">
        <f t="shared" si="16"/>
        <v>0</v>
      </c>
      <c r="AF91" s="609">
        <f t="shared" si="17"/>
        <v>0</v>
      </c>
      <c r="AG91" s="628">
        <f t="shared" si="23"/>
        <v>432032.4</v>
      </c>
      <c r="AH91" s="611"/>
      <c r="AI91" s="612">
        <v>22020.0</v>
      </c>
      <c r="AJ91" s="612">
        <v>44040.0</v>
      </c>
      <c r="AK91" s="612">
        <v>44040.0</v>
      </c>
      <c r="AL91" s="612">
        <v>66060.0</v>
      </c>
      <c r="AM91" s="612">
        <v>66060.0</v>
      </c>
      <c r="AN91" s="612">
        <v>88080.0</v>
      </c>
      <c r="AO91" s="612">
        <v>110100.0</v>
      </c>
      <c r="AP91" s="612">
        <v>110100.0</v>
      </c>
      <c r="AQ91" s="612">
        <v>132120.0</v>
      </c>
      <c r="AR91" s="612">
        <v>132120.0</v>
      </c>
      <c r="AS91" s="612">
        <v>132120.0</v>
      </c>
      <c r="AT91" s="612">
        <v>132120.0</v>
      </c>
      <c r="AU91" s="612">
        <v>132120.0</v>
      </c>
      <c r="AV91" s="612">
        <v>154140.0</v>
      </c>
      <c r="AW91" s="612">
        <v>154140.0</v>
      </c>
      <c r="AX91" s="612">
        <v>176160.0</v>
      </c>
      <c r="AY91" s="612">
        <v>198180.0</v>
      </c>
      <c r="AZ91" s="612">
        <v>198180.0</v>
      </c>
      <c r="BA91" s="612">
        <v>220200.0</v>
      </c>
      <c r="BB91" s="612">
        <v>220200.0</v>
      </c>
      <c r="BC91" s="612">
        <v>242220.0</v>
      </c>
      <c r="BD91" s="612">
        <v>242220.0</v>
      </c>
      <c r="BE91" s="612">
        <v>264240.0</v>
      </c>
      <c r="BF91" s="612">
        <v>264240.0</v>
      </c>
      <c r="BG91" s="612">
        <v>264240.0</v>
      </c>
      <c r="BH91" s="612">
        <v>264240.0</v>
      </c>
      <c r="BI91" s="612">
        <v>286260.0</v>
      </c>
      <c r="BJ91" s="612">
        <v>286260.0</v>
      </c>
      <c r="BK91" s="612">
        <v>308280.0</v>
      </c>
      <c r="BL91" s="612">
        <v>308280.0</v>
      </c>
      <c r="BM91" s="612">
        <v>330300.0</v>
      </c>
      <c r="BN91" s="612">
        <v>330300.0</v>
      </c>
      <c r="BO91" s="612">
        <v>352320.0</v>
      </c>
      <c r="BP91" s="612">
        <v>374340.0</v>
      </c>
      <c r="BQ91" s="612">
        <v>374340.0</v>
      </c>
      <c r="BR91" s="612">
        <v>396360.0</v>
      </c>
      <c r="BS91" s="612">
        <v>396360.0</v>
      </c>
      <c r="BT91" s="612">
        <v>396360.0</v>
      </c>
      <c r="BU91" s="612">
        <v>396360.0</v>
      </c>
      <c r="BV91" s="612">
        <v>396360.0</v>
      </c>
      <c r="BW91" s="612">
        <v>418380.0</v>
      </c>
      <c r="BX91" s="612">
        <v>418380.0</v>
      </c>
      <c r="BY91" s="612">
        <v>440400.0</v>
      </c>
      <c r="BZ91" s="612">
        <v>462420.0</v>
      </c>
      <c r="CA91" s="612">
        <v>462420.0</v>
      </c>
      <c r="CB91" s="612">
        <v>462420.0</v>
      </c>
      <c r="CC91" s="612">
        <v>462420.0</v>
      </c>
      <c r="CD91" s="612">
        <v>462420.0</v>
      </c>
      <c r="CE91" s="612">
        <v>462420.0</v>
      </c>
      <c r="CF91" s="612">
        <v>462420.0</v>
      </c>
      <c r="CG91" s="612">
        <v>462420.0</v>
      </c>
      <c r="CH91" s="612">
        <v>462420.0</v>
      </c>
      <c r="CI91" s="612">
        <v>462420.0</v>
      </c>
      <c r="CJ91" s="612">
        <v>462420.0</v>
      </c>
      <c r="CK91" s="612">
        <v>462420.0</v>
      </c>
      <c r="CL91" s="612">
        <v>462420.0</v>
      </c>
      <c r="CM91" s="612">
        <v>462420.0</v>
      </c>
      <c r="CN91" s="612">
        <v>462420.0</v>
      </c>
      <c r="CO91" s="612">
        <v>462420.0</v>
      </c>
      <c r="CP91" s="612">
        <v>462420.0</v>
      </c>
    </row>
    <row r="92">
      <c r="A92" s="645"/>
      <c r="B92" s="682" t="s">
        <v>384</v>
      </c>
      <c r="C92" s="683" t="b">
        <v>0</v>
      </c>
      <c r="D92" s="684" t="s">
        <v>707</v>
      </c>
      <c r="E92" s="685" t="s">
        <v>497</v>
      </c>
      <c r="F92" s="686"/>
      <c r="G92" s="625">
        <v>1.0</v>
      </c>
      <c r="H92" s="687"/>
      <c r="I92" s="637">
        <f>1845*1.07</f>
        <v>1974.15</v>
      </c>
      <c r="J92" s="594">
        <f>I92*IF($C$7=TRUE,VLOOKUP(B92,BuffsDebuffs!$P$8:$X$26,MATCH(E92,BuffsDebuffs!$P$8:$X$8,0),FALSE),1)*IF(AND($C$8=TRUE,H92=1),1.0778,1)*VLOOKUP($C$2,'scaling OLD'!$A$2:$H$55,8,False)*IF(K92="-",1,(1/K92*(1+((K92-1)*VLOOKUP($C$2,'scaling OLD'!$A$2:$H$55,4,False)))))*IF(K92="-",1,VLOOKUP($C$2,'scaling OLD'!$A$2:$H$55,5,False))*VLOOKUP($C$2,'scaling OLD'!$A$2:$H$55,6,False)*IF(AND(LEFT(C$2,7)="CE - Cr",B92="Sword"),1.35,1)</f>
        <v>1974.15</v>
      </c>
      <c r="K92" s="213">
        <v>1.2</v>
      </c>
      <c r="L92" s="211">
        <v>200.0</v>
      </c>
      <c r="M92" s="211">
        <v>900.0</v>
      </c>
      <c r="N92" s="211">
        <v>600.0</v>
      </c>
      <c r="O92" s="215">
        <v>4.6</v>
      </c>
      <c r="P92" s="688">
        <f t="shared" si="24"/>
        <v>13.26666667</v>
      </c>
      <c r="Q92" s="599">
        <f t="shared" si="2"/>
        <v>394830</v>
      </c>
      <c r="R92" s="600">
        <f t="shared" si="3"/>
        <v>49</v>
      </c>
      <c r="S92" s="622">
        <f t="shared" si="22"/>
        <v>1184490</v>
      </c>
      <c r="T92" s="602">
        <f t="shared" si="5"/>
        <v>1184490</v>
      </c>
      <c r="U92" s="623">
        <f t="shared" si="19"/>
        <v>29761.05528</v>
      </c>
      <c r="V92" s="624">
        <f t="shared" si="7"/>
        <v>24173.26531</v>
      </c>
      <c r="W92" s="605">
        <f t="shared" si="8"/>
        <v>24173.26531</v>
      </c>
      <c r="X92" s="606">
        <f t="shared" si="9"/>
        <v>22098.69403</v>
      </c>
      <c r="Y92" s="607">
        <f t="shared" si="10"/>
        <v>1</v>
      </c>
      <c r="Z92" s="608">
        <f t="shared" si="11"/>
        <v>15.4</v>
      </c>
      <c r="AA92" s="608">
        <f t="shared" si="12"/>
        <v>0</v>
      </c>
      <c r="AB92" s="607">
        <f t="shared" si="13"/>
        <v>1</v>
      </c>
      <c r="AC92" s="607">
        <f t="shared" si="14"/>
        <v>394830</v>
      </c>
      <c r="AD92" s="608">
        <f t="shared" si="15"/>
        <v>2.133333333</v>
      </c>
      <c r="AE92" s="607">
        <f t="shared" si="16"/>
        <v>33</v>
      </c>
      <c r="AF92" s="609">
        <f t="shared" si="17"/>
        <v>65146.95</v>
      </c>
      <c r="AG92" s="628">
        <f t="shared" si="23"/>
        <v>459976.95</v>
      </c>
      <c r="AH92" s="611"/>
      <c r="AI92" s="612">
        <v>14760.0</v>
      </c>
      <c r="AJ92" s="612">
        <v>29520.0</v>
      </c>
      <c r="AK92" s="612">
        <v>42435.0</v>
      </c>
      <c r="AL92" s="612">
        <v>57195.0</v>
      </c>
      <c r="AM92" s="612">
        <v>70110.0</v>
      </c>
      <c r="AN92" s="612">
        <v>84870.0</v>
      </c>
      <c r="AO92" s="612">
        <v>97785.0</v>
      </c>
      <c r="AP92" s="612">
        <v>112545.0</v>
      </c>
      <c r="AQ92" s="612">
        <v>125460.0</v>
      </c>
      <c r="AR92" s="612">
        <v>140220.0</v>
      </c>
      <c r="AS92" s="612">
        <v>153135.0</v>
      </c>
      <c r="AT92" s="612">
        <v>167895.0</v>
      </c>
      <c r="AU92" s="612">
        <v>180810.0</v>
      </c>
      <c r="AV92" s="612">
        <v>195570.0</v>
      </c>
      <c r="AW92" s="612">
        <v>208485.0</v>
      </c>
      <c r="AX92" s="612">
        <v>223245.0</v>
      </c>
      <c r="AY92" s="612">
        <v>236160.0</v>
      </c>
      <c r="AZ92" s="612">
        <v>250920.0</v>
      </c>
      <c r="BA92" s="612">
        <v>263835.0</v>
      </c>
      <c r="BB92" s="612">
        <v>278595.0</v>
      </c>
      <c r="BC92" s="612">
        <v>291510.0</v>
      </c>
      <c r="BD92" s="612">
        <v>306270.0</v>
      </c>
      <c r="BE92" s="612">
        <v>319185.0</v>
      </c>
      <c r="BF92" s="612">
        <v>333945.0</v>
      </c>
      <c r="BG92" s="612">
        <v>346860.0</v>
      </c>
      <c r="BH92" s="612">
        <v>361620.0</v>
      </c>
      <c r="BI92" s="612">
        <v>369000.0</v>
      </c>
      <c r="BJ92" s="612">
        <v>369000.0</v>
      </c>
      <c r="BK92" s="612">
        <v>369000.0</v>
      </c>
      <c r="BL92" s="612">
        <v>369000.0</v>
      </c>
      <c r="BM92" s="612">
        <v>369000.0</v>
      </c>
      <c r="BN92" s="612">
        <v>369000.0</v>
      </c>
      <c r="BO92" s="612">
        <v>369000.0</v>
      </c>
      <c r="BP92" s="612">
        <v>369000.0</v>
      </c>
      <c r="BQ92" s="612">
        <v>369000.0</v>
      </c>
      <c r="BR92" s="612">
        <v>374535.0</v>
      </c>
      <c r="BS92" s="612">
        <v>387450.0</v>
      </c>
      <c r="BT92" s="612">
        <v>402210.0</v>
      </c>
      <c r="BU92" s="612">
        <v>415125.0</v>
      </c>
      <c r="BV92" s="612">
        <v>429885.0</v>
      </c>
      <c r="BW92" s="612">
        <v>442800.0</v>
      </c>
      <c r="BX92" s="612">
        <v>457560.0</v>
      </c>
      <c r="BY92" s="612">
        <v>470475.0</v>
      </c>
      <c r="BZ92" s="612">
        <v>485235.0</v>
      </c>
      <c r="CA92" s="612">
        <v>498150.0</v>
      </c>
      <c r="CB92" s="612">
        <v>512910.0</v>
      </c>
      <c r="CC92" s="612">
        <v>525825.0</v>
      </c>
      <c r="CD92" s="612">
        <v>540585.0</v>
      </c>
      <c r="CE92" s="612">
        <v>553500.0</v>
      </c>
      <c r="CF92" s="612">
        <v>568260.0</v>
      </c>
      <c r="CG92" s="612">
        <v>581175.0</v>
      </c>
      <c r="CH92" s="612">
        <v>595935.0</v>
      </c>
      <c r="CI92" s="612">
        <v>608850.0</v>
      </c>
      <c r="CJ92" s="612">
        <v>623610.0</v>
      </c>
      <c r="CK92" s="612">
        <v>636525.0</v>
      </c>
      <c r="CL92" s="612">
        <v>651285.0</v>
      </c>
      <c r="CM92" s="612">
        <v>664200.0</v>
      </c>
      <c r="CN92" s="612">
        <v>678960.0</v>
      </c>
      <c r="CO92" s="612">
        <v>691875.0</v>
      </c>
      <c r="CP92" s="612">
        <v>706635.0</v>
      </c>
    </row>
    <row r="93">
      <c r="A93" s="645"/>
      <c r="B93" s="675" t="s">
        <v>404</v>
      </c>
      <c r="C93" s="689" t="b">
        <v>0</v>
      </c>
      <c r="D93" s="651" t="s">
        <v>708</v>
      </c>
      <c r="E93" s="652" t="s">
        <v>468</v>
      </c>
      <c r="F93" s="653" t="s">
        <v>709</v>
      </c>
      <c r="G93" s="625">
        <v>1.0</v>
      </c>
      <c r="H93" s="690"/>
      <c r="I93" s="617">
        <v>9011.0</v>
      </c>
      <c r="J93" s="618">
        <f>I93*IF($C$7=TRUE,VLOOKUP(B93,BuffsDebuffs!$P$8:$X$26,MATCH(E93,BuffsDebuffs!$P$8:$X$8,0),FALSE),1)*IF(AND($C$8=TRUE,H93=1),1.0778,1)*VLOOKUP($C$2,'scaling OLD'!$A$2:$H$55,8,False)*IF(K93="-",1,(1/K93*(1+((K93-1)*VLOOKUP($C$2,'scaling OLD'!$A$2:$H$55,4,False)))))*IF(K93="-",1,VLOOKUP($C$2,'scaling OLD'!$A$2:$H$55,5,False))*VLOOKUP($C$2,'scaling OLD'!$A$2:$H$55,6,False)*IF(AND(LEFT(C$2,7)="CE - Cr",B93="Sword"),1.35,1)</f>
        <v>9011</v>
      </c>
      <c r="K93" s="186">
        <v>5.2</v>
      </c>
      <c r="L93" s="184">
        <v>12.0</v>
      </c>
      <c r="M93" s="184">
        <v>200.0</v>
      </c>
      <c r="N93" s="184">
        <v>87.0</v>
      </c>
      <c r="O93" s="188">
        <v>1.416</v>
      </c>
      <c r="P93" s="691">
        <f t="shared" si="24"/>
        <v>3.3</v>
      </c>
      <c r="Q93" s="692">
        <f t="shared" si="2"/>
        <v>108132</v>
      </c>
      <c r="R93" s="621">
        <f t="shared" si="3"/>
        <v>33.612</v>
      </c>
      <c r="S93" s="622">
        <f t="shared" si="22"/>
        <v>783957</v>
      </c>
      <c r="T93" s="602">
        <f t="shared" si="5"/>
        <v>756924</v>
      </c>
      <c r="U93" s="623">
        <f t="shared" si="19"/>
        <v>32767.27273</v>
      </c>
      <c r="V93" s="624">
        <f t="shared" si="7"/>
        <v>23323.72367</v>
      </c>
      <c r="W93" s="605">
        <f t="shared" si="8"/>
        <v>23956.32359</v>
      </c>
      <c r="X93" s="606">
        <f t="shared" si="9"/>
        <v>22928.75318</v>
      </c>
      <c r="Y93" s="607">
        <f t="shared" si="10"/>
        <v>4</v>
      </c>
      <c r="Z93" s="608">
        <f t="shared" si="11"/>
        <v>14.336</v>
      </c>
      <c r="AA93" s="608">
        <f t="shared" si="12"/>
        <v>0</v>
      </c>
      <c r="AB93" s="607">
        <f t="shared" si="13"/>
        <v>4</v>
      </c>
      <c r="AC93" s="607">
        <f t="shared" si="14"/>
        <v>432528</v>
      </c>
      <c r="AD93" s="608">
        <f t="shared" si="15"/>
        <v>1.136</v>
      </c>
      <c r="AE93" s="607">
        <f t="shared" si="16"/>
        <v>4</v>
      </c>
      <c r="AF93" s="609">
        <f t="shared" si="17"/>
        <v>36044</v>
      </c>
      <c r="AG93" s="628">
        <f t="shared" si="23"/>
        <v>468572</v>
      </c>
      <c r="AH93" s="611"/>
      <c r="AI93" s="612">
        <v>18022.0</v>
      </c>
      <c r="AJ93" s="612">
        <v>36044.0</v>
      </c>
      <c r="AK93" s="612">
        <v>54066.0</v>
      </c>
      <c r="AL93" s="612">
        <v>63077.0</v>
      </c>
      <c r="AM93" s="612">
        <v>81099.0</v>
      </c>
      <c r="AN93" s="612">
        <v>99121.0</v>
      </c>
      <c r="AO93" s="612">
        <v>108132.0</v>
      </c>
      <c r="AP93" s="612">
        <v>108132.0</v>
      </c>
      <c r="AQ93" s="612">
        <v>108132.0</v>
      </c>
      <c r="AR93" s="612">
        <v>117143.0</v>
      </c>
      <c r="AS93" s="612">
        <v>135165.0</v>
      </c>
      <c r="AT93" s="612">
        <v>153187.0</v>
      </c>
      <c r="AU93" s="612">
        <v>162198.0</v>
      </c>
      <c r="AV93" s="612">
        <v>180220.0</v>
      </c>
      <c r="AW93" s="612">
        <v>198242.0</v>
      </c>
      <c r="AX93" s="612">
        <v>207253.0</v>
      </c>
      <c r="AY93" s="612">
        <v>216264.0</v>
      </c>
      <c r="AZ93" s="612">
        <v>216264.0</v>
      </c>
      <c r="BA93" s="612">
        <v>225275.0</v>
      </c>
      <c r="BB93" s="612">
        <v>234286.0</v>
      </c>
      <c r="BC93" s="612">
        <v>252308.0</v>
      </c>
      <c r="BD93" s="612">
        <v>270330.0</v>
      </c>
      <c r="BE93" s="612">
        <v>279341.0</v>
      </c>
      <c r="BF93" s="612">
        <v>297363.0</v>
      </c>
      <c r="BG93" s="612">
        <v>315385.0</v>
      </c>
      <c r="BH93" s="612">
        <v>324396.0</v>
      </c>
      <c r="BI93" s="612">
        <v>324396.0</v>
      </c>
      <c r="BJ93" s="612">
        <v>324396.0</v>
      </c>
      <c r="BK93" s="612">
        <v>342418.0</v>
      </c>
      <c r="BL93" s="612">
        <v>351429.0</v>
      </c>
      <c r="BM93" s="612">
        <v>369451.0</v>
      </c>
      <c r="BN93" s="612">
        <v>387473.0</v>
      </c>
      <c r="BO93" s="612">
        <v>396484.0</v>
      </c>
      <c r="BP93" s="612">
        <v>414506.0</v>
      </c>
      <c r="BQ93" s="612">
        <v>432528.0</v>
      </c>
      <c r="BR93" s="612">
        <v>432528.0</v>
      </c>
      <c r="BS93" s="612">
        <v>432528.0</v>
      </c>
      <c r="BT93" s="612">
        <v>441539.0</v>
      </c>
      <c r="BU93" s="612">
        <v>459561.0</v>
      </c>
      <c r="BV93" s="612">
        <v>468572.0</v>
      </c>
      <c r="BW93" s="612">
        <v>486594.0</v>
      </c>
      <c r="BX93" s="612">
        <v>504616.0</v>
      </c>
      <c r="BY93" s="612">
        <v>513627.0</v>
      </c>
      <c r="BZ93" s="612">
        <v>531649.0</v>
      </c>
      <c r="CA93" s="612">
        <v>540660.0</v>
      </c>
      <c r="CB93" s="612">
        <v>540660.0</v>
      </c>
      <c r="CC93" s="612">
        <v>540660.0</v>
      </c>
      <c r="CD93" s="612">
        <v>558682.0</v>
      </c>
      <c r="CE93" s="612">
        <v>576704.0</v>
      </c>
      <c r="CF93" s="612">
        <v>585715.0</v>
      </c>
      <c r="CG93" s="612">
        <v>603737.0</v>
      </c>
      <c r="CH93" s="612">
        <v>621759.0</v>
      </c>
      <c r="CI93" s="612">
        <v>630770.0</v>
      </c>
      <c r="CJ93" s="612">
        <v>648792.0</v>
      </c>
      <c r="CK93" s="612">
        <v>648792.0</v>
      </c>
      <c r="CL93" s="612">
        <v>648792.0</v>
      </c>
      <c r="CM93" s="612">
        <v>657803.0</v>
      </c>
      <c r="CN93" s="612">
        <v>675825.0</v>
      </c>
      <c r="CO93" s="612">
        <v>693847.0</v>
      </c>
      <c r="CP93" s="612">
        <v>702858.0</v>
      </c>
    </row>
    <row r="94">
      <c r="A94" s="645"/>
      <c r="B94" s="675" t="s">
        <v>407</v>
      </c>
      <c r="C94" s="676" t="b">
        <v>0</v>
      </c>
      <c r="D94" s="655" t="s">
        <v>710</v>
      </c>
      <c r="E94" s="656" t="s">
        <v>348</v>
      </c>
      <c r="F94" s="678"/>
      <c r="G94" s="625">
        <v>1.0</v>
      </c>
      <c r="H94" s="693">
        <v>1.0</v>
      </c>
      <c r="I94" s="637">
        <f>11660*1.07</f>
        <v>12476.2</v>
      </c>
      <c r="J94" s="594">
        <f>I94*IF($C$7=TRUE,VLOOKUP(B94,BuffsDebuffs!$P$8:$X$26,MATCH(E94,BuffsDebuffs!$P$8:$X$8,0),FALSE),1)*IF(AND($C$8=TRUE,H94=1),1.0778,1)*VLOOKUP($C$2,'scaling OLD'!$A$2:$H$55,8,False)*IF(K94="-",1,(1/K94*(1+((K94-1)*VLOOKUP($C$2,'scaling OLD'!$A$2:$H$55,4,False)))))*IF(K94="-",1,VLOOKUP($C$2,'scaling OLD'!$A$2:$H$55,5,False))*VLOOKUP($C$2,'scaling OLD'!$A$2:$H$55,6,False)*IF(AND(LEFT(C$2,7)="CE - Cr",B94="Sword"),1.35,1)</f>
        <v>13446.84836</v>
      </c>
      <c r="K94" s="213">
        <v>3.44</v>
      </c>
      <c r="L94" s="211">
        <v>7.0</v>
      </c>
      <c r="M94" s="211">
        <v>140.0</v>
      </c>
      <c r="N94" s="211">
        <v>37.0</v>
      </c>
      <c r="O94" s="215">
        <v>1.717</v>
      </c>
      <c r="P94" s="688">
        <f t="shared" si="24"/>
        <v>2.571428571</v>
      </c>
      <c r="Q94" s="694">
        <f t="shared" si="2"/>
        <v>94127.93852</v>
      </c>
      <c r="R94" s="600">
        <f t="shared" si="3"/>
        <v>21.87071429</v>
      </c>
      <c r="S94" s="622">
        <f t="shared" si="22"/>
        <v>497533.3893</v>
      </c>
      <c r="T94" s="602">
        <f t="shared" si="5"/>
        <v>470639.6926</v>
      </c>
      <c r="U94" s="623">
        <f t="shared" si="19"/>
        <v>36605.30942</v>
      </c>
      <c r="V94" s="624">
        <f t="shared" si="7"/>
        <v>22748.84043</v>
      </c>
      <c r="W94" s="605">
        <f t="shared" si="8"/>
        <v>23859.88766</v>
      </c>
      <c r="X94" s="606">
        <f t="shared" si="9"/>
        <v>21949.28444</v>
      </c>
      <c r="Y94" s="607">
        <f t="shared" si="10"/>
        <v>4</v>
      </c>
      <c r="Z94" s="608">
        <f t="shared" si="11"/>
        <v>13.132</v>
      </c>
      <c r="AA94" s="608">
        <f t="shared" si="12"/>
        <v>0.2748571429</v>
      </c>
      <c r="AB94" s="607">
        <f t="shared" si="13"/>
        <v>5</v>
      </c>
      <c r="AC94" s="607">
        <f t="shared" si="14"/>
        <v>470639.6926</v>
      </c>
      <c r="AD94" s="608">
        <f t="shared" si="15"/>
        <v>0</v>
      </c>
      <c r="AE94" s="607">
        <f t="shared" si="16"/>
        <v>0</v>
      </c>
      <c r="AF94" s="609">
        <f t="shared" si="17"/>
        <v>0</v>
      </c>
      <c r="AG94" s="628">
        <f t="shared" si="23"/>
        <v>470639.6926</v>
      </c>
      <c r="AH94" s="611"/>
      <c r="AI94" s="612">
        <v>25134.296000000002</v>
      </c>
      <c r="AJ94" s="612">
        <v>37701.444</v>
      </c>
      <c r="AK94" s="612">
        <v>50268.592000000004</v>
      </c>
      <c r="AL94" s="612">
        <v>62835.740000000005</v>
      </c>
      <c r="AM94" s="612">
        <v>75402.888</v>
      </c>
      <c r="AN94" s="612">
        <v>87970.03600000001</v>
      </c>
      <c r="AO94" s="612">
        <v>87970.03600000001</v>
      </c>
      <c r="AP94" s="612">
        <v>87970.03600000001</v>
      </c>
      <c r="AQ94" s="612">
        <v>100537.18400000001</v>
      </c>
      <c r="AR94" s="612">
        <v>113104.33200000001</v>
      </c>
      <c r="AS94" s="612">
        <v>125671.48000000001</v>
      </c>
      <c r="AT94" s="612">
        <v>138238.62800000003</v>
      </c>
      <c r="AU94" s="612">
        <v>163372.924</v>
      </c>
      <c r="AV94" s="612">
        <v>175940.07200000001</v>
      </c>
      <c r="AW94" s="612">
        <v>175940.07200000001</v>
      </c>
      <c r="AX94" s="612">
        <v>175940.07200000001</v>
      </c>
      <c r="AY94" s="612">
        <v>175940.07200000001</v>
      </c>
      <c r="AZ94" s="612">
        <v>188507.22000000003</v>
      </c>
      <c r="BA94" s="612">
        <v>213641.516</v>
      </c>
      <c r="BB94" s="612">
        <v>226208.66400000002</v>
      </c>
      <c r="BC94" s="612">
        <v>238775.81200000003</v>
      </c>
      <c r="BD94" s="612">
        <v>251342.96000000002</v>
      </c>
      <c r="BE94" s="612">
        <v>263910.108</v>
      </c>
      <c r="BF94" s="612">
        <v>263910.108</v>
      </c>
      <c r="BG94" s="612">
        <v>263910.108</v>
      </c>
      <c r="BH94" s="612">
        <v>276477.256</v>
      </c>
      <c r="BI94" s="612">
        <v>289044.404</v>
      </c>
      <c r="BJ94" s="612">
        <v>301611.552</v>
      </c>
      <c r="BK94" s="612">
        <v>314178.7</v>
      </c>
      <c r="BL94" s="612">
        <v>326745.848</v>
      </c>
      <c r="BM94" s="612">
        <v>351880.14400000003</v>
      </c>
      <c r="BN94" s="612">
        <v>351880.14400000003</v>
      </c>
      <c r="BO94" s="612">
        <v>351880.14400000003</v>
      </c>
      <c r="BP94" s="612">
        <v>351880.14400000003</v>
      </c>
      <c r="BQ94" s="612">
        <v>364447.292</v>
      </c>
      <c r="BR94" s="612">
        <v>377014.44000000006</v>
      </c>
      <c r="BS94" s="612">
        <v>402148.73600000003</v>
      </c>
      <c r="BT94" s="612">
        <v>414715.884</v>
      </c>
      <c r="BU94" s="612">
        <v>427283.032</v>
      </c>
      <c r="BV94" s="612">
        <v>439850.18000000005</v>
      </c>
      <c r="BW94" s="612">
        <v>439850.18000000005</v>
      </c>
      <c r="BX94" s="612">
        <v>439850.18000000005</v>
      </c>
      <c r="BY94" s="612">
        <v>452417.32800000004</v>
      </c>
      <c r="BZ94" s="612">
        <v>464984.476</v>
      </c>
      <c r="CA94" s="612">
        <v>464984.476</v>
      </c>
      <c r="CB94" s="612">
        <v>464984.476</v>
      </c>
      <c r="CC94" s="612">
        <v>464984.476</v>
      </c>
      <c r="CD94" s="612">
        <v>464984.476</v>
      </c>
      <c r="CE94" s="612">
        <v>464984.476</v>
      </c>
      <c r="CF94" s="612">
        <v>464984.476</v>
      </c>
      <c r="CG94" s="612">
        <v>464984.476</v>
      </c>
      <c r="CH94" s="612">
        <v>464984.476</v>
      </c>
      <c r="CI94" s="612">
        <v>464984.476</v>
      </c>
      <c r="CJ94" s="612">
        <v>464984.476</v>
      </c>
      <c r="CK94" s="612">
        <v>464984.476</v>
      </c>
      <c r="CL94" s="612">
        <v>464984.476</v>
      </c>
      <c r="CM94" s="612">
        <v>464984.476</v>
      </c>
      <c r="CN94" s="612">
        <v>464984.476</v>
      </c>
      <c r="CO94" s="612">
        <v>464984.476</v>
      </c>
      <c r="CP94" s="612">
        <v>464984.476</v>
      </c>
    </row>
    <row r="95">
      <c r="A95" s="645"/>
      <c r="B95" s="695" t="s">
        <v>363</v>
      </c>
      <c r="C95" s="696" t="b">
        <v>0</v>
      </c>
      <c r="D95" s="697" t="s">
        <v>711</v>
      </c>
      <c r="E95" s="698" t="s">
        <v>494</v>
      </c>
      <c r="F95" s="699" t="s">
        <v>712</v>
      </c>
      <c r="G95" s="625">
        <v>1.0</v>
      </c>
      <c r="H95" s="690"/>
      <c r="I95" s="617">
        <v>14421.0</v>
      </c>
      <c r="J95" s="618">
        <f>I95*IF($C$7=TRUE,VLOOKUP(B95,BuffsDebuffs!$P$8:$X$26,MATCH(E95,BuffsDebuffs!$P$8:$X$8,0),FALSE),1)*IF(AND($C$8=TRUE,H95=1),1.0778,1)*VLOOKUP($C$2,'scaling OLD'!$A$2:$H$55,8,False)*IF(K95="-",1,(1/K95*(1+((K95-1)*VLOOKUP($C$2,'scaling OLD'!$A$2:$H$55,4,False)))))*IF(K95="-",1,VLOOKUP($C$2,'scaling OLD'!$A$2:$H$55,5,False))*VLOOKUP($C$2,'scaling OLD'!$A$2:$H$55,6,False)*IF(AND(LEFT(C$2,7)="CE - Cr",B95="Sword"),1.35,1)</f>
        <v>14421</v>
      </c>
      <c r="K95" s="186" t="s">
        <v>349</v>
      </c>
      <c r="L95" s="184">
        <v>33.0</v>
      </c>
      <c r="M95" s="184">
        <v>94.73</v>
      </c>
      <c r="N95" s="184">
        <v>33.0</v>
      </c>
      <c r="O95" s="188">
        <v>0.0</v>
      </c>
      <c r="P95" s="691">
        <f t="shared" si="24"/>
        <v>20.26813048</v>
      </c>
      <c r="Q95" s="692">
        <f t="shared" si="2"/>
        <v>475893</v>
      </c>
      <c r="R95" s="621">
        <f t="shared" si="3"/>
        <v>20.26813048</v>
      </c>
      <c r="S95" s="622">
        <f t="shared" si="22"/>
        <v>475893</v>
      </c>
      <c r="T95" s="602">
        <f t="shared" si="5"/>
        <v>475893</v>
      </c>
      <c r="U95" s="623">
        <f t="shared" si="19"/>
        <v>23479.86661</v>
      </c>
      <c r="V95" s="624">
        <f t="shared" si="7"/>
        <v>23479.86661</v>
      </c>
      <c r="W95" s="605">
        <f t="shared" si="8"/>
        <v>23479.86661</v>
      </c>
      <c r="X95" s="606">
        <f t="shared" si="9"/>
        <v>23479.86661</v>
      </c>
      <c r="Y95" s="607">
        <f t="shared" si="10"/>
        <v>0</v>
      </c>
      <c r="Z95" s="608">
        <f t="shared" si="11"/>
        <v>20</v>
      </c>
      <c r="AA95" s="608">
        <f t="shared" si="12"/>
        <v>0</v>
      </c>
      <c r="AB95" s="607">
        <f t="shared" si="13"/>
        <v>0</v>
      </c>
      <c r="AC95" s="607">
        <f t="shared" si="14"/>
        <v>0</v>
      </c>
      <c r="AD95" s="608">
        <f t="shared" si="15"/>
        <v>20</v>
      </c>
      <c r="AE95" s="607">
        <f t="shared" si="16"/>
        <v>32</v>
      </c>
      <c r="AF95" s="609">
        <f t="shared" si="17"/>
        <v>461472</v>
      </c>
      <c r="AG95" s="628">
        <f t="shared" si="23"/>
        <v>461472</v>
      </c>
      <c r="AH95" s="611"/>
      <c r="AI95" s="612">
        <v>14421.0</v>
      </c>
      <c r="AJ95" s="612">
        <v>28842.0</v>
      </c>
      <c r="AK95" s="612">
        <v>43263.0</v>
      </c>
      <c r="AL95" s="612">
        <v>57684.0</v>
      </c>
      <c r="AM95" s="612">
        <v>57684.0</v>
      </c>
      <c r="AN95" s="612">
        <v>72105.0</v>
      </c>
      <c r="AO95" s="612">
        <v>86526.0</v>
      </c>
      <c r="AP95" s="612">
        <v>100947.0</v>
      </c>
      <c r="AQ95" s="612">
        <v>115368.0</v>
      </c>
      <c r="AR95" s="612">
        <v>115368.0</v>
      </c>
      <c r="AS95" s="612">
        <v>129789.0</v>
      </c>
      <c r="AT95" s="612">
        <v>144210.0</v>
      </c>
      <c r="AU95" s="612">
        <v>158631.0</v>
      </c>
      <c r="AV95" s="612">
        <v>173052.0</v>
      </c>
      <c r="AW95" s="612">
        <v>173052.0</v>
      </c>
      <c r="AX95" s="612">
        <v>187473.0</v>
      </c>
      <c r="AY95" s="612">
        <v>201894.0</v>
      </c>
      <c r="AZ95" s="612">
        <v>216315.0</v>
      </c>
      <c r="BA95" s="612">
        <v>216315.0</v>
      </c>
      <c r="BB95" s="612">
        <v>230736.0</v>
      </c>
      <c r="BC95" s="612">
        <v>245157.0</v>
      </c>
      <c r="BD95" s="612">
        <v>259578.0</v>
      </c>
      <c r="BE95" s="612">
        <v>273999.0</v>
      </c>
      <c r="BF95" s="612">
        <v>273999.0</v>
      </c>
      <c r="BG95" s="612">
        <v>288420.0</v>
      </c>
      <c r="BH95" s="612">
        <v>302841.0</v>
      </c>
      <c r="BI95" s="612">
        <v>317262.0</v>
      </c>
      <c r="BJ95" s="612">
        <v>331683.0</v>
      </c>
      <c r="BK95" s="612">
        <v>331683.0</v>
      </c>
      <c r="BL95" s="612">
        <v>346104.0</v>
      </c>
      <c r="BM95" s="612">
        <v>360525.0</v>
      </c>
      <c r="BN95" s="612">
        <v>374946.0</v>
      </c>
      <c r="BO95" s="612">
        <v>389367.0</v>
      </c>
      <c r="BP95" s="612">
        <v>389367.0</v>
      </c>
      <c r="BQ95" s="612">
        <v>403788.0</v>
      </c>
      <c r="BR95" s="612">
        <v>418209.0</v>
      </c>
      <c r="BS95" s="612">
        <v>432630.0</v>
      </c>
      <c r="BT95" s="612">
        <v>432630.0</v>
      </c>
      <c r="BU95" s="612">
        <v>447051.0</v>
      </c>
      <c r="BV95" s="612">
        <v>461472.0</v>
      </c>
      <c r="BW95" s="612">
        <v>475893.0</v>
      </c>
      <c r="BX95" s="612">
        <v>475893.0</v>
      </c>
      <c r="BY95" s="612">
        <v>475893.0</v>
      </c>
      <c r="BZ95" s="612">
        <v>475893.0</v>
      </c>
      <c r="CA95" s="612">
        <v>475893.0</v>
      </c>
      <c r="CB95" s="612">
        <v>475893.0</v>
      </c>
      <c r="CC95" s="612">
        <v>475893.0</v>
      </c>
      <c r="CD95" s="612">
        <v>475893.0</v>
      </c>
      <c r="CE95" s="612">
        <v>475893.0</v>
      </c>
      <c r="CF95" s="612">
        <v>475893.0</v>
      </c>
      <c r="CG95" s="612">
        <v>475893.0</v>
      </c>
      <c r="CH95" s="612">
        <v>475893.0</v>
      </c>
      <c r="CI95" s="612">
        <v>475893.0</v>
      </c>
      <c r="CJ95" s="612">
        <v>475893.0</v>
      </c>
      <c r="CK95" s="612">
        <v>475893.0</v>
      </c>
      <c r="CL95" s="612">
        <v>475893.0</v>
      </c>
      <c r="CM95" s="612">
        <v>475893.0</v>
      </c>
      <c r="CN95" s="612">
        <v>475893.0</v>
      </c>
      <c r="CO95" s="612">
        <v>475893.0</v>
      </c>
      <c r="CP95" s="612">
        <v>475893.0</v>
      </c>
    </row>
    <row r="96">
      <c r="A96" s="645"/>
      <c r="B96" s="613" t="s">
        <v>394</v>
      </c>
      <c r="C96" s="632" t="b">
        <v>0</v>
      </c>
      <c r="D96" s="655" t="s">
        <v>713</v>
      </c>
      <c r="E96" s="656" t="s">
        <v>348</v>
      </c>
      <c r="F96" s="678"/>
      <c r="G96" s="648">
        <v>1.0</v>
      </c>
      <c r="H96" s="646">
        <v>1.0</v>
      </c>
      <c r="I96" s="617">
        <f>22220*1.1</f>
        <v>24442</v>
      </c>
      <c r="J96" s="594">
        <f>I96*IF($C$7=TRUE,VLOOKUP(B96,BuffsDebuffs!$P$8:$X$26,MATCH(E96,BuffsDebuffs!$P$8:$X$8,0),FALSE),1)*IF(AND($C$8=TRUE,H96=1),1.0778,1)*VLOOKUP($C$2,'scaling OLD'!$A$2:$H$55,8,False)*IF(K96="-",1,(1/K96*(1+((K96-1)*VLOOKUP($C$2,'scaling OLD'!$A$2:$H$55,4,False)))))*IF(K96="-",1,VLOOKUP($C$2,'scaling OLD'!$A$2:$H$55,5,False))*VLOOKUP($C$2,'scaling OLD'!$A$2:$H$55,6,False)*IF(AND(LEFT(C$2,7)="CE - Cr",B96="Sword"),1.35,1)</f>
        <v>26343.5876</v>
      </c>
      <c r="K96" s="186">
        <v>1.1</v>
      </c>
      <c r="L96" s="184">
        <v>4.0</v>
      </c>
      <c r="M96" s="184">
        <v>55.0</v>
      </c>
      <c r="N96" s="184">
        <v>22.0</v>
      </c>
      <c r="O96" s="188">
        <v>1.734</v>
      </c>
      <c r="P96" s="688">
        <f t="shared" si="24"/>
        <v>3.272727273</v>
      </c>
      <c r="Q96" s="694">
        <f t="shared" si="2"/>
        <v>105374.3504</v>
      </c>
      <c r="R96" s="600">
        <f t="shared" si="3"/>
        <v>26.12454545</v>
      </c>
      <c r="S96" s="622">
        <f t="shared" si="22"/>
        <v>579558.9272</v>
      </c>
      <c r="T96" s="602">
        <f t="shared" si="5"/>
        <v>526871.752</v>
      </c>
      <c r="U96" s="623">
        <f t="shared" si="19"/>
        <v>32197.71818</v>
      </c>
      <c r="V96" s="624">
        <f t="shared" si="7"/>
        <v>22184.45975</v>
      </c>
      <c r="W96" s="605">
        <f t="shared" si="8"/>
        <v>22612.87446</v>
      </c>
      <c r="X96" s="606">
        <f t="shared" si="9"/>
        <v>21046.5529</v>
      </c>
      <c r="Y96" s="607">
        <f t="shared" si="10"/>
        <v>3</v>
      </c>
      <c r="Z96" s="608">
        <f t="shared" si="11"/>
        <v>14.798</v>
      </c>
      <c r="AA96" s="608">
        <f t="shared" si="12"/>
        <v>1.707090909</v>
      </c>
      <c r="AB96" s="607">
        <f t="shared" si="13"/>
        <v>4</v>
      </c>
      <c r="AC96" s="607">
        <f t="shared" si="14"/>
        <v>421497.4016</v>
      </c>
      <c r="AD96" s="608">
        <f t="shared" si="15"/>
        <v>0</v>
      </c>
      <c r="AE96" s="607">
        <f t="shared" si="16"/>
        <v>0</v>
      </c>
      <c r="AF96" s="609">
        <f t="shared" si="17"/>
        <v>0</v>
      </c>
      <c r="AG96" s="628">
        <f t="shared" si="23"/>
        <v>421497.4016</v>
      </c>
      <c r="AH96" s="611"/>
      <c r="AI96" s="612">
        <v>23948.716</v>
      </c>
      <c r="AJ96" s="612">
        <v>23948.716</v>
      </c>
      <c r="AK96" s="612">
        <v>47897.432</v>
      </c>
      <c r="AL96" s="612">
        <v>47897.432</v>
      </c>
      <c r="AM96" s="612">
        <v>71846.148</v>
      </c>
      <c r="AN96" s="612">
        <v>71846.148</v>
      </c>
      <c r="AO96" s="612">
        <v>95794.864</v>
      </c>
      <c r="AP96" s="612">
        <v>95794.864</v>
      </c>
      <c r="AQ96" s="612">
        <v>95794.864</v>
      </c>
      <c r="AR96" s="612">
        <v>95794.864</v>
      </c>
      <c r="AS96" s="612">
        <v>119743.58</v>
      </c>
      <c r="AT96" s="612">
        <v>119743.58</v>
      </c>
      <c r="AU96" s="612">
        <v>143692.296</v>
      </c>
      <c r="AV96" s="612">
        <v>143692.296</v>
      </c>
      <c r="AW96" s="612">
        <v>167641.012</v>
      </c>
      <c r="AX96" s="612">
        <v>167641.012</v>
      </c>
      <c r="AY96" s="612">
        <v>191589.728</v>
      </c>
      <c r="AZ96" s="612">
        <v>191589.728</v>
      </c>
      <c r="BA96" s="612">
        <v>191589.728</v>
      </c>
      <c r="BB96" s="612">
        <v>191589.728</v>
      </c>
      <c r="BC96" s="612">
        <v>215538.44400000002</v>
      </c>
      <c r="BD96" s="612">
        <v>215538.44400000002</v>
      </c>
      <c r="BE96" s="612">
        <v>239487.16</v>
      </c>
      <c r="BF96" s="612">
        <v>239487.16</v>
      </c>
      <c r="BG96" s="612">
        <v>263435.876</v>
      </c>
      <c r="BH96" s="612">
        <v>263435.876</v>
      </c>
      <c r="BI96" s="612">
        <v>287384.592</v>
      </c>
      <c r="BJ96" s="612">
        <v>287384.592</v>
      </c>
      <c r="BK96" s="612">
        <v>287384.592</v>
      </c>
      <c r="BL96" s="612">
        <v>287384.592</v>
      </c>
      <c r="BM96" s="612">
        <v>311333.308</v>
      </c>
      <c r="BN96" s="612">
        <v>311333.308</v>
      </c>
      <c r="BO96" s="612">
        <v>335282.024</v>
      </c>
      <c r="BP96" s="612">
        <v>335282.024</v>
      </c>
      <c r="BQ96" s="612">
        <v>359230.74</v>
      </c>
      <c r="BR96" s="612">
        <v>359230.74</v>
      </c>
      <c r="BS96" s="612">
        <v>383179.456</v>
      </c>
      <c r="BT96" s="612">
        <v>383179.456</v>
      </c>
      <c r="BU96" s="612">
        <v>383179.456</v>
      </c>
      <c r="BV96" s="612">
        <v>383179.456</v>
      </c>
      <c r="BW96" s="612">
        <v>407128.172</v>
      </c>
      <c r="BX96" s="612">
        <v>407128.172</v>
      </c>
      <c r="BY96" s="612">
        <v>431076.88800000004</v>
      </c>
      <c r="BZ96" s="612">
        <v>431076.88800000004</v>
      </c>
      <c r="CA96" s="612">
        <v>455025.604</v>
      </c>
      <c r="CB96" s="612">
        <v>455025.604</v>
      </c>
      <c r="CC96" s="612">
        <v>478974.32</v>
      </c>
      <c r="CD96" s="612">
        <v>478974.32</v>
      </c>
      <c r="CE96" s="612">
        <v>478974.32</v>
      </c>
      <c r="CF96" s="612">
        <v>478974.32</v>
      </c>
      <c r="CG96" s="612">
        <v>502923.036</v>
      </c>
      <c r="CH96" s="612">
        <v>502923.036</v>
      </c>
      <c r="CI96" s="612">
        <v>526871.752</v>
      </c>
      <c r="CJ96" s="612">
        <v>526871.752</v>
      </c>
      <c r="CK96" s="612">
        <v>526871.752</v>
      </c>
      <c r="CL96" s="612">
        <v>526871.752</v>
      </c>
      <c r="CM96" s="612">
        <v>526871.752</v>
      </c>
      <c r="CN96" s="612">
        <v>526871.752</v>
      </c>
      <c r="CO96" s="612">
        <v>526871.752</v>
      </c>
      <c r="CP96" s="612">
        <v>526871.752</v>
      </c>
    </row>
    <row r="97">
      <c r="A97" s="645"/>
      <c r="B97" s="700" t="s">
        <v>407</v>
      </c>
      <c r="C97" s="701" t="b">
        <v>0</v>
      </c>
      <c r="D97" s="655" t="s">
        <v>714</v>
      </c>
      <c r="E97" s="656" t="s">
        <v>348</v>
      </c>
      <c r="F97" s="678"/>
      <c r="G97" s="625">
        <v>1.0</v>
      </c>
      <c r="H97" s="702">
        <v>1.0</v>
      </c>
      <c r="I97" s="617">
        <f>15394*1.07</f>
        <v>16471.58</v>
      </c>
      <c r="J97" s="618">
        <f>I97*IF($C$7=TRUE,VLOOKUP(B97,BuffsDebuffs!$P$8:$X$26,MATCH(E97,BuffsDebuffs!$P$8:$X$8,0),FALSE),1)*IF(AND($C$8=TRUE,H97=1),1.0778,1)*VLOOKUP($C$2,'scaling OLD'!$A$2:$H$55,8,False)*IF(K97="-",1,(1/K97*(1+((K97-1)*VLOOKUP($C$2,'scaling OLD'!$A$2:$H$55,4,False)))))*IF(K97="-",1,VLOOKUP($C$2,'scaling OLD'!$A$2:$H$55,5,False))*VLOOKUP($C$2,'scaling OLD'!$A$2:$H$55,6,False)*IF(AND(LEFT(C$2,7)="CE - Cr",B97="Sword"),1.35,1)</f>
        <v>17753.06892</v>
      </c>
      <c r="K97" s="186">
        <v>3.25</v>
      </c>
      <c r="L97" s="184">
        <v>5.0</v>
      </c>
      <c r="M97" s="184">
        <v>90.0</v>
      </c>
      <c r="N97" s="184">
        <v>24.0</v>
      </c>
      <c r="O97" s="188">
        <v>1.717</v>
      </c>
      <c r="P97" s="691">
        <f t="shared" si="24"/>
        <v>2.666666667</v>
      </c>
      <c r="Q97" s="692">
        <f t="shared" si="2"/>
        <v>88765.34462</v>
      </c>
      <c r="R97" s="621">
        <f t="shared" si="3"/>
        <v>19.53466667</v>
      </c>
      <c r="S97" s="622">
        <f t="shared" si="22"/>
        <v>426073.6542</v>
      </c>
      <c r="T97" s="602">
        <f t="shared" si="5"/>
        <v>355061.3785</v>
      </c>
      <c r="U97" s="623">
        <f t="shared" si="19"/>
        <v>33287.00423</v>
      </c>
      <c r="V97" s="624">
        <f t="shared" si="7"/>
        <v>21811.1556</v>
      </c>
      <c r="W97" s="605">
        <f t="shared" si="8"/>
        <v>22447.14002</v>
      </c>
      <c r="X97" s="606">
        <f t="shared" si="9"/>
        <v>20249.10911</v>
      </c>
      <c r="Y97" s="607">
        <f t="shared" si="10"/>
        <v>4</v>
      </c>
      <c r="Z97" s="608">
        <f t="shared" si="11"/>
        <v>13.132</v>
      </c>
      <c r="AA97" s="608">
        <f t="shared" si="12"/>
        <v>0</v>
      </c>
      <c r="AB97" s="607">
        <f t="shared" si="13"/>
        <v>4</v>
      </c>
      <c r="AC97" s="607">
        <f t="shared" si="14"/>
        <v>355061.3785</v>
      </c>
      <c r="AD97" s="608">
        <f t="shared" si="15"/>
        <v>2.465333333</v>
      </c>
      <c r="AE97" s="607">
        <f t="shared" si="16"/>
        <v>4</v>
      </c>
      <c r="AF97" s="609">
        <f t="shared" si="17"/>
        <v>71012.2757</v>
      </c>
      <c r="AG97" s="628">
        <f t="shared" si="23"/>
        <v>426073.6542</v>
      </c>
      <c r="AH97" s="611"/>
      <c r="AI97" s="612">
        <v>16591.6532</v>
      </c>
      <c r="AJ97" s="612">
        <v>33183.3064</v>
      </c>
      <c r="AK97" s="612">
        <v>49774.9596</v>
      </c>
      <c r="AL97" s="612">
        <v>66366.6128</v>
      </c>
      <c r="AM97" s="612">
        <v>66366.6128</v>
      </c>
      <c r="AN97" s="612">
        <v>82958.266</v>
      </c>
      <c r="AO97" s="612">
        <v>82958.266</v>
      </c>
      <c r="AP97" s="612">
        <v>82958.266</v>
      </c>
      <c r="AQ97" s="612">
        <v>99549.9192</v>
      </c>
      <c r="AR97" s="612">
        <v>99549.9192</v>
      </c>
      <c r="AS97" s="612">
        <v>116141.5724</v>
      </c>
      <c r="AT97" s="612">
        <v>132733.2256</v>
      </c>
      <c r="AU97" s="612">
        <v>149324.8788</v>
      </c>
      <c r="AV97" s="612">
        <v>149324.8788</v>
      </c>
      <c r="AW97" s="612">
        <v>165916.532</v>
      </c>
      <c r="AX97" s="612">
        <v>165916.532</v>
      </c>
      <c r="AY97" s="612">
        <v>165916.532</v>
      </c>
      <c r="AZ97" s="612">
        <v>182508.1852</v>
      </c>
      <c r="BA97" s="612">
        <v>199099.8384</v>
      </c>
      <c r="BB97" s="612">
        <v>199099.8384</v>
      </c>
      <c r="BC97" s="612">
        <v>215691.4916</v>
      </c>
      <c r="BD97" s="612">
        <v>232283.1448</v>
      </c>
      <c r="BE97" s="612">
        <v>248874.798</v>
      </c>
      <c r="BF97" s="612">
        <v>248874.798</v>
      </c>
      <c r="BG97" s="612">
        <v>248874.798</v>
      </c>
      <c r="BH97" s="612">
        <v>248874.798</v>
      </c>
      <c r="BI97" s="612">
        <v>265466.4512</v>
      </c>
      <c r="BJ97" s="612">
        <v>282058.1044</v>
      </c>
      <c r="BK97" s="612">
        <v>298649.7576</v>
      </c>
      <c r="BL97" s="612">
        <v>298649.7576</v>
      </c>
      <c r="BM97" s="612">
        <v>315241.4108</v>
      </c>
      <c r="BN97" s="612">
        <v>331833.064</v>
      </c>
      <c r="BO97" s="612">
        <v>331833.064</v>
      </c>
      <c r="BP97" s="612">
        <v>331833.064</v>
      </c>
      <c r="BQ97" s="612">
        <v>331833.064</v>
      </c>
      <c r="BR97" s="612">
        <v>348424.7172</v>
      </c>
      <c r="BS97" s="612">
        <v>365016.3704</v>
      </c>
      <c r="BT97" s="612">
        <v>381608.0236</v>
      </c>
      <c r="BU97" s="612">
        <v>381608.0236</v>
      </c>
      <c r="BV97" s="612">
        <v>398199.6768</v>
      </c>
      <c r="BW97" s="612">
        <v>398199.6768</v>
      </c>
      <c r="BX97" s="612">
        <v>398199.6768</v>
      </c>
      <c r="BY97" s="612">
        <v>398199.6768</v>
      </c>
      <c r="BZ97" s="612">
        <v>398199.6768</v>
      </c>
      <c r="CA97" s="612">
        <v>398199.6768</v>
      </c>
      <c r="CB97" s="612">
        <v>398199.6768</v>
      </c>
      <c r="CC97" s="612">
        <v>398199.6768</v>
      </c>
      <c r="CD97" s="612">
        <v>398199.6768</v>
      </c>
      <c r="CE97" s="612">
        <v>398199.6768</v>
      </c>
      <c r="CF97" s="612">
        <v>398199.6768</v>
      </c>
      <c r="CG97" s="612">
        <v>398199.6768</v>
      </c>
      <c r="CH97" s="612">
        <v>398199.6768</v>
      </c>
      <c r="CI97" s="612">
        <v>398199.6768</v>
      </c>
      <c r="CJ97" s="612">
        <v>398199.6768</v>
      </c>
      <c r="CK97" s="612">
        <v>398199.6768</v>
      </c>
      <c r="CL97" s="612">
        <v>398199.6768</v>
      </c>
      <c r="CM97" s="612">
        <v>398199.6768</v>
      </c>
      <c r="CN97" s="612">
        <v>398199.6768</v>
      </c>
      <c r="CO97" s="612">
        <v>398199.6768</v>
      </c>
      <c r="CP97" s="612">
        <v>398199.6768</v>
      </c>
    </row>
    <row r="98">
      <c r="A98" s="645"/>
      <c r="B98" s="700" t="s">
        <v>394</v>
      </c>
      <c r="C98" s="703" t="b">
        <v>0</v>
      </c>
      <c r="D98" s="655" t="s">
        <v>715</v>
      </c>
      <c r="E98" s="656" t="s">
        <v>348</v>
      </c>
      <c r="F98" s="678"/>
      <c r="G98" s="648">
        <v>1.0</v>
      </c>
      <c r="H98" s="693">
        <v>1.0</v>
      </c>
      <c r="I98" s="617">
        <f>22220*1.1</f>
        <v>24442</v>
      </c>
      <c r="J98" s="594">
        <f>I98*IF($C$7=TRUE,VLOOKUP(B98,BuffsDebuffs!$P$8:$X$26,MATCH(E98,BuffsDebuffs!$P$8:$X$8,0),FALSE),1)*IF(AND($C$8=TRUE,H98=1),1.0778,1)*VLOOKUP($C$2,'scaling OLD'!$A$2:$H$55,8,False)*IF(K98="-",1,(1/K98*(1+((K98-1)*VLOOKUP($C$2,'scaling OLD'!$A$2:$H$55,4,False)))))*IF(K98="-",1,VLOOKUP($C$2,'scaling OLD'!$A$2:$H$55,5,False))*VLOOKUP($C$2,'scaling OLD'!$A$2:$H$55,6,False)*IF(AND(LEFT(C$2,7)="CE - Cr",B98="Sword"),1.35,1)</f>
        <v>26343.5876</v>
      </c>
      <c r="K98" s="186">
        <v>1.1</v>
      </c>
      <c r="L98" s="184">
        <v>5.0</v>
      </c>
      <c r="M98" s="184">
        <v>55.0</v>
      </c>
      <c r="N98" s="184">
        <v>21.0</v>
      </c>
      <c r="O98" s="188">
        <v>2.117</v>
      </c>
      <c r="P98" s="688">
        <f t="shared" si="24"/>
        <v>4.363636364</v>
      </c>
      <c r="Q98" s="694">
        <f t="shared" si="2"/>
        <v>131717.938</v>
      </c>
      <c r="R98" s="600">
        <f t="shared" si="3"/>
        <v>25.92254545</v>
      </c>
      <c r="S98" s="622">
        <f t="shared" si="22"/>
        <v>553215.3396</v>
      </c>
      <c r="T98" s="602">
        <f t="shared" si="5"/>
        <v>526871.752</v>
      </c>
      <c r="U98" s="623">
        <f t="shared" si="19"/>
        <v>30185.36079</v>
      </c>
      <c r="V98" s="624">
        <f t="shared" si="7"/>
        <v>21341.08861</v>
      </c>
      <c r="W98" s="605">
        <f t="shared" si="8"/>
        <v>22132.31169</v>
      </c>
      <c r="X98" s="606">
        <f t="shared" si="9"/>
        <v>20324.8463</v>
      </c>
      <c r="Y98" s="607">
        <f t="shared" si="10"/>
        <v>3</v>
      </c>
      <c r="Z98" s="608">
        <f t="shared" si="11"/>
        <v>13.649</v>
      </c>
      <c r="AA98" s="608">
        <f t="shared" si="12"/>
        <v>0</v>
      </c>
      <c r="AB98" s="607">
        <f t="shared" si="13"/>
        <v>3</v>
      </c>
      <c r="AC98" s="607">
        <f t="shared" si="14"/>
        <v>395153.814</v>
      </c>
      <c r="AD98" s="608">
        <f t="shared" si="15"/>
        <v>0.5580909091</v>
      </c>
      <c r="AE98" s="607">
        <f t="shared" si="16"/>
        <v>1</v>
      </c>
      <c r="AF98" s="609">
        <f t="shared" si="17"/>
        <v>26343.5876</v>
      </c>
      <c r="AG98" s="628">
        <f t="shared" si="23"/>
        <v>421497.4016</v>
      </c>
      <c r="AH98" s="611"/>
      <c r="AI98" s="612">
        <v>23948.716</v>
      </c>
      <c r="AJ98" s="612">
        <v>23948.716</v>
      </c>
      <c r="AK98" s="612">
        <v>47897.432</v>
      </c>
      <c r="AL98" s="612">
        <v>47897.432</v>
      </c>
      <c r="AM98" s="612">
        <v>71846.148</v>
      </c>
      <c r="AN98" s="612">
        <v>71846.148</v>
      </c>
      <c r="AO98" s="612">
        <v>95794.864</v>
      </c>
      <c r="AP98" s="612">
        <v>95794.864</v>
      </c>
      <c r="AQ98" s="612">
        <v>119743.58</v>
      </c>
      <c r="AR98" s="612">
        <v>119743.58</v>
      </c>
      <c r="AS98" s="612">
        <v>119743.58</v>
      </c>
      <c r="AT98" s="612">
        <v>119743.58</v>
      </c>
      <c r="AU98" s="612">
        <v>143692.296</v>
      </c>
      <c r="AV98" s="612">
        <v>143692.296</v>
      </c>
      <c r="AW98" s="612">
        <v>143692.296</v>
      </c>
      <c r="AX98" s="612">
        <v>167641.012</v>
      </c>
      <c r="AY98" s="612">
        <v>167641.012</v>
      </c>
      <c r="AZ98" s="612">
        <v>191589.728</v>
      </c>
      <c r="BA98" s="612">
        <v>191589.728</v>
      </c>
      <c r="BB98" s="612">
        <v>215538.44400000002</v>
      </c>
      <c r="BC98" s="612">
        <v>215538.44400000002</v>
      </c>
      <c r="BD98" s="612">
        <v>239487.16</v>
      </c>
      <c r="BE98" s="612">
        <v>239487.16</v>
      </c>
      <c r="BF98" s="612">
        <v>239487.16</v>
      </c>
      <c r="BG98" s="612">
        <v>239487.16</v>
      </c>
      <c r="BH98" s="612">
        <v>263435.876</v>
      </c>
      <c r="BI98" s="612">
        <v>263435.876</v>
      </c>
      <c r="BJ98" s="612">
        <v>263435.876</v>
      </c>
      <c r="BK98" s="612">
        <v>287384.592</v>
      </c>
      <c r="BL98" s="612">
        <v>287384.592</v>
      </c>
      <c r="BM98" s="612">
        <v>311333.308</v>
      </c>
      <c r="BN98" s="612">
        <v>311333.308</v>
      </c>
      <c r="BO98" s="612">
        <v>335282.024</v>
      </c>
      <c r="BP98" s="612">
        <v>335282.024</v>
      </c>
      <c r="BQ98" s="612">
        <v>359230.74</v>
      </c>
      <c r="BR98" s="612">
        <v>359230.74</v>
      </c>
      <c r="BS98" s="612">
        <v>359230.74</v>
      </c>
      <c r="BT98" s="612">
        <v>359230.74</v>
      </c>
      <c r="BU98" s="612">
        <v>383179.456</v>
      </c>
      <c r="BV98" s="612">
        <v>383179.456</v>
      </c>
      <c r="BW98" s="612">
        <v>383179.456</v>
      </c>
      <c r="BX98" s="612">
        <v>407128.172</v>
      </c>
      <c r="BY98" s="612">
        <v>407128.172</v>
      </c>
      <c r="BZ98" s="612">
        <v>431076.888</v>
      </c>
      <c r="CA98" s="612">
        <v>431076.888</v>
      </c>
      <c r="CB98" s="612">
        <v>455025.604</v>
      </c>
      <c r="CC98" s="612">
        <v>455025.604</v>
      </c>
      <c r="CD98" s="612">
        <v>478974.32</v>
      </c>
      <c r="CE98" s="612">
        <v>478974.32</v>
      </c>
      <c r="CF98" s="612">
        <v>478974.32</v>
      </c>
      <c r="CG98" s="612">
        <v>478974.32</v>
      </c>
      <c r="CH98" s="612">
        <v>502923.036</v>
      </c>
      <c r="CI98" s="612">
        <v>502923.036</v>
      </c>
      <c r="CJ98" s="612">
        <v>502923.036</v>
      </c>
      <c r="CK98" s="612">
        <v>502923.036</v>
      </c>
      <c r="CL98" s="612">
        <v>502923.036</v>
      </c>
      <c r="CM98" s="612">
        <v>502923.036</v>
      </c>
      <c r="CN98" s="612">
        <v>502923.036</v>
      </c>
      <c r="CO98" s="612">
        <v>502923.036</v>
      </c>
      <c r="CP98" s="612">
        <v>502923.036</v>
      </c>
    </row>
    <row r="99">
      <c r="A99" s="645"/>
      <c r="B99" s="675" t="s">
        <v>407</v>
      </c>
      <c r="C99" s="704" t="b">
        <v>0</v>
      </c>
      <c r="D99" s="589" t="s">
        <v>672</v>
      </c>
      <c r="E99" s="615" t="s">
        <v>468</v>
      </c>
      <c r="F99" s="672"/>
      <c r="G99" s="625">
        <v>1.0</v>
      </c>
      <c r="H99" s="687"/>
      <c r="I99" s="637">
        <f>17703*1.07</f>
        <v>18942.21</v>
      </c>
      <c r="J99" s="618">
        <f>I99*IF($C$7=TRUE,VLOOKUP(B99,BuffsDebuffs!$P$8:$X$26,MATCH(E99,BuffsDebuffs!$P$8:$X$8,0),FALSE),1)*IF(AND($C$8=TRUE,H99=1),1.0778,1)*VLOOKUP($C$2,'scaling OLD'!$A$2:$H$55,8,False)*IF(K99="-",1,(1/K99*(1+((K99-1)*VLOOKUP($C$2,'scaling OLD'!$A$2:$H$55,4,False)))))*IF(K99="-",1,VLOOKUP($C$2,'scaling OLD'!$A$2:$H$55,5,False))*VLOOKUP($C$2,'scaling OLD'!$A$2:$H$55,6,False)*IF(AND(LEFT(C$2,7)="CE - Cr",B99="Sword"),1.35,1)</f>
        <v>18942.21</v>
      </c>
      <c r="K99" s="213">
        <v>3.25</v>
      </c>
      <c r="L99" s="211">
        <v>4.0</v>
      </c>
      <c r="M99" s="211">
        <v>90.0</v>
      </c>
      <c r="N99" s="211">
        <v>24.0</v>
      </c>
      <c r="O99" s="215">
        <v>1.717</v>
      </c>
      <c r="P99" s="691">
        <f t="shared" si="24"/>
        <v>2</v>
      </c>
      <c r="Q99" s="692">
        <f t="shared" si="2"/>
        <v>75768.84</v>
      </c>
      <c r="R99" s="621">
        <f t="shared" si="3"/>
        <v>20.585</v>
      </c>
      <c r="S99" s="622">
        <f t="shared" si="22"/>
        <v>454613.04</v>
      </c>
      <c r="T99" s="602">
        <f t="shared" si="5"/>
        <v>454613.04</v>
      </c>
      <c r="U99" s="623">
        <f t="shared" si="19"/>
        <v>37884.42</v>
      </c>
      <c r="V99" s="624">
        <f t="shared" si="7"/>
        <v>22084.67525</v>
      </c>
      <c r="W99" s="605">
        <f t="shared" si="8"/>
        <v>22084.67525</v>
      </c>
      <c r="X99" s="606">
        <f t="shared" si="9"/>
        <v>20384.40678</v>
      </c>
      <c r="Y99" s="607">
        <f t="shared" si="10"/>
        <v>5</v>
      </c>
      <c r="Z99" s="608">
        <f t="shared" si="11"/>
        <v>11.415</v>
      </c>
      <c r="AA99" s="608">
        <f t="shared" si="12"/>
        <v>0</v>
      </c>
      <c r="AB99" s="607">
        <f t="shared" si="13"/>
        <v>5</v>
      </c>
      <c r="AC99" s="607">
        <f t="shared" si="14"/>
        <v>378844.2</v>
      </c>
      <c r="AD99" s="608">
        <f t="shared" si="15"/>
        <v>1.415</v>
      </c>
      <c r="AE99" s="607">
        <f t="shared" si="16"/>
        <v>3</v>
      </c>
      <c r="AF99" s="609">
        <f t="shared" si="17"/>
        <v>56826.63</v>
      </c>
      <c r="AG99" s="628">
        <f t="shared" si="23"/>
        <v>435670.83</v>
      </c>
      <c r="AH99" s="611"/>
      <c r="AI99" s="612">
        <v>17703.0</v>
      </c>
      <c r="AJ99" s="612">
        <v>35406.0</v>
      </c>
      <c r="AK99" s="612">
        <v>53109.0</v>
      </c>
      <c r="AL99" s="612">
        <v>70812.0</v>
      </c>
      <c r="AM99" s="612">
        <v>70812.0</v>
      </c>
      <c r="AN99" s="612">
        <v>70812.0</v>
      </c>
      <c r="AO99" s="612">
        <v>70812.0</v>
      </c>
      <c r="AP99" s="612">
        <v>88515.0</v>
      </c>
      <c r="AQ99" s="612">
        <v>106218.0</v>
      </c>
      <c r="AR99" s="612">
        <v>106218.0</v>
      </c>
      <c r="AS99" s="612">
        <v>123921.0</v>
      </c>
      <c r="AT99" s="612">
        <v>141624.0</v>
      </c>
      <c r="AU99" s="612">
        <v>141624.0</v>
      </c>
      <c r="AV99" s="612">
        <v>141624.0</v>
      </c>
      <c r="AW99" s="612">
        <v>159327.0</v>
      </c>
      <c r="AX99" s="612">
        <v>159327.0</v>
      </c>
      <c r="AY99" s="612">
        <v>177030.0</v>
      </c>
      <c r="AZ99" s="612">
        <v>194733.0</v>
      </c>
      <c r="BA99" s="612">
        <v>212436.0</v>
      </c>
      <c r="BB99" s="612">
        <v>212436.0</v>
      </c>
      <c r="BC99" s="612">
        <v>212436.0</v>
      </c>
      <c r="BD99" s="612">
        <v>212436.0</v>
      </c>
      <c r="BE99" s="612">
        <v>230139.0</v>
      </c>
      <c r="BF99" s="612">
        <v>247842.0</v>
      </c>
      <c r="BG99" s="612">
        <v>265545.0</v>
      </c>
      <c r="BH99" s="612">
        <v>265545.0</v>
      </c>
      <c r="BI99" s="612">
        <v>283248.0</v>
      </c>
      <c r="BJ99" s="612">
        <v>283248.0</v>
      </c>
      <c r="BK99" s="612">
        <v>283248.0</v>
      </c>
      <c r="BL99" s="612">
        <v>300951.0</v>
      </c>
      <c r="BM99" s="612">
        <v>300951.0</v>
      </c>
      <c r="BN99" s="612">
        <v>318654.0</v>
      </c>
      <c r="BO99" s="612">
        <v>336357.0</v>
      </c>
      <c r="BP99" s="612">
        <v>354060.0</v>
      </c>
      <c r="BQ99" s="612">
        <v>354060.0</v>
      </c>
      <c r="BR99" s="612">
        <v>354060.0</v>
      </c>
      <c r="BS99" s="612">
        <v>354060.0</v>
      </c>
      <c r="BT99" s="612">
        <v>371763.0</v>
      </c>
      <c r="BU99" s="612">
        <v>389466.0</v>
      </c>
      <c r="BV99" s="612">
        <v>407169.0</v>
      </c>
      <c r="BW99" s="612">
        <v>407169.0</v>
      </c>
      <c r="BX99" s="612">
        <v>424872.0</v>
      </c>
      <c r="BY99" s="612">
        <v>424872.0</v>
      </c>
      <c r="BZ99" s="612">
        <v>424872.0</v>
      </c>
      <c r="CA99" s="612">
        <v>424872.0</v>
      </c>
      <c r="CB99" s="612">
        <v>424872.0</v>
      </c>
      <c r="CC99" s="612">
        <v>424872.0</v>
      </c>
      <c r="CD99" s="612">
        <v>424872.0</v>
      </c>
      <c r="CE99" s="612">
        <v>424872.0</v>
      </c>
      <c r="CF99" s="612">
        <v>424872.0</v>
      </c>
      <c r="CG99" s="612">
        <v>424872.0</v>
      </c>
      <c r="CH99" s="612">
        <v>424872.0</v>
      </c>
      <c r="CI99" s="612">
        <v>424872.0</v>
      </c>
      <c r="CJ99" s="612">
        <v>424872.0</v>
      </c>
      <c r="CK99" s="612">
        <v>424872.0</v>
      </c>
      <c r="CL99" s="612">
        <v>424872.0</v>
      </c>
      <c r="CM99" s="612">
        <v>424872.0</v>
      </c>
      <c r="CN99" s="612">
        <v>424872.0</v>
      </c>
      <c r="CO99" s="612">
        <v>424872.0</v>
      </c>
      <c r="CP99" s="612">
        <v>424872.0</v>
      </c>
    </row>
    <row r="100">
      <c r="A100" s="645"/>
      <c r="B100" s="675" t="s">
        <v>407</v>
      </c>
      <c r="C100" s="703" t="b">
        <v>0</v>
      </c>
      <c r="D100" s="655" t="s">
        <v>716</v>
      </c>
      <c r="E100" s="656" t="s">
        <v>348</v>
      </c>
      <c r="F100" s="678"/>
      <c r="G100" s="625">
        <v>1.0</v>
      </c>
      <c r="H100" s="705">
        <v>1.0</v>
      </c>
      <c r="I100" s="637">
        <f t="shared" ref="I100:I101" si="26">18836*1.07</f>
        <v>20154.52</v>
      </c>
      <c r="J100" s="594">
        <f>I100*IF($C$7=TRUE,VLOOKUP(B100,BuffsDebuffs!$P$8:$X$26,MATCH(E100,BuffsDebuffs!$P$8:$X$8,0),FALSE),1)*IF(AND($C$8=TRUE,H100=1),1.0778,1)*VLOOKUP($C$2,'scaling OLD'!$A$2:$H$55,8,False)*IF(K100="-",1,(1/K100*(1+((K100-1)*VLOOKUP($C$2,'scaling OLD'!$A$2:$H$55,4,False)))))*IF(K100="-",1,VLOOKUP($C$2,'scaling OLD'!$A$2:$H$55,5,False))*VLOOKUP($C$2,'scaling OLD'!$A$2:$H$55,6,False)*IF(AND(LEFT(C$2,7)="CE - Cr",B100="Sword"),1.35,1)</f>
        <v>21722.54166</v>
      </c>
      <c r="K100" s="213">
        <v>3.5</v>
      </c>
      <c r="L100" s="211">
        <v>4.0</v>
      </c>
      <c r="M100" s="211">
        <v>72.0</v>
      </c>
      <c r="N100" s="211">
        <v>24.0</v>
      </c>
      <c r="O100" s="215">
        <v>1.75</v>
      </c>
      <c r="P100" s="688">
        <f t="shared" si="24"/>
        <v>2.5</v>
      </c>
      <c r="Q100" s="694">
        <f t="shared" si="2"/>
        <v>86890.16662</v>
      </c>
      <c r="R100" s="600">
        <f t="shared" si="3"/>
        <v>23.75</v>
      </c>
      <c r="S100" s="622">
        <f t="shared" si="22"/>
        <v>521340.9997</v>
      </c>
      <c r="T100" s="602">
        <f t="shared" si="5"/>
        <v>521340.9997</v>
      </c>
      <c r="U100" s="623">
        <f t="shared" si="19"/>
        <v>34756.06665</v>
      </c>
      <c r="V100" s="624">
        <f t="shared" si="7"/>
        <v>21951.19999</v>
      </c>
      <c r="W100" s="605">
        <f t="shared" si="8"/>
        <v>21951.19999</v>
      </c>
      <c r="X100" s="606">
        <f t="shared" si="9"/>
        <v>20444.74509</v>
      </c>
      <c r="Y100" s="607">
        <f t="shared" si="10"/>
        <v>4</v>
      </c>
      <c r="Z100" s="608">
        <f t="shared" si="11"/>
        <v>13</v>
      </c>
      <c r="AA100" s="608">
        <f t="shared" si="12"/>
        <v>0.5</v>
      </c>
      <c r="AB100" s="607">
        <f t="shared" si="13"/>
        <v>5</v>
      </c>
      <c r="AC100" s="607">
        <f t="shared" si="14"/>
        <v>434450.8331</v>
      </c>
      <c r="AD100" s="608">
        <f t="shared" si="15"/>
        <v>0</v>
      </c>
      <c r="AE100" s="607">
        <f t="shared" si="16"/>
        <v>0</v>
      </c>
      <c r="AF100" s="609">
        <f t="shared" si="17"/>
        <v>0</v>
      </c>
      <c r="AG100" s="628">
        <f t="shared" si="23"/>
        <v>434450.8331</v>
      </c>
      <c r="AH100" s="611"/>
      <c r="AI100" s="612">
        <v>20301.4408</v>
      </c>
      <c r="AJ100" s="612">
        <v>40602.8816</v>
      </c>
      <c r="AK100" s="612">
        <v>40602.8816</v>
      </c>
      <c r="AL100" s="612">
        <v>60904.322400000005</v>
      </c>
      <c r="AM100" s="612">
        <v>81205.7632</v>
      </c>
      <c r="AN100" s="612">
        <v>81205.7632</v>
      </c>
      <c r="AO100" s="612">
        <v>81205.7632</v>
      </c>
      <c r="AP100" s="612">
        <v>81205.7632</v>
      </c>
      <c r="AQ100" s="612">
        <v>101507.204</v>
      </c>
      <c r="AR100" s="612">
        <v>101507.204</v>
      </c>
      <c r="AS100" s="612">
        <v>121808.64480000001</v>
      </c>
      <c r="AT100" s="612">
        <v>142110.0856</v>
      </c>
      <c r="AU100" s="612">
        <v>142110.0856</v>
      </c>
      <c r="AV100" s="612">
        <v>162411.5264</v>
      </c>
      <c r="AW100" s="612">
        <v>162411.5264</v>
      </c>
      <c r="AX100" s="612">
        <v>162411.5264</v>
      </c>
      <c r="AY100" s="612">
        <v>162411.5264</v>
      </c>
      <c r="AZ100" s="612">
        <v>182712.9672</v>
      </c>
      <c r="BA100" s="612">
        <v>203014.408</v>
      </c>
      <c r="BB100" s="612">
        <v>203014.408</v>
      </c>
      <c r="BC100" s="612">
        <v>223315.8488</v>
      </c>
      <c r="BD100" s="612">
        <v>243617.28960000002</v>
      </c>
      <c r="BE100" s="612">
        <v>243617.28960000002</v>
      </c>
      <c r="BF100" s="612">
        <v>243617.28960000002</v>
      </c>
      <c r="BG100" s="612">
        <v>243617.28960000002</v>
      </c>
      <c r="BH100" s="612">
        <v>263918.7304</v>
      </c>
      <c r="BI100" s="612">
        <v>263918.7304</v>
      </c>
      <c r="BJ100" s="612">
        <v>284220.17120000004</v>
      </c>
      <c r="BK100" s="612">
        <v>304521.612</v>
      </c>
      <c r="BL100" s="612">
        <v>304521.612</v>
      </c>
      <c r="BM100" s="612">
        <v>324823.0528</v>
      </c>
      <c r="BN100" s="612">
        <v>324823.0528</v>
      </c>
      <c r="BO100" s="612">
        <v>324823.0528</v>
      </c>
      <c r="BP100" s="612">
        <v>324823.0528</v>
      </c>
      <c r="BQ100" s="612">
        <v>345124.4936</v>
      </c>
      <c r="BR100" s="612">
        <v>365425.9344</v>
      </c>
      <c r="BS100" s="612">
        <v>365425.9344</v>
      </c>
      <c r="BT100" s="612">
        <v>385727.3752</v>
      </c>
      <c r="BU100" s="612">
        <v>406028.816</v>
      </c>
      <c r="BV100" s="612">
        <v>406028.816</v>
      </c>
      <c r="BW100" s="612">
        <v>406028.816</v>
      </c>
      <c r="BX100" s="612">
        <v>406028.816</v>
      </c>
      <c r="BY100" s="612">
        <v>426330.2568</v>
      </c>
      <c r="BZ100" s="612">
        <v>426330.2568</v>
      </c>
      <c r="CA100" s="612">
        <v>446631.6976</v>
      </c>
      <c r="CB100" s="612">
        <v>466933.1384</v>
      </c>
      <c r="CC100" s="612">
        <v>466933.1384</v>
      </c>
      <c r="CD100" s="612">
        <v>487234.57920000004</v>
      </c>
      <c r="CE100" s="612">
        <v>487234.57920000004</v>
      </c>
      <c r="CF100" s="612">
        <v>487234.57920000004</v>
      </c>
      <c r="CG100" s="612">
        <v>487234.57920000004</v>
      </c>
      <c r="CH100" s="612">
        <v>487234.57920000004</v>
      </c>
      <c r="CI100" s="612">
        <v>487234.57920000004</v>
      </c>
      <c r="CJ100" s="612">
        <v>487234.57920000004</v>
      </c>
      <c r="CK100" s="612">
        <v>487234.57920000004</v>
      </c>
      <c r="CL100" s="612">
        <v>487234.57920000004</v>
      </c>
      <c r="CM100" s="612">
        <v>487234.57920000004</v>
      </c>
      <c r="CN100" s="612">
        <v>487234.57920000004</v>
      </c>
      <c r="CO100" s="612">
        <v>487234.57920000004</v>
      </c>
      <c r="CP100" s="612">
        <v>487234.57920000004</v>
      </c>
    </row>
    <row r="101">
      <c r="A101" s="645"/>
      <c r="B101" s="695" t="s">
        <v>407</v>
      </c>
      <c r="C101" s="704" t="b">
        <v>0</v>
      </c>
      <c r="D101" s="589" t="s">
        <v>677</v>
      </c>
      <c r="E101" s="615" t="s">
        <v>348</v>
      </c>
      <c r="F101" s="672"/>
      <c r="G101" s="648">
        <v>1.0</v>
      </c>
      <c r="H101" s="687"/>
      <c r="I101" s="637">
        <f t="shared" si="26"/>
        <v>20154.52</v>
      </c>
      <c r="J101" s="618">
        <f>I101*IF($C$7=TRUE,VLOOKUP(B101,BuffsDebuffs!$P$8:$X$26,MATCH(E101,BuffsDebuffs!$P$8:$X$8,0),FALSE),1)*IF(AND($C$8=TRUE,H101=1),1.0778,1)*VLOOKUP($C$2,'scaling OLD'!$A$2:$H$55,8,False)*IF(K101="-",1,(1/K101*(1+((K101-1)*VLOOKUP($C$2,'scaling OLD'!$A$2:$H$55,4,False)))))*IF(K101="-",1,VLOOKUP($C$2,'scaling OLD'!$A$2:$H$55,5,False))*VLOOKUP($C$2,'scaling OLD'!$A$2:$H$55,6,False)*IF(AND(LEFT(C$2,7)="CE - Cr",B101="Sword"),1.35,1)</f>
        <v>20154.52</v>
      </c>
      <c r="K101" s="213">
        <v>3.5</v>
      </c>
      <c r="L101" s="211">
        <v>5.0</v>
      </c>
      <c r="M101" s="211">
        <v>72.0</v>
      </c>
      <c r="N101" s="211">
        <v>24.0</v>
      </c>
      <c r="O101" s="215">
        <v>1.717</v>
      </c>
      <c r="P101" s="691">
        <f t="shared" si="24"/>
        <v>3.333333333</v>
      </c>
      <c r="Q101" s="692">
        <f t="shared" si="2"/>
        <v>100772.6</v>
      </c>
      <c r="R101" s="621">
        <f t="shared" si="3"/>
        <v>22.70133333</v>
      </c>
      <c r="S101" s="622">
        <f t="shared" si="22"/>
        <v>483708.48</v>
      </c>
      <c r="T101" s="602">
        <f t="shared" si="5"/>
        <v>403090.4</v>
      </c>
      <c r="U101" s="623">
        <f t="shared" si="19"/>
        <v>30231.78</v>
      </c>
      <c r="V101" s="624">
        <f t="shared" si="7"/>
        <v>21307.49207</v>
      </c>
      <c r="W101" s="605">
        <f t="shared" si="8"/>
        <v>21807.13758</v>
      </c>
      <c r="X101" s="606">
        <f t="shared" si="9"/>
        <v>19953.65322</v>
      </c>
      <c r="Y101" s="607">
        <f t="shared" si="10"/>
        <v>3</v>
      </c>
      <c r="Z101" s="608">
        <f t="shared" si="11"/>
        <v>14.849</v>
      </c>
      <c r="AA101" s="608">
        <f t="shared" si="12"/>
        <v>1.515666667</v>
      </c>
      <c r="AB101" s="607">
        <f t="shared" si="13"/>
        <v>4</v>
      </c>
      <c r="AC101" s="607">
        <f t="shared" si="14"/>
        <v>403090.4</v>
      </c>
      <c r="AD101" s="608">
        <f t="shared" si="15"/>
        <v>0</v>
      </c>
      <c r="AE101" s="607">
        <f t="shared" si="16"/>
        <v>0</v>
      </c>
      <c r="AF101" s="609">
        <f t="shared" si="17"/>
        <v>0</v>
      </c>
      <c r="AG101" s="628">
        <f t="shared" si="23"/>
        <v>403090.4</v>
      </c>
      <c r="AH101" s="611"/>
      <c r="AI101" s="612">
        <v>18836.0</v>
      </c>
      <c r="AJ101" s="612">
        <v>37672.0</v>
      </c>
      <c r="AK101" s="612">
        <v>37672.0</v>
      </c>
      <c r="AL101" s="612">
        <v>56508.0</v>
      </c>
      <c r="AM101" s="612">
        <v>75344.0</v>
      </c>
      <c r="AN101" s="612">
        <v>75344.0</v>
      </c>
      <c r="AO101" s="612">
        <v>94180.0</v>
      </c>
      <c r="AP101" s="612">
        <v>94180.0</v>
      </c>
      <c r="AQ101" s="612">
        <v>94180.0</v>
      </c>
      <c r="AR101" s="612">
        <v>94180.0</v>
      </c>
      <c r="AS101" s="612">
        <v>113016.0</v>
      </c>
      <c r="AT101" s="612">
        <v>131852.0</v>
      </c>
      <c r="AU101" s="612">
        <v>131852.0</v>
      </c>
      <c r="AV101" s="612">
        <v>150688.0</v>
      </c>
      <c r="AW101" s="612">
        <v>150688.0</v>
      </c>
      <c r="AX101" s="612">
        <v>169524.0</v>
      </c>
      <c r="AY101" s="612">
        <v>188360.0</v>
      </c>
      <c r="AZ101" s="612">
        <v>188360.0</v>
      </c>
      <c r="BA101" s="612">
        <v>188360.0</v>
      </c>
      <c r="BB101" s="612">
        <v>188360.0</v>
      </c>
      <c r="BC101" s="612">
        <v>207196.0</v>
      </c>
      <c r="BD101" s="612">
        <v>226032.0</v>
      </c>
      <c r="BE101" s="612">
        <v>226032.0</v>
      </c>
      <c r="BF101" s="612">
        <v>244868.0</v>
      </c>
      <c r="BG101" s="612">
        <v>244868.0</v>
      </c>
      <c r="BH101" s="612">
        <v>263704.0</v>
      </c>
      <c r="BI101" s="612">
        <v>282540.0</v>
      </c>
      <c r="BJ101" s="612">
        <v>282540.0</v>
      </c>
      <c r="BK101" s="612">
        <v>282540.0</v>
      </c>
      <c r="BL101" s="612">
        <v>282540.0</v>
      </c>
      <c r="BM101" s="612">
        <v>301376.0</v>
      </c>
      <c r="BN101" s="612">
        <v>320212.0</v>
      </c>
      <c r="BO101" s="612">
        <v>320212.0</v>
      </c>
      <c r="BP101" s="612">
        <v>339048.0</v>
      </c>
      <c r="BQ101" s="612">
        <v>339048.0</v>
      </c>
      <c r="BR101" s="612">
        <v>357884.0</v>
      </c>
      <c r="BS101" s="612">
        <v>376720.0</v>
      </c>
      <c r="BT101" s="612">
        <v>376720.0</v>
      </c>
      <c r="BU101" s="612">
        <v>376720.0</v>
      </c>
      <c r="BV101" s="612">
        <v>376720.0</v>
      </c>
      <c r="BW101" s="612">
        <v>395556.0</v>
      </c>
      <c r="BX101" s="612">
        <v>395556.0</v>
      </c>
      <c r="BY101" s="612">
        <v>414392.0</v>
      </c>
      <c r="BZ101" s="612">
        <v>433228.0</v>
      </c>
      <c r="CA101" s="612">
        <v>433228.0</v>
      </c>
      <c r="CB101" s="612">
        <v>452064.0</v>
      </c>
      <c r="CC101" s="612">
        <v>452064.0</v>
      </c>
      <c r="CD101" s="612">
        <v>452064.0</v>
      </c>
      <c r="CE101" s="612">
        <v>452064.0</v>
      </c>
      <c r="CF101" s="612">
        <v>452064.0</v>
      </c>
      <c r="CG101" s="612">
        <v>452064.0</v>
      </c>
      <c r="CH101" s="612">
        <v>452064.0</v>
      </c>
      <c r="CI101" s="612">
        <v>452064.0</v>
      </c>
      <c r="CJ101" s="612">
        <v>452064.0</v>
      </c>
      <c r="CK101" s="612">
        <v>452064.0</v>
      </c>
      <c r="CL101" s="612">
        <v>452064.0</v>
      </c>
      <c r="CM101" s="612">
        <v>452064.0</v>
      </c>
      <c r="CN101" s="612">
        <v>452064.0</v>
      </c>
      <c r="CO101" s="612">
        <v>452064.0</v>
      </c>
      <c r="CP101" s="612">
        <v>452064.0</v>
      </c>
    </row>
    <row r="102">
      <c r="A102" s="645"/>
      <c r="B102" s="613" t="s">
        <v>394</v>
      </c>
      <c r="C102" s="703" t="b">
        <v>0</v>
      </c>
      <c r="D102" s="655" t="s">
        <v>717</v>
      </c>
      <c r="E102" s="656" t="s">
        <v>348</v>
      </c>
      <c r="F102" s="678"/>
      <c r="G102" s="625">
        <v>1.0</v>
      </c>
      <c r="H102" s="706">
        <v>1.0</v>
      </c>
      <c r="I102" s="617">
        <f>19052*1.1</f>
        <v>20957.2</v>
      </c>
      <c r="J102" s="594">
        <f>I102*IF($C$7=TRUE,VLOOKUP(B102,BuffsDebuffs!$P$8:$X$26,MATCH(E102,BuffsDebuffs!$P$8:$X$8,0),FALSE),1)*IF(AND($C$8=TRUE,H102=1),1.0778,1)*VLOOKUP($C$2,'scaling OLD'!$A$2:$H$55,8,False)*IF(K102="-",1,(1/K102*(1+((K102-1)*VLOOKUP($C$2,'scaling OLD'!$A$2:$H$55,4,False)))))*IF(K102="-",1,VLOOKUP($C$2,'scaling OLD'!$A$2:$H$55,5,False))*VLOOKUP($C$2,'scaling OLD'!$A$2:$H$55,6,False)*IF(AND(LEFT(C$2,7)="CE - Cr",B102="Sword"),1.35,1)</f>
        <v>22587.67016</v>
      </c>
      <c r="K102" s="186">
        <v>1.1</v>
      </c>
      <c r="L102" s="184">
        <v>6.0</v>
      </c>
      <c r="M102" s="184">
        <v>65.0</v>
      </c>
      <c r="N102" s="184">
        <v>22.0</v>
      </c>
      <c r="O102" s="188">
        <v>2.466</v>
      </c>
      <c r="P102" s="688">
        <f t="shared" si="24"/>
        <v>4.615384615</v>
      </c>
      <c r="Q102" s="694">
        <f t="shared" si="2"/>
        <v>135526.021</v>
      </c>
      <c r="R102" s="600">
        <f t="shared" si="3"/>
        <v>24.01338462</v>
      </c>
      <c r="S102" s="622">
        <f t="shared" si="22"/>
        <v>496928.7435</v>
      </c>
      <c r="T102" s="602">
        <f t="shared" si="5"/>
        <v>406578.0629</v>
      </c>
      <c r="U102" s="623">
        <f t="shared" si="19"/>
        <v>29363.97121</v>
      </c>
      <c r="V102" s="624">
        <f t="shared" si="7"/>
        <v>20693.82353</v>
      </c>
      <c r="W102" s="605">
        <f t="shared" si="8"/>
        <v>21651.65256</v>
      </c>
      <c r="X102" s="606">
        <f t="shared" si="9"/>
        <v>19138.35052</v>
      </c>
      <c r="Y102" s="607">
        <f t="shared" si="10"/>
        <v>2</v>
      </c>
      <c r="Z102" s="608">
        <f t="shared" si="11"/>
        <v>15.068</v>
      </c>
      <c r="AA102" s="608">
        <f t="shared" si="12"/>
        <v>1.221846154</v>
      </c>
      <c r="AB102" s="607">
        <f t="shared" si="13"/>
        <v>3</v>
      </c>
      <c r="AC102" s="607">
        <f t="shared" si="14"/>
        <v>406578.0629</v>
      </c>
      <c r="AD102" s="608">
        <f t="shared" si="15"/>
        <v>0</v>
      </c>
      <c r="AE102" s="607">
        <f t="shared" si="16"/>
        <v>0</v>
      </c>
      <c r="AF102" s="609">
        <f t="shared" si="17"/>
        <v>0</v>
      </c>
      <c r="AG102" s="628">
        <f t="shared" si="23"/>
        <v>406578.0629</v>
      </c>
      <c r="AH102" s="611"/>
      <c r="AI102" s="612">
        <v>20534.245600000002</v>
      </c>
      <c r="AJ102" s="612">
        <v>41068.491200000004</v>
      </c>
      <c r="AK102" s="612">
        <v>41068.491200000004</v>
      </c>
      <c r="AL102" s="612">
        <v>61602.736800000006</v>
      </c>
      <c r="AM102" s="612">
        <v>61602.736800000006</v>
      </c>
      <c r="AN102" s="612">
        <v>82136.98240000001</v>
      </c>
      <c r="AO102" s="612">
        <v>82136.98240000001</v>
      </c>
      <c r="AP102" s="612">
        <v>102671.228</v>
      </c>
      <c r="AQ102" s="612">
        <v>102671.228</v>
      </c>
      <c r="AR102" s="612">
        <v>123205.47360000001</v>
      </c>
      <c r="AS102" s="612">
        <v>123205.47360000001</v>
      </c>
      <c r="AT102" s="612">
        <v>123205.47360000001</v>
      </c>
      <c r="AU102" s="612">
        <v>123205.47360000001</v>
      </c>
      <c r="AV102" s="612">
        <v>123205.47360000001</v>
      </c>
      <c r="AW102" s="612">
        <v>143739.71920000002</v>
      </c>
      <c r="AX102" s="612">
        <v>143739.71920000002</v>
      </c>
      <c r="AY102" s="612">
        <v>164273.96480000002</v>
      </c>
      <c r="AZ102" s="612">
        <v>184808.2104</v>
      </c>
      <c r="BA102" s="612">
        <v>184808.2104</v>
      </c>
      <c r="BB102" s="612">
        <v>205342.456</v>
      </c>
      <c r="BC102" s="612">
        <v>205342.456</v>
      </c>
      <c r="BD102" s="612">
        <v>225876.70160000003</v>
      </c>
      <c r="BE102" s="612">
        <v>225876.70160000003</v>
      </c>
      <c r="BF102" s="612">
        <v>246410.94720000002</v>
      </c>
      <c r="BG102" s="612">
        <v>246410.94720000002</v>
      </c>
      <c r="BH102" s="612">
        <v>246410.94720000002</v>
      </c>
      <c r="BI102" s="612">
        <v>246410.94720000002</v>
      </c>
      <c r="BJ102" s="612">
        <v>246410.94720000002</v>
      </c>
      <c r="BK102" s="612">
        <v>266945.1928</v>
      </c>
      <c r="BL102" s="612">
        <v>266945.1928</v>
      </c>
      <c r="BM102" s="612">
        <v>287479.43840000004</v>
      </c>
      <c r="BN102" s="612">
        <v>287479.43840000004</v>
      </c>
      <c r="BO102" s="612">
        <v>308013.684</v>
      </c>
      <c r="BP102" s="612">
        <v>328547.92960000003</v>
      </c>
      <c r="BQ102" s="612">
        <v>328547.92960000003</v>
      </c>
      <c r="BR102" s="612">
        <v>349082.17520000006</v>
      </c>
      <c r="BS102" s="612">
        <v>349082.17520000006</v>
      </c>
      <c r="BT102" s="612">
        <v>369616.4208</v>
      </c>
      <c r="BU102" s="612">
        <v>369616.4208</v>
      </c>
      <c r="BV102" s="612">
        <v>369616.4208</v>
      </c>
      <c r="BW102" s="612">
        <v>369616.4208</v>
      </c>
      <c r="BX102" s="612">
        <v>369616.4208</v>
      </c>
      <c r="BY102" s="612">
        <v>390150.66640000005</v>
      </c>
      <c r="BZ102" s="612">
        <v>390150.66640000005</v>
      </c>
      <c r="CA102" s="612">
        <v>410684.912</v>
      </c>
      <c r="CB102" s="612">
        <v>410684.912</v>
      </c>
      <c r="CC102" s="612">
        <v>431219.15760000004</v>
      </c>
      <c r="CD102" s="612">
        <v>431219.15760000004</v>
      </c>
      <c r="CE102" s="612">
        <v>451753.40320000006</v>
      </c>
      <c r="CF102" s="612">
        <v>451753.40320000006</v>
      </c>
      <c r="CG102" s="612">
        <v>451753.40320000006</v>
      </c>
      <c r="CH102" s="612">
        <v>451753.40320000006</v>
      </c>
      <c r="CI102" s="612">
        <v>451753.40320000006</v>
      </c>
      <c r="CJ102" s="612">
        <v>451753.40320000006</v>
      </c>
      <c r="CK102" s="612">
        <v>451753.40320000006</v>
      </c>
      <c r="CL102" s="612">
        <v>451753.40320000006</v>
      </c>
      <c r="CM102" s="612">
        <v>451753.40320000006</v>
      </c>
      <c r="CN102" s="612">
        <v>451753.40320000006</v>
      </c>
      <c r="CO102" s="612">
        <v>451753.40320000006</v>
      </c>
      <c r="CP102" s="612">
        <v>451753.40320000006</v>
      </c>
    </row>
    <row r="103">
      <c r="A103" s="645"/>
      <c r="B103" s="700" t="s">
        <v>345</v>
      </c>
      <c r="C103" s="703" t="b">
        <v>0</v>
      </c>
      <c r="D103" s="655" t="s">
        <v>718</v>
      </c>
      <c r="E103" s="656" t="s">
        <v>348</v>
      </c>
      <c r="F103" s="678"/>
      <c r="G103" s="625">
        <v>1.0</v>
      </c>
      <c r="H103" s="707">
        <v>1.0</v>
      </c>
      <c r="I103" s="637">
        <f>19593*1.07</f>
        <v>20964.51</v>
      </c>
      <c r="J103" s="618">
        <f>I103*IF($C$7=TRUE,VLOOKUP(B103,BuffsDebuffs!$P$8:$X$26,MATCH(E103,BuffsDebuffs!$P$8:$X$8,0),FALSE),1)*IF(AND($C$8=TRUE,H103=1),1.0778,1)*VLOOKUP($C$2,'scaling OLD'!$A$2:$H$55,8,False)*IF(K103="-",1,(1/K103*(1+((K103-1)*VLOOKUP($C$2,'scaling OLD'!$A$2:$H$55,4,False)))))*IF(K103="-",1,VLOOKUP($C$2,'scaling OLD'!$A$2:$H$55,5,False))*VLOOKUP($C$2,'scaling OLD'!$A$2:$H$55,6,False)*IF(AND(LEFT(C$2,7)="CE - Cr",B103="Sword"),1.35,1)</f>
        <v>22595.54888</v>
      </c>
      <c r="K103" s="213" t="s">
        <v>349</v>
      </c>
      <c r="L103" s="211">
        <v>8.0</v>
      </c>
      <c r="M103" s="211">
        <v>58.06</v>
      </c>
      <c r="N103" s="211">
        <v>26.0</v>
      </c>
      <c r="O103" s="215">
        <v>1.684</v>
      </c>
      <c r="P103" s="691">
        <f t="shared" si="24"/>
        <v>7.23389597</v>
      </c>
      <c r="Q103" s="692">
        <f t="shared" si="2"/>
        <v>180764.391</v>
      </c>
      <c r="R103" s="621">
        <f t="shared" si="3"/>
        <v>27.78710162</v>
      </c>
      <c r="S103" s="622">
        <f t="shared" si="22"/>
        <v>587484.2708</v>
      </c>
      <c r="T103" s="602">
        <f t="shared" si="5"/>
        <v>542293.1731</v>
      </c>
      <c r="U103" s="623">
        <f t="shared" si="19"/>
        <v>24988.5251</v>
      </c>
      <c r="V103" s="624">
        <f t="shared" si="7"/>
        <v>21142.33715</v>
      </c>
      <c r="W103" s="605">
        <f t="shared" si="8"/>
        <v>21631.42896</v>
      </c>
      <c r="X103" s="606">
        <f t="shared" si="9"/>
        <v>20269.84747</v>
      </c>
      <c r="Y103" s="607">
        <f t="shared" si="10"/>
        <v>2</v>
      </c>
      <c r="Z103" s="608">
        <f t="shared" si="11"/>
        <v>16.632</v>
      </c>
      <c r="AA103" s="608">
        <f t="shared" si="12"/>
        <v>0</v>
      </c>
      <c r="AB103" s="607">
        <f t="shared" si="13"/>
        <v>2</v>
      </c>
      <c r="AC103" s="607">
        <f t="shared" si="14"/>
        <v>361528.782</v>
      </c>
      <c r="AD103" s="608">
        <f t="shared" si="15"/>
        <v>2.164208061</v>
      </c>
      <c r="AE103" s="607">
        <f t="shared" si="16"/>
        <v>3</v>
      </c>
      <c r="AF103" s="609">
        <f t="shared" si="17"/>
        <v>67786.64663</v>
      </c>
      <c r="AG103" s="628">
        <f t="shared" si="23"/>
        <v>429315.4287</v>
      </c>
      <c r="AH103" s="611"/>
      <c r="AI103" s="612">
        <v>21117.335400000004</v>
      </c>
      <c r="AJ103" s="612">
        <v>21117.335400000004</v>
      </c>
      <c r="AK103" s="612">
        <v>42234.67080000001</v>
      </c>
      <c r="AL103" s="612">
        <v>42234.67080000001</v>
      </c>
      <c r="AM103" s="612">
        <v>63352.00620000001</v>
      </c>
      <c r="AN103" s="612">
        <v>63352.00620000001</v>
      </c>
      <c r="AO103" s="612">
        <v>84469.34160000001</v>
      </c>
      <c r="AP103" s="612">
        <v>84469.34160000001</v>
      </c>
      <c r="AQ103" s="612">
        <v>105586.67700000003</v>
      </c>
      <c r="AR103" s="612">
        <v>105586.67700000003</v>
      </c>
      <c r="AS103" s="612">
        <v>126704.01240000002</v>
      </c>
      <c r="AT103" s="612">
        <v>126704.01240000002</v>
      </c>
      <c r="AU103" s="612">
        <v>147821.34780000002</v>
      </c>
      <c r="AV103" s="612">
        <v>147821.34780000002</v>
      </c>
      <c r="AW103" s="612">
        <v>168938.68320000003</v>
      </c>
      <c r="AX103" s="612">
        <v>168938.68320000003</v>
      </c>
      <c r="AY103" s="612">
        <v>168938.68320000003</v>
      </c>
      <c r="AZ103" s="612">
        <v>190056.01860000004</v>
      </c>
      <c r="BA103" s="612">
        <v>190056.01860000004</v>
      </c>
      <c r="BB103" s="612">
        <v>211173.35400000005</v>
      </c>
      <c r="BC103" s="612">
        <v>211173.35400000005</v>
      </c>
      <c r="BD103" s="612">
        <v>232290.68940000003</v>
      </c>
      <c r="BE103" s="612">
        <v>232290.68940000003</v>
      </c>
      <c r="BF103" s="612">
        <v>232290.68940000003</v>
      </c>
      <c r="BG103" s="612">
        <v>253408.02480000004</v>
      </c>
      <c r="BH103" s="612">
        <v>253408.02480000004</v>
      </c>
      <c r="BI103" s="612">
        <v>274525.36020000005</v>
      </c>
      <c r="BJ103" s="612">
        <v>274525.36020000005</v>
      </c>
      <c r="BK103" s="612">
        <v>295642.69560000004</v>
      </c>
      <c r="BL103" s="612">
        <v>295642.69560000004</v>
      </c>
      <c r="BM103" s="612">
        <v>316760.0310000001</v>
      </c>
      <c r="BN103" s="612">
        <v>316760.0310000001</v>
      </c>
      <c r="BO103" s="612">
        <v>337877.36640000006</v>
      </c>
      <c r="BP103" s="612">
        <v>337877.36640000006</v>
      </c>
      <c r="BQ103" s="612">
        <v>337877.36640000006</v>
      </c>
      <c r="BR103" s="612">
        <v>358994.70180000004</v>
      </c>
      <c r="BS103" s="612">
        <v>358994.70180000004</v>
      </c>
      <c r="BT103" s="612">
        <v>380112.0372000001</v>
      </c>
      <c r="BU103" s="612">
        <v>380112.0372000001</v>
      </c>
      <c r="BV103" s="612">
        <v>401229.37260000006</v>
      </c>
      <c r="BW103" s="612">
        <v>401229.37260000006</v>
      </c>
      <c r="BX103" s="612">
        <v>422346.7080000001</v>
      </c>
      <c r="BY103" s="612">
        <v>422346.7080000001</v>
      </c>
      <c r="BZ103" s="612">
        <v>443464.0434000001</v>
      </c>
      <c r="CA103" s="612">
        <v>443464.0434000001</v>
      </c>
      <c r="CB103" s="612">
        <v>443464.0434000001</v>
      </c>
      <c r="CC103" s="612">
        <v>464581.37880000006</v>
      </c>
      <c r="CD103" s="612">
        <v>464581.37880000006</v>
      </c>
      <c r="CE103" s="612">
        <v>485698.71420000005</v>
      </c>
      <c r="CF103" s="612">
        <v>485698.71420000005</v>
      </c>
      <c r="CG103" s="612">
        <v>506816.0496000001</v>
      </c>
      <c r="CH103" s="612">
        <v>506816.0496000001</v>
      </c>
      <c r="CI103" s="612">
        <v>506816.0496000001</v>
      </c>
      <c r="CJ103" s="612">
        <v>527933.3850000001</v>
      </c>
      <c r="CK103" s="612">
        <v>527933.3850000001</v>
      </c>
      <c r="CL103" s="612">
        <v>549050.7204000001</v>
      </c>
      <c r="CM103" s="612">
        <v>549050.7204000001</v>
      </c>
      <c r="CN103" s="612">
        <v>549050.7204000001</v>
      </c>
      <c r="CO103" s="612">
        <v>549050.7204000001</v>
      </c>
      <c r="CP103" s="612">
        <v>549050.7204000001</v>
      </c>
    </row>
    <row r="104">
      <c r="A104" s="645"/>
      <c r="B104" s="700" t="s">
        <v>394</v>
      </c>
      <c r="C104" s="703" t="b">
        <v>0</v>
      </c>
      <c r="D104" s="655" t="s">
        <v>401</v>
      </c>
      <c r="E104" s="656" t="s">
        <v>348</v>
      </c>
      <c r="F104" s="678"/>
      <c r="G104" s="625">
        <v>1.0</v>
      </c>
      <c r="H104" s="706">
        <v>1.0</v>
      </c>
      <c r="I104" s="637">
        <f>19148*1.09</f>
        <v>20871.32</v>
      </c>
      <c r="J104" s="594">
        <f>I104*IF($C$7=TRUE,VLOOKUP(B104,BuffsDebuffs!$P$8:$X$26,MATCH(E104,BuffsDebuffs!$P$8:$X$8,0),FALSE),1)*IF(AND($C$8=TRUE,H104=1),1.0778,1)*VLOOKUP($C$2,'scaling OLD'!$A$2:$H$55,8,False)*IF(K104="-",1,(1/K104*(1+((K104-1)*VLOOKUP($C$2,'scaling OLD'!$A$2:$H$55,4,False)))))*IF(K104="-",1,VLOOKUP($C$2,'scaling OLD'!$A$2:$H$55,5,False))*VLOOKUP($C$2,'scaling OLD'!$A$2:$H$55,6,False)*IF(AND(LEFT(C$2,7)="CE - Cr",B104="Sword"),1.35,1)</f>
        <v>22495.1087</v>
      </c>
      <c r="K104" s="213">
        <v>1.75</v>
      </c>
      <c r="L104" s="211">
        <v>7.0</v>
      </c>
      <c r="M104" s="211">
        <v>65.0</v>
      </c>
      <c r="N104" s="211">
        <v>21.0</v>
      </c>
      <c r="O104" s="215">
        <v>2.799</v>
      </c>
      <c r="P104" s="688">
        <f t="shared" si="24"/>
        <v>5.538461538</v>
      </c>
      <c r="Q104" s="694">
        <f t="shared" si="2"/>
        <v>157465.7609</v>
      </c>
      <c r="R104" s="600">
        <f t="shared" si="3"/>
        <v>22.21338462</v>
      </c>
      <c r="S104" s="622">
        <f t="shared" si="22"/>
        <v>472397.2826</v>
      </c>
      <c r="T104" s="602">
        <f t="shared" si="5"/>
        <v>472397.2826</v>
      </c>
      <c r="U104" s="623">
        <f t="shared" si="19"/>
        <v>28431.31794</v>
      </c>
      <c r="V104" s="624">
        <f t="shared" si="7"/>
        <v>21266.33518</v>
      </c>
      <c r="W104" s="605">
        <f t="shared" si="8"/>
        <v>21266.33518</v>
      </c>
      <c r="X104" s="606">
        <f t="shared" si="9"/>
        <v>18886.53521</v>
      </c>
      <c r="Y104" s="607">
        <f t="shared" si="10"/>
        <v>2</v>
      </c>
      <c r="Z104" s="608">
        <f t="shared" si="11"/>
        <v>14.402</v>
      </c>
      <c r="AA104" s="608">
        <f t="shared" si="12"/>
        <v>0</v>
      </c>
      <c r="AB104" s="607">
        <f t="shared" si="13"/>
        <v>2</v>
      </c>
      <c r="AC104" s="607">
        <f t="shared" si="14"/>
        <v>314931.5217</v>
      </c>
      <c r="AD104" s="608">
        <f t="shared" si="15"/>
        <v>3.325076923</v>
      </c>
      <c r="AE104" s="607">
        <f t="shared" si="16"/>
        <v>4</v>
      </c>
      <c r="AF104" s="609">
        <f t="shared" si="17"/>
        <v>89980.43478</v>
      </c>
      <c r="AG104" s="628">
        <f t="shared" si="23"/>
        <v>404911.9565</v>
      </c>
      <c r="AH104" s="611"/>
      <c r="AI104" s="612">
        <v>20637.7144</v>
      </c>
      <c r="AJ104" s="612">
        <v>41275.4288</v>
      </c>
      <c r="AK104" s="612">
        <v>41275.4288</v>
      </c>
      <c r="AL104" s="612">
        <v>61913.143200000006</v>
      </c>
      <c r="AM104" s="612">
        <v>61913.143200000006</v>
      </c>
      <c r="AN104" s="612">
        <v>82550.8576</v>
      </c>
      <c r="AO104" s="612">
        <v>82550.8576</v>
      </c>
      <c r="AP104" s="612">
        <v>103188.572</v>
      </c>
      <c r="AQ104" s="612">
        <v>103188.572</v>
      </c>
      <c r="AR104" s="612">
        <v>123826.28640000001</v>
      </c>
      <c r="AS104" s="612">
        <v>123826.28640000001</v>
      </c>
      <c r="AT104" s="612">
        <v>144464.0008</v>
      </c>
      <c r="AU104" s="612">
        <v>144464.0008</v>
      </c>
      <c r="AV104" s="612">
        <v>144464.0008</v>
      </c>
      <c r="AW104" s="612">
        <v>144464.0008</v>
      </c>
      <c r="AX104" s="612">
        <v>144464.0008</v>
      </c>
      <c r="AY104" s="612">
        <v>165101.7152</v>
      </c>
      <c r="AZ104" s="612">
        <v>165101.7152</v>
      </c>
      <c r="BA104" s="612">
        <v>185739.4296</v>
      </c>
      <c r="BB104" s="612">
        <v>185739.4296</v>
      </c>
      <c r="BC104" s="612">
        <v>206377.14400000003</v>
      </c>
      <c r="BD104" s="612">
        <v>206377.14400000003</v>
      </c>
      <c r="BE104" s="612">
        <v>227014.85840000003</v>
      </c>
      <c r="BF104" s="612">
        <v>227014.85840000003</v>
      </c>
      <c r="BG104" s="612">
        <v>247652.57280000002</v>
      </c>
      <c r="BH104" s="612">
        <v>268290.2872</v>
      </c>
      <c r="BI104" s="612">
        <v>268290.2872</v>
      </c>
      <c r="BJ104" s="612">
        <v>288928.0016</v>
      </c>
      <c r="BK104" s="612">
        <v>288928.0016</v>
      </c>
      <c r="BL104" s="612">
        <v>288928.0016</v>
      </c>
      <c r="BM104" s="612">
        <v>288928.0016</v>
      </c>
      <c r="BN104" s="612">
        <v>288928.0016</v>
      </c>
      <c r="BO104" s="612">
        <v>288928.0016</v>
      </c>
      <c r="BP104" s="612">
        <v>309565.716</v>
      </c>
      <c r="BQ104" s="612">
        <v>309565.716</v>
      </c>
      <c r="BR104" s="612">
        <v>330203.4304</v>
      </c>
      <c r="BS104" s="612">
        <v>330203.4304</v>
      </c>
      <c r="BT104" s="612">
        <v>350841.1448</v>
      </c>
      <c r="BU104" s="612">
        <v>371478.8592</v>
      </c>
      <c r="BV104" s="612">
        <v>371478.8592</v>
      </c>
      <c r="BW104" s="612">
        <v>392116.5736</v>
      </c>
      <c r="BX104" s="612">
        <v>392116.5736</v>
      </c>
      <c r="BY104" s="612">
        <v>412754.28800000006</v>
      </c>
      <c r="BZ104" s="612">
        <v>412754.28800000006</v>
      </c>
      <c r="CA104" s="612">
        <v>433392.0024</v>
      </c>
      <c r="CB104" s="612">
        <v>433392.0024</v>
      </c>
      <c r="CC104" s="612">
        <v>433392.0024</v>
      </c>
      <c r="CD104" s="612">
        <v>433392.0024</v>
      </c>
      <c r="CE104" s="612">
        <v>433392.0024</v>
      </c>
      <c r="CF104" s="612">
        <v>433392.0024</v>
      </c>
      <c r="CG104" s="612">
        <v>433392.0024</v>
      </c>
      <c r="CH104" s="612">
        <v>433392.0024</v>
      </c>
      <c r="CI104" s="612">
        <v>433392.0024</v>
      </c>
      <c r="CJ104" s="612">
        <v>433392.0024</v>
      </c>
      <c r="CK104" s="612">
        <v>433392.0024</v>
      </c>
      <c r="CL104" s="612">
        <v>433392.0024</v>
      </c>
      <c r="CM104" s="612">
        <v>433392.0024</v>
      </c>
      <c r="CN104" s="612">
        <v>433392.0024</v>
      </c>
      <c r="CO104" s="612">
        <v>433392.0024</v>
      </c>
      <c r="CP104" s="612">
        <v>433392.0024</v>
      </c>
    </row>
    <row r="105">
      <c r="A105" s="645"/>
      <c r="B105" s="700" t="s">
        <v>345</v>
      </c>
      <c r="C105" s="614" t="b">
        <v>0</v>
      </c>
      <c r="D105" s="589" t="s">
        <v>719</v>
      </c>
      <c r="E105" s="615" t="s">
        <v>494</v>
      </c>
      <c r="F105" s="616" t="s">
        <v>720</v>
      </c>
      <c r="G105" s="625">
        <v>1.0</v>
      </c>
      <c r="H105" s="708"/>
      <c r="I105" s="637">
        <f>21328*1.07</f>
        <v>22820.96</v>
      </c>
      <c r="J105" s="618">
        <f>I105*IF($C$7=TRUE,VLOOKUP(B105,BuffsDebuffs!$P$8:$X$26,MATCH(E105,BuffsDebuffs!$P$8:$X$8,0),FALSE),1)*IF(AND($C$8=TRUE,H105=1),1.0778,1)*VLOOKUP($C$2,'scaling OLD'!$A$2:$H$55,8,False)*IF(K105="-",1,(1/K105*(1+((K105-1)*VLOOKUP($C$2,'scaling OLD'!$A$2:$H$55,4,False)))))*IF(K105="-",1,VLOOKUP($C$2,'scaling OLD'!$A$2:$H$55,5,False))*VLOOKUP($C$2,'scaling OLD'!$A$2:$H$55,6,False)*IF(AND(LEFT(C$2,7)="CE - Cr",B105="Sword"),1.35,1)</f>
        <v>22820.96</v>
      </c>
      <c r="K105" s="213" t="s">
        <v>349</v>
      </c>
      <c r="L105" s="211">
        <v>6.0</v>
      </c>
      <c r="M105" s="211">
        <v>58.06</v>
      </c>
      <c r="N105" s="211">
        <v>30.0</v>
      </c>
      <c r="O105" s="215">
        <v>1.666</v>
      </c>
      <c r="P105" s="691">
        <f t="shared" si="24"/>
        <v>5.16706855</v>
      </c>
      <c r="Q105" s="692">
        <f t="shared" si="2"/>
        <v>136925.76</v>
      </c>
      <c r="R105" s="621">
        <f t="shared" si="3"/>
        <v>32.49934275</v>
      </c>
      <c r="S105" s="622">
        <f t="shared" si="22"/>
        <v>684628.8</v>
      </c>
      <c r="T105" s="602">
        <f t="shared" si="5"/>
        <v>684628.8</v>
      </c>
      <c r="U105" s="623">
        <f t="shared" si="19"/>
        <v>26499.69875</v>
      </c>
      <c r="V105" s="624">
        <f t="shared" si="7"/>
        <v>21065.92756</v>
      </c>
      <c r="W105" s="605">
        <f t="shared" si="8"/>
        <v>21065.92756</v>
      </c>
      <c r="X105" s="606">
        <f t="shared" si="9"/>
        <v>20038.69257</v>
      </c>
      <c r="Y105" s="607">
        <f t="shared" si="10"/>
        <v>2</v>
      </c>
      <c r="Z105" s="608">
        <f t="shared" si="11"/>
        <v>16.668</v>
      </c>
      <c r="AA105" s="608">
        <f t="shared" si="12"/>
        <v>1.166794351</v>
      </c>
      <c r="AB105" s="607">
        <f t="shared" si="13"/>
        <v>3</v>
      </c>
      <c r="AC105" s="607">
        <f t="shared" si="14"/>
        <v>410777.28</v>
      </c>
      <c r="AD105" s="608">
        <f t="shared" si="15"/>
        <v>0</v>
      </c>
      <c r="AE105" s="607">
        <f t="shared" si="16"/>
        <v>0</v>
      </c>
      <c r="AF105" s="609">
        <f t="shared" si="17"/>
        <v>0</v>
      </c>
      <c r="AG105" s="628">
        <f t="shared" si="23"/>
        <v>410777.28</v>
      </c>
      <c r="AH105" s="611"/>
      <c r="AI105" s="612">
        <v>21328.0</v>
      </c>
      <c r="AJ105" s="612">
        <v>21328.0</v>
      </c>
      <c r="AK105" s="612">
        <v>42656.0</v>
      </c>
      <c r="AL105" s="612">
        <v>42656.0</v>
      </c>
      <c r="AM105" s="612">
        <v>63984.0</v>
      </c>
      <c r="AN105" s="612">
        <v>63984.0</v>
      </c>
      <c r="AO105" s="612">
        <v>85312.0</v>
      </c>
      <c r="AP105" s="612">
        <v>85312.0</v>
      </c>
      <c r="AQ105" s="612">
        <v>106640.0</v>
      </c>
      <c r="AR105" s="612">
        <v>106640.0</v>
      </c>
      <c r="AS105" s="612">
        <v>127968.0</v>
      </c>
      <c r="AT105" s="612">
        <v>127968.0</v>
      </c>
      <c r="AU105" s="612">
        <v>127968.0</v>
      </c>
      <c r="AV105" s="612">
        <v>149296.0</v>
      </c>
      <c r="AW105" s="612">
        <v>149296.0</v>
      </c>
      <c r="AX105" s="612">
        <v>170624.0</v>
      </c>
      <c r="AY105" s="612">
        <v>170624.0</v>
      </c>
      <c r="AZ105" s="612">
        <v>191952.0</v>
      </c>
      <c r="BA105" s="612">
        <v>191952.0</v>
      </c>
      <c r="BB105" s="612">
        <v>213280.0</v>
      </c>
      <c r="BC105" s="612">
        <v>213280.0</v>
      </c>
      <c r="BD105" s="612">
        <v>234608.0</v>
      </c>
      <c r="BE105" s="612">
        <v>234608.0</v>
      </c>
      <c r="BF105" s="612">
        <v>234608.0</v>
      </c>
      <c r="BG105" s="612">
        <v>255936.0</v>
      </c>
      <c r="BH105" s="612">
        <v>255936.0</v>
      </c>
      <c r="BI105" s="612">
        <v>255936.0</v>
      </c>
      <c r="BJ105" s="612">
        <v>277264.0</v>
      </c>
      <c r="BK105" s="612">
        <v>277264.0</v>
      </c>
      <c r="BL105" s="612">
        <v>298592.0</v>
      </c>
      <c r="BM105" s="612">
        <v>298592.0</v>
      </c>
      <c r="BN105" s="612">
        <v>319920.0</v>
      </c>
      <c r="BO105" s="612">
        <v>319920.0</v>
      </c>
      <c r="BP105" s="612">
        <v>341248.0</v>
      </c>
      <c r="BQ105" s="612">
        <v>341248.0</v>
      </c>
      <c r="BR105" s="612">
        <v>362576.0</v>
      </c>
      <c r="BS105" s="612">
        <v>362576.0</v>
      </c>
      <c r="BT105" s="612">
        <v>383904.0</v>
      </c>
      <c r="BU105" s="612">
        <v>383904.0</v>
      </c>
      <c r="BV105" s="612">
        <v>383904.0</v>
      </c>
      <c r="BW105" s="612">
        <v>405232.0</v>
      </c>
      <c r="BX105" s="612">
        <v>405232.0</v>
      </c>
      <c r="BY105" s="612">
        <v>405232.0</v>
      </c>
      <c r="BZ105" s="612">
        <v>426560.0</v>
      </c>
      <c r="CA105" s="612">
        <v>426560.0</v>
      </c>
      <c r="CB105" s="612">
        <v>447888.0</v>
      </c>
      <c r="CC105" s="612">
        <v>447888.0</v>
      </c>
      <c r="CD105" s="612">
        <v>469216.0</v>
      </c>
      <c r="CE105" s="612">
        <v>469216.0</v>
      </c>
      <c r="CF105" s="612">
        <v>490544.0</v>
      </c>
      <c r="CG105" s="612">
        <v>490544.0</v>
      </c>
      <c r="CH105" s="612">
        <v>511872.0</v>
      </c>
      <c r="CI105" s="612">
        <v>511872.0</v>
      </c>
      <c r="CJ105" s="612">
        <v>511872.0</v>
      </c>
      <c r="CK105" s="612">
        <v>533200.0</v>
      </c>
      <c r="CL105" s="612">
        <v>533200.0</v>
      </c>
      <c r="CM105" s="612">
        <v>554528.0</v>
      </c>
      <c r="CN105" s="612">
        <v>554528.0</v>
      </c>
      <c r="CO105" s="612">
        <v>575856.0</v>
      </c>
      <c r="CP105" s="612">
        <v>575856.0</v>
      </c>
    </row>
    <row r="106">
      <c r="A106" s="645"/>
      <c r="B106" s="613" t="s">
        <v>345</v>
      </c>
      <c r="C106" s="676" t="b">
        <v>0</v>
      </c>
      <c r="D106" s="655" t="s">
        <v>721</v>
      </c>
      <c r="E106" s="656" t="s">
        <v>348</v>
      </c>
      <c r="F106" s="678"/>
      <c r="G106" s="625">
        <v>1.0</v>
      </c>
      <c r="H106" s="709">
        <v>1.0</v>
      </c>
      <c r="I106" s="637">
        <f>26595*1.07</f>
        <v>28456.65</v>
      </c>
      <c r="J106" s="594">
        <f>I106*IF($C$7=TRUE,VLOOKUP(B106,BuffsDebuffs!$P$8:$X$26,MATCH(E106,BuffsDebuffs!$P$8:$X$8,0),FALSE),1)*IF(AND($C$8=TRUE,H106=1),1.0778,1)*VLOOKUP($C$2,'scaling OLD'!$A$2:$H$55,8,False)*IF(K106="-",1,(1/K106*(1+((K106-1)*VLOOKUP($C$2,'scaling OLD'!$A$2:$H$55,4,False)))))*IF(K106="-",1,VLOOKUP($C$2,'scaling OLD'!$A$2:$H$55,5,False))*VLOOKUP($C$2,'scaling OLD'!$A$2:$H$55,6,False)*IF(AND(LEFT(C$2,7)="CE - Cr",B106="Sword"),1.35,1)</f>
        <v>30670.57737</v>
      </c>
      <c r="K106" s="213" t="s">
        <v>349</v>
      </c>
      <c r="L106" s="211">
        <v>6.0</v>
      </c>
      <c r="M106" s="211">
        <v>39.56</v>
      </c>
      <c r="N106" s="211">
        <v>22.0</v>
      </c>
      <c r="O106" s="215">
        <v>2.034</v>
      </c>
      <c r="P106" s="688">
        <f t="shared" si="24"/>
        <v>7.583417594</v>
      </c>
      <c r="Q106" s="694">
        <f t="shared" si="2"/>
        <v>184023.4642</v>
      </c>
      <c r="R106" s="600">
        <f t="shared" si="3"/>
        <v>33.40230334</v>
      </c>
      <c r="S106" s="622">
        <f t="shared" si="22"/>
        <v>674752.7021</v>
      </c>
      <c r="T106" s="602">
        <f t="shared" si="5"/>
        <v>552070.3927</v>
      </c>
      <c r="U106" s="623">
        <f t="shared" si="19"/>
        <v>24266.56082</v>
      </c>
      <c r="V106" s="624">
        <f t="shared" si="7"/>
        <v>20200.78362</v>
      </c>
      <c r="W106" s="605">
        <f t="shared" si="8"/>
        <v>20585.62119</v>
      </c>
      <c r="X106" s="606">
        <f t="shared" si="9"/>
        <v>19134.3947</v>
      </c>
      <c r="Y106" s="607">
        <f t="shared" si="10"/>
        <v>2</v>
      </c>
      <c r="Z106" s="608">
        <f t="shared" si="11"/>
        <v>15.932</v>
      </c>
      <c r="AA106" s="608">
        <f t="shared" si="12"/>
        <v>0</v>
      </c>
      <c r="AB106" s="607">
        <f t="shared" si="13"/>
        <v>2</v>
      </c>
      <c r="AC106" s="607">
        <f t="shared" si="14"/>
        <v>368046.9284</v>
      </c>
      <c r="AD106" s="608">
        <f t="shared" si="15"/>
        <v>0.7651648129</v>
      </c>
      <c r="AE106" s="607">
        <f t="shared" si="16"/>
        <v>1</v>
      </c>
      <c r="AF106" s="609">
        <f t="shared" si="17"/>
        <v>30670.57737</v>
      </c>
      <c r="AG106" s="628">
        <f t="shared" si="23"/>
        <v>398717.5058</v>
      </c>
      <c r="AH106" s="611"/>
      <c r="AI106" s="612">
        <v>28664.091000000004</v>
      </c>
      <c r="AJ106" s="612">
        <v>28664.091000000004</v>
      </c>
      <c r="AK106" s="612">
        <v>28664.091000000004</v>
      </c>
      <c r="AL106" s="612">
        <v>57328.18200000001</v>
      </c>
      <c r="AM106" s="612">
        <v>57328.18200000001</v>
      </c>
      <c r="AN106" s="612">
        <v>57328.18200000001</v>
      </c>
      <c r="AO106" s="612">
        <v>85992.27300000002</v>
      </c>
      <c r="AP106" s="612">
        <v>85992.27300000002</v>
      </c>
      <c r="AQ106" s="612">
        <v>85992.27300000002</v>
      </c>
      <c r="AR106" s="612">
        <v>114656.36400000002</v>
      </c>
      <c r="AS106" s="612">
        <v>114656.36400000002</v>
      </c>
      <c r="AT106" s="612">
        <v>114656.36400000002</v>
      </c>
      <c r="AU106" s="612">
        <v>143320.45500000002</v>
      </c>
      <c r="AV106" s="612">
        <v>143320.45500000002</v>
      </c>
      <c r="AW106" s="612">
        <v>143320.45500000002</v>
      </c>
      <c r="AX106" s="612">
        <v>171984.54600000003</v>
      </c>
      <c r="AY106" s="612">
        <v>171984.54600000003</v>
      </c>
      <c r="AZ106" s="612">
        <v>171984.54600000003</v>
      </c>
      <c r="BA106" s="612">
        <v>171984.54600000003</v>
      </c>
      <c r="BB106" s="612">
        <v>200648.63700000005</v>
      </c>
      <c r="BC106" s="612">
        <v>200648.63700000005</v>
      </c>
      <c r="BD106" s="612">
        <v>200648.63700000005</v>
      </c>
      <c r="BE106" s="612">
        <v>229312.72800000003</v>
      </c>
      <c r="BF106" s="612">
        <v>229312.72800000003</v>
      </c>
      <c r="BG106" s="612">
        <v>229312.72800000003</v>
      </c>
      <c r="BH106" s="612">
        <v>257976.81900000005</v>
      </c>
      <c r="BI106" s="612">
        <v>257976.81900000005</v>
      </c>
      <c r="BJ106" s="612">
        <v>257976.81900000005</v>
      </c>
      <c r="BK106" s="612">
        <v>286640.91000000003</v>
      </c>
      <c r="BL106" s="612">
        <v>286640.91000000003</v>
      </c>
      <c r="BM106" s="612">
        <v>286640.91000000003</v>
      </c>
      <c r="BN106" s="612">
        <v>315305.00100000005</v>
      </c>
      <c r="BO106" s="612">
        <v>315305.00100000005</v>
      </c>
      <c r="BP106" s="612">
        <v>315305.00100000005</v>
      </c>
      <c r="BQ106" s="612">
        <v>343969.09200000006</v>
      </c>
      <c r="BR106" s="612">
        <v>343969.09200000006</v>
      </c>
      <c r="BS106" s="612">
        <v>343969.09200000006</v>
      </c>
      <c r="BT106" s="612">
        <v>343969.09200000006</v>
      </c>
      <c r="BU106" s="612">
        <v>372633.1830000001</v>
      </c>
      <c r="BV106" s="612">
        <v>372633.1830000001</v>
      </c>
      <c r="BW106" s="612">
        <v>372633.1830000001</v>
      </c>
      <c r="BX106" s="612">
        <v>401297.2740000001</v>
      </c>
      <c r="BY106" s="612">
        <v>401297.2740000001</v>
      </c>
      <c r="BZ106" s="612">
        <v>401297.2740000001</v>
      </c>
      <c r="CA106" s="612">
        <v>429961.3650000001</v>
      </c>
      <c r="CB106" s="612">
        <v>429961.3650000001</v>
      </c>
      <c r="CC106" s="612">
        <v>429961.3650000001</v>
      </c>
      <c r="CD106" s="612">
        <v>458625.45600000006</v>
      </c>
      <c r="CE106" s="612">
        <v>458625.45600000006</v>
      </c>
      <c r="CF106" s="612">
        <v>458625.45600000006</v>
      </c>
      <c r="CG106" s="612">
        <v>487289.5470000001</v>
      </c>
      <c r="CH106" s="612">
        <v>487289.5470000001</v>
      </c>
      <c r="CI106" s="612">
        <v>487289.5470000001</v>
      </c>
      <c r="CJ106" s="612">
        <v>515953.6380000001</v>
      </c>
      <c r="CK106" s="612">
        <v>515953.6380000001</v>
      </c>
      <c r="CL106" s="612">
        <v>515953.6380000001</v>
      </c>
      <c r="CM106" s="612">
        <v>515953.6380000001</v>
      </c>
      <c r="CN106" s="612">
        <v>544617.729</v>
      </c>
      <c r="CO106" s="612">
        <v>544617.729</v>
      </c>
      <c r="CP106" s="612">
        <v>544617.729</v>
      </c>
    </row>
    <row r="107">
      <c r="A107" s="710"/>
      <c r="B107" s="711" t="s">
        <v>363</v>
      </c>
      <c r="C107" s="712" t="b">
        <v>0</v>
      </c>
      <c r="D107" s="713" t="s">
        <v>722</v>
      </c>
      <c r="E107" s="714" t="s">
        <v>348</v>
      </c>
      <c r="F107" s="715" t="s">
        <v>723</v>
      </c>
      <c r="G107" s="636">
        <v>1.0</v>
      </c>
      <c r="H107" s="709">
        <v>1.0</v>
      </c>
      <c r="I107" s="654">
        <v>27206.0</v>
      </c>
      <c r="J107" s="618">
        <f>I107*IF($C$7=TRUE,VLOOKUP(B107,BuffsDebuffs!$P$8:$X$26,MATCH(E107,BuffsDebuffs!$P$8:$X$8,0),FALSE),1)*IF(AND($C$8=TRUE,H107=1),1.0778,1)*VLOOKUP($C$2,'scaling OLD'!$A$2:$H$55,8,False)*IF(K107="-",1,(1/K107*(1+((K107-1)*VLOOKUP($C$2,'scaling OLD'!$A$2:$H$55,4,False)))))*IF(K107="-",1,VLOOKUP($C$2,'scaling OLD'!$A$2:$H$55,5,False))*VLOOKUP($C$2,'scaling OLD'!$A$2:$H$55,6,False)*IF(AND(LEFT(C$2,7)="CE - Cr",B107="Sword"),1.35,1)</f>
        <v>29322.6268</v>
      </c>
      <c r="K107" s="186" t="s">
        <v>349</v>
      </c>
      <c r="L107" s="184">
        <v>1.0</v>
      </c>
      <c r="M107" s="184">
        <v>90.0</v>
      </c>
      <c r="N107" s="184">
        <v>23.0</v>
      </c>
      <c r="O107" s="188">
        <v>1.5</v>
      </c>
      <c r="P107" s="691">
        <f t="shared" si="24"/>
        <v>0</v>
      </c>
      <c r="Q107" s="692">
        <f t="shared" si="2"/>
        <v>29322.6268</v>
      </c>
      <c r="R107" s="621">
        <f t="shared" si="3"/>
        <v>33</v>
      </c>
      <c r="S107" s="622">
        <f t="shared" si="22"/>
        <v>674420.4164</v>
      </c>
      <c r="T107" s="602">
        <f t="shared" si="5"/>
        <v>674420.4164</v>
      </c>
      <c r="U107" s="716" t="str">
        <f t="shared" si="19"/>
        <v>-</v>
      </c>
      <c r="V107" s="624">
        <f t="shared" si="7"/>
        <v>20436.98232</v>
      </c>
      <c r="W107" s="605">
        <f t="shared" si="8"/>
        <v>20436.98232</v>
      </c>
      <c r="X107" s="606">
        <f t="shared" si="9"/>
        <v>19548.41787</v>
      </c>
      <c r="Y107" s="607">
        <f t="shared" si="10"/>
        <v>13</v>
      </c>
      <c r="Z107" s="608">
        <f t="shared" si="11"/>
        <v>0.5</v>
      </c>
      <c r="AA107" s="608">
        <f t="shared" si="12"/>
        <v>0.5</v>
      </c>
      <c r="AB107" s="607">
        <f t="shared" si="13"/>
        <v>14</v>
      </c>
      <c r="AC107" s="607">
        <f t="shared" si="14"/>
        <v>410516.7752</v>
      </c>
      <c r="AD107" s="608">
        <f t="shared" si="15"/>
        <v>0</v>
      </c>
      <c r="AE107" s="607">
        <f t="shared" si="16"/>
        <v>0</v>
      </c>
      <c r="AF107" s="609">
        <f t="shared" si="17"/>
        <v>0</v>
      </c>
      <c r="AG107" s="717">
        <f t="shared" si="23"/>
        <v>410516.7752</v>
      </c>
      <c r="AH107" s="718"/>
      <c r="AI107" s="612">
        <v>28076.690000000002</v>
      </c>
      <c r="AJ107" s="612">
        <v>28076.690000000002</v>
      </c>
      <c r="AK107" s="612">
        <v>56153.380000000005</v>
      </c>
      <c r="AL107" s="612">
        <v>56153.380000000005</v>
      </c>
      <c r="AM107" s="612">
        <v>56153.380000000005</v>
      </c>
      <c r="AN107" s="612">
        <v>84230.07</v>
      </c>
      <c r="AO107" s="612">
        <v>84230.07</v>
      </c>
      <c r="AP107" s="612">
        <v>84230.07</v>
      </c>
      <c r="AQ107" s="612">
        <v>112306.76000000001</v>
      </c>
      <c r="AR107" s="612">
        <v>112306.76000000001</v>
      </c>
      <c r="AS107" s="612">
        <v>112306.76000000001</v>
      </c>
      <c r="AT107" s="612">
        <v>140383.45</v>
      </c>
      <c r="AU107" s="612">
        <v>140383.45</v>
      </c>
      <c r="AV107" s="612">
        <v>140383.45</v>
      </c>
      <c r="AW107" s="612">
        <v>168460.14</v>
      </c>
      <c r="AX107" s="612">
        <v>168460.14</v>
      </c>
      <c r="AY107" s="612">
        <v>168460.14</v>
      </c>
      <c r="AZ107" s="612">
        <v>196536.83000000002</v>
      </c>
      <c r="BA107" s="612">
        <v>196536.83000000002</v>
      </c>
      <c r="BB107" s="612">
        <v>196536.83000000002</v>
      </c>
      <c r="BC107" s="612">
        <v>224613.52000000002</v>
      </c>
      <c r="BD107" s="612">
        <v>224613.52000000002</v>
      </c>
      <c r="BE107" s="612">
        <v>224613.52000000002</v>
      </c>
      <c r="BF107" s="612">
        <v>252690.21000000002</v>
      </c>
      <c r="BG107" s="612">
        <v>252690.21000000002</v>
      </c>
      <c r="BH107" s="612">
        <v>252690.21000000002</v>
      </c>
      <c r="BI107" s="612">
        <v>280766.9</v>
      </c>
      <c r="BJ107" s="612">
        <v>280766.9</v>
      </c>
      <c r="BK107" s="612">
        <v>280766.9</v>
      </c>
      <c r="BL107" s="612">
        <v>308843.59</v>
      </c>
      <c r="BM107" s="612">
        <v>308843.59</v>
      </c>
      <c r="BN107" s="612">
        <v>308843.59</v>
      </c>
      <c r="BO107" s="612">
        <v>336920.28</v>
      </c>
      <c r="BP107" s="612">
        <v>336920.28</v>
      </c>
      <c r="BQ107" s="612">
        <v>336920.28</v>
      </c>
      <c r="BR107" s="612">
        <v>364996.97000000003</v>
      </c>
      <c r="BS107" s="612">
        <v>364996.97000000003</v>
      </c>
      <c r="BT107" s="612">
        <v>364996.97000000003</v>
      </c>
      <c r="BU107" s="612">
        <v>393073.66000000003</v>
      </c>
      <c r="BV107" s="612">
        <v>393073.66000000003</v>
      </c>
      <c r="BW107" s="612">
        <v>393073.66000000003</v>
      </c>
      <c r="BX107" s="612">
        <v>421150.35000000003</v>
      </c>
      <c r="BY107" s="612">
        <v>421150.35000000003</v>
      </c>
      <c r="BZ107" s="612">
        <v>421150.35000000003</v>
      </c>
      <c r="CA107" s="612">
        <v>449227.04000000004</v>
      </c>
      <c r="CB107" s="612">
        <v>449227.04000000004</v>
      </c>
      <c r="CC107" s="612">
        <v>449227.04000000004</v>
      </c>
      <c r="CD107" s="612">
        <v>477303.73000000004</v>
      </c>
      <c r="CE107" s="612">
        <v>477303.73000000004</v>
      </c>
      <c r="CF107" s="612">
        <v>477303.73000000004</v>
      </c>
      <c r="CG107" s="612">
        <v>505380.42000000004</v>
      </c>
      <c r="CH107" s="612">
        <v>505380.42000000004</v>
      </c>
      <c r="CI107" s="612">
        <v>505380.42000000004</v>
      </c>
      <c r="CJ107" s="612">
        <v>533457.1100000001</v>
      </c>
      <c r="CK107" s="612">
        <v>533457.1100000001</v>
      </c>
      <c r="CL107" s="612">
        <v>533457.1100000001</v>
      </c>
      <c r="CM107" s="612">
        <v>561533.8</v>
      </c>
      <c r="CN107" s="612">
        <v>561533.8</v>
      </c>
      <c r="CO107" s="612">
        <v>561533.8</v>
      </c>
      <c r="CP107" s="612">
        <v>589610.49</v>
      </c>
    </row>
    <row r="108">
      <c r="A108" s="457"/>
      <c r="B108" s="675" t="s">
        <v>345</v>
      </c>
      <c r="C108" s="676" t="b">
        <v>0</v>
      </c>
      <c r="D108" s="655" t="s">
        <v>724</v>
      </c>
      <c r="E108" s="656" t="s">
        <v>348</v>
      </c>
      <c r="F108" s="657"/>
      <c r="G108" s="625">
        <v>1.0</v>
      </c>
      <c r="H108" s="709">
        <v>1.0</v>
      </c>
      <c r="I108" s="617">
        <f>23324*1.07</f>
        <v>24956.68</v>
      </c>
      <c r="J108" s="594">
        <f>I108*IF($C$7=TRUE,VLOOKUP(B108,BuffsDebuffs!$P$8:$X$26,MATCH(E108,BuffsDebuffs!$P$8:$X$8,0),FALSE),1)*IF(AND($C$8=TRUE,H108=1),1.0778,1)*VLOOKUP($C$2,'scaling OLD'!$A$2:$H$55,8,False)*IF(K108="-",1,(1/K108*(1+((K108-1)*VLOOKUP($C$2,'scaling OLD'!$A$2:$H$55,4,False)))))*IF(K108="-",1,VLOOKUP($C$2,'scaling OLD'!$A$2:$H$55,5,False))*VLOOKUP($C$2,'scaling OLD'!$A$2:$H$55,6,False)*IF(AND(LEFT(C$2,7)="CE - Cr",B108="Sword"),1.35,1)</f>
        <v>26898.3097</v>
      </c>
      <c r="K108" s="186" t="s">
        <v>349</v>
      </c>
      <c r="L108" s="184">
        <v>8.0</v>
      </c>
      <c r="M108" s="184">
        <v>45.0</v>
      </c>
      <c r="N108" s="184">
        <v>25.0</v>
      </c>
      <c r="O108" s="188">
        <v>1.816</v>
      </c>
      <c r="P108" s="688">
        <f t="shared" si="24"/>
        <v>9.333333333</v>
      </c>
      <c r="Q108" s="694">
        <f t="shared" si="2"/>
        <v>215186.4776</v>
      </c>
      <c r="R108" s="600">
        <f t="shared" si="3"/>
        <v>33.448</v>
      </c>
      <c r="S108" s="622">
        <f t="shared" si="22"/>
        <v>672457.7426</v>
      </c>
      <c r="T108" s="602">
        <f t="shared" si="5"/>
        <v>645559.4329</v>
      </c>
      <c r="U108" s="716">
        <f t="shared" si="19"/>
        <v>23055.69403</v>
      </c>
      <c r="V108" s="624">
        <f t="shared" si="7"/>
        <v>20104.57255</v>
      </c>
      <c r="W108" s="605">
        <f t="shared" si="8"/>
        <v>20408.42921</v>
      </c>
      <c r="X108" s="600">
        <f t="shared" si="9"/>
        <v>19300.38965</v>
      </c>
      <c r="Y108" s="607">
        <f t="shared" si="10"/>
        <v>1</v>
      </c>
      <c r="Z108" s="608">
        <f t="shared" si="11"/>
        <v>18.184</v>
      </c>
      <c r="AA108" s="608">
        <f t="shared" si="12"/>
        <v>0</v>
      </c>
      <c r="AB108" s="607">
        <f t="shared" si="13"/>
        <v>1</v>
      </c>
      <c r="AC108" s="607">
        <f t="shared" si="14"/>
        <v>215186.4776</v>
      </c>
      <c r="AD108" s="608">
        <f t="shared" si="15"/>
        <v>8.850666667</v>
      </c>
      <c r="AE108" s="607">
        <f t="shared" si="16"/>
        <v>7</v>
      </c>
      <c r="AF108" s="609">
        <f t="shared" si="17"/>
        <v>188288.1679</v>
      </c>
      <c r="AG108" s="719">
        <f t="shared" si="23"/>
        <v>403474.6456</v>
      </c>
      <c r="AH108" s="720"/>
      <c r="AI108" s="612">
        <v>25138.607200000002</v>
      </c>
      <c r="AJ108" s="612">
        <v>25138.607200000002</v>
      </c>
      <c r="AK108" s="612">
        <v>50277.214400000004</v>
      </c>
      <c r="AL108" s="612">
        <v>50277.214400000004</v>
      </c>
      <c r="AM108" s="612">
        <v>50277.214400000004</v>
      </c>
      <c r="AN108" s="612">
        <v>75415.82160000001</v>
      </c>
      <c r="AO108" s="612">
        <v>75415.82160000001</v>
      </c>
      <c r="AP108" s="612">
        <v>100554.42880000001</v>
      </c>
      <c r="AQ108" s="612">
        <v>100554.42880000001</v>
      </c>
      <c r="AR108" s="612">
        <v>100554.42880000001</v>
      </c>
      <c r="AS108" s="612">
        <v>125693.03600000001</v>
      </c>
      <c r="AT108" s="612">
        <v>125693.03600000001</v>
      </c>
      <c r="AU108" s="612">
        <v>125693.03600000001</v>
      </c>
      <c r="AV108" s="612">
        <v>150831.64320000002</v>
      </c>
      <c r="AW108" s="612">
        <v>150831.64320000002</v>
      </c>
      <c r="AX108" s="612">
        <v>175970.25040000002</v>
      </c>
      <c r="AY108" s="612">
        <v>175970.25040000002</v>
      </c>
      <c r="AZ108" s="612">
        <v>175970.25040000002</v>
      </c>
      <c r="BA108" s="612">
        <v>201108.85760000002</v>
      </c>
      <c r="BB108" s="612">
        <v>201108.85760000002</v>
      </c>
      <c r="BC108" s="612">
        <v>201108.85760000002</v>
      </c>
      <c r="BD108" s="612">
        <v>201108.85760000002</v>
      </c>
      <c r="BE108" s="612">
        <v>226247.46480000002</v>
      </c>
      <c r="BF108" s="612">
        <v>226247.46480000002</v>
      </c>
      <c r="BG108" s="612">
        <v>251386.07200000001</v>
      </c>
      <c r="BH108" s="612">
        <v>251386.07200000001</v>
      </c>
      <c r="BI108" s="612">
        <v>251386.07200000001</v>
      </c>
      <c r="BJ108" s="612">
        <v>276524.6792</v>
      </c>
      <c r="BK108" s="612">
        <v>276524.6792</v>
      </c>
      <c r="BL108" s="612">
        <v>276524.6792</v>
      </c>
      <c r="BM108" s="612">
        <v>301663.28640000004</v>
      </c>
      <c r="BN108" s="612">
        <v>301663.28640000004</v>
      </c>
      <c r="BO108" s="612">
        <v>326801.8936</v>
      </c>
      <c r="BP108" s="612">
        <v>326801.8936</v>
      </c>
      <c r="BQ108" s="612">
        <v>326801.8936</v>
      </c>
      <c r="BR108" s="612">
        <v>351940.50080000004</v>
      </c>
      <c r="BS108" s="612">
        <v>351940.50080000004</v>
      </c>
      <c r="BT108" s="612">
        <v>351940.50080000004</v>
      </c>
      <c r="BU108" s="612">
        <v>377079.108</v>
      </c>
      <c r="BV108" s="612">
        <v>377079.108</v>
      </c>
      <c r="BW108" s="612">
        <v>402217.71520000004</v>
      </c>
      <c r="BX108" s="612">
        <v>402217.71520000004</v>
      </c>
      <c r="BY108" s="612">
        <v>402217.71520000004</v>
      </c>
      <c r="BZ108" s="612">
        <v>402217.71520000004</v>
      </c>
      <c r="CA108" s="612">
        <v>427356.32240000006</v>
      </c>
      <c r="CB108" s="612">
        <v>427356.32240000006</v>
      </c>
      <c r="CC108" s="612">
        <v>427356.32240000006</v>
      </c>
      <c r="CD108" s="612">
        <v>452494.92960000003</v>
      </c>
      <c r="CE108" s="612">
        <v>452494.92960000003</v>
      </c>
      <c r="CF108" s="612">
        <v>477633.53680000006</v>
      </c>
      <c r="CG108" s="612">
        <v>477633.53680000006</v>
      </c>
      <c r="CH108" s="612">
        <v>477633.53680000006</v>
      </c>
      <c r="CI108" s="612">
        <v>502772.14400000003</v>
      </c>
      <c r="CJ108" s="612">
        <v>502772.14400000003</v>
      </c>
      <c r="CK108" s="612">
        <v>502772.14400000003</v>
      </c>
      <c r="CL108" s="612">
        <v>527910.7512</v>
      </c>
      <c r="CM108" s="612">
        <v>527910.7512</v>
      </c>
      <c r="CN108" s="612">
        <v>553049.3584</v>
      </c>
      <c r="CO108" s="612">
        <v>553049.3584</v>
      </c>
      <c r="CP108" s="612">
        <v>553049.3584</v>
      </c>
    </row>
    <row r="109">
      <c r="A109" s="457"/>
      <c r="B109" s="675" t="s">
        <v>345</v>
      </c>
      <c r="C109" s="679" t="b">
        <v>0</v>
      </c>
      <c r="D109" s="589" t="s">
        <v>725</v>
      </c>
      <c r="E109" s="615" t="s">
        <v>500</v>
      </c>
      <c r="F109" s="672"/>
      <c r="G109" s="648">
        <v>1.0</v>
      </c>
      <c r="H109" s="721"/>
      <c r="I109" s="637">
        <f>25032*1.07</f>
        <v>26784.24</v>
      </c>
      <c r="J109" s="618">
        <f>I109*IF($C$7=TRUE,VLOOKUP(B109,BuffsDebuffs!$P$8:$X$26,MATCH(E109,BuffsDebuffs!$P$8:$X$8,0),FALSE),1)*IF(AND($C$8=TRUE,H109=1),1.0778,1)*VLOOKUP($C$2,'scaling OLD'!$A$2:$H$55,8,False)*IF(K109="-",1,(1/K109*(1+((K109-1)*VLOOKUP($C$2,'scaling OLD'!$A$2:$H$55,4,False)))))*IF(K109="-",1,VLOOKUP($C$2,'scaling OLD'!$A$2:$H$55,5,False))*VLOOKUP($C$2,'scaling OLD'!$A$2:$H$55,6,False)*IF(AND(LEFT(C$2,7)="CE - Cr",B109="Sword"),1.35,1)</f>
        <v>26784.24</v>
      </c>
      <c r="K109" s="213" t="s">
        <v>349</v>
      </c>
      <c r="L109" s="211">
        <v>7.0</v>
      </c>
      <c r="M109" s="211">
        <v>45.47</v>
      </c>
      <c r="N109" s="211">
        <v>22.0</v>
      </c>
      <c r="O109" s="215">
        <v>1.933</v>
      </c>
      <c r="P109" s="691">
        <f t="shared" si="24"/>
        <v>7.917308115</v>
      </c>
      <c r="Q109" s="692">
        <f t="shared" si="2"/>
        <v>187489.68</v>
      </c>
      <c r="R109" s="621">
        <f t="shared" si="3"/>
        <v>29.55092435</v>
      </c>
      <c r="S109" s="622">
        <f t="shared" si="22"/>
        <v>589253.28</v>
      </c>
      <c r="T109" s="602">
        <f t="shared" si="5"/>
        <v>562469.04</v>
      </c>
      <c r="U109" s="716">
        <f t="shared" si="19"/>
        <v>23680.98819</v>
      </c>
      <c r="V109" s="624">
        <f t="shared" si="7"/>
        <v>19940.26559</v>
      </c>
      <c r="W109" s="605">
        <f t="shared" si="8"/>
        <v>20366.08664</v>
      </c>
      <c r="X109" s="600">
        <f t="shared" si="9"/>
        <v>19033.88989</v>
      </c>
      <c r="Y109" s="607">
        <f t="shared" si="10"/>
        <v>2</v>
      </c>
      <c r="Z109" s="608">
        <f t="shared" si="11"/>
        <v>16.134</v>
      </c>
      <c r="AA109" s="608">
        <f t="shared" si="12"/>
        <v>0</v>
      </c>
      <c r="AB109" s="607">
        <f t="shared" si="13"/>
        <v>2</v>
      </c>
      <c r="AC109" s="607">
        <f t="shared" si="14"/>
        <v>374979.36</v>
      </c>
      <c r="AD109" s="608">
        <f t="shared" si="15"/>
        <v>0.2993837695</v>
      </c>
      <c r="AE109" s="607">
        <f t="shared" si="16"/>
        <v>1</v>
      </c>
      <c r="AF109" s="609">
        <f t="shared" si="17"/>
        <v>26784.24</v>
      </c>
      <c r="AG109" s="719">
        <f t="shared" si="23"/>
        <v>401763.6</v>
      </c>
      <c r="AH109" s="720"/>
      <c r="AI109" s="612">
        <v>25032.0</v>
      </c>
      <c r="AJ109" s="612">
        <v>25032.0</v>
      </c>
      <c r="AK109" s="612">
        <v>50064.0</v>
      </c>
      <c r="AL109" s="612">
        <v>50064.0</v>
      </c>
      <c r="AM109" s="612">
        <v>50064.0</v>
      </c>
      <c r="AN109" s="612">
        <v>75096.0</v>
      </c>
      <c r="AO109" s="612">
        <v>75096.0</v>
      </c>
      <c r="AP109" s="612">
        <v>100128.0</v>
      </c>
      <c r="AQ109" s="612">
        <v>100128.0</v>
      </c>
      <c r="AR109" s="612">
        <v>100128.0</v>
      </c>
      <c r="AS109" s="612">
        <v>125160.0</v>
      </c>
      <c r="AT109" s="612">
        <v>125160.0</v>
      </c>
      <c r="AU109" s="612">
        <v>125160.0</v>
      </c>
      <c r="AV109" s="612">
        <v>150192.0</v>
      </c>
      <c r="AW109" s="612">
        <v>150192.0</v>
      </c>
      <c r="AX109" s="612">
        <v>175224.0</v>
      </c>
      <c r="AY109" s="612">
        <v>175224.0</v>
      </c>
      <c r="AZ109" s="612">
        <v>175224.0</v>
      </c>
      <c r="BA109" s="612">
        <v>175224.0</v>
      </c>
      <c r="BB109" s="612">
        <v>200256.0</v>
      </c>
      <c r="BC109" s="612">
        <v>200256.0</v>
      </c>
      <c r="BD109" s="612">
        <v>200256.0</v>
      </c>
      <c r="BE109" s="612">
        <v>225288.0</v>
      </c>
      <c r="BF109" s="612">
        <v>225288.0</v>
      </c>
      <c r="BG109" s="612">
        <v>250320.0</v>
      </c>
      <c r="BH109" s="612">
        <v>250320.0</v>
      </c>
      <c r="BI109" s="612">
        <v>250320.0</v>
      </c>
      <c r="BJ109" s="612">
        <v>275352.0</v>
      </c>
      <c r="BK109" s="612">
        <v>275352.0</v>
      </c>
      <c r="BL109" s="612">
        <v>275352.0</v>
      </c>
      <c r="BM109" s="612">
        <v>300384.0</v>
      </c>
      <c r="BN109" s="612">
        <v>300384.0</v>
      </c>
      <c r="BO109" s="612">
        <v>325416.0</v>
      </c>
      <c r="BP109" s="612">
        <v>325416.0</v>
      </c>
      <c r="BQ109" s="612">
        <v>325416.0</v>
      </c>
      <c r="BR109" s="612">
        <v>350448.0</v>
      </c>
      <c r="BS109" s="612">
        <v>350448.0</v>
      </c>
      <c r="BT109" s="612">
        <v>350448.0</v>
      </c>
      <c r="BU109" s="612">
        <v>350448.0</v>
      </c>
      <c r="BV109" s="612">
        <v>375480.0</v>
      </c>
      <c r="BW109" s="612">
        <v>375480.0</v>
      </c>
      <c r="BX109" s="612">
        <v>375480.0</v>
      </c>
      <c r="BY109" s="612">
        <v>400512.0</v>
      </c>
      <c r="BZ109" s="612">
        <v>400512.0</v>
      </c>
      <c r="CA109" s="612">
        <v>425544.0</v>
      </c>
      <c r="CB109" s="612">
        <v>425544.0</v>
      </c>
      <c r="CC109" s="612">
        <v>425544.0</v>
      </c>
      <c r="CD109" s="612">
        <v>450576.0</v>
      </c>
      <c r="CE109" s="612">
        <v>450576.0</v>
      </c>
      <c r="CF109" s="612">
        <v>475608.0</v>
      </c>
      <c r="CG109" s="612">
        <v>475608.0</v>
      </c>
      <c r="CH109" s="612">
        <v>475608.0</v>
      </c>
      <c r="CI109" s="612">
        <v>500640.0</v>
      </c>
      <c r="CJ109" s="612">
        <v>500640.0</v>
      </c>
      <c r="CK109" s="612">
        <v>500640.0</v>
      </c>
      <c r="CL109" s="612">
        <v>525672.0</v>
      </c>
      <c r="CM109" s="612">
        <v>525672.0</v>
      </c>
      <c r="CN109" s="612">
        <v>525672.0</v>
      </c>
      <c r="CO109" s="612">
        <v>525672.0</v>
      </c>
      <c r="CP109" s="612">
        <v>550704.0</v>
      </c>
    </row>
    <row r="110">
      <c r="A110" s="710"/>
      <c r="B110" s="711" t="s">
        <v>345</v>
      </c>
      <c r="C110" s="683" t="b">
        <v>0</v>
      </c>
      <c r="D110" s="684" t="s">
        <v>726</v>
      </c>
      <c r="E110" s="685" t="s">
        <v>348</v>
      </c>
      <c r="F110" s="722" t="s">
        <v>727</v>
      </c>
      <c r="G110" s="625">
        <v>1.0</v>
      </c>
      <c r="H110" s="708"/>
      <c r="I110" s="617">
        <f>22702*1.07</f>
        <v>24291.14</v>
      </c>
      <c r="J110" s="594">
        <f>I110*IF($C$7=TRUE,VLOOKUP(B110,BuffsDebuffs!$P$8:$X$26,MATCH(E110,BuffsDebuffs!$P$8:$X$8,0),FALSE),1)*IF(AND($C$8=TRUE,H110=1),1.0778,1)*VLOOKUP($C$2,'scaling OLD'!$A$2:$H$55,8,False)*IF(K110="-",1,(1/K110*(1+((K110-1)*VLOOKUP($C$2,'scaling OLD'!$A$2:$H$55,4,False)))))*IF(K110="-",1,VLOOKUP($C$2,'scaling OLD'!$A$2:$H$55,5,False))*VLOOKUP($C$2,'scaling OLD'!$A$2:$H$55,6,False)*IF(AND(LEFT(C$2,7)="CE - Cr",B110="Sword"),1.35,1)</f>
        <v>24291.14</v>
      </c>
      <c r="K110" s="186" t="s">
        <v>349</v>
      </c>
      <c r="L110" s="184">
        <v>6.0</v>
      </c>
      <c r="M110" s="184">
        <v>50.33</v>
      </c>
      <c r="N110" s="184">
        <v>23.0</v>
      </c>
      <c r="O110" s="188">
        <v>1.8</v>
      </c>
      <c r="P110" s="688">
        <f t="shared" si="24"/>
        <v>5.960659646</v>
      </c>
      <c r="Q110" s="694">
        <f t="shared" si="2"/>
        <v>145746.84</v>
      </c>
      <c r="R110" s="600">
        <f t="shared" si="3"/>
        <v>28.05050666</v>
      </c>
      <c r="S110" s="622">
        <f t="shared" si="22"/>
        <v>558696.22</v>
      </c>
      <c r="T110" s="602">
        <f t="shared" si="5"/>
        <v>437240.52</v>
      </c>
      <c r="U110" s="716">
        <f t="shared" si="19"/>
        <v>24451.46152</v>
      </c>
      <c r="V110" s="624">
        <f t="shared" si="7"/>
        <v>19917.50904</v>
      </c>
      <c r="W110" s="605">
        <f t="shared" si="8"/>
        <v>20353.82873</v>
      </c>
      <c r="X110" s="606">
        <f t="shared" si="9"/>
        <v>18780.21285</v>
      </c>
      <c r="Y110" s="607">
        <f t="shared" si="10"/>
        <v>2</v>
      </c>
      <c r="Z110" s="608">
        <f t="shared" si="11"/>
        <v>16.4</v>
      </c>
      <c r="AA110" s="608">
        <f t="shared" si="12"/>
        <v>0</v>
      </c>
      <c r="AB110" s="607">
        <f t="shared" si="13"/>
        <v>2</v>
      </c>
      <c r="AC110" s="607">
        <f t="shared" si="14"/>
        <v>291493.68</v>
      </c>
      <c r="AD110" s="608">
        <f t="shared" si="15"/>
        <v>4.478680707</v>
      </c>
      <c r="AE110" s="607">
        <f t="shared" si="16"/>
        <v>4</v>
      </c>
      <c r="AF110" s="609">
        <f t="shared" si="17"/>
        <v>97164.56</v>
      </c>
      <c r="AG110" s="717">
        <f t="shared" si="23"/>
        <v>388658.24</v>
      </c>
      <c r="AH110" s="718"/>
      <c r="AI110" s="612">
        <v>22702.0</v>
      </c>
      <c r="AJ110" s="612">
        <v>22702.0</v>
      </c>
      <c r="AK110" s="612">
        <v>45404.0</v>
      </c>
      <c r="AL110" s="612">
        <v>45404.0</v>
      </c>
      <c r="AM110" s="612">
        <v>68106.0</v>
      </c>
      <c r="AN110" s="612">
        <v>68106.0</v>
      </c>
      <c r="AO110" s="612">
        <v>68106.0</v>
      </c>
      <c r="AP110" s="612">
        <v>90808.0</v>
      </c>
      <c r="AQ110" s="612">
        <v>90808.0</v>
      </c>
      <c r="AR110" s="612">
        <v>113510.0</v>
      </c>
      <c r="AS110" s="612">
        <v>113510.0</v>
      </c>
      <c r="AT110" s="612">
        <v>136212.0</v>
      </c>
      <c r="AU110" s="612">
        <v>136212.0</v>
      </c>
      <c r="AV110" s="612">
        <v>136212.0</v>
      </c>
      <c r="AW110" s="612">
        <v>136212.0</v>
      </c>
      <c r="AX110" s="612">
        <v>158914.0</v>
      </c>
      <c r="AY110" s="612">
        <v>158914.0</v>
      </c>
      <c r="AZ110" s="612">
        <v>181616.0</v>
      </c>
      <c r="BA110" s="612">
        <v>181616.0</v>
      </c>
      <c r="BB110" s="612">
        <v>181616.0</v>
      </c>
      <c r="BC110" s="612">
        <v>204318.0</v>
      </c>
      <c r="BD110" s="612">
        <v>204318.0</v>
      </c>
      <c r="BE110" s="612">
        <v>227020.0</v>
      </c>
      <c r="BF110" s="612">
        <v>227020.0</v>
      </c>
      <c r="BG110" s="612">
        <v>227020.0</v>
      </c>
      <c r="BH110" s="612">
        <v>249722.0</v>
      </c>
      <c r="BI110" s="612">
        <v>249722.0</v>
      </c>
      <c r="BJ110" s="612">
        <v>272424.0</v>
      </c>
      <c r="BK110" s="612">
        <v>272424.0</v>
      </c>
      <c r="BL110" s="612">
        <v>272424.0</v>
      </c>
      <c r="BM110" s="612">
        <v>272424.0</v>
      </c>
      <c r="BN110" s="612">
        <v>295126.0</v>
      </c>
      <c r="BO110" s="612">
        <v>295126.0</v>
      </c>
      <c r="BP110" s="612">
        <v>317828.0</v>
      </c>
      <c r="BQ110" s="612">
        <v>317828.0</v>
      </c>
      <c r="BR110" s="612">
        <v>340530.0</v>
      </c>
      <c r="BS110" s="612">
        <v>340530.0</v>
      </c>
      <c r="BT110" s="612">
        <v>340530.0</v>
      </c>
      <c r="BU110" s="612">
        <v>363232.0</v>
      </c>
      <c r="BV110" s="612">
        <v>363232.0</v>
      </c>
      <c r="BW110" s="612">
        <v>385934.0</v>
      </c>
      <c r="BX110" s="612">
        <v>385934.0</v>
      </c>
      <c r="BY110" s="612">
        <v>408636.0</v>
      </c>
      <c r="BZ110" s="612">
        <v>408636.0</v>
      </c>
      <c r="CA110" s="612">
        <v>408636.0</v>
      </c>
      <c r="CB110" s="612">
        <v>408636.0</v>
      </c>
      <c r="CC110" s="612">
        <v>431338.0</v>
      </c>
      <c r="CD110" s="612">
        <v>431338.0</v>
      </c>
      <c r="CE110" s="612">
        <v>454040.0</v>
      </c>
      <c r="CF110" s="612">
        <v>454040.0</v>
      </c>
      <c r="CG110" s="612">
        <v>454040.0</v>
      </c>
      <c r="CH110" s="612">
        <v>476742.0</v>
      </c>
      <c r="CI110" s="612">
        <v>476742.0</v>
      </c>
      <c r="CJ110" s="612">
        <v>499444.0</v>
      </c>
      <c r="CK110" s="612">
        <v>499444.0</v>
      </c>
      <c r="CL110" s="612">
        <v>499444.0</v>
      </c>
      <c r="CM110" s="612">
        <v>522146.0</v>
      </c>
      <c r="CN110" s="612">
        <v>522146.0</v>
      </c>
      <c r="CO110" s="612">
        <v>522146.0</v>
      </c>
      <c r="CP110" s="612">
        <v>522146.0</v>
      </c>
    </row>
    <row r="111">
      <c r="A111" s="457"/>
      <c r="B111" s="675" t="s">
        <v>345</v>
      </c>
      <c r="C111" s="679" t="b">
        <v>0</v>
      </c>
      <c r="D111" s="589" t="s">
        <v>728</v>
      </c>
      <c r="E111" s="615" t="s">
        <v>497</v>
      </c>
      <c r="F111" s="672"/>
      <c r="G111" s="625">
        <v>1.0</v>
      </c>
      <c r="H111" s="721"/>
      <c r="I111" s="637">
        <f>23518*1.07</f>
        <v>25164.26</v>
      </c>
      <c r="J111" s="618">
        <f>I111*IF($C$7=TRUE,VLOOKUP(B111,BuffsDebuffs!$P$8:$X$26,MATCH(E111,BuffsDebuffs!$P$8:$X$8,0),FALSE),1)*IF(AND($C$8=TRUE,H111=1),1.0778,1)*VLOOKUP($C$2,'scaling OLD'!$A$2:$H$55,8,False)*IF(K111="-",1,(1/K111*(1+((K111-1)*VLOOKUP($C$2,'scaling OLD'!$A$2:$H$55,4,False)))))*IF(K111="-",1,VLOOKUP($C$2,'scaling OLD'!$A$2:$H$55,5,False))*VLOOKUP($C$2,'scaling OLD'!$A$2:$H$55,6,False)*IF(AND(LEFT(C$2,7)="CE - Cr",B111="Sword"),1.35,1)</f>
        <v>25164.26</v>
      </c>
      <c r="K111" s="213" t="s">
        <v>349</v>
      </c>
      <c r="L111" s="211">
        <v>5.0</v>
      </c>
      <c r="M111" s="211">
        <v>52.17</v>
      </c>
      <c r="N111" s="211">
        <v>24.0</v>
      </c>
      <c r="O111" s="215">
        <v>2.134</v>
      </c>
      <c r="P111" s="691">
        <f t="shared" si="24"/>
        <v>4.600345026</v>
      </c>
      <c r="Q111" s="692">
        <f t="shared" si="2"/>
        <v>125821.3</v>
      </c>
      <c r="R111" s="621">
        <f t="shared" si="3"/>
        <v>30.38763887</v>
      </c>
      <c r="S111" s="622">
        <f t="shared" si="22"/>
        <v>603942.24</v>
      </c>
      <c r="T111" s="602">
        <f t="shared" si="5"/>
        <v>503285.2</v>
      </c>
      <c r="U111" s="716">
        <f t="shared" si="19"/>
        <v>27350.40509</v>
      </c>
      <c r="V111" s="624">
        <f t="shared" si="7"/>
        <v>19874.60238</v>
      </c>
      <c r="W111" s="605">
        <f t="shared" si="8"/>
        <v>20290.99251</v>
      </c>
      <c r="X111" s="600">
        <f t="shared" si="9"/>
        <v>18683.52446</v>
      </c>
      <c r="Y111" s="607">
        <f t="shared" si="10"/>
        <v>2</v>
      </c>
      <c r="Z111" s="608">
        <f t="shared" si="11"/>
        <v>15.732</v>
      </c>
      <c r="AA111" s="608">
        <f t="shared" si="12"/>
        <v>1.930964922</v>
      </c>
      <c r="AB111" s="607">
        <f t="shared" si="13"/>
        <v>3</v>
      </c>
      <c r="AC111" s="607">
        <f t="shared" si="14"/>
        <v>377463.9</v>
      </c>
      <c r="AD111" s="608">
        <f t="shared" si="15"/>
        <v>0</v>
      </c>
      <c r="AE111" s="607">
        <f t="shared" si="16"/>
        <v>0</v>
      </c>
      <c r="AF111" s="609">
        <f t="shared" si="17"/>
        <v>0</v>
      </c>
      <c r="AG111" s="719">
        <f t="shared" si="23"/>
        <v>377463.9</v>
      </c>
      <c r="AH111" s="720"/>
      <c r="AI111" s="612">
        <v>23518.0</v>
      </c>
      <c r="AJ111" s="612">
        <v>23518.0</v>
      </c>
      <c r="AK111" s="612">
        <v>47036.0</v>
      </c>
      <c r="AL111" s="612">
        <v>47036.0</v>
      </c>
      <c r="AM111" s="612">
        <v>70554.0</v>
      </c>
      <c r="AN111" s="612">
        <v>70554.0</v>
      </c>
      <c r="AO111" s="612">
        <v>94072.0</v>
      </c>
      <c r="AP111" s="612">
        <v>94072.0</v>
      </c>
      <c r="AQ111" s="612">
        <v>94072.0</v>
      </c>
      <c r="AR111" s="612">
        <v>117590.0</v>
      </c>
      <c r="AS111" s="612">
        <v>117590.0</v>
      </c>
      <c r="AT111" s="612">
        <v>117590.0</v>
      </c>
      <c r="AU111" s="612">
        <v>117590.0</v>
      </c>
      <c r="AV111" s="612">
        <v>141108.0</v>
      </c>
      <c r="AW111" s="612">
        <v>141108.0</v>
      </c>
      <c r="AX111" s="612">
        <v>164626.0</v>
      </c>
      <c r="AY111" s="612">
        <v>164626.0</v>
      </c>
      <c r="AZ111" s="612">
        <v>164626.0</v>
      </c>
      <c r="BA111" s="612">
        <v>188144.0</v>
      </c>
      <c r="BB111" s="612">
        <v>188144.0</v>
      </c>
      <c r="BC111" s="612">
        <v>211662.0</v>
      </c>
      <c r="BD111" s="612">
        <v>211662.0</v>
      </c>
      <c r="BE111" s="612">
        <v>235180.0</v>
      </c>
      <c r="BF111" s="612">
        <v>235180.0</v>
      </c>
      <c r="BG111" s="612">
        <v>235180.0</v>
      </c>
      <c r="BH111" s="612">
        <v>235180.0</v>
      </c>
      <c r="BI111" s="612">
        <v>258698.0</v>
      </c>
      <c r="BJ111" s="612">
        <v>258698.0</v>
      </c>
      <c r="BK111" s="612">
        <v>258698.0</v>
      </c>
      <c r="BL111" s="612">
        <v>282216.0</v>
      </c>
      <c r="BM111" s="612">
        <v>282216.0</v>
      </c>
      <c r="BN111" s="612">
        <v>305734.0</v>
      </c>
      <c r="BO111" s="612">
        <v>305734.0</v>
      </c>
      <c r="BP111" s="612">
        <v>329252.0</v>
      </c>
      <c r="BQ111" s="612">
        <v>329252.0</v>
      </c>
      <c r="BR111" s="612">
        <v>329252.0</v>
      </c>
      <c r="BS111" s="612">
        <v>352770.0</v>
      </c>
      <c r="BT111" s="612">
        <v>352770.0</v>
      </c>
      <c r="BU111" s="612">
        <v>352770.0</v>
      </c>
      <c r="BV111" s="612">
        <v>352770.0</v>
      </c>
      <c r="BW111" s="612">
        <v>376288.0</v>
      </c>
      <c r="BX111" s="612">
        <v>376288.0</v>
      </c>
      <c r="BY111" s="612">
        <v>399806.0</v>
      </c>
      <c r="BZ111" s="612">
        <v>399806.0</v>
      </c>
      <c r="CA111" s="612">
        <v>399806.0</v>
      </c>
      <c r="CB111" s="612">
        <v>423324.0</v>
      </c>
      <c r="CC111" s="612">
        <v>423324.0</v>
      </c>
      <c r="CD111" s="612">
        <v>446842.0</v>
      </c>
      <c r="CE111" s="612">
        <v>446842.0</v>
      </c>
      <c r="CF111" s="612">
        <v>470360.0</v>
      </c>
      <c r="CG111" s="612">
        <v>470360.0</v>
      </c>
      <c r="CH111" s="612">
        <v>470360.0</v>
      </c>
      <c r="CI111" s="612">
        <v>470360.0</v>
      </c>
      <c r="CJ111" s="612">
        <v>493878.0</v>
      </c>
      <c r="CK111" s="612">
        <v>493878.0</v>
      </c>
      <c r="CL111" s="612">
        <v>493878.0</v>
      </c>
      <c r="CM111" s="612">
        <v>517396.0</v>
      </c>
      <c r="CN111" s="612">
        <v>517396.0</v>
      </c>
      <c r="CO111" s="612">
        <v>540914.0</v>
      </c>
      <c r="CP111" s="612">
        <v>540914.0</v>
      </c>
    </row>
    <row r="112">
      <c r="A112" s="645"/>
      <c r="B112" s="629" t="s">
        <v>394</v>
      </c>
      <c r="C112" s="614" t="b">
        <v>0</v>
      </c>
      <c r="D112" s="589" t="s">
        <v>729</v>
      </c>
      <c r="E112" s="615" t="s">
        <v>500</v>
      </c>
      <c r="F112" s="616" t="s">
        <v>602</v>
      </c>
      <c r="G112" s="648">
        <v>1.0</v>
      </c>
      <c r="H112" s="708"/>
      <c r="I112" s="617">
        <v>15924.0</v>
      </c>
      <c r="J112" s="594">
        <f>I112*IF($C$7=TRUE,VLOOKUP(B112,BuffsDebuffs!$P$8:$X$26,MATCH(E112,BuffsDebuffs!$P$8:$X$8,0),FALSE),1)*IF(AND($C$8=TRUE,H112=1),1.0778,1)*VLOOKUP($C$2,'scaling OLD'!$A$2:$H$55,8,False)*IF(K112="-",1,(1/K112*(1+((K112-1)*VLOOKUP($C$2,'scaling OLD'!$A$2:$H$55,4,False)))))*IF(K112="-",1,VLOOKUP($C$2,'scaling OLD'!$A$2:$H$55,5,False))*VLOOKUP($C$2,'scaling OLD'!$A$2:$H$55,6,False)*IF(AND(LEFT(C$2,7)="CE - Cr",B112="Sword"),1.35,1)</f>
        <v>15924</v>
      </c>
      <c r="K112" s="186" t="s">
        <v>349</v>
      </c>
      <c r="L112" s="184">
        <v>7.0</v>
      </c>
      <c r="M112" s="184">
        <v>80.0</v>
      </c>
      <c r="N112" s="184">
        <v>21.0</v>
      </c>
      <c r="O112" s="188">
        <v>1.517</v>
      </c>
      <c r="P112" s="688">
        <f t="shared" si="24"/>
        <v>4.5</v>
      </c>
      <c r="Q112" s="694">
        <f t="shared" si="2"/>
        <v>111468</v>
      </c>
      <c r="R112" s="600">
        <f t="shared" si="3"/>
        <v>16.534</v>
      </c>
      <c r="S112" s="622">
        <f t="shared" si="22"/>
        <v>334404</v>
      </c>
      <c r="T112" s="602">
        <f t="shared" si="5"/>
        <v>334404</v>
      </c>
      <c r="U112" s="623">
        <f t="shared" si="19"/>
        <v>24770.66667</v>
      </c>
      <c r="V112" s="624">
        <f t="shared" si="7"/>
        <v>20225.23285</v>
      </c>
      <c r="W112" s="605">
        <f t="shared" si="8"/>
        <v>20225.23285</v>
      </c>
      <c r="X112" s="606">
        <f t="shared" si="9"/>
        <v>18525.51105</v>
      </c>
      <c r="Y112" s="607">
        <f t="shared" si="10"/>
        <v>3</v>
      </c>
      <c r="Z112" s="608">
        <f t="shared" si="11"/>
        <v>15.449</v>
      </c>
      <c r="AA112" s="608">
        <f t="shared" si="12"/>
        <v>0</v>
      </c>
      <c r="AB112" s="607">
        <f t="shared" si="13"/>
        <v>3</v>
      </c>
      <c r="AC112" s="607">
        <f t="shared" si="14"/>
        <v>334404</v>
      </c>
      <c r="AD112" s="608">
        <f t="shared" si="15"/>
        <v>1.949</v>
      </c>
      <c r="AE112" s="607">
        <f t="shared" si="16"/>
        <v>3</v>
      </c>
      <c r="AF112" s="609">
        <f t="shared" si="17"/>
        <v>47772</v>
      </c>
      <c r="AG112" s="628">
        <f t="shared" si="23"/>
        <v>334404</v>
      </c>
      <c r="AH112" s="611"/>
      <c r="AI112" s="612">
        <v>15924.0</v>
      </c>
      <c r="AJ112" s="612">
        <v>31848.0</v>
      </c>
      <c r="AK112" s="612">
        <v>47772.0</v>
      </c>
      <c r="AL112" s="612">
        <v>47772.0</v>
      </c>
      <c r="AM112" s="612">
        <v>63696.0</v>
      </c>
      <c r="AN112" s="612">
        <v>79620.0</v>
      </c>
      <c r="AO112" s="612">
        <v>79620.0</v>
      </c>
      <c r="AP112" s="612">
        <v>95544.0</v>
      </c>
      <c r="AQ112" s="612">
        <v>111468.0</v>
      </c>
      <c r="AR112" s="612">
        <v>111468.0</v>
      </c>
      <c r="AS112" s="612">
        <v>111468.0</v>
      </c>
      <c r="AT112" s="612">
        <v>111468.0</v>
      </c>
      <c r="AU112" s="612">
        <v>127392.0</v>
      </c>
      <c r="AV112" s="612">
        <v>143316.0</v>
      </c>
      <c r="AW112" s="612">
        <v>143316.0</v>
      </c>
      <c r="AX112" s="612">
        <v>159240.0</v>
      </c>
      <c r="AY112" s="612">
        <v>175164.0</v>
      </c>
      <c r="AZ112" s="612">
        <v>175164.0</v>
      </c>
      <c r="BA112" s="612">
        <v>191088.0</v>
      </c>
      <c r="BB112" s="612">
        <v>207012.0</v>
      </c>
      <c r="BC112" s="612">
        <v>207012.0</v>
      </c>
      <c r="BD112" s="612">
        <v>222936.0</v>
      </c>
      <c r="BE112" s="612">
        <v>222936.0</v>
      </c>
      <c r="BF112" s="612">
        <v>222936.0</v>
      </c>
      <c r="BG112" s="612">
        <v>238860.0</v>
      </c>
      <c r="BH112" s="612">
        <v>254784.0</v>
      </c>
      <c r="BI112" s="612">
        <v>254784.0</v>
      </c>
      <c r="BJ112" s="612">
        <v>270708.0</v>
      </c>
      <c r="BK112" s="612">
        <v>286632.0</v>
      </c>
      <c r="BL112" s="612">
        <v>286632.0</v>
      </c>
      <c r="BM112" s="612">
        <v>302556.0</v>
      </c>
      <c r="BN112" s="612">
        <v>318480.0</v>
      </c>
      <c r="BO112" s="612">
        <v>318480.0</v>
      </c>
      <c r="BP112" s="612">
        <v>334404.0</v>
      </c>
      <c r="BQ112" s="612">
        <v>334404.0</v>
      </c>
      <c r="BR112" s="612">
        <v>334404.0</v>
      </c>
      <c r="BS112" s="612">
        <v>334404.0</v>
      </c>
      <c r="BT112" s="612">
        <v>334404.0</v>
      </c>
      <c r="BU112" s="612">
        <v>334404.0</v>
      </c>
      <c r="BV112" s="612">
        <v>334404.0</v>
      </c>
      <c r="BW112" s="612">
        <v>334404.0</v>
      </c>
      <c r="BX112" s="612">
        <v>334404.0</v>
      </c>
      <c r="BY112" s="612">
        <v>334404.0</v>
      </c>
      <c r="BZ112" s="612">
        <v>334404.0</v>
      </c>
      <c r="CA112" s="612">
        <v>334404.0</v>
      </c>
      <c r="CB112" s="612">
        <v>334404.0</v>
      </c>
      <c r="CC112" s="612">
        <v>334404.0</v>
      </c>
      <c r="CD112" s="612">
        <v>334404.0</v>
      </c>
      <c r="CE112" s="612">
        <v>334404.0</v>
      </c>
      <c r="CF112" s="612">
        <v>334404.0</v>
      </c>
      <c r="CG112" s="612">
        <v>334404.0</v>
      </c>
      <c r="CH112" s="612">
        <v>334404.0</v>
      </c>
      <c r="CI112" s="612">
        <v>334404.0</v>
      </c>
      <c r="CJ112" s="612">
        <v>334404.0</v>
      </c>
      <c r="CK112" s="612">
        <v>334404.0</v>
      </c>
      <c r="CL112" s="612">
        <v>334404.0</v>
      </c>
      <c r="CM112" s="612">
        <v>334404.0</v>
      </c>
      <c r="CN112" s="612">
        <v>334404.0</v>
      </c>
      <c r="CO112" s="612">
        <v>334404.0</v>
      </c>
      <c r="CP112" s="612">
        <v>334404.0</v>
      </c>
    </row>
    <row r="113">
      <c r="A113" s="645"/>
      <c r="B113" s="613" t="s">
        <v>345</v>
      </c>
      <c r="C113" s="701" t="b">
        <v>0</v>
      </c>
      <c r="D113" s="723" t="s">
        <v>730</v>
      </c>
      <c r="E113" s="724" t="s">
        <v>348</v>
      </c>
      <c r="F113" s="725"/>
      <c r="G113" s="726">
        <v>1.0</v>
      </c>
      <c r="H113" s="727">
        <v>1.0</v>
      </c>
      <c r="I113" s="637">
        <f>20286*1.07</f>
        <v>21706.02</v>
      </c>
      <c r="J113" s="618">
        <f>I113*IF($C$7=TRUE,VLOOKUP(B113,BuffsDebuffs!$P$8:$X$26,MATCH(E113,BuffsDebuffs!$P$8:$X$8,0),FALSE),1)*IF(AND($C$8=TRUE,H113=1),1.0778,1)*VLOOKUP($C$2,'scaling OLD'!$A$2:$H$55,8,False)*IF(K113="-",1,(1/K113*(1+((K113-1)*VLOOKUP($C$2,'scaling OLD'!$A$2:$H$55,4,False)))))*IF(K113="-",1,VLOOKUP($C$2,'scaling OLD'!$A$2:$H$55,5,False))*VLOOKUP($C$2,'scaling OLD'!$A$2:$H$55,6,False)*IF(AND(LEFT(C$2,7)="CE - Cr",B113="Sword"),1.35,1)</f>
        <v>23394.74836</v>
      </c>
      <c r="K113" s="213" t="s">
        <v>349</v>
      </c>
      <c r="L113" s="211">
        <v>8.0</v>
      </c>
      <c r="M113" s="211">
        <v>50.0</v>
      </c>
      <c r="N113" s="211">
        <v>24.0</v>
      </c>
      <c r="O113" s="215">
        <v>1.8</v>
      </c>
      <c r="P113" s="691">
        <f t="shared" si="24"/>
        <v>8.4</v>
      </c>
      <c r="Q113" s="692">
        <f t="shared" si="2"/>
        <v>187157.9868</v>
      </c>
      <c r="R113" s="621">
        <f t="shared" si="3"/>
        <v>28.8</v>
      </c>
      <c r="S113" s="622">
        <f t="shared" si="22"/>
        <v>561473.9605</v>
      </c>
      <c r="T113" s="602">
        <f t="shared" si="5"/>
        <v>561473.9605</v>
      </c>
      <c r="U113" s="623">
        <f t="shared" si="19"/>
        <v>22280.71272</v>
      </c>
      <c r="V113" s="624">
        <f t="shared" si="7"/>
        <v>19495.62363</v>
      </c>
      <c r="W113" s="605">
        <f t="shared" si="8"/>
        <v>19495.62363</v>
      </c>
      <c r="X113" s="606">
        <f t="shared" si="9"/>
        <v>18348.82224</v>
      </c>
      <c r="Y113" s="607">
        <f t="shared" si="10"/>
        <v>1</v>
      </c>
      <c r="Z113" s="608">
        <f t="shared" si="11"/>
        <v>18.2</v>
      </c>
      <c r="AA113" s="608">
        <f t="shared" si="12"/>
        <v>1.4</v>
      </c>
      <c r="AB113" s="607">
        <f t="shared" si="13"/>
        <v>2</v>
      </c>
      <c r="AC113" s="607">
        <f t="shared" si="14"/>
        <v>374315.9737</v>
      </c>
      <c r="AD113" s="608">
        <f t="shared" si="15"/>
        <v>0</v>
      </c>
      <c r="AE113" s="607">
        <f t="shared" si="16"/>
        <v>0</v>
      </c>
      <c r="AF113" s="609">
        <f t="shared" si="17"/>
        <v>0</v>
      </c>
      <c r="AG113" s="628">
        <f t="shared" si="23"/>
        <v>374315.9737</v>
      </c>
      <c r="AH113" s="611"/>
      <c r="AI113" s="612">
        <v>21864.2508</v>
      </c>
      <c r="AJ113" s="612">
        <v>21864.2508</v>
      </c>
      <c r="AK113" s="612">
        <v>43728.5016</v>
      </c>
      <c r="AL113" s="612">
        <v>43728.5016</v>
      </c>
      <c r="AM113" s="612">
        <v>65592.7524</v>
      </c>
      <c r="AN113" s="612">
        <v>65592.7524</v>
      </c>
      <c r="AO113" s="612">
        <v>65592.7524</v>
      </c>
      <c r="AP113" s="612">
        <v>87457.0032</v>
      </c>
      <c r="AQ113" s="612">
        <v>87457.0032</v>
      </c>
      <c r="AR113" s="612">
        <v>109321.25400000002</v>
      </c>
      <c r="AS113" s="612">
        <v>109321.25400000002</v>
      </c>
      <c r="AT113" s="612">
        <v>131185.5048</v>
      </c>
      <c r="AU113" s="612">
        <v>131185.5048</v>
      </c>
      <c r="AV113" s="612">
        <v>131185.5048</v>
      </c>
      <c r="AW113" s="612">
        <v>153049.7556</v>
      </c>
      <c r="AX113" s="612">
        <v>153049.7556</v>
      </c>
      <c r="AY113" s="612">
        <v>174914.0064</v>
      </c>
      <c r="AZ113" s="612">
        <v>174914.0064</v>
      </c>
      <c r="BA113" s="612">
        <v>174914.0064</v>
      </c>
      <c r="BB113" s="612">
        <v>174914.0064</v>
      </c>
      <c r="BC113" s="612">
        <v>196778.25720000002</v>
      </c>
      <c r="BD113" s="612">
        <v>196778.25720000002</v>
      </c>
      <c r="BE113" s="612">
        <v>218642.50800000003</v>
      </c>
      <c r="BF113" s="612">
        <v>218642.50800000003</v>
      </c>
      <c r="BG113" s="612">
        <v>218642.50800000003</v>
      </c>
      <c r="BH113" s="612">
        <v>240506.7588</v>
      </c>
      <c r="BI113" s="612">
        <v>240506.7588</v>
      </c>
      <c r="BJ113" s="612">
        <v>262371.0096</v>
      </c>
      <c r="BK113" s="612">
        <v>262371.0096</v>
      </c>
      <c r="BL113" s="612">
        <v>284235.2604</v>
      </c>
      <c r="BM113" s="612">
        <v>284235.2604</v>
      </c>
      <c r="BN113" s="612">
        <v>284235.2604</v>
      </c>
      <c r="BO113" s="612">
        <v>306099.5112</v>
      </c>
      <c r="BP113" s="612">
        <v>306099.5112</v>
      </c>
      <c r="BQ113" s="612">
        <v>327963.762</v>
      </c>
      <c r="BR113" s="612">
        <v>327963.762</v>
      </c>
      <c r="BS113" s="612">
        <v>327963.762</v>
      </c>
      <c r="BT113" s="612">
        <v>349828.0128</v>
      </c>
      <c r="BU113" s="612">
        <v>349828.0128</v>
      </c>
      <c r="BV113" s="612">
        <v>349828.0128</v>
      </c>
      <c r="BW113" s="612">
        <v>371692.2636</v>
      </c>
      <c r="BX113" s="612">
        <v>371692.2636</v>
      </c>
      <c r="BY113" s="612">
        <v>371692.2636</v>
      </c>
      <c r="BZ113" s="612">
        <v>393556.51440000004</v>
      </c>
      <c r="CA113" s="612">
        <v>393556.51440000004</v>
      </c>
      <c r="CB113" s="612">
        <v>415420.7652</v>
      </c>
      <c r="CC113" s="612">
        <v>415420.7652</v>
      </c>
      <c r="CD113" s="612">
        <v>437285.01600000006</v>
      </c>
      <c r="CE113" s="612">
        <v>437285.01600000006</v>
      </c>
      <c r="CF113" s="612">
        <v>437285.01600000006</v>
      </c>
      <c r="CG113" s="612">
        <v>459149.26680000004</v>
      </c>
      <c r="CH113" s="612">
        <v>459149.26680000004</v>
      </c>
      <c r="CI113" s="612">
        <v>481013.5176</v>
      </c>
      <c r="CJ113" s="612">
        <v>481013.5176</v>
      </c>
      <c r="CK113" s="612">
        <v>481013.5176</v>
      </c>
      <c r="CL113" s="612">
        <v>502877.76840000006</v>
      </c>
      <c r="CM113" s="612">
        <v>502877.76840000006</v>
      </c>
      <c r="CN113" s="612">
        <v>524742.0192</v>
      </c>
      <c r="CO113" s="612">
        <v>524742.0192</v>
      </c>
      <c r="CP113" s="612">
        <v>524742.0192</v>
      </c>
    </row>
    <row r="114">
      <c r="A114" s="645"/>
      <c r="B114" s="675" t="s">
        <v>731</v>
      </c>
      <c r="C114" s="588" t="b">
        <v>0</v>
      </c>
      <c r="D114" s="728" t="s">
        <v>732</v>
      </c>
      <c r="E114" s="590" t="s">
        <v>497</v>
      </c>
      <c r="F114" s="591" t="s">
        <v>602</v>
      </c>
      <c r="G114" s="726">
        <v>1.0</v>
      </c>
      <c r="H114" s="708"/>
      <c r="I114" s="617">
        <v>13893.0</v>
      </c>
      <c r="J114" s="594">
        <f>I114*IF($C$7=TRUE,VLOOKUP(B114,BuffsDebuffs!$P$8:$X$26,MATCH(E114,BuffsDebuffs!$P$8:$X$8,0),FALSE),1)*IF(AND($C$8=TRUE,H114=1),1.0778,1)*VLOOKUP($C$2,'scaling OLD'!$A$2:$H$55,8,False)*IF(K114="-",1,(1/K114*(1+((K114-1)*VLOOKUP($C$2,'scaling OLD'!$A$2:$H$55,4,False)))))*IF(K114="-",1,VLOOKUP($C$2,'scaling OLD'!$A$2:$H$55,5,False))*VLOOKUP($C$2,'scaling OLD'!$A$2:$H$55,6,False)*IF(AND(LEFT(C$2,7)="CE - Cr",B114="Sword"),1.35,1)</f>
        <v>13893</v>
      </c>
      <c r="K114" s="186">
        <v>1.6</v>
      </c>
      <c r="L114" s="184">
        <v>9.0</v>
      </c>
      <c r="M114" s="184">
        <v>90.0</v>
      </c>
      <c r="N114" s="184">
        <v>40.0</v>
      </c>
      <c r="O114" s="188">
        <v>1.467</v>
      </c>
      <c r="P114" s="688">
        <f t="shared" si="24"/>
        <v>5.333333333</v>
      </c>
      <c r="Q114" s="694">
        <f t="shared" si="2"/>
        <v>125037</v>
      </c>
      <c r="R114" s="600">
        <f t="shared" si="3"/>
        <v>29.20133333</v>
      </c>
      <c r="S114" s="622">
        <f t="shared" si="22"/>
        <v>555720</v>
      </c>
      <c r="T114" s="602">
        <f t="shared" si="5"/>
        <v>500148</v>
      </c>
      <c r="U114" s="623">
        <f t="shared" si="19"/>
        <v>23444.4375</v>
      </c>
      <c r="V114" s="624">
        <f t="shared" si="7"/>
        <v>19030.63787</v>
      </c>
      <c r="W114" s="605">
        <f t="shared" si="8"/>
        <v>19435.04786</v>
      </c>
      <c r="X114" s="606">
        <f t="shared" si="9"/>
        <v>18386.8928</v>
      </c>
      <c r="Y114" s="607">
        <f t="shared" si="10"/>
        <v>2</v>
      </c>
      <c r="Z114" s="608">
        <f t="shared" si="11"/>
        <v>17.066</v>
      </c>
      <c r="AA114" s="608">
        <f t="shared" si="12"/>
        <v>1.066</v>
      </c>
      <c r="AB114" s="607">
        <f t="shared" si="13"/>
        <v>3</v>
      </c>
      <c r="AC114" s="607">
        <f t="shared" si="14"/>
        <v>375111</v>
      </c>
      <c r="AD114" s="608">
        <f t="shared" si="15"/>
        <v>0</v>
      </c>
      <c r="AE114" s="607">
        <f t="shared" si="16"/>
        <v>0</v>
      </c>
      <c r="AF114" s="609">
        <f t="shared" si="17"/>
        <v>0</v>
      </c>
      <c r="AG114" s="628">
        <f t="shared" si="23"/>
        <v>375111</v>
      </c>
      <c r="AH114" s="611"/>
      <c r="AI114" s="612">
        <v>13893.0</v>
      </c>
      <c r="AJ114" s="612">
        <v>27786.0</v>
      </c>
      <c r="AK114" s="612">
        <v>41679.0</v>
      </c>
      <c r="AL114" s="612">
        <v>55572.0</v>
      </c>
      <c r="AM114" s="612">
        <v>55572.0</v>
      </c>
      <c r="AN114" s="612">
        <v>69465.0</v>
      </c>
      <c r="AO114" s="612">
        <v>83358.0</v>
      </c>
      <c r="AP114" s="612">
        <v>97251.0</v>
      </c>
      <c r="AQ114" s="612">
        <v>97251.0</v>
      </c>
      <c r="AR114" s="612">
        <v>111144.0</v>
      </c>
      <c r="AS114" s="612">
        <v>125037.0</v>
      </c>
      <c r="AT114" s="612">
        <v>125037.0</v>
      </c>
      <c r="AU114" s="612">
        <v>125037.0</v>
      </c>
      <c r="AV114" s="612">
        <v>138930.0</v>
      </c>
      <c r="AW114" s="612">
        <v>152823.0</v>
      </c>
      <c r="AX114" s="612">
        <v>152823.0</v>
      </c>
      <c r="AY114" s="612">
        <v>166716.0</v>
      </c>
      <c r="AZ114" s="612">
        <v>180609.0</v>
      </c>
      <c r="BA114" s="612">
        <v>194502.0</v>
      </c>
      <c r="BB114" s="612">
        <v>194502.0</v>
      </c>
      <c r="BC114" s="612">
        <v>208395.0</v>
      </c>
      <c r="BD114" s="612">
        <v>222288.0</v>
      </c>
      <c r="BE114" s="612">
        <v>236181.0</v>
      </c>
      <c r="BF114" s="612">
        <v>236181.0</v>
      </c>
      <c r="BG114" s="612">
        <v>250074.0</v>
      </c>
      <c r="BH114" s="612">
        <v>250074.0</v>
      </c>
      <c r="BI114" s="612">
        <v>250074.0</v>
      </c>
      <c r="BJ114" s="612">
        <v>263967.0</v>
      </c>
      <c r="BK114" s="612">
        <v>277860.0</v>
      </c>
      <c r="BL114" s="612">
        <v>291753.0</v>
      </c>
      <c r="BM114" s="612">
        <v>291753.0</v>
      </c>
      <c r="BN114" s="612">
        <v>305646.0</v>
      </c>
      <c r="BO114" s="612">
        <v>319539.0</v>
      </c>
      <c r="BP114" s="612">
        <v>333432.0</v>
      </c>
      <c r="BQ114" s="612">
        <v>333432.0</v>
      </c>
      <c r="BR114" s="612">
        <v>347325.0</v>
      </c>
      <c r="BS114" s="612">
        <v>361218.0</v>
      </c>
      <c r="BT114" s="612">
        <v>375111.0</v>
      </c>
      <c r="BU114" s="612">
        <v>375111.0</v>
      </c>
      <c r="BV114" s="612">
        <v>375111.0</v>
      </c>
      <c r="BW114" s="612">
        <v>389004.0</v>
      </c>
      <c r="BX114" s="612">
        <v>389004.0</v>
      </c>
      <c r="BY114" s="612">
        <v>402897.0</v>
      </c>
      <c r="BZ114" s="612">
        <v>416790.0</v>
      </c>
      <c r="CA114" s="612">
        <v>430683.0</v>
      </c>
      <c r="CB114" s="612">
        <v>430683.0</v>
      </c>
      <c r="CC114" s="612">
        <v>444576.0</v>
      </c>
      <c r="CD114" s="612">
        <v>458469.0</v>
      </c>
      <c r="CE114" s="612">
        <v>472362.0</v>
      </c>
      <c r="CF114" s="612">
        <v>472362.0</v>
      </c>
      <c r="CG114" s="612">
        <v>486255.0</v>
      </c>
      <c r="CH114" s="612">
        <v>500148.0</v>
      </c>
      <c r="CI114" s="612">
        <v>500148.0</v>
      </c>
      <c r="CJ114" s="612">
        <v>500148.0</v>
      </c>
      <c r="CK114" s="612">
        <v>514041.0</v>
      </c>
      <c r="CL114" s="612">
        <v>527934.0</v>
      </c>
      <c r="CM114" s="612">
        <v>527934.0</v>
      </c>
      <c r="CN114" s="612">
        <v>541827.0</v>
      </c>
      <c r="CO114" s="612">
        <v>555720.0</v>
      </c>
      <c r="CP114" s="612">
        <v>555720.0</v>
      </c>
    </row>
    <row r="115">
      <c r="A115" s="645"/>
      <c r="B115" s="613" t="s">
        <v>358</v>
      </c>
      <c r="C115" s="729" t="b">
        <v>0</v>
      </c>
      <c r="D115" s="730" t="s">
        <v>733</v>
      </c>
      <c r="E115" s="731" t="s">
        <v>500</v>
      </c>
      <c r="F115" s="732" t="s">
        <v>668</v>
      </c>
      <c r="G115" s="625">
        <v>1.0</v>
      </c>
      <c r="H115" s="709"/>
      <c r="I115" s="617">
        <f>13455*1.07</f>
        <v>14396.85</v>
      </c>
      <c r="J115" s="618">
        <f>I115*IF($C$7=TRUE,VLOOKUP(B115,BuffsDebuffs!$P$8:$X$26,MATCH(E115,BuffsDebuffs!$P$8:$X$8,0),FALSE),1)*IF(AND($C$8=TRUE,H115=1),1.0778,1)*VLOOKUP($C$2,'scaling OLD'!$A$2:$H$55,8,False)*IF(K115="-",1,(1/K115*(1+((K115-1)*VLOOKUP($C$2,'scaling OLD'!$A$2:$H$55,4,False)))))*IF(K115="-",1,VLOOKUP($C$2,'scaling OLD'!$A$2:$H$55,5,False))*VLOOKUP($C$2,'scaling OLD'!$A$2:$H$55,6,False)*IF(AND(LEFT(C$2,7)="CE - Cr",B115="Sword"),1.35,1)</f>
        <v>14396.85</v>
      </c>
      <c r="K115" s="186" t="s">
        <v>349</v>
      </c>
      <c r="L115" s="184">
        <v>6.0</v>
      </c>
      <c r="M115" s="184">
        <v>83.72</v>
      </c>
      <c r="N115" s="184">
        <v>33.0</v>
      </c>
      <c r="O115" s="188">
        <v>1.166</v>
      </c>
      <c r="P115" s="691">
        <f t="shared" si="24"/>
        <v>3.583373149</v>
      </c>
      <c r="Q115" s="692">
        <f t="shared" si="2"/>
        <v>86381.1</v>
      </c>
      <c r="R115" s="621">
        <f t="shared" si="3"/>
        <v>25.180215</v>
      </c>
      <c r="S115" s="622">
        <f t="shared" si="22"/>
        <v>475096.05</v>
      </c>
      <c r="T115" s="602">
        <f t="shared" si="5"/>
        <v>431905.5</v>
      </c>
      <c r="U115" s="623">
        <f t="shared" si="19"/>
        <v>24106.08564</v>
      </c>
      <c r="V115" s="624">
        <f t="shared" si="7"/>
        <v>18867.83135</v>
      </c>
      <c r="W115" s="605">
        <f t="shared" si="8"/>
        <v>19127.05673</v>
      </c>
      <c r="X115" s="606">
        <f t="shared" si="9"/>
        <v>18187.89497</v>
      </c>
      <c r="Y115" s="607">
        <f t="shared" si="10"/>
        <v>4</v>
      </c>
      <c r="Z115" s="608">
        <f t="shared" si="11"/>
        <v>15.336</v>
      </c>
      <c r="AA115" s="608">
        <f t="shared" si="12"/>
        <v>0</v>
      </c>
      <c r="AB115" s="607">
        <f t="shared" si="13"/>
        <v>4</v>
      </c>
      <c r="AC115" s="607">
        <f t="shared" si="14"/>
        <v>345524.4</v>
      </c>
      <c r="AD115" s="608">
        <f t="shared" si="15"/>
        <v>1.002507406</v>
      </c>
      <c r="AE115" s="607">
        <f t="shared" si="16"/>
        <v>2</v>
      </c>
      <c r="AF115" s="609">
        <f t="shared" si="17"/>
        <v>28793.7</v>
      </c>
      <c r="AG115" s="628">
        <f t="shared" si="23"/>
        <v>374318.1</v>
      </c>
      <c r="AH115" s="611"/>
      <c r="AI115" s="612">
        <v>13455.0</v>
      </c>
      <c r="AJ115" s="612">
        <v>26910.0</v>
      </c>
      <c r="AK115" s="612">
        <v>40365.0</v>
      </c>
      <c r="AL115" s="612">
        <v>40365.0</v>
      </c>
      <c r="AM115" s="612">
        <v>53820.0</v>
      </c>
      <c r="AN115" s="612">
        <v>67275.0</v>
      </c>
      <c r="AO115" s="612">
        <v>67275.0</v>
      </c>
      <c r="AP115" s="612">
        <v>80730.0</v>
      </c>
      <c r="AQ115" s="612">
        <v>80730.0</v>
      </c>
      <c r="AR115" s="612">
        <v>94185.0</v>
      </c>
      <c r="AS115" s="612">
        <v>107640.0</v>
      </c>
      <c r="AT115" s="612">
        <v>107640.0</v>
      </c>
      <c r="AU115" s="612">
        <v>121095.0</v>
      </c>
      <c r="AV115" s="612">
        <v>134550.0</v>
      </c>
      <c r="AW115" s="612">
        <v>134550.0</v>
      </c>
      <c r="AX115" s="612">
        <v>148005.0</v>
      </c>
      <c r="AY115" s="612">
        <v>161460.0</v>
      </c>
      <c r="AZ115" s="612">
        <v>161460.0</v>
      </c>
      <c r="BA115" s="612">
        <v>174915.0</v>
      </c>
      <c r="BB115" s="612">
        <v>174915.0</v>
      </c>
      <c r="BC115" s="612">
        <v>188370.0</v>
      </c>
      <c r="BD115" s="612">
        <v>201825.0</v>
      </c>
      <c r="BE115" s="612">
        <v>201825.0</v>
      </c>
      <c r="BF115" s="612">
        <v>215280.0</v>
      </c>
      <c r="BG115" s="612">
        <v>228735.0</v>
      </c>
      <c r="BH115" s="612">
        <v>228735.0</v>
      </c>
      <c r="BI115" s="612">
        <v>242190.0</v>
      </c>
      <c r="BJ115" s="612">
        <v>242190.0</v>
      </c>
      <c r="BK115" s="612">
        <v>255645.0</v>
      </c>
      <c r="BL115" s="612">
        <v>269100.0</v>
      </c>
      <c r="BM115" s="612">
        <v>269100.0</v>
      </c>
      <c r="BN115" s="612">
        <v>282555.0</v>
      </c>
      <c r="BO115" s="612">
        <v>296010.0</v>
      </c>
      <c r="BP115" s="612">
        <v>296010.0</v>
      </c>
      <c r="BQ115" s="612">
        <v>309465.0</v>
      </c>
      <c r="BR115" s="612">
        <v>322920.0</v>
      </c>
      <c r="BS115" s="612">
        <v>322920.0</v>
      </c>
      <c r="BT115" s="612">
        <v>336375.0</v>
      </c>
      <c r="BU115" s="612">
        <v>336375.0</v>
      </c>
      <c r="BV115" s="612">
        <v>349830.0</v>
      </c>
      <c r="BW115" s="612">
        <v>363285.0</v>
      </c>
      <c r="BX115" s="612">
        <v>363285.0</v>
      </c>
      <c r="BY115" s="612">
        <v>376740.0</v>
      </c>
      <c r="BZ115" s="612">
        <v>390195.0</v>
      </c>
      <c r="CA115" s="612">
        <v>390195.0</v>
      </c>
      <c r="CB115" s="612">
        <v>403650.0</v>
      </c>
      <c r="CC115" s="612">
        <v>403650.0</v>
      </c>
      <c r="CD115" s="612">
        <v>417105.0</v>
      </c>
      <c r="CE115" s="612">
        <v>430560.0</v>
      </c>
      <c r="CF115" s="612">
        <v>430560.0</v>
      </c>
      <c r="CG115" s="612">
        <v>444015.0</v>
      </c>
      <c r="CH115" s="612">
        <v>444015.0</v>
      </c>
      <c r="CI115" s="612">
        <v>444015.0</v>
      </c>
      <c r="CJ115" s="612">
        <v>444015.0</v>
      </c>
      <c r="CK115" s="612">
        <v>444015.0</v>
      </c>
      <c r="CL115" s="612">
        <v>444015.0</v>
      </c>
      <c r="CM115" s="612">
        <v>444015.0</v>
      </c>
      <c r="CN115" s="612">
        <v>444015.0</v>
      </c>
      <c r="CO115" s="612">
        <v>444015.0</v>
      </c>
      <c r="CP115" s="612">
        <v>444015.0</v>
      </c>
    </row>
    <row r="116">
      <c r="A116" s="645"/>
      <c r="B116" s="613" t="s">
        <v>421</v>
      </c>
      <c r="C116" s="683" t="b">
        <v>0</v>
      </c>
      <c r="D116" s="684" t="s">
        <v>734</v>
      </c>
      <c r="E116" s="685" t="s">
        <v>500</v>
      </c>
      <c r="F116" s="722" t="s">
        <v>735</v>
      </c>
      <c r="G116" s="625">
        <v>1.0</v>
      </c>
      <c r="H116" s="708"/>
      <c r="I116" s="617">
        <v>1445.0</v>
      </c>
      <c r="J116" s="594">
        <f>I116*IF($C$7=TRUE,VLOOKUP(B116,BuffsDebuffs!$P$8:$X$26,MATCH(E116,BuffsDebuffs!$P$8:$X$8,0),FALSE),1)*IF(AND($C$8=TRUE,H116=1),1.0778,1)*VLOOKUP($C$2,'scaling OLD'!$A$2:$H$55,8,False)*IF(K116="-",1,(1/K116*(1+((K116-1)*VLOOKUP($C$2,'scaling OLD'!$A$2:$H$55,4,False)))))*IF(K116="-",1,VLOOKUP($C$2,'scaling OLD'!$A$2:$H$55,5,False))*VLOOKUP($C$2,'scaling OLD'!$A$2:$H$55,6,False)*IF(AND(LEFT(C$2,7)="CE - Cr",B116="Sword"),1.35,1)</f>
        <v>1445</v>
      </c>
      <c r="K116" s="186">
        <v>1.34</v>
      </c>
      <c r="L116" s="184">
        <v>94.0</v>
      </c>
      <c r="M116" s="184">
        <v>900.0</v>
      </c>
      <c r="N116" s="184">
        <v>555.0</v>
      </c>
      <c r="O116" s="188">
        <v>1.234</v>
      </c>
      <c r="P116" s="688">
        <f t="shared" si="24"/>
        <v>6.2</v>
      </c>
      <c r="Q116" s="694">
        <f t="shared" si="2"/>
        <v>135830</v>
      </c>
      <c r="R116" s="600">
        <f t="shared" si="3"/>
        <v>42.77</v>
      </c>
      <c r="S116" s="622">
        <f t="shared" si="22"/>
        <v>801975</v>
      </c>
      <c r="T116" s="602">
        <f t="shared" si="5"/>
        <v>679150</v>
      </c>
      <c r="U116" s="623">
        <f t="shared" si="19"/>
        <v>21908.06452</v>
      </c>
      <c r="V116" s="624">
        <f t="shared" si="7"/>
        <v>18750.87678</v>
      </c>
      <c r="W116" s="605">
        <f t="shared" si="8"/>
        <v>18898.87578</v>
      </c>
      <c r="X116" s="606">
        <f t="shared" si="9"/>
        <v>18271.45547</v>
      </c>
      <c r="Y116" s="607">
        <f t="shared" si="10"/>
        <v>2</v>
      </c>
      <c r="Z116" s="608">
        <f t="shared" si="11"/>
        <v>17.532</v>
      </c>
      <c r="AA116" s="608">
        <f t="shared" si="12"/>
        <v>0</v>
      </c>
      <c r="AB116" s="607">
        <f t="shared" si="13"/>
        <v>2</v>
      </c>
      <c r="AC116" s="607">
        <f t="shared" si="14"/>
        <v>271660</v>
      </c>
      <c r="AD116" s="608">
        <f t="shared" si="15"/>
        <v>5.132</v>
      </c>
      <c r="AE116" s="607">
        <f t="shared" si="16"/>
        <v>77</v>
      </c>
      <c r="AF116" s="609">
        <f t="shared" si="17"/>
        <v>111265</v>
      </c>
      <c r="AG116" s="628">
        <f t="shared" si="23"/>
        <v>382925</v>
      </c>
      <c r="AH116" s="611"/>
      <c r="AI116" s="612">
        <v>11560.0</v>
      </c>
      <c r="AJ116" s="612">
        <v>23120.0</v>
      </c>
      <c r="AK116" s="612">
        <v>33235.0</v>
      </c>
      <c r="AL116" s="612">
        <v>44795.0</v>
      </c>
      <c r="AM116" s="612">
        <v>54910.0</v>
      </c>
      <c r="AN116" s="612">
        <v>66470.0</v>
      </c>
      <c r="AO116" s="612">
        <v>76585.0</v>
      </c>
      <c r="AP116" s="612">
        <v>88145.0</v>
      </c>
      <c r="AQ116" s="612">
        <v>98260.0</v>
      </c>
      <c r="AR116" s="612">
        <v>109820.0</v>
      </c>
      <c r="AS116" s="612">
        <v>119935.0</v>
      </c>
      <c r="AT116" s="612">
        <v>131495.0</v>
      </c>
      <c r="AU116" s="612">
        <v>135830.0</v>
      </c>
      <c r="AV116" s="612">
        <v>135830.0</v>
      </c>
      <c r="AW116" s="612">
        <v>137275.0</v>
      </c>
      <c r="AX116" s="612">
        <v>148835.0</v>
      </c>
      <c r="AY116" s="612">
        <v>158950.0</v>
      </c>
      <c r="AZ116" s="612">
        <v>170510.0</v>
      </c>
      <c r="BA116" s="612">
        <v>180625.0</v>
      </c>
      <c r="BB116" s="612">
        <v>192185.0</v>
      </c>
      <c r="BC116" s="612">
        <v>202300.0</v>
      </c>
      <c r="BD116" s="612">
        <v>213860.0</v>
      </c>
      <c r="BE116" s="612">
        <v>223975.0</v>
      </c>
      <c r="BF116" s="612">
        <v>235535.0</v>
      </c>
      <c r="BG116" s="612">
        <v>245650.0</v>
      </c>
      <c r="BH116" s="612">
        <v>257210.0</v>
      </c>
      <c r="BI116" s="612">
        <v>267325.0</v>
      </c>
      <c r="BJ116" s="612">
        <v>271660.0</v>
      </c>
      <c r="BK116" s="612">
        <v>271660.0</v>
      </c>
      <c r="BL116" s="612">
        <v>274550.0</v>
      </c>
      <c r="BM116" s="612">
        <v>286110.0</v>
      </c>
      <c r="BN116" s="612">
        <v>296225.0</v>
      </c>
      <c r="BO116" s="612">
        <v>307785.0</v>
      </c>
      <c r="BP116" s="612">
        <v>317900.0</v>
      </c>
      <c r="BQ116" s="612">
        <v>329460.0</v>
      </c>
      <c r="BR116" s="612">
        <v>339575.0</v>
      </c>
      <c r="BS116" s="612">
        <v>351135.0</v>
      </c>
      <c r="BT116" s="612">
        <v>361250.0</v>
      </c>
      <c r="BU116" s="612">
        <v>372810.0</v>
      </c>
      <c r="BV116" s="612">
        <v>382925.0</v>
      </c>
      <c r="BW116" s="612">
        <v>394485.0</v>
      </c>
      <c r="BX116" s="612">
        <v>404600.0</v>
      </c>
      <c r="BY116" s="612">
        <v>407490.0</v>
      </c>
      <c r="BZ116" s="612">
        <v>407490.0</v>
      </c>
      <c r="CA116" s="612">
        <v>411825.0</v>
      </c>
      <c r="CB116" s="612">
        <v>423385.0</v>
      </c>
      <c r="CC116" s="612">
        <v>433500.0</v>
      </c>
      <c r="CD116" s="612">
        <v>445060.0</v>
      </c>
      <c r="CE116" s="612">
        <v>455175.0</v>
      </c>
      <c r="CF116" s="612">
        <v>466735.0</v>
      </c>
      <c r="CG116" s="612">
        <v>476850.0</v>
      </c>
      <c r="CH116" s="612">
        <v>488410.0</v>
      </c>
      <c r="CI116" s="612">
        <v>498525.0</v>
      </c>
      <c r="CJ116" s="612">
        <v>510085.0</v>
      </c>
      <c r="CK116" s="612">
        <v>520200.0</v>
      </c>
      <c r="CL116" s="612">
        <v>531760.0</v>
      </c>
      <c r="CM116" s="612">
        <v>541875.0</v>
      </c>
      <c r="CN116" s="612">
        <v>543320.0</v>
      </c>
      <c r="CO116" s="612">
        <v>543320.0</v>
      </c>
      <c r="CP116" s="612">
        <v>549100.0</v>
      </c>
    </row>
    <row r="117">
      <c r="A117" s="645"/>
      <c r="B117" s="613" t="s">
        <v>345</v>
      </c>
      <c r="C117" s="733" t="b">
        <v>0</v>
      </c>
      <c r="D117" s="734" t="s">
        <v>736</v>
      </c>
      <c r="E117" s="735" t="s">
        <v>348</v>
      </c>
      <c r="F117" s="736"/>
      <c r="G117" s="625">
        <v>1.0</v>
      </c>
      <c r="H117" s="727">
        <v>1.0</v>
      </c>
      <c r="I117" s="637">
        <f>21469*1.07</f>
        <v>22971.83</v>
      </c>
      <c r="J117" s="618">
        <f>I117*IF($C$7=TRUE,VLOOKUP(B117,BuffsDebuffs!$P$8:$X$26,MATCH(E117,BuffsDebuffs!$P$8:$X$8,0),FALSE),1)*IF(AND($C$8=TRUE,H117=1),1.0778,1)*VLOOKUP($C$2,'scaling OLD'!$A$2:$H$55,8,False)*IF(K117="-",1,(1/K117*(1+((K117-1)*VLOOKUP($C$2,'scaling OLD'!$A$2:$H$55,4,False)))))*IF(K117="-",1,VLOOKUP($C$2,'scaling OLD'!$A$2:$H$55,5,False))*VLOOKUP($C$2,'scaling OLD'!$A$2:$H$55,6,False)*IF(AND(LEFT(C$2,7)="CE - Cr",B117="Sword"),1.35,1)</f>
        <v>24759.03837</v>
      </c>
      <c r="K117" s="213" t="s">
        <v>349</v>
      </c>
      <c r="L117" s="211">
        <v>8.0</v>
      </c>
      <c r="M117" s="211">
        <v>45.57</v>
      </c>
      <c r="N117" s="211">
        <v>25.0</v>
      </c>
      <c r="O117" s="215">
        <v>1.9</v>
      </c>
      <c r="P117" s="691">
        <f t="shared" si="24"/>
        <v>9.216589862</v>
      </c>
      <c r="Q117" s="692">
        <f t="shared" si="2"/>
        <v>198072.307</v>
      </c>
      <c r="R117" s="621">
        <f t="shared" si="3"/>
        <v>33.34976959</v>
      </c>
      <c r="S117" s="622">
        <f t="shared" si="22"/>
        <v>618975.9594</v>
      </c>
      <c r="T117" s="602">
        <f t="shared" si="5"/>
        <v>594216.921</v>
      </c>
      <c r="U117" s="623">
        <f t="shared" si="19"/>
        <v>21490.84531</v>
      </c>
      <c r="V117" s="624">
        <f t="shared" si="7"/>
        <v>18560.12701</v>
      </c>
      <c r="W117" s="605">
        <f t="shared" si="8"/>
        <v>18894.15817</v>
      </c>
      <c r="X117" s="606">
        <f t="shared" si="9"/>
        <v>17817.72193</v>
      </c>
      <c r="Y117" s="607">
        <f t="shared" si="10"/>
        <v>1</v>
      </c>
      <c r="Z117" s="608">
        <f t="shared" si="11"/>
        <v>18.1</v>
      </c>
      <c r="AA117" s="608">
        <f t="shared" si="12"/>
        <v>0</v>
      </c>
      <c r="AB117" s="607">
        <f t="shared" si="13"/>
        <v>1</v>
      </c>
      <c r="AC117" s="607">
        <f t="shared" si="14"/>
        <v>198072.307</v>
      </c>
      <c r="AD117" s="608">
        <f t="shared" si="15"/>
        <v>8.883410138</v>
      </c>
      <c r="AE117" s="607">
        <f t="shared" si="16"/>
        <v>7</v>
      </c>
      <c r="AF117" s="609">
        <f t="shared" si="17"/>
        <v>173313.2686</v>
      </c>
      <c r="AG117" s="628">
        <f t="shared" si="23"/>
        <v>371385.5756</v>
      </c>
      <c r="AH117" s="611"/>
      <c r="AI117" s="612">
        <v>23139.288200000003</v>
      </c>
      <c r="AJ117" s="612">
        <v>23139.288200000003</v>
      </c>
      <c r="AK117" s="612">
        <v>46278.576400000005</v>
      </c>
      <c r="AL117" s="612">
        <v>46278.576400000005</v>
      </c>
      <c r="AM117" s="612">
        <v>46278.576400000005</v>
      </c>
      <c r="AN117" s="612">
        <v>69417.8646</v>
      </c>
      <c r="AO117" s="612">
        <v>69417.8646</v>
      </c>
      <c r="AP117" s="612">
        <v>92557.15280000001</v>
      </c>
      <c r="AQ117" s="612">
        <v>92557.15280000001</v>
      </c>
      <c r="AR117" s="612">
        <v>92557.15280000001</v>
      </c>
      <c r="AS117" s="612">
        <v>115696.44100000002</v>
      </c>
      <c r="AT117" s="612">
        <v>115696.44100000002</v>
      </c>
      <c r="AU117" s="612">
        <v>115696.44100000002</v>
      </c>
      <c r="AV117" s="612">
        <v>138835.7292</v>
      </c>
      <c r="AW117" s="612">
        <v>138835.7292</v>
      </c>
      <c r="AX117" s="612">
        <v>161975.0174</v>
      </c>
      <c r="AY117" s="612">
        <v>161975.0174</v>
      </c>
      <c r="AZ117" s="612">
        <v>161975.0174</v>
      </c>
      <c r="BA117" s="612">
        <v>185114.30560000002</v>
      </c>
      <c r="BB117" s="612">
        <v>185114.30560000002</v>
      </c>
      <c r="BC117" s="612">
        <v>185114.30560000002</v>
      </c>
      <c r="BD117" s="612">
        <v>185114.30560000002</v>
      </c>
      <c r="BE117" s="612">
        <v>208253.59380000003</v>
      </c>
      <c r="BF117" s="612">
        <v>208253.59380000003</v>
      </c>
      <c r="BG117" s="612">
        <v>231392.88200000004</v>
      </c>
      <c r="BH117" s="612">
        <v>231392.88200000004</v>
      </c>
      <c r="BI117" s="612">
        <v>231392.88200000004</v>
      </c>
      <c r="BJ117" s="612">
        <v>254532.17020000002</v>
      </c>
      <c r="BK117" s="612">
        <v>254532.17020000002</v>
      </c>
      <c r="BL117" s="612">
        <v>254532.17020000002</v>
      </c>
      <c r="BM117" s="612">
        <v>277671.4584</v>
      </c>
      <c r="BN117" s="612">
        <v>277671.4584</v>
      </c>
      <c r="BO117" s="612">
        <v>300810.7466000001</v>
      </c>
      <c r="BP117" s="612">
        <v>300810.7466000001</v>
      </c>
      <c r="BQ117" s="612">
        <v>300810.7466000001</v>
      </c>
      <c r="BR117" s="612">
        <v>323950.0348</v>
      </c>
      <c r="BS117" s="612">
        <v>323950.0348</v>
      </c>
      <c r="BT117" s="612">
        <v>323950.0348</v>
      </c>
      <c r="BU117" s="612">
        <v>347089.32300000003</v>
      </c>
      <c r="BV117" s="612">
        <v>347089.32300000003</v>
      </c>
      <c r="BW117" s="612">
        <v>370228.61120000004</v>
      </c>
      <c r="BX117" s="612">
        <v>370228.61120000004</v>
      </c>
      <c r="BY117" s="612">
        <v>370228.61120000004</v>
      </c>
      <c r="BZ117" s="612">
        <v>370228.61120000004</v>
      </c>
      <c r="CA117" s="612">
        <v>393367.89940000005</v>
      </c>
      <c r="CB117" s="612">
        <v>393367.89940000005</v>
      </c>
      <c r="CC117" s="612">
        <v>393367.89940000005</v>
      </c>
      <c r="CD117" s="612">
        <v>416507.18760000006</v>
      </c>
      <c r="CE117" s="612">
        <v>416507.18760000006</v>
      </c>
      <c r="CF117" s="612">
        <v>439646.4758</v>
      </c>
      <c r="CG117" s="612">
        <v>439646.4758</v>
      </c>
      <c r="CH117" s="612">
        <v>439646.4758</v>
      </c>
      <c r="CI117" s="612">
        <v>462785.7640000001</v>
      </c>
      <c r="CJ117" s="612">
        <v>462785.7640000001</v>
      </c>
      <c r="CK117" s="612">
        <v>485925.05220000003</v>
      </c>
      <c r="CL117" s="612">
        <v>485925.05220000003</v>
      </c>
      <c r="CM117" s="612">
        <v>485925.05220000003</v>
      </c>
      <c r="CN117" s="612">
        <v>509064.34040000004</v>
      </c>
      <c r="CO117" s="612">
        <v>509064.34040000004</v>
      </c>
      <c r="CP117" s="612">
        <v>509064.34040000004</v>
      </c>
    </row>
    <row r="118">
      <c r="A118" s="645"/>
      <c r="B118" s="677" t="s">
        <v>384</v>
      </c>
      <c r="C118" s="632" t="b">
        <v>0</v>
      </c>
      <c r="D118" s="655" t="s">
        <v>737</v>
      </c>
      <c r="E118" s="656" t="s">
        <v>348</v>
      </c>
      <c r="F118" s="678"/>
      <c r="G118" s="625">
        <v>1.0</v>
      </c>
      <c r="H118" s="646">
        <v>1.0</v>
      </c>
      <c r="I118" s="617">
        <f>1463*1.07</f>
        <v>1565.41</v>
      </c>
      <c r="J118" s="594">
        <f>I118*IF($C$7=TRUE,VLOOKUP(B118,BuffsDebuffs!$P$8:$X$26,MATCH(E118,BuffsDebuffs!$P$8:$X$8,0),FALSE),1)*IF(AND($C$8=TRUE,H118=1),1.0778,1)*VLOOKUP($C$2,'scaling OLD'!$A$2:$H$55,8,False)*IF(K118="-",1,(1/K118*(1+((K118-1)*VLOOKUP($C$2,'scaling OLD'!$A$2:$H$55,4,False)))))*IF(K118="-",1,VLOOKUP($C$2,'scaling OLD'!$A$2:$H$55,5,False))*VLOOKUP($C$2,'scaling OLD'!$A$2:$H$55,6,False)*IF(AND(LEFT(C$2,7)="CE - Cr",B118="Sword"),1.35,1)</f>
        <v>1687.198898</v>
      </c>
      <c r="K118" s="186">
        <v>1.3</v>
      </c>
      <c r="L118" s="184">
        <v>75.0</v>
      </c>
      <c r="M118" s="184">
        <v>900.0</v>
      </c>
      <c r="N118" s="184">
        <v>625.0</v>
      </c>
      <c r="O118" s="188">
        <v>2.45</v>
      </c>
      <c r="P118" s="688">
        <f t="shared" si="24"/>
        <v>4.933333333</v>
      </c>
      <c r="Q118" s="694">
        <f t="shared" si="2"/>
        <v>126539.9174</v>
      </c>
      <c r="R118" s="600">
        <f t="shared" si="3"/>
        <v>60.66666667</v>
      </c>
      <c r="S118" s="622">
        <f t="shared" si="22"/>
        <v>1054499.311</v>
      </c>
      <c r="T118" s="602">
        <f t="shared" si="5"/>
        <v>1012319.339</v>
      </c>
      <c r="U118" s="623">
        <f t="shared" si="19"/>
        <v>25649.98325</v>
      </c>
      <c r="V118" s="624">
        <f t="shared" si="7"/>
        <v>17381.85678</v>
      </c>
      <c r="W118" s="605">
        <f t="shared" si="8"/>
        <v>17880.2356</v>
      </c>
      <c r="X118" s="606">
        <f t="shared" si="9"/>
        <v>17138.58926</v>
      </c>
      <c r="Y118" s="607">
        <f t="shared" si="10"/>
        <v>2</v>
      </c>
      <c r="Z118" s="608">
        <f t="shared" si="11"/>
        <v>15.1</v>
      </c>
      <c r="AA118" s="608">
        <f t="shared" si="12"/>
        <v>0.3</v>
      </c>
      <c r="AB118" s="607">
        <f t="shared" si="13"/>
        <v>3</v>
      </c>
      <c r="AC118" s="607">
        <f t="shared" si="14"/>
        <v>379619.7521</v>
      </c>
      <c r="AD118" s="608">
        <f t="shared" si="15"/>
        <v>0</v>
      </c>
      <c r="AE118" s="607">
        <f t="shared" si="16"/>
        <v>0</v>
      </c>
      <c r="AF118" s="609">
        <f t="shared" si="17"/>
        <v>0</v>
      </c>
      <c r="AG118" s="628">
        <f t="shared" si="23"/>
        <v>379619.7521</v>
      </c>
      <c r="AH118" s="611"/>
      <c r="AI118" s="612">
        <v>12614.5712</v>
      </c>
      <c r="AJ118" s="612">
        <v>25229.1424</v>
      </c>
      <c r="AK118" s="612">
        <v>36266.8922</v>
      </c>
      <c r="AL118" s="612">
        <v>48881.4634</v>
      </c>
      <c r="AM118" s="612">
        <v>59919.2132</v>
      </c>
      <c r="AN118" s="612">
        <v>72533.7844</v>
      </c>
      <c r="AO118" s="612">
        <v>83571.53420000001</v>
      </c>
      <c r="AP118" s="612">
        <v>96186.1054</v>
      </c>
      <c r="AQ118" s="612">
        <v>107223.8552</v>
      </c>
      <c r="AR118" s="612">
        <v>118261.605</v>
      </c>
      <c r="AS118" s="612">
        <v>118261.605</v>
      </c>
      <c r="AT118" s="612">
        <v>118261.605</v>
      </c>
      <c r="AU118" s="612">
        <v>118261.605</v>
      </c>
      <c r="AV118" s="612">
        <v>118261.605</v>
      </c>
      <c r="AW118" s="612">
        <v>121415.2478</v>
      </c>
      <c r="AX118" s="612">
        <v>134029.819</v>
      </c>
      <c r="AY118" s="612">
        <v>145067.5688</v>
      </c>
      <c r="AZ118" s="612">
        <v>157682.14</v>
      </c>
      <c r="BA118" s="612">
        <v>168719.8898</v>
      </c>
      <c r="BB118" s="612">
        <v>181334.461</v>
      </c>
      <c r="BC118" s="612">
        <v>192372.2108</v>
      </c>
      <c r="BD118" s="612">
        <v>204986.782</v>
      </c>
      <c r="BE118" s="612">
        <v>216024.5318</v>
      </c>
      <c r="BF118" s="612">
        <v>228639.103</v>
      </c>
      <c r="BG118" s="612">
        <v>236523.21</v>
      </c>
      <c r="BH118" s="612">
        <v>236523.21</v>
      </c>
      <c r="BI118" s="612">
        <v>236523.21</v>
      </c>
      <c r="BJ118" s="612">
        <v>236523.21</v>
      </c>
      <c r="BK118" s="612">
        <v>236523.21</v>
      </c>
      <c r="BL118" s="612">
        <v>242830.4956</v>
      </c>
      <c r="BM118" s="612">
        <v>255445.0668</v>
      </c>
      <c r="BN118" s="612">
        <v>266482.8166</v>
      </c>
      <c r="BO118" s="612">
        <v>279097.38779999997</v>
      </c>
      <c r="BP118" s="612">
        <v>290135.1376</v>
      </c>
      <c r="BQ118" s="612">
        <v>302749.7088</v>
      </c>
      <c r="BR118" s="612">
        <v>313787.4586</v>
      </c>
      <c r="BS118" s="612">
        <v>326402.0298</v>
      </c>
      <c r="BT118" s="612">
        <v>337439.7796</v>
      </c>
      <c r="BU118" s="612">
        <v>350054.3508</v>
      </c>
      <c r="BV118" s="612">
        <v>354784.815</v>
      </c>
      <c r="BW118" s="612">
        <v>354784.815</v>
      </c>
      <c r="BX118" s="612">
        <v>354784.815</v>
      </c>
      <c r="BY118" s="612">
        <v>354784.815</v>
      </c>
      <c r="BZ118" s="612">
        <v>354784.815</v>
      </c>
      <c r="CA118" s="612">
        <v>364245.7434</v>
      </c>
      <c r="CB118" s="612">
        <v>375283.4932</v>
      </c>
      <c r="CC118" s="612">
        <v>387898.06440000003</v>
      </c>
      <c r="CD118" s="612">
        <v>398935.8142</v>
      </c>
      <c r="CE118" s="612">
        <v>411550.3854</v>
      </c>
      <c r="CF118" s="612">
        <v>422588.1352</v>
      </c>
      <c r="CG118" s="612">
        <v>435202.7064</v>
      </c>
      <c r="CH118" s="612">
        <v>446240.4562</v>
      </c>
      <c r="CI118" s="612">
        <v>458855.0274</v>
      </c>
      <c r="CJ118" s="612">
        <v>469892.7772</v>
      </c>
      <c r="CK118" s="612">
        <v>473046.42</v>
      </c>
      <c r="CL118" s="612">
        <v>473046.42</v>
      </c>
      <c r="CM118" s="612">
        <v>473046.42</v>
      </c>
      <c r="CN118" s="612">
        <v>473046.42</v>
      </c>
      <c r="CO118" s="612">
        <v>473046.42</v>
      </c>
      <c r="CP118" s="612">
        <v>484084.1698</v>
      </c>
    </row>
    <row r="119">
      <c r="A119" s="645"/>
      <c r="B119" s="695" t="s">
        <v>363</v>
      </c>
      <c r="C119" s="737" t="b">
        <v>0</v>
      </c>
      <c r="D119" s="738" t="s">
        <v>738</v>
      </c>
      <c r="E119" s="493" t="s">
        <v>348</v>
      </c>
      <c r="F119" s="657" t="s">
        <v>636</v>
      </c>
      <c r="G119" s="648">
        <v>1.0</v>
      </c>
      <c r="H119" s="739">
        <v>1.0</v>
      </c>
      <c r="I119" s="617">
        <v>23264.0</v>
      </c>
      <c r="J119" s="618">
        <f>I119*IF($C$7=TRUE,VLOOKUP(B119,BuffsDebuffs!$P$8:$X$26,MATCH(E119,BuffsDebuffs!$P$8:$X$8,0),FALSE),1)*IF(AND($C$8=TRUE,H119=1),1.0778,1)*VLOOKUP($C$2,'scaling OLD'!$A$2:$H$55,8,False)*IF(K119="-",1,(1/K119*(1+((K119-1)*VLOOKUP($C$2,'scaling OLD'!$A$2:$H$55,4,False)))))*IF(K119="-",1,VLOOKUP($C$2,'scaling OLD'!$A$2:$H$55,5,False))*VLOOKUP($C$2,'scaling OLD'!$A$2:$H$55,6,False)*IF(AND(LEFT(C$2,7)="CE - Cr",B119="Sword"),1.35,1)</f>
        <v>25073.9392</v>
      </c>
      <c r="K119" s="186" t="s">
        <v>349</v>
      </c>
      <c r="L119" s="184">
        <v>1.0</v>
      </c>
      <c r="M119" s="184">
        <v>100.0</v>
      </c>
      <c r="N119" s="184">
        <v>21.0</v>
      </c>
      <c r="O119" s="188">
        <v>1.5</v>
      </c>
      <c r="P119" s="691">
        <f t="shared" si="24"/>
        <v>0</v>
      </c>
      <c r="Q119" s="692">
        <f t="shared" si="2"/>
        <v>25073.9392</v>
      </c>
      <c r="R119" s="621">
        <f t="shared" si="3"/>
        <v>30</v>
      </c>
      <c r="S119" s="622">
        <f t="shared" si="22"/>
        <v>526552.7232</v>
      </c>
      <c r="T119" s="602">
        <f t="shared" si="5"/>
        <v>526552.7232</v>
      </c>
      <c r="U119" s="623" t="str">
        <f t="shared" si="19"/>
        <v>-</v>
      </c>
      <c r="V119" s="624">
        <f t="shared" si="7"/>
        <v>17551.75744</v>
      </c>
      <c r="W119" s="605">
        <f t="shared" si="8"/>
        <v>17551.75744</v>
      </c>
      <c r="X119" s="606">
        <f t="shared" si="9"/>
        <v>16715.95947</v>
      </c>
      <c r="Y119" s="607">
        <f t="shared" si="10"/>
        <v>13</v>
      </c>
      <c r="Z119" s="608">
        <f t="shared" si="11"/>
        <v>0.5</v>
      </c>
      <c r="AA119" s="608">
        <f t="shared" si="12"/>
        <v>0.5</v>
      </c>
      <c r="AB119" s="607">
        <f t="shared" si="13"/>
        <v>14</v>
      </c>
      <c r="AC119" s="607">
        <f t="shared" si="14"/>
        <v>351035.1488</v>
      </c>
      <c r="AD119" s="608">
        <f t="shared" si="15"/>
        <v>0</v>
      </c>
      <c r="AE119" s="607">
        <f t="shared" si="16"/>
        <v>0</v>
      </c>
      <c r="AF119" s="609">
        <f t="shared" si="17"/>
        <v>0</v>
      </c>
      <c r="AG119" s="628">
        <f t="shared" si="23"/>
        <v>351035.1488</v>
      </c>
      <c r="AH119" s="611"/>
      <c r="AI119" s="612">
        <v>25073.9392</v>
      </c>
      <c r="AJ119" s="612">
        <v>25073.9392</v>
      </c>
      <c r="AK119" s="612">
        <v>50147.8784</v>
      </c>
      <c r="AL119" s="612">
        <v>50147.8784</v>
      </c>
      <c r="AM119" s="612">
        <v>50147.8784</v>
      </c>
      <c r="AN119" s="612">
        <v>75221.81760000001</v>
      </c>
      <c r="AO119" s="612">
        <v>75221.81760000001</v>
      </c>
      <c r="AP119" s="612">
        <v>75221.81760000001</v>
      </c>
      <c r="AQ119" s="612">
        <v>100295.7568</v>
      </c>
      <c r="AR119" s="612">
        <v>100295.7568</v>
      </c>
      <c r="AS119" s="612">
        <v>100295.7568</v>
      </c>
      <c r="AT119" s="612">
        <v>125369.696</v>
      </c>
      <c r="AU119" s="612">
        <v>125369.696</v>
      </c>
      <c r="AV119" s="612">
        <v>125369.696</v>
      </c>
      <c r="AW119" s="612">
        <v>150443.63520000002</v>
      </c>
      <c r="AX119" s="612">
        <v>150443.63520000002</v>
      </c>
      <c r="AY119" s="612">
        <v>150443.63520000002</v>
      </c>
      <c r="AZ119" s="612">
        <v>175517.5744</v>
      </c>
      <c r="BA119" s="612">
        <v>175517.5744</v>
      </c>
      <c r="BB119" s="612">
        <v>175517.5744</v>
      </c>
      <c r="BC119" s="612">
        <v>200591.5136</v>
      </c>
      <c r="BD119" s="612">
        <v>200591.5136</v>
      </c>
      <c r="BE119" s="612">
        <v>200591.5136</v>
      </c>
      <c r="BF119" s="612">
        <v>225665.4528</v>
      </c>
      <c r="BG119" s="612">
        <v>225665.4528</v>
      </c>
      <c r="BH119" s="612">
        <v>225665.4528</v>
      </c>
      <c r="BI119" s="612">
        <v>250739.392</v>
      </c>
      <c r="BJ119" s="612">
        <v>250739.392</v>
      </c>
      <c r="BK119" s="612">
        <v>250739.392</v>
      </c>
      <c r="BL119" s="612">
        <v>275813.3312</v>
      </c>
      <c r="BM119" s="612">
        <v>275813.3312</v>
      </c>
      <c r="BN119" s="612">
        <v>275813.3312</v>
      </c>
      <c r="BO119" s="612">
        <v>300887.27040000004</v>
      </c>
      <c r="BP119" s="612">
        <v>300887.27040000004</v>
      </c>
      <c r="BQ119" s="612">
        <v>300887.27040000004</v>
      </c>
      <c r="BR119" s="612">
        <v>325961.2096</v>
      </c>
      <c r="BS119" s="612">
        <v>325961.2096</v>
      </c>
      <c r="BT119" s="612">
        <v>325961.2096</v>
      </c>
      <c r="BU119" s="612">
        <v>351035.1488</v>
      </c>
      <c r="BV119" s="612">
        <v>351035.1488</v>
      </c>
      <c r="BW119" s="612">
        <v>351035.1488</v>
      </c>
      <c r="BX119" s="612">
        <v>376109.088</v>
      </c>
      <c r="BY119" s="612">
        <v>376109.088</v>
      </c>
      <c r="BZ119" s="612">
        <v>376109.088</v>
      </c>
      <c r="CA119" s="612">
        <v>401183.0272</v>
      </c>
      <c r="CB119" s="612">
        <v>401183.0272</v>
      </c>
      <c r="CC119" s="612">
        <v>401183.0272</v>
      </c>
      <c r="CD119" s="612">
        <v>426256.96640000003</v>
      </c>
      <c r="CE119" s="612">
        <v>426256.96640000003</v>
      </c>
      <c r="CF119" s="612">
        <v>426256.96640000003</v>
      </c>
      <c r="CG119" s="612">
        <v>451330.9056</v>
      </c>
      <c r="CH119" s="612">
        <v>451330.9056</v>
      </c>
      <c r="CI119" s="612">
        <v>451330.9056</v>
      </c>
      <c r="CJ119" s="612">
        <v>476404.8448</v>
      </c>
      <c r="CK119" s="612">
        <v>476404.8448</v>
      </c>
      <c r="CL119" s="612">
        <v>476404.8448</v>
      </c>
      <c r="CM119" s="612">
        <v>501478.784</v>
      </c>
      <c r="CN119" s="612">
        <v>501478.784</v>
      </c>
      <c r="CO119" s="612">
        <v>501478.784</v>
      </c>
      <c r="CP119" s="612">
        <v>526552.7232</v>
      </c>
    </row>
    <row r="120">
      <c r="A120" s="645"/>
      <c r="B120" s="613" t="s">
        <v>421</v>
      </c>
      <c r="C120" s="614" t="b">
        <v>0</v>
      </c>
      <c r="D120" s="589" t="s">
        <v>739</v>
      </c>
      <c r="E120" s="615" t="s">
        <v>494</v>
      </c>
      <c r="F120" s="616" t="s">
        <v>740</v>
      </c>
      <c r="G120" s="648">
        <v>1.0</v>
      </c>
      <c r="H120" s="625"/>
      <c r="I120" s="626">
        <v>1309.0</v>
      </c>
      <c r="J120" s="594">
        <f>I120*IF($C$7=TRUE,VLOOKUP(B120,BuffsDebuffs!$P$8:$X$26,MATCH(E120,BuffsDebuffs!$P$8:$X$8,0),FALSE),1)*IF(AND($C$8=TRUE,H120=1),1.0778,1)*VLOOKUP($C$2,'scaling OLD'!$A$2:$H$55,8,False)*IF(K120="-",1,(1/K120*(1+((K120-1)*VLOOKUP($C$2,'scaling OLD'!$A$2:$H$55,4,False)))))*IF(K120="-",1,VLOOKUP($C$2,'scaling OLD'!$A$2:$H$55,5,False))*VLOOKUP($C$2,'scaling OLD'!$A$2:$H$55,6,False)*IF(AND(LEFT(C$2,7)="CE - Cr",B120="Sword"),1.35,1)</f>
        <v>1309</v>
      </c>
      <c r="K120" s="213">
        <v>1.34</v>
      </c>
      <c r="L120" s="211">
        <v>101.0</v>
      </c>
      <c r="M120" s="211">
        <v>900.0</v>
      </c>
      <c r="N120" s="211">
        <v>606.0</v>
      </c>
      <c r="O120" s="215">
        <v>1.234</v>
      </c>
      <c r="P120" s="638">
        <f t="shared" si="24"/>
        <v>6.666666667</v>
      </c>
      <c r="Q120" s="599">
        <f t="shared" si="2"/>
        <v>132209</v>
      </c>
      <c r="R120" s="600">
        <f t="shared" si="3"/>
        <v>46.17</v>
      </c>
      <c r="S120" s="622">
        <f t="shared" si="22"/>
        <v>793254</v>
      </c>
      <c r="T120" s="602">
        <f t="shared" si="5"/>
        <v>793254</v>
      </c>
      <c r="U120" s="623">
        <f t="shared" si="19"/>
        <v>19831.35</v>
      </c>
      <c r="V120" s="624">
        <f t="shared" si="7"/>
        <v>17181.1566</v>
      </c>
      <c r="W120" s="605">
        <f t="shared" si="8"/>
        <v>17181.1566</v>
      </c>
      <c r="X120" s="606">
        <f t="shared" si="9"/>
        <v>16733.90431</v>
      </c>
      <c r="Y120" s="607">
        <f t="shared" si="10"/>
        <v>2</v>
      </c>
      <c r="Z120" s="608">
        <f t="shared" si="11"/>
        <v>17.532</v>
      </c>
      <c r="AA120" s="608">
        <f t="shared" si="12"/>
        <v>0</v>
      </c>
      <c r="AB120" s="607">
        <f t="shared" si="13"/>
        <v>2</v>
      </c>
      <c r="AC120" s="607">
        <f t="shared" si="14"/>
        <v>264418</v>
      </c>
      <c r="AD120" s="608">
        <f t="shared" si="15"/>
        <v>4.198666667</v>
      </c>
      <c r="AE120" s="607">
        <f t="shared" si="16"/>
        <v>63</v>
      </c>
      <c r="AF120" s="609">
        <f t="shared" si="17"/>
        <v>82467</v>
      </c>
      <c r="AG120" s="628">
        <f t="shared" si="23"/>
        <v>346885</v>
      </c>
      <c r="AH120" s="611"/>
      <c r="AI120" s="612">
        <v>10472.0</v>
      </c>
      <c r="AJ120" s="612">
        <v>20944.0</v>
      </c>
      <c r="AK120" s="612">
        <v>30107.0</v>
      </c>
      <c r="AL120" s="612">
        <v>40579.0</v>
      </c>
      <c r="AM120" s="612">
        <v>49742.0</v>
      </c>
      <c r="AN120" s="612">
        <v>60214.0</v>
      </c>
      <c r="AO120" s="612">
        <v>69377.0</v>
      </c>
      <c r="AP120" s="612">
        <v>79849.0</v>
      </c>
      <c r="AQ120" s="612">
        <v>89012.0</v>
      </c>
      <c r="AR120" s="612">
        <v>99484.0</v>
      </c>
      <c r="AS120" s="612">
        <v>108647.0</v>
      </c>
      <c r="AT120" s="612">
        <v>119119.0</v>
      </c>
      <c r="AU120" s="612">
        <v>128282.0</v>
      </c>
      <c r="AV120" s="612">
        <v>132209.0</v>
      </c>
      <c r="AW120" s="612">
        <v>132209.0</v>
      </c>
      <c r="AX120" s="612">
        <v>134827.0</v>
      </c>
      <c r="AY120" s="612">
        <v>143990.0</v>
      </c>
      <c r="AZ120" s="612">
        <v>154462.0</v>
      </c>
      <c r="BA120" s="612">
        <v>163625.0</v>
      </c>
      <c r="BB120" s="612">
        <v>174097.0</v>
      </c>
      <c r="BC120" s="612">
        <v>183260.0</v>
      </c>
      <c r="BD120" s="612">
        <v>193732.0</v>
      </c>
      <c r="BE120" s="612">
        <v>202895.0</v>
      </c>
      <c r="BF120" s="612">
        <v>213367.0</v>
      </c>
      <c r="BG120" s="612">
        <v>222530.0</v>
      </c>
      <c r="BH120" s="612">
        <v>233002.0</v>
      </c>
      <c r="BI120" s="612">
        <v>242165.0</v>
      </c>
      <c r="BJ120" s="612">
        <v>252637.0</v>
      </c>
      <c r="BK120" s="612">
        <v>261800.0</v>
      </c>
      <c r="BL120" s="612">
        <v>264418.0</v>
      </c>
      <c r="BM120" s="612">
        <v>264418.0</v>
      </c>
      <c r="BN120" s="612">
        <v>268345.0</v>
      </c>
      <c r="BO120" s="612">
        <v>278817.0</v>
      </c>
      <c r="BP120" s="612">
        <v>287980.0</v>
      </c>
      <c r="BQ120" s="612">
        <v>298452.0</v>
      </c>
      <c r="BR120" s="612">
        <v>307615.0</v>
      </c>
      <c r="BS120" s="612">
        <v>318087.0</v>
      </c>
      <c r="BT120" s="612">
        <v>327250.0</v>
      </c>
      <c r="BU120" s="612">
        <v>337722.0</v>
      </c>
      <c r="BV120" s="612">
        <v>346885.0</v>
      </c>
      <c r="BW120" s="612">
        <v>357357.0</v>
      </c>
      <c r="BX120" s="612">
        <v>366520.0</v>
      </c>
      <c r="BY120" s="612">
        <v>376992.0</v>
      </c>
      <c r="BZ120" s="612">
        <v>386155.0</v>
      </c>
      <c r="CA120" s="612">
        <v>396627.0</v>
      </c>
      <c r="CB120" s="612">
        <v>396627.0</v>
      </c>
      <c r="CC120" s="612">
        <v>396627.0</v>
      </c>
      <c r="CD120" s="612">
        <v>403172.0</v>
      </c>
      <c r="CE120" s="612">
        <v>412335.0</v>
      </c>
      <c r="CF120" s="612">
        <v>422807.0</v>
      </c>
      <c r="CG120" s="612">
        <v>431970.0</v>
      </c>
      <c r="CH120" s="612">
        <v>442442.0</v>
      </c>
      <c r="CI120" s="612">
        <v>451605.0</v>
      </c>
      <c r="CJ120" s="612">
        <v>462077.0</v>
      </c>
      <c r="CK120" s="612">
        <v>471240.0</v>
      </c>
      <c r="CL120" s="612">
        <v>481712.0</v>
      </c>
      <c r="CM120" s="612">
        <v>490875.0</v>
      </c>
      <c r="CN120" s="612">
        <v>501347.0</v>
      </c>
      <c r="CO120" s="612">
        <v>510510.0</v>
      </c>
      <c r="CP120" s="612">
        <v>520982.0</v>
      </c>
    </row>
    <row r="121">
      <c r="A121" s="645"/>
      <c r="B121" s="629" t="s">
        <v>384</v>
      </c>
      <c r="C121" s="676" t="b">
        <v>0</v>
      </c>
      <c r="D121" s="655" t="s">
        <v>741</v>
      </c>
      <c r="E121" s="656" t="s">
        <v>348</v>
      </c>
      <c r="F121" s="657"/>
      <c r="G121" s="625">
        <v>1.0</v>
      </c>
      <c r="H121" s="646">
        <v>1.0</v>
      </c>
      <c r="I121" s="637">
        <f>2534*1.07</f>
        <v>2711.38</v>
      </c>
      <c r="J121" s="618">
        <f>I121*IF($C$7=TRUE,VLOOKUP(B121,BuffsDebuffs!$P$8:$X$26,MATCH(E121,BuffsDebuffs!$P$8:$X$8,0),FALSE),1)*IF(AND($C$8=TRUE,H121=1),1.0778,1)*VLOOKUP($C$2,'scaling OLD'!$A$2:$H$55,8,False)*IF(K121="-",1,(1/K121*(1+((K121-1)*VLOOKUP($C$2,'scaling OLD'!$A$2:$H$55,4,False)))))*IF(K121="-",1,VLOOKUP($C$2,'scaling OLD'!$A$2:$H$55,5,False))*VLOOKUP($C$2,'scaling OLD'!$A$2:$H$55,6,False)*IF(AND(LEFT(C$2,7)="CE - Cr",B121="Sword"),1.35,1)</f>
        <v>2922.325364</v>
      </c>
      <c r="K121" s="213">
        <v>1.405</v>
      </c>
      <c r="L121" s="211">
        <v>59.0</v>
      </c>
      <c r="M121" s="211">
        <v>450.0</v>
      </c>
      <c r="N121" s="211">
        <v>451.0</v>
      </c>
      <c r="O121" s="215">
        <v>3.0</v>
      </c>
      <c r="P121" s="647">
        <f t="shared" si="24"/>
        <v>7.733333333</v>
      </c>
      <c r="Q121" s="620">
        <f t="shared" si="2"/>
        <v>172417.1965</v>
      </c>
      <c r="R121" s="621">
        <f t="shared" si="3"/>
        <v>80.06666667</v>
      </c>
      <c r="S121" s="622">
        <f t="shared" si="22"/>
        <v>1317968.739</v>
      </c>
      <c r="T121" s="602">
        <f t="shared" si="5"/>
        <v>1206920.375</v>
      </c>
      <c r="U121" s="623">
        <f t="shared" si="19"/>
        <v>22295.32713</v>
      </c>
      <c r="V121" s="624">
        <f t="shared" si="7"/>
        <v>16460.89183</v>
      </c>
      <c r="W121" s="605">
        <f t="shared" si="8"/>
        <v>16731.79818</v>
      </c>
      <c r="X121" s="606">
        <f t="shared" si="9"/>
        <v>16063.71396</v>
      </c>
      <c r="Y121" s="607">
        <f t="shared" si="10"/>
        <v>1</v>
      </c>
      <c r="Z121" s="608">
        <f t="shared" si="11"/>
        <v>17</v>
      </c>
      <c r="AA121" s="608">
        <f t="shared" si="12"/>
        <v>1.533333333</v>
      </c>
      <c r="AB121" s="607">
        <f t="shared" si="13"/>
        <v>2</v>
      </c>
      <c r="AC121" s="607">
        <f t="shared" si="14"/>
        <v>344834.393</v>
      </c>
      <c r="AD121" s="608">
        <f t="shared" si="15"/>
        <v>0</v>
      </c>
      <c r="AE121" s="607">
        <f t="shared" si="16"/>
        <v>0</v>
      </c>
      <c r="AF121" s="609">
        <f t="shared" si="17"/>
        <v>0</v>
      </c>
      <c r="AG121" s="628">
        <f t="shared" si="23"/>
        <v>344834.393</v>
      </c>
      <c r="AH121" s="611"/>
      <c r="AI121" s="612">
        <v>10924.580800000002</v>
      </c>
      <c r="AJ121" s="612">
        <v>21849.161600000003</v>
      </c>
      <c r="AK121" s="612">
        <v>32773.7424</v>
      </c>
      <c r="AL121" s="612">
        <v>43698.323200000006</v>
      </c>
      <c r="AM121" s="612">
        <v>51891.75880000001</v>
      </c>
      <c r="AN121" s="612">
        <v>62816.33960000001</v>
      </c>
      <c r="AO121" s="612">
        <v>73740.92040000002</v>
      </c>
      <c r="AP121" s="612">
        <v>84665.50120000001</v>
      </c>
      <c r="AQ121" s="612">
        <v>92858.93680000001</v>
      </c>
      <c r="AR121" s="612">
        <v>103783.51760000002</v>
      </c>
      <c r="AS121" s="612">
        <v>114708.09840000002</v>
      </c>
      <c r="AT121" s="612">
        <v>125632.67920000001</v>
      </c>
      <c r="AU121" s="612">
        <v>133826.1148</v>
      </c>
      <c r="AV121" s="612">
        <v>144750.6956</v>
      </c>
      <c r="AW121" s="612">
        <v>155675.27640000003</v>
      </c>
      <c r="AX121" s="612">
        <v>161137.56680000003</v>
      </c>
      <c r="AY121" s="612">
        <v>161137.56680000003</v>
      </c>
      <c r="AZ121" s="612">
        <v>161137.56680000003</v>
      </c>
      <c r="BA121" s="612">
        <v>161137.56680000003</v>
      </c>
      <c r="BB121" s="612">
        <v>161137.56680000003</v>
      </c>
      <c r="BC121" s="612">
        <v>161137.56680000003</v>
      </c>
      <c r="BD121" s="612">
        <v>169331.00240000003</v>
      </c>
      <c r="BE121" s="612">
        <v>177524.43800000002</v>
      </c>
      <c r="BF121" s="612">
        <v>188449.01880000002</v>
      </c>
      <c r="BG121" s="612">
        <v>199373.59960000005</v>
      </c>
      <c r="BH121" s="612">
        <v>210298.18040000004</v>
      </c>
      <c r="BI121" s="612">
        <v>218491.61600000004</v>
      </c>
      <c r="BJ121" s="612">
        <v>229416.19680000003</v>
      </c>
      <c r="BK121" s="612">
        <v>240340.77760000003</v>
      </c>
      <c r="BL121" s="612">
        <v>251265.35840000003</v>
      </c>
      <c r="BM121" s="612">
        <v>259458.79400000005</v>
      </c>
      <c r="BN121" s="612">
        <v>270383.37480000005</v>
      </c>
      <c r="BO121" s="612">
        <v>281307.95560000004</v>
      </c>
      <c r="BP121" s="612">
        <v>292232.53640000004</v>
      </c>
      <c r="BQ121" s="612">
        <v>300425.97200000007</v>
      </c>
      <c r="BR121" s="612">
        <v>311350.55280000006</v>
      </c>
      <c r="BS121" s="612">
        <v>322275.13360000006</v>
      </c>
      <c r="BT121" s="612">
        <v>322275.13360000006</v>
      </c>
      <c r="BU121" s="612">
        <v>322275.13360000006</v>
      </c>
      <c r="BV121" s="612">
        <v>322275.13360000006</v>
      </c>
      <c r="BW121" s="612">
        <v>322275.13360000006</v>
      </c>
      <c r="BX121" s="612">
        <v>322275.13360000006</v>
      </c>
      <c r="BY121" s="612">
        <v>325006.2788000001</v>
      </c>
      <c r="BZ121" s="612">
        <v>335930.8596000001</v>
      </c>
      <c r="CA121" s="612">
        <v>344124.29520000005</v>
      </c>
      <c r="CB121" s="612">
        <v>355048.87600000005</v>
      </c>
      <c r="CC121" s="612">
        <v>365973.45680000004</v>
      </c>
      <c r="CD121" s="612">
        <v>376898.03760000004</v>
      </c>
      <c r="CE121" s="612">
        <v>385091.47320000007</v>
      </c>
      <c r="CF121" s="612">
        <v>396016.05400000006</v>
      </c>
      <c r="CG121" s="612">
        <v>406940.63480000006</v>
      </c>
      <c r="CH121" s="612">
        <v>417865.21560000005</v>
      </c>
      <c r="CI121" s="612">
        <v>426058.6512000001</v>
      </c>
      <c r="CJ121" s="612">
        <v>436983.2320000001</v>
      </c>
      <c r="CK121" s="612">
        <v>447907.8128000001</v>
      </c>
      <c r="CL121" s="612">
        <v>458832.39360000007</v>
      </c>
      <c r="CM121" s="612">
        <v>467025.82920000004</v>
      </c>
      <c r="CN121" s="612">
        <v>477950.4100000001</v>
      </c>
      <c r="CO121" s="612">
        <v>483412.7004000001</v>
      </c>
      <c r="CP121" s="612">
        <v>483412.7004000001</v>
      </c>
    </row>
    <row r="122">
      <c r="A122" s="645"/>
      <c r="B122" s="613" t="s">
        <v>358</v>
      </c>
      <c r="C122" s="676" t="b">
        <v>0</v>
      </c>
      <c r="D122" s="655" t="s">
        <v>742</v>
      </c>
      <c r="E122" s="656" t="s">
        <v>348</v>
      </c>
      <c r="F122" s="657" t="s">
        <v>668</v>
      </c>
      <c r="G122" s="625">
        <v>1.0</v>
      </c>
      <c r="H122" s="636">
        <v>1.0</v>
      </c>
      <c r="I122" s="617">
        <f>14313*1.07</f>
        <v>15314.91</v>
      </c>
      <c r="J122" s="594">
        <f>I122*IF($C$7=TRUE,VLOOKUP(B122,BuffsDebuffs!$P$8:$X$26,MATCH(E122,BuffsDebuffs!$P$8:$X$8,0),FALSE),1)*IF(AND($C$8=TRUE,H122=1),1.0778,1)*VLOOKUP($C$2,'scaling OLD'!$A$2:$H$55,8,False)*IF(K122="-",1,(1/K122*(1+((K122-1)*VLOOKUP($C$2,'scaling OLD'!$A$2:$H$55,4,False)))))*IF(K122="-",1,VLOOKUP($C$2,'scaling OLD'!$A$2:$H$55,5,False))*VLOOKUP($C$2,'scaling OLD'!$A$2:$H$55,6,False)*IF(AND(LEFT(C$2,7)="CE - Cr",B122="Sword"),1.35,1)</f>
        <v>16506.41</v>
      </c>
      <c r="K122" s="186" t="s">
        <v>349</v>
      </c>
      <c r="L122" s="184">
        <v>5.0</v>
      </c>
      <c r="M122" s="184">
        <v>60.0</v>
      </c>
      <c r="N122" s="184">
        <v>30.0</v>
      </c>
      <c r="O122" s="188">
        <v>1.35</v>
      </c>
      <c r="P122" s="638">
        <f t="shared" si="24"/>
        <v>4</v>
      </c>
      <c r="Q122" s="599">
        <f t="shared" si="2"/>
        <v>82532.04999</v>
      </c>
      <c r="R122" s="600">
        <f t="shared" si="3"/>
        <v>30.75</v>
      </c>
      <c r="S122" s="622">
        <f t="shared" si="22"/>
        <v>495192.2999</v>
      </c>
      <c r="T122" s="602">
        <f t="shared" si="5"/>
        <v>495192.2999</v>
      </c>
      <c r="U122" s="623">
        <f t="shared" si="19"/>
        <v>20633.0125</v>
      </c>
      <c r="V122" s="624">
        <f t="shared" si="7"/>
        <v>16103.81463</v>
      </c>
      <c r="W122" s="605">
        <f t="shared" si="8"/>
        <v>16103.81463</v>
      </c>
      <c r="X122" s="606">
        <f t="shared" si="9"/>
        <v>15426.5514</v>
      </c>
      <c r="Y122" s="607">
        <f t="shared" si="10"/>
        <v>3</v>
      </c>
      <c r="Z122" s="608">
        <f t="shared" si="11"/>
        <v>15.95</v>
      </c>
      <c r="AA122" s="608">
        <f t="shared" si="12"/>
        <v>0</v>
      </c>
      <c r="AB122" s="607">
        <f t="shared" si="13"/>
        <v>3</v>
      </c>
      <c r="AC122" s="607">
        <f t="shared" si="14"/>
        <v>247596.15</v>
      </c>
      <c r="AD122" s="608">
        <f t="shared" si="15"/>
        <v>3.95</v>
      </c>
      <c r="AE122" s="607">
        <f t="shared" si="16"/>
        <v>4</v>
      </c>
      <c r="AF122" s="609">
        <f t="shared" si="17"/>
        <v>66025.63999</v>
      </c>
      <c r="AG122" s="628">
        <f t="shared" si="23"/>
        <v>313621.79</v>
      </c>
      <c r="AH122" s="611"/>
      <c r="AI122" s="612">
        <v>15426.551400000002</v>
      </c>
      <c r="AJ122" s="612">
        <v>30853.102800000004</v>
      </c>
      <c r="AK122" s="612">
        <v>30853.102800000004</v>
      </c>
      <c r="AL122" s="612">
        <v>46279.654200000004</v>
      </c>
      <c r="AM122" s="612">
        <v>46279.654200000004</v>
      </c>
      <c r="AN122" s="612">
        <v>61706.20560000001</v>
      </c>
      <c r="AO122" s="612">
        <v>61706.20560000001</v>
      </c>
      <c r="AP122" s="612">
        <v>77132.75700000001</v>
      </c>
      <c r="AQ122" s="612">
        <v>77132.75700000001</v>
      </c>
      <c r="AR122" s="612">
        <v>77132.75700000001</v>
      </c>
      <c r="AS122" s="612">
        <v>92559.30840000001</v>
      </c>
      <c r="AT122" s="612">
        <v>92559.30840000001</v>
      </c>
      <c r="AU122" s="612">
        <v>107985.85980000002</v>
      </c>
      <c r="AV122" s="612">
        <v>107985.85980000002</v>
      </c>
      <c r="AW122" s="612">
        <v>123412.41120000002</v>
      </c>
      <c r="AX122" s="612">
        <v>123412.41120000002</v>
      </c>
      <c r="AY122" s="612">
        <v>138838.96260000003</v>
      </c>
      <c r="AZ122" s="612">
        <v>138838.96260000003</v>
      </c>
      <c r="BA122" s="612">
        <v>154265.51400000002</v>
      </c>
      <c r="BB122" s="612">
        <v>154265.51400000002</v>
      </c>
      <c r="BC122" s="612">
        <v>154265.51400000002</v>
      </c>
      <c r="BD122" s="612">
        <v>169692.06540000002</v>
      </c>
      <c r="BE122" s="612">
        <v>169692.06540000002</v>
      </c>
      <c r="BF122" s="612">
        <v>185118.61680000002</v>
      </c>
      <c r="BG122" s="612">
        <v>185118.61680000002</v>
      </c>
      <c r="BH122" s="612">
        <v>200545.16820000001</v>
      </c>
      <c r="BI122" s="612">
        <v>200545.16820000001</v>
      </c>
      <c r="BJ122" s="612">
        <v>215971.71960000004</v>
      </c>
      <c r="BK122" s="612">
        <v>215971.71960000004</v>
      </c>
      <c r="BL122" s="612">
        <v>231398.27100000004</v>
      </c>
      <c r="BM122" s="612">
        <v>231398.27100000004</v>
      </c>
      <c r="BN122" s="612">
        <v>231398.27100000004</v>
      </c>
      <c r="BO122" s="612">
        <v>246824.82240000003</v>
      </c>
      <c r="BP122" s="612">
        <v>246824.82240000003</v>
      </c>
      <c r="BQ122" s="612">
        <v>262251.37380000006</v>
      </c>
      <c r="BR122" s="612">
        <v>262251.37380000006</v>
      </c>
      <c r="BS122" s="612">
        <v>277677.92520000006</v>
      </c>
      <c r="BT122" s="612">
        <v>277677.92520000006</v>
      </c>
      <c r="BU122" s="612">
        <v>293104.47660000005</v>
      </c>
      <c r="BV122" s="612">
        <v>293104.47660000005</v>
      </c>
      <c r="BW122" s="612">
        <v>308531.02800000005</v>
      </c>
      <c r="BX122" s="612">
        <v>308531.02800000005</v>
      </c>
      <c r="BY122" s="612">
        <v>323957.57940000005</v>
      </c>
      <c r="BZ122" s="612">
        <v>323957.57940000005</v>
      </c>
      <c r="CA122" s="612">
        <v>339384.13080000004</v>
      </c>
      <c r="CB122" s="612">
        <v>339384.13080000004</v>
      </c>
      <c r="CC122" s="612">
        <v>354810.68220000004</v>
      </c>
      <c r="CD122" s="612">
        <v>354810.68220000004</v>
      </c>
      <c r="CE122" s="612">
        <v>370237.23360000004</v>
      </c>
      <c r="CF122" s="612">
        <v>370237.23360000004</v>
      </c>
      <c r="CG122" s="612">
        <v>385663.78500000003</v>
      </c>
      <c r="CH122" s="612">
        <v>385663.78500000003</v>
      </c>
      <c r="CI122" s="612">
        <v>385663.78500000003</v>
      </c>
      <c r="CJ122" s="612">
        <v>401090.33640000003</v>
      </c>
      <c r="CK122" s="612">
        <v>401090.33640000003</v>
      </c>
      <c r="CL122" s="612">
        <v>416516.8878</v>
      </c>
      <c r="CM122" s="612">
        <v>416516.8878</v>
      </c>
      <c r="CN122" s="612">
        <v>431943.4392</v>
      </c>
      <c r="CO122" s="612">
        <v>431943.4392</v>
      </c>
      <c r="CP122" s="612">
        <v>447369.9906</v>
      </c>
    </row>
    <row r="123">
      <c r="A123" s="645"/>
      <c r="B123" s="613" t="s">
        <v>358</v>
      </c>
      <c r="C123" s="676" t="b">
        <v>0</v>
      </c>
      <c r="D123" s="655" t="s">
        <v>743</v>
      </c>
      <c r="E123" s="656" t="s">
        <v>348</v>
      </c>
      <c r="F123" s="657" t="s">
        <v>668</v>
      </c>
      <c r="G123" s="625">
        <v>1.0</v>
      </c>
      <c r="H123" s="636">
        <v>1.0</v>
      </c>
      <c r="I123" s="617">
        <f>12554*1.07</f>
        <v>13432.78</v>
      </c>
      <c r="J123" s="618">
        <f>I123*IF($C$7=TRUE,VLOOKUP(B123,BuffsDebuffs!$P$8:$X$26,MATCH(E123,BuffsDebuffs!$P$8:$X$8,0),FALSE),1)*IF(AND($C$8=TRUE,H123=1),1.0778,1)*VLOOKUP($C$2,'scaling OLD'!$A$2:$H$55,8,False)*IF(K123="-",1,(1/K123*(1+((K123-1)*VLOOKUP($C$2,'scaling OLD'!$A$2:$H$55,4,False)))))*IF(K123="-",1,VLOOKUP($C$2,'scaling OLD'!$A$2:$H$55,5,False))*VLOOKUP($C$2,'scaling OLD'!$A$2:$H$55,6,False)*IF(AND(LEFT(C$2,7)="CE - Cr",B123="Sword"),1.35,1)</f>
        <v>14477.85028</v>
      </c>
      <c r="K123" s="186" t="s">
        <v>349</v>
      </c>
      <c r="L123" s="184">
        <v>6.0</v>
      </c>
      <c r="M123" s="184">
        <v>66.0</v>
      </c>
      <c r="N123" s="184">
        <v>33.0</v>
      </c>
      <c r="O123" s="188">
        <v>1.366</v>
      </c>
      <c r="P123" s="647">
        <f t="shared" si="24"/>
        <v>4.545454545</v>
      </c>
      <c r="Q123" s="620">
        <f t="shared" si="2"/>
        <v>86867.1017</v>
      </c>
      <c r="R123" s="621">
        <f t="shared" si="3"/>
        <v>31.37545455</v>
      </c>
      <c r="S123" s="622">
        <f t="shared" si="22"/>
        <v>477769.0594</v>
      </c>
      <c r="T123" s="602">
        <f t="shared" si="5"/>
        <v>434335.5085</v>
      </c>
      <c r="U123" s="623">
        <f t="shared" si="19"/>
        <v>19110.76237</v>
      </c>
      <c r="V123" s="624">
        <f t="shared" si="7"/>
        <v>15227.4785</v>
      </c>
      <c r="W123" s="605">
        <f t="shared" si="8"/>
        <v>15406.73643</v>
      </c>
      <c r="X123" s="606">
        <f t="shared" si="9"/>
        <v>14694.70856</v>
      </c>
      <c r="Y123" s="607">
        <f t="shared" si="10"/>
        <v>3</v>
      </c>
      <c r="Z123" s="608">
        <f t="shared" si="11"/>
        <v>15.902</v>
      </c>
      <c r="AA123" s="608">
        <f t="shared" si="12"/>
        <v>0</v>
      </c>
      <c r="AB123" s="607">
        <f t="shared" si="13"/>
        <v>3</v>
      </c>
      <c r="AC123" s="607">
        <f t="shared" si="14"/>
        <v>260601.3051</v>
      </c>
      <c r="AD123" s="608">
        <f t="shared" si="15"/>
        <v>2.265636364</v>
      </c>
      <c r="AE123" s="607">
        <f t="shared" si="16"/>
        <v>3</v>
      </c>
      <c r="AF123" s="609">
        <f t="shared" si="17"/>
        <v>43433.55085</v>
      </c>
      <c r="AG123" s="628">
        <f t="shared" si="23"/>
        <v>304034.856</v>
      </c>
      <c r="AH123" s="611"/>
      <c r="AI123" s="612">
        <v>13530.701200000001</v>
      </c>
      <c r="AJ123" s="612">
        <v>27061.402400000003</v>
      </c>
      <c r="AK123" s="612">
        <v>27061.402400000003</v>
      </c>
      <c r="AL123" s="612">
        <v>40592.1036</v>
      </c>
      <c r="AM123" s="612">
        <v>40592.1036</v>
      </c>
      <c r="AN123" s="612">
        <v>54122.804800000005</v>
      </c>
      <c r="AO123" s="612">
        <v>54122.804800000005</v>
      </c>
      <c r="AP123" s="612">
        <v>67653.50600000001</v>
      </c>
      <c r="AQ123" s="612">
        <v>67653.50600000001</v>
      </c>
      <c r="AR123" s="612">
        <v>81184.2072</v>
      </c>
      <c r="AS123" s="612">
        <v>81184.2072</v>
      </c>
      <c r="AT123" s="612">
        <v>94714.9084</v>
      </c>
      <c r="AU123" s="612">
        <v>94714.9084</v>
      </c>
      <c r="AV123" s="612">
        <v>108245.60960000001</v>
      </c>
      <c r="AW123" s="612">
        <v>108245.60960000001</v>
      </c>
      <c r="AX123" s="612">
        <v>121776.3108</v>
      </c>
      <c r="AY123" s="612">
        <v>121776.3108</v>
      </c>
      <c r="AZ123" s="612">
        <v>135307.01200000002</v>
      </c>
      <c r="BA123" s="612">
        <v>135307.01200000002</v>
      </c>
      <c r="BB123" s="612">
        <v>148837.7132</v>
      </c>
      <c r="BC123" s="612">
        <v>162368.4144</v>
      </c>
      <c r="BD123" s="612">
        <v>162368.4144</v>
      </c>
      <c r="BE123" s="612">
        <v>162368.4144</v>
      </c>
      <c r="BF123" s="612">
        <v>175899.11560000002</v>
      </c>
      <c r="BG123" s="612">
        <v>175899.11560000002</v>
      </c>
      <c r="BH123" s="612">
        <v>189429.8168</v>
      </c>
      <c r="BI123" s="612">
        <v>189429.8168</v>
      </c>
      <c r="BJ123" s="612">
        <v>202960.518</v>
      </c>
      <c r="BK123" s="612">
        <v>202960.518</v>
      </c>
      <c r="BL123" s="612">
        <v>216491.21920000002</v>
      </c>
      <c r="BM123" s="612">
        <v>230021.9204</v>
      </c>
      <c r="BN123" s="612">
        <v>230021.9204</v>
      </c>
      <c r="BO123" s="612">
        <v>243552.6216</v>
      </c>
      <c r="BP123" s="612">
        <v>243552.6216</v>
      </c>
      <c r="BQ123" s="612">
        <v>243552.6216</v>
      </c>
      <c r="BR123" s="612">
        <v>257083.32280000002</v>
      </c>
      <c r="BS123" s="612">
        <v>257083.32280000002</v>
      </c>
      <c r="BT123" s="612">
        <v>270614.02400000003</v>
      </c>
      <c r="BU123" s="612">
        <v>270614.02400000003</v>
      </c>
      <c r="BV123" s="612">
        <v>284144.7252</v>
      </c>
      <c r="BW123" s="612">
        <v>297675.4264</v>
      </c>
      <c r="BX123" s="612">
        <v>297675.4264</v>
      </c>
      <c r="BY123" s="612">
        <v>311206.1276</v>
      </c>
      <c r="BZ123" s="612">
        <v>311206.1276</v>
      </c>
      <c r="CA123" s="612">
        <v>324736.8288</v>
      </c>
      <c r="CB123" s="612">
        <v>324736.8288</v>
      </c>
      <c r="CC123" s="612">
        <v>324736.8288</v>
      </c>
      <c r="CD123" s="612">
        <v>338267.53</v>
      </c>
      <c r="CE123" s="612">
        <v>338267.53</v>
      </c>
      <c r="CF123" s="612">
        <v>351798.23120000004</v>
      </c>
      <c r="CG123" s="612">
        <v>365328.93240000005</v>
      </c>
      <c r="CH123" s="612">
        <v>365328.93240000005</v>
      </c>
      <c r="CI123" s="612">
        <v>378859.6336</v>
      </c>
      <c r="CJ123" s="612">
        <v>378859.6336</v>
      </c>
      <c r="CK123" s="612">
        <v>392390.3348</v>
      </c>
      <c r="CL123" s="612">
        <v>392390.3348</v>
      </c>
      <c r="CM123" s="612">
        <v>405921.036</v>
      </c>
      <c r="CN123" s="612">
        <v>405921.036</v>
      </c>
      <c r="CO123" s="612">
        <v>405921.036</v>
      </c>
      <c r="CP123" s="612">
        <v>419451.73720000003</v>
      </c>
    </row>
    <row r="124">
      <c r="A124" s="645"/>
      <c r="B124" s="629" t="s">
        <v>384</v>
      </c>
      <c r="C124" s="676" t="b">
        <v>0</v>
      </c>
      <c r="D124" s="655" t="s">
        <v>744</v>
      </c>
      <c r="E124" s="656" t="s">
        <v>348</v>
      </c>
      <c r="F124" s="657"/>
      <c r="G124" s="625">
        <v>1.0</v>
      </c>
      <c r="H124" s="636">
        <v>1.0</v>
      </c>
      <c r="I124" s="637">
        <f>2927*1.07</f>
        <v>3131.89</v>
      </c>
      <c r="J124" s="594">
        <f>I124*IF($C$7=TRUE,VLOOKUP(B124,BuffsDebuffs!$P$8:$X$26,MATCH(E124,BuffsDebuffs!$P$8:$X$8,0),FALSE),1)*IF(AND($C$8=TRUE,H124=1),1.0778,1)*VLOOKUP($C$2,'scaling OLD'!$A$2:$H$55,8,False)*IF(K124="-",1,(1/K124*(1+((K124-1)*VLOOKUP($C$2,'scaling OLD'!$A$2:$H$55,4,False)))))*IF(K124="-",1,VLOOKUP($C$2,'scaling OLD'!$A$2:$H$55,5,False))*VLOOKUP($C$2,'scaling OLD'!$A$2:$H$55,6,False)*IF(AND(LEFT(C$2,7)="CE - Cr",B124="Sword"),1.35,1)</f>
        <v>3375.551042</v>
      </c>
      <c r="K124" s="213">
        <v>1.405</v>
      </c>
      <c r="L124" s="211">
        <v>47.0</v>
      </c>
      <c r="M124" s="211">
        <v>360.0</v>
      </c>
      <c r="N124" s="211">
        <v>453.0</v>
      </c>
      <c r="O124" s="215">
        <v>3.0</v>
      </c>
      <c r="P124" s="638">
        <f t="shared" si="24"/>
        <v>7.666666667</v>
      </c>
      <c r="Q124" s="599">
        <f t="shared" si="2"/>
        <v>158650.899</v>
      </c>
      <c r="R124" s="600">
        <f t="shared" si="3"/>
        <v>100.8333333</v>
      </c>
      <c r="S124" s="622">
        <f t="shared" si="22"/>
        <v>1529124.622</v>
      </c>
      <c r="T124" s="602">
        <f t="shared" si="5"/>
        <v>1427858.091</v>
      </c>
      <c r="U124" s="623">
        <f t="shared" si="19"/>
        <v>20693.59552</v>
      </c>
      <c r="V124" s="624">
        <f t="shared" si="7"/>
        <v>15164.87228</v>
      </c>
      <c r="W124" s="605">
        <f t="shared" si="8"/>
        <v>15353.3128</v>
      </c>
      <c r="X124" s="606">
        <f t="shared" si="9"/>
        <v>14873.52178</v>
      </c>
      <c r="Y124" s="607">
        <f t="shared" si="10"/>
        <v>1</v>
      </c>
      <c r="Z124" s="608">
        <f t="shared" si="11"/>
        <v>17</v>
      </c>
      <c r="AA124" s="608">
        <f t="shared" si="12"/>
        <v>1.666666667</v>
      </c>
      <c r="AB124" s="607">
        <f t="shared" si="13"/>
        <v>2</v>
      </c>
      <c r="AC124" s="607">
        <f t="shared" si="14"/>
        <v>317301.7979</v>
      </c>
      <c r="AD124" s="608">
        <f t="shared" si="15"/>
        <v>0</v>
      </c>
      <c r="AE124" s="607">
        <f t="shared" si="16"/>
        <v>0</v>
      </c>
      <c r="AF124" s="609">
        <f t="shared" si="17"/>
        <v>0</v>
      </c>
      <c r="AG124" s="628">
        <f t="shared" si="23"/>
        <v>317301.7979</v>
      </c>
      <c r="AH124" s="611"/>
      <c r="AI124" s="612">
        <v>12618.8824</v>
      </c>
      <c r="AJ124" s="612">
        <v>22083.0442</v>
      </c>
      <c r="AK124" s="612">
        <v>31547.206000000002</v>
      </c>
      <c r="AL124" s="612">
        <v>41011.3678</v>
      </c>
      <c r="AM124" s="612">
        <v>50475.5296</v>
      </c>
      <c r="AN124" s="612">
        <v>59939.6914</v>
      </c>
      <c r="AO124" s="612">
        <v>69403.8532</v>
      </c>
      <c r="AP124" s="612">
        <v>78868.015</v>
      </c>
      <c r="AQ124" s="612">
        <v>88332.1768</v>
      </c>
      <c r="AR124" s="612">
        <v>97796.3386</v>
      </c>
      <c r="AS124" s="612">
        <v>107260.5004</v>
      </c>
      <c r="AT124" s="612">
        <v>116724.6622</v>
      </c>
      <c r="AU124" s="612">
        <v>126188.82400000001</v>
      </c>
      <c r="AV124" s="612">
        <v>135652.9858</v>
      </c>
      <c r="AW124" s="612">
        <v>145117.1476</v>
      </c>
      <c r="AX124" s="612">
        <v>148271.8682</v>
      </c>
      <c r="AY124" s="612">
        <v>148271.8682</v>
      </c>
      <c r="AZ124" s="612">
        <v>148271.8682</v>
      </c>
      <c r="BA124" s="612">
        <v>148271.8682</v>
      </c>
      <c r="BB124" s="612">
        <v>148271.8682</v>
      </c>
      <c r="BC124" s="612">
        <v>148271.8682</v>
      </c>
      <c r="BD124" s="612">
        <v>157736.03</v>
      </c>
      <c r="BE124" s="612">
        <v>167200.1918</v>
      </c>
      <c r="BF124" s="612">
        <v>176664.3536</v>
      </c>
      <c r="BG124" s="612">
        <v>186128.5154</v>
      </c>
      <c r="BH124" s="612">
        <v>195592.6772</v>
      </c>
      <c r="BI124" s="612">
        <v>205056.839</v>
      </c>
      <c r="BJ124" s="612">
        <v>214521.00079999998</v>
      </c>
      <c r="BK124" s="612">
        <v>223985.16259999998</v>
      </c>
      <c r="BL124" s="612">
        <v>233449.32439999998</v>
      </c>
      <c r="BM124" s="612">
        <v>242913.48619999998</v>
      </c>
      <c r="BN124" s="612">
        <v>252377.648</v>
      </c>
      <c r="BO124" s="612">
        <v>261841.8098</v>
      </c>
      <c r="BP124" s="612">
        <v>271305.9716</v>
      </c>
      <c r="BQ124" s="612">
        <v>280770.1334</v>
      </c>
      <c r="BR124" s="612">
        <v>290234.2952</v>
      </c>
      <c r="BS124" s="612">
        <v>296543.7364</v>
      </c>
      <c r="BT124" s="612">
        <v>296543.7364</v>
      </c>
      <c r="BU124" s="612">
        <v>296543.7364</v>
      </c>
      <c r="BV124" s="612">
        <v>296543.7364</v>
      </c>
      <c r="BW124" s="612">
        <v>296543.7364</v>
      </c>
      <c r="BX124" s="612">
        <v>296543.7364</v>
      </c>
      <c r="BY124" s="612">
        <v>302853.1776</v>
      </c>
      <c r="BZ124" s="612">
        <v>312317.3394</v>
      </c>
      <c r="CA124" s="612">
        <v>321781.5012</v>
      </c>
      <c r="CB124" s="612">
        <v>331245.663</v>
      </c>
      <c r="CC124" s="612">
        <v>340709.8248</v>
      </c>
      <c r="CD124" s="612">
        <v>350173.9866</v>
      </c>
      <c r="CE124" s="612">
        <v>359638.1484</v>
      </c>
      <c r="CF124" s="612">
        <v>369102.3102</v>
      </c>
      <c r="CG124" s="612">
        <v>378566.472</v>
      </c>
      <c r="CH124" s="612">
        <v>388030.6338</v>
      </c>
      <c r="CI124" s="612">
        <v>397494.7956</v>
      </c>
      <c r="CJ124" s="612">
        <v>406958.9574</v>
      </c>
      <c r="CK124" s="612">
        <v>416423.1192</v>
      </c>
      <c r="CL124" s="612">
        <v>425887.281</v>
      </c>
      <c r="CM124" s="612">
        <v>435351.44279999996</v>
      </c>
      <c r="CN124" s="612">
        <v>444815.60459999996</v>
      </c>
      <c r="CO124" s="612">
        <v>444815.60459999996</v>
      </c>
      <c r="CP124" s="612">
        <v>444815.60459999996</v>
      </c>
    </row>
    <row r="125">
      <c r="A125" s="645"/>
      <c r="B125" s="629" t="s">
        <v>384</v>
      </c>
      <c r="C125" s="679" t="b">
        <v>0</v>
      </c>
      <c r="D125" s="589" t="s">
        <v>745</v>
      </c>
      <c r="E125" s="615" t="s">
        <v>500</v>
      </c>
      <c r="F125" s="616" t="s">
        <v>746</v>
      </c>
      <c r="G125" s="625">
        <v>1.0</v>
      </c>
      <c r="H125" s="625"/>
      <c r="I125" s="617">
        <f>3110*1.07</f>
        <v>3327.7</v>
      </c>
      <c r="J125" s="618">
        <f>I125*IF($C$7=TRUE,VLOOKUP(B125,BuffsDebuffs!$P$8:$X$26,MATCH(E125,BuffsDebuffs!$P$8:$X$8,0),FALSE),1)*IF(AND($C$8=TRUE,H125=1),1.0778,1)*VLOOKUP($C$2,'scaling OLD'!$A$2:$H$55,8,False)*IF(K125="-",1,(1/K125*(1+((K125-1)*VLOOKUP($C$2,'scaling OLD'!$A$2:$H$55,4,False)))))*IF(K125="-",1,VLOOKUP($C$2,'scaling OLD'!$A$2:$H$55,5,False))*VLOOKUP($C$2,'scaling OLD'!$A$2:$H$55,6,False)*IF(AND(LEFT(C$2,7)="CE - Cr",B125="Sword"),1.35,1)</f>
        <v>3327.7</v>
      </c>
      <c r="K125" s="186">
        <v>1.41</v>
      </c>
      <c r="L125" s="184">
        <v>48.0</v>
      </c>
      <c r="M125" s="184">
        <v>360.0</v>
      </c>
      <c r="N125" s="184">
        <v>428.0</v>
      </c>
      <c r="O125" s="188">
        <v>3.0</v>
      </c>
      <c r="P125" s="647">
        <f t="shared" si="24"/>
        <v>7.833333333</v>
      </c>
      <c r="Q125" s="620">
        <f t="shared" si="2"/>
        <v>159729.6</v>
      </c>
      <c r="R125" s="621">
        <f t="shared" si="3"/>
        <v>93.83333333</v>
      </c>
      <c r="S125" s="622">
        <f t="shared" si="22"/>
        <v>1424255.6</v>
      </c>
      <c r="T125" s="602">
        <f t="shared" si="5"/>
        <v>1277836.8</v>
      </c>
      <c r="U125" s="623">
        <f t="shared" si="19"/>
        <v>20391.01277</v>
      </c>
      <c r="V125" s="624">
        <f t="shared" si="7"/>
        <v>15178.56767</v>
      </c>
      <c r="W125" s="605">
        <f t="shared" si="8"/>
        <v>15272.9498</v>
      </c>
      <c r="X125" s="606">
        <f t="shared" si="9"/>
        <v>14744.27077</v>
      </c>
      <c r="Y125" s="607">
        <f t="shared" si="10"/>
        <v>1</v>
      </c>
      <c r="Z125" s="608">
        <f t="shared" si="11"/>
        <v>17</v>
      </c>
      <c r="AA125" s="608">
        <f t="shared" si="12"/>
        <v>1.333333333</v>
      </c>
      <c r="AB125" s="607">
        <f t="shared" si="13"/>
        <v>2</v>
      </c>
      <c r="AC125" s="607">
        <f t="shared" si="14"/>
        <v>319459.2</v>
      </c>
      <c r="AD125" s="608">
        <f t="shared" si="15"/>
        <v>0</v>
      </c>
      <c r="AE125" s="607">
        <f t="shared" si="16"/>
        <v>0</v>
      </c>
      <c r="AF125" s="609">
        <f t="shared" si="17"/>
        <v>0</v>
      </c>
      <c r="AG125" s="628">
        <f t="shared" si="23"/>
        <v>319459.2</v>
      </c>
      <c r="AH125" s="611"/>
      <c r="AI125" s="612">
        <v>12440.0</v>
      </c>
      <c r="AJ125" s="612">
        <v>21770.0</v>
      </c>
      <c r="AK125" s="612">
        <v>31100.0</v>
      </c>
      <c r="AL125" s="612">
        <v>40430.0</v>
      </c>
      <c r="AM125" s="612">
        <v>49760.0</v>
      </c>
      <c r="AN125" s="612">
        <v>59090.0</v>
      </c>
      <c r="AO125" s="612">
        <v>68420.0</v>
      </c>
      <c r="AP125" s="612">
        <v>77750.0</v>
      </c>
      <c r="AQ125" s="612">
        <v>87080.0</v>
      </c>
      <c r="AR125" s="612">
        <v>96410.0</v>
      </c>
      <c r="AS125" s="612">
        <v>105740.0</v>
      </c>
      <c r="AT125" s="612">
        <v>115070.0</v>
      </c>
      <c r="AU125" s="612">
        <v>124400.0</v>
      </c>
      <c r="AV125" s="612">
        <v>133730.0</v>
      </c>
      <c r="AW125" s="612">
        <v>143060.0</v>
      </c>
      <c r="AX125" s="612">
        <v>149280.0</v>
      </c>
      <c r="AY125" s="612">
        <v>149280.0</v>
      </c>
      <c r="AZ125" s="612">
        <v>149280.0</v>
      </c>
      <c r="BA125" s="612">
        <v>149280.0</v>
      </c>
      <c r="BB125" s="612">
        <v>149280.0</v>
      </c>
      <c r="BC125" s="612">
        <v>149280.0</v>
      </c>
      <c r="BD125" s="612">
        <v>155500.0</v>
      </c>
      <c r="BE125" s="612">
        <v>164830.0</v>
      </c>
      <c r="BF125" s="612">
        <v>174160.0</v>
      </c>
      <c r="BG125" s="612">
        <v>183490.0</v>
      </c>
      <c r="BH125" s="612">
        <v>192820.0</v>
      </c>
      <c r="BI125" s="612">
        <v>202150.0</v>
      </c>
      <c r="BJ125" s="612">
        <v>211480.0</v>
      </c>
      <c r="BK125" s="612">
        <v>220810.0</v>
      </c>
      <c r="BL125" s="612">
        <v>230140.0</v>
      </c>
      <c r="BM125" s="612">
        <v>239470.0</v>
      </c>
      <c r="BN125" s="612">
        <v>248800.0</v>
      </c>
      <c r="BO125" s="612">
        <v>258130.0</v>
      </c>
      <c r="BP125" s="612">
        <v>267460.0</v>
      </c>
      <c r="BQ125" s="612">
        <v>276790.0</v>
      </c>
      <c r="BR125" s="612">
        <v>286120.0</v>
      </c>
      <c r="BS125" s="612">
        <v>295450.0</v>
      </c>
      <c r="BT125" s="612">
        <v>298560.0</v>
      </c>
      <c r="BU125" s="612">
        <v>298560.0</v>
      </c>
      <c r="BV125" s="612">
        <v>298560.0</v>
      </c>
      <c r="BW125" s="612">
        <v>298560.0</v>
      </c>
      <c r="BX125" s="612">
        <v>298560.0</v>
      </c>
      <c r="BY125" s="612">
        <v>298560.0</v>
      </c>
      <c r="BZ125" s="612">
        <v>307890.0</v>
      </c>
      <c r="CA125" s="612">
        <v>317220.0</v>
      </c>
      <c r="CB125" s="612">
        <v>326550.0</v>
      </c>
      <c r="CC125" s="612">
        <v>335880.0</v>
      </c>
      <c r="CD125" s="612">
        <v>345210.0</v>
      </c>
      <c r="CE125" s="612">
        <v>354540.0</v>
      </c>
      <c r="CF125" s="612">
        <v>363870.0</v>
      </c>
      <c r="CG125" s="612">
        <v>373200.0</v>
      </c>
      <c r="CH125" s="612">
        <v>382530.0</v>
      </c>
      <c r="CI125" s="612">
        <v>391860.0</v>
      </c>
      <c r="CJ125" s="612">
        <v>401190.0</v>
      </c>
      <c r="CK125" s="612">
        <v>410520.0</v>
      </c>
      <c r="CL125" s="612">
        <v>419850.0</v>
      </c>
      <c r="CM125" s="612">
        <v>429180.0</v>
      </c>
      <c r="CN125" s="612">
        <v>438510.0</v>
      </c>
      <c r="CO125" s="612">
        <v>447840.0</v>
      </c>
      <c r="CP125" s="612">
        <v>447840.0</v>
      </c>
    </row>
    <row r="126">
      <c r="A126" s="645"/>
      <c r="B126" s="613" t="s">
        <v>421</v>
      </c>
      <c r="C126" s="679" t="b">
        <v>0</v>
      </c>
      <c r="D126" s="589" t="s">
        <v>734</v>
      </c>
      <c r="E126" s="615" t="s">
        <v>500</v>
      </c>
      <c r="F126" s="672"/>
      <c r="G126" s="648">
        <v>1.0</v>
      </c>
      <c r="H126" s="630"/>
      <c r="I126" s="637">
        <v>1112.0</v>
      </c>
      <c r="J126" s="594">
        <f>I126*IF($C$7=TRUE,VLOOKUP(B126,BuffsDebuffs!$P$8:$X$26,MATCH(E126,BuffsDebuffs!$P$8:$X$8,0),FALSE),1)*IF(AND($C$8=TRUE,H126=1),1.0778,1)*VLOOKUP($C$2,'scaling OLD'!$A$2:$H$55,8,False)*IF(K126="-",1,(1/K126*(1+((K126-1)*VLOOKUP($C$2,'scaling OLD'!$A$2:$H$55,4,False)))))*IF(K126="-",1,VLOOKUP($C$2,'scaling OLD'!$A$2:$H$55,5,False))*VLOOKUP($C$2,'scaling OLD'!$A$2:$H$55,6,False)*IF(AND(LEFT(C$2,7)="CE - Cr",B126="Sword"),1.35,1)</f>
        <v>1112</v>
      </c>
      <c r="K126" s="213">
        <v>1.34</v>
      </c>
      <c r="L126" s="211">
        <v>94.0</v>
      </c>
      <c r="M126" s="211">
        <v>900.0</v>
      </c>
      <c r="N126" s="211">
        <v>555.0</v>
      </c>
      <c r="O126" s="215">
        <v>1.234</v>
      </c>
      <c r="P126" s="638">
        <f t="shared" si="24"/>
        <v>6.2</v>
      </c>
      <c r="Q126" s="599">
        <f t="shared" si="2"/>
        <v>104528</v>
      </c>
      <c r="R126" s="600">
        <f t="shared" si="3"/>
        <v>42.77</v>
      </c>
      <c r="S126" s="622">
        <f t="shared" si="22"/>
        <v>617160</v>
      </c>
      <c r="T126" s="602">
        <f t="shared" si="5"/>
        <v>522640</v>
      </c>
      <c r="U126" s="623">
        <f t="shared" si="19"/>
        <v>16859.35484</v>
      </c>
      <c r="V126" s="624">
        <f t="shared" si="7"/>
        <v>14429.74047</v>
      </c>
      <c r="W126" s="605">
        <f t="shared" si="8"/>
        <v>14543.63313</v>
      </c>
      <c r="X126" s="606">
        <f t="shared" si="9"/>
        <v>14060.80172</v>
      </c>
      <c r="Y126" s="607">
        <f t="shared" si="10"/>
        <v>2</v>
      </c>
      <c r="Z126" s="608">
        <f t="shared" si="11"/>
        <v>17.532</v>
      </c>
      <c r="AA126" s="608">
        <f t="shared" si="12"/>
        <v>0</v>
      </c>
      <c r="AB126" s="607">
        <f t="shared" si="13"/>
        <v>2</v>
      </c>
      <c r="AC126" s="607">
        <f t="shared" si="14"/>
        <v>209056</v>
      </c>
      <c r="AD126" s="608">
        <f t="shared" si="15"/>
        <v>5.132</v>
      </c>
      <c r="AE126" s="607">
        <f t="shared" si="16"/>
        <v>77</v>
      </c>
      <c r="AF126" s="609">
        <f t="shared" si="17"/>
        <v>85624</v>
      </c>
      <c r="AG126" s="628">
        <f t="shared" si="23"/>
        <v>294680</v>
      </c>
      <c r="AH126" s="611"/>
      <c r="AI126" s="612">
        <v>8896.0</v>
      </c>
      <c r="AJ126" s="612">
        <v>17792.0</v>
      </c>
      <c r="AK126" s="612">
        <v>25576.0</v>
      </c>
      <c r="AL126" s="612">
        <v>34472.0</v>
      </c>
      <c r="AM126" s="612">
        <v>42256.0</v>
      </c>
      <c r="AN126" s="612">
        <v>51152.0</v>
      </c>
      <c r="AO126" s="612">
        <v>58936.0</v>
      </c>
      <c r="AP126" s="612">
        <v>67832.0</v>
      </c>
      <c r="AQ126" s="612">
        <v>75616.0</v>
      </c>
      <c r="AR126" s="612">
        <v>84512.0</v>
      </c>
      <c r="AS126" s="612">
        <v>92296.0</v>
      </c>
      <c r="AT126" s="612">
        <v>101192.0</v>
      </c>
      <c r="AU126" s="612">
        <v>104528.0</v>
      </c>
      <c r="AV126" s="612">
        <v>104528.0</v>
      </c>
      <c r="AW126" s="612">
        <v>105640.0</v>
      </c>
      <c r="AX126" s="612">
        <v>114536.0</v>
      </c>
      <c r="AY126" s="612">
        <v>122320.0</v>
      </c>
      <c r="AZ126" s="612">
        <v>131216.0</v>
      </c>
      <c r="BA126" s="612">
        <v>139000.0</v>
      </c>
      <c r="BB126" s="612">
        <v>147896.0</v>
      </c>
      <c r="BC126" s="612">
        <v>155680.0</v>
      </c>
      <c r="BD126" s="612">
        <v>164576.0</v>
      </c>
      <c r="BE126" s="612">
        <v>172360.0</v>
      </c>
      <c r="BF126" s="612">
        <v>181256.0</v>
      </c>
      <c r="BG126" s="612">
        <v>189040.0</v>
      </c>
      <c r="BH126" s="612">
        <v>197936.0</v>
      </c>
      <c r="BI126" s="612">
        <v>205720.0</v>
      </c>
      <c r="BJ126" s="612">
        <v>209056.0</v>
      </c>
      <c r="BK126" s="612">
        <v>209056.0</v>
      </c>
      <c r="BL126" s="612">
        <v>211280.0</v>
      </c>
      <c r="BM126" s="612">
        <v>220176.0</v>
      </c>
      <c r="BN126" s="612">
        <v>227960.0</v>
      </c>
      <c r="BO126" s="612">
        <v>236856.0</v>
      </c>
      <c r="BP126" s="612">
        <v>244640.0</v>
      </c>
      <c r="BQ126" s="612">
        <v>253536.0</v>
      </c>
      <c r="BR126" s="612">
        <v>261320.0</v>
      </c>
      <c r="BS126" s="612">
        <v>270216.0</v>
      </c>
      <c r="BT126" s="612">
        <v>278000.0</v>
      </c>
      <c r="BU126" s="612">
        <v>286896.0</v>
      </c>
      <c r="BV126" s="612">
        <v>294680.0</v>
      </c>
      <c r="BW126" s="612">
        <v>303576.0</v>
      </c>
      <c r="BX126" s="612">
        <v>311360.0</v>
      </c>
      <c r="BY126" s="612">
        <v>313584.0</v>
      </c>
      <c r="BZ126" s="612">
        <v>313584.0</v>
      </c>
      <c r="CA126" s="612">
        <v>316920.0</v>
      </c>
      <c r="CB126" s="612">
        <v>325816.0</v>
      </c>
      <c r="CC126" s="612">
        <v>333600.0</v>
      </c>
      <c r="CD126" s="612">
        <v>342496.0</v>
      </c>
      <c r="CE126" s="612">
        <v>350280.0</v>
      </c>
      <c r="CF126" s="612">
        <v>359176.0</v>
      </c>
      <c r="CG126" s="612">
        <v>366960.0</v>
      </c>
      <c r="CH126" s="612">
        <v>375856.0</v>
      </c>
      <c r="CI126" s="612">
        <v>383640.0</v>
      </c>
      <c r="CJ126" s="612">
        <v>392536.0</v>
      </c>
      <c r="CK126" s="612">
        <v>400320.0</v>
      </c>
      <c r="CL126" s="612">
        <v>409216.0</v>
      </c>
      <c r="CM126" s="612">
        <v>417000.0</v>
      </c>
      <c r="CN126" s="612">
        <v>418112.0</v>
      </c>
      <c r="CO126" s="612">
        <v>418112.0</v>
      </c>
      <c r="CP126" s="612">
        <v>422560.0</v>
      </c>
    </row>
    <row r="127">
      <c r="A127" s="645"/>
      <c r="B127" s="613" t="s">
        <v>421</v>
      </c>
      <c r="C127" s="679" t="b">
        <v>0</v>
      </c>
      <c r="D127" s="589" t="s">
        <v>747</v>
      </c>
      <c r="E127" s="615" t="s">
        <v>500</v>
      </c>
      <c r="F127" s="616" t="s">
        <v>748</v>
      </c>
      <c r="G127" s="648">
        <v>1.0</v>
      </c>
      <c r="H127" s="625"/>
      <c r="I127" s="626">
        <v>1038.0</v>
      </c>
      <c r="J127" s="618">
        <f>I127*IF($C$7=TRUE,VLOOKUP(B127,BuffsDebuffs!$P$8:$X$26,MATCH(E127,BuffsDebuffs!$P$8:$X$8,0),FALSE),1)*IF(AND($C$8=TRUE,H127=1),1.0778,1)*VLOOKUP($C$2,'scaling OLD'!$A$2:$H$55,8,False)*IF(K127="-",1,(1/K127*(1+((K127-1)*VLOOKUP($C$2,'scaling OLD'!$A$2:$H$55,4,False)))))*IF(K127="-",1,VLOOKUP($C$2,'scaling OLD'!$A$2:$H$55,5,False))*VLOOKUP($C$2,'scaling OLD'!$A$2:$H$55,6,False)*IF(AND(LEFT(C$2,7)="CE - Cr",B127="Sword"),1.35,1)</f>
        <v>1038</v>
      </c>
      <c r="K127" s="213">
        <v>1.34</v>
      </c>
      <c r="L127" s="211">
        <v>100.0</v>
      </c>
      <c r="M127" s="211">
        <v>900.0</v>
      </c>
      <c r="N127" s="211">
        <v>600.0</v>
      </c>
      <c r="O127" s="215">
        <v>1.234</v>
      </c>
      <c r="P127" s="647">
        <f t="shared" si="24"/>
        <v>6.6</v>
      </c>
      <c r="Q127" s="620">
        <f t="shared" si="2"/>
        <v>103800</v>
      </c>
      <c r="R127" s="621">
        <f t="shared" si="3"/>
        <v>45.77</v>
      </c>
      <c r="S127" s="622">
        <f t="shared" si="22"/>
        <v>622800</v>
      </c>
      <c r="T127" s="602">
        <f t="shared" si="5"/>
        <v>622800</v>
      </c>
      <c r="U127" s="623">
        <f t="shared" si="19"/>
        <v>15727.27273</v>
      </c>
      <c r="V127" s="624">
        <f t="shared" si="7"/>
        <v>13607.16627</v>
      </c>
      <c r="W127" s="605">
        <f t="shared" si="8"/>
        <v>13607.16627</v>
      </c>
      <c r="X127" s="606">
        <f t="shared" si="9"/>
        <v>13249.93618</v>
      </c>
      <c r="Y127" s="607">
        <f t="shared" si="10"/>
        <v>2</v>
      </c>
      <c r="Z127" s="608">
        <f t="shared" si="11"/>
        <v>17.532</v>
      </c>
      <c r="AA127" s="608">
        <f t="shared" si="12"/>
        <v>0</v>
      </c>
      <c r="AB127" s="607">
        <f t="shared" si="13"/>
        <v>2</v>
      </c>
      <c r="AC127" s="607">
        <f t="shared" si="14"/>
        <v>207600</v>
      </c>
      <c r="AD127" s="608">
        <f t="shared" si="15"/>
        <v>4.332</v>
      </c>
      <c r="AE127" s="607">
        <f t="shared" si="16"/>
        <v>65</v>
      </c>
      <c r="AF127" s="609">
        <f t="shared" si="17"/>
        <v>67470</v>
      </c>
      <c r="AG127" s="628">
        <f t="shared" si="23"/>
        <v>275070</v>
      </c>
      <c r="AH127" s="611"/>
      <c r="AI127" s="612">
        <v>8304.0</v>
      </c>
      <c r="AJ127" s="612">
        <v>16608.0</v>
      </c>
      <c r="AK127" s="612">
        <v>23874.0</v>
      </c>
      <c r="AL127" s="612">
        <v>32178.0</v>
      </c>
      <c r="AM127" s="612">
        <v>39444.0</v>
      </c>
      <c r="AN127" s="612">
        <v>47748.0</v>
      </c>
      <c r="AO127" s="612">
        <v>55014.0</v>
      </c>
      <c r="AP127" s="612">
        <v>63318.0</v>
      </c>
      <c r="AQ127" s="612">
        <v>70584.0</v>
      </c>
      <c r="AR127" s="612">
        <v>78888.0</v>
      </c>
      <c r="AS127" s="612">
        <v>86154.0</v>
      </c>
      <c r="AT127" s="612">
        <v>94458.0</v>
      </c>
      <c r="AU127" s="612">
        <v>101724.0</v>
      </c>
      <c r="AV127" s="612">
        <v>103800.0</v>
      </c>
      <c r="AW127" s="612">
        <v>103800.0</v>
      </c>
      <c r="AX127" s="612">
        <v>106914.0</v>
      </c>
      <c r="AY127" s="612">
        <v>114180.0</v>
      </c>
      <c r="AZ127" s="612">
        <v>122484.0</v>
      </c>
      <c r="BA127" s="612">
        <v>129750.0</v>
      </c>
      <c r="BB127" s="612">
        <v>138054.0</v>
      </c>
      <c r="BC127" s="612">
        <v>145320.0</v>
      </c>
      <c r="BD127" s="612">
        <v>153624.0</v>
      </c>
      <c r="BE127" s="612">
        <v>160890.0</v>
      </c>
      <c r="BF127" s="612">
        <v>169194.0</v>
      </c>
      <c r="BG127" s="612">
        <v>176460.0</v>
      </c>
      <c r="BH127" s="612">
        <v>184764.0</v>
      </c>
      <c r="BI127" s="612">
        <v>192030.0</v>
      </c>
      <c r="BJ127" s="612">
        <v>200334.0</v>
      </c>
      <c r="BK127" s="612">
        <v>207600.0</v>
      </c>
      <c r="BL127" s="612">
        <v>207600.0</v>
      </c>
      <c r="BM127" s="612">
        <v>207600.0</v>
      </c>
      <c r="BN127" s="612">
        <v>212790.0</v>
      </c>
      <c r="BO127" s="612">
        <v>221094.0</v>
      </c>
      <c r="BP127" s="612">
        <v>228360.0</v>
      </c>
      <c r="BQ127" s="612">
        <v>236664.0</v>
      </c>
      <c r="BR127" s="612">
        <v>243930.0</v>
      </c>
      <c r="BS127" s="612">
        <v>252234.0</v>
      </c>
      <c r="BT127" s="612">
        <v>259500.0</v>
      </c>
      <c r="BU127" s="612">
        <v>267804.0</v>
      </c>
      <c r="BV127" s="612">
        <v>275070.0</v>
      </c>
      <c r="BW127" s="612">
        <v>283374.0</v>
      </c>
      <c r="BX127" s="612">
        <v>290640.0</v>
      </c>
      <c r="BY127" s="612">
        <v>298944.0</v>
      </c>
      <c r="BZ127" s="612">
        <v>306210.0</v>
      </c>
      <c r="CA127" s="612">
        <v>311400.0</v>
      </c>
      <c r="CB127" s="612">
        <v>311400.0</v>
      </c>
      <c r="CC127" s="612">
        <v>311400.0</v>
      </c>
      <c r="CD127" s="612">
        <v>319704.0</v>
      </c>
      <c r="CE127" s="612">
        <v>326970.0</v>
      </c>
      <c r="CF127" s="612">
        <v>335274.0</v>
      </c>
      <c r="CG127" s="612">
        <v>342540.0</v>
      </c>
      <c r="CH127" s="612">
        <v>350844.0</v>
      </c>
      <c r="CI127" s="612">
        <v>358110.0</v>
      </c>
      <c r="CJ127" s="612">
        <v>366414.0</v>
      </c>
      <c r="CK127" s="612">
        <v>373680.0</v>
      </c>
      <c r="CL127" s="612">
        <v>381984.0</v>
      </c>
      <c r="CM127" s="612">
        <v>389250.0</v>
      </c>
      <c r="CN127" s="612">
        <v>397554.0</v>
      </c>
      <c r="CO127" s="612">
        <v>404820.0</v>
      </c>
      <c r="CP127" s="612">
        <v>413124.0</v>
      </c>
    </row>
    <row r="128">
      <c r="A128" s="645"/>
      <c r="B128" s="613" t="s">
        <v>421</v>
      </c>
      <c r="C128" s="679" t="b">
        <v>0</v>
      </c>
      <c r="D128" s="589" t="s">
        <v>656</v>
      </c>
      <c r="E128" s="615" t="s">
        <v>485</v>
      </c>
      <c r="F128" s="672"/>
      <c r="G128" s="625">
        <v>1.0</v>
      </c>
      <c r="H128" s="630"/>
      <c r="I128" s="617">
        <v>1031.0</v>
      </c>
      <c r="J128" s="594">
        <f>I128*IF($C$7=TRUE,VLOOKUP(B128,BuffsDebuffs!$P$8:$X$26,MATCH(E128,BuffsDebuffs!$P$8:$X$8,0),FALSE),1)*IF(AND($C$8=TRUE,H128=1),1.0778,1)*VLOOKUP($C$2,'scaling OLD'!$A$2:$H$55,8,False)*IF(K128="-",1,(1/K128*(1+((K128-1)*VLOOKUP($C$2,'scaling OLD'!$A$2:$H$55,4,False)))))*IF(K128="-",1,VLOOKUP($C$2,'scaling OLD'!$A$2:$H$55,5,False))*VLOOKUP($C$2,'scaling OLD'!$A$2:$H$55,6,False)*IF(AND(LEFT(C$2,7)="CE - Cr",B128="Sword"),1.35,1)</f>
        <v>1031</v>
      </c>
      <c r="K128" s="186">
        <v>1.34</v>
      </c>
      <c r="L128" s="184">
        <v>97.0</v>
      </c>
      <c r="M128" s="184">
        <v>900.0</v>
      </c>
      <c r="N128" s="184">
        <v>568.0</v>
      </c>
      <c r="O128" s="188">
        <v>1.234</v>
      </c>
      <c r="P128" s="638">
        <f t="shared" si="24"/>
        <v>6.4</v>
      </c>
      <c r="Q128" s="599">
        <f t="shared" si="2"/>
        <v>100007</v>
      </c>
      <c r="R128" s="600">
        <f t="shared" si="3"/>
        <v>43.63666667</v>
      </c>
      <c r="S128" s="622">
        <f t="shared" si="22"/>
        <v>585608</v>
      </c>
      <c r="T128" s="602">
        <f t="shared" si="5"/>
        <v>500035</v>
      </c>
      <c r="U128" s="623">
        <f t="shared" si="19"/>
        <v>15626.09375</v>
      </c>
      <c r="V128" s="624">
        <f t="shared" si="7"/>
        <v>13420.09014</v>
      </c>
      <c r="W128" s="605">
        <f t="shared" si="8"/>
        <v>13537.87633</v>
      </c>
      <c r="X128" s="606">
        <f t="shared" si="9"/>
        <v>13100.20959</v>
      </c>
      <c r="Y128" s="607">
        <f t="shared" si="10"/>
        <v>2</v>
      </c>
      <c r="Z128" s="608">
        <f t="shared" si="11"/>
        <v>17.532</v>
      </c>
      <c r="AA128" s="608">
        <f t="shared" si="12"/>
        <v>0</v>
      </c>
      <c r="AB128" s="607">
        <f t="shared" si="13"/>
        <v>2</v>
      </c>
      <c r="AC128" s="607">
        <f t="shared" si="14"/>
        <v>200014</v>
      </c>
      <c r="AD128" s="608">
        <f t="shared" si="15"/>
        <v>4.732</v>
      </c>
      <c r="AE128" s="607">
        <f t="shared" si="16"/>
        <v>71</v>
      </c>
      <c r="AF128" s="609">
        <f t="shared" si="17"/>
        <v>73201</v>
      </c>
      <c r="AG128" s="628">
        <f t="shared" si="23"/>
        <v>273215</v>
      </c>
      <c r="AH128" s="611"/>
      <c r="AI128" s="612">
        <v>8248.0</v>
      </c>
      <c r="AJ128" s="612">
        <v>16496.0</v>
      </c>
      <c r="AK128" s="612">
        <v>23713.0</v>
      </c>
      <c r="AL128" s="612">
        <v>31961.0</v>
      </c>
      <c r="AM128" s="612">
        <v>39178.0</v>
      </c>
      <c r="AN128" s="612">
        <v>47426.0</v>
      </c>
      <c r="AO128" s="612">
        <v>54643.0</v>
      </c>
      <c r="AP128" s="612">
        <v>62891.0</v>
      </c>
      <c r="AQ128" s="612">
        <v>70108.0</v>
      </c>
      <c r="AR128" s="612">
        <v>78356.0</v>
      </c>
      <c r="AS128" s="612">
        <v>85573.0</v>
      </c>
      <c r="AT128" s="612">
        <v>93821.0</v>
      </c>
      <c r="AU128" s="612">
        <v>100007.0</v>
      </c>
      <c r="AV128" s="612">
        <v>100007.0</v>
      </c>
      <c r="AW128" s="612">
        <v>100007.0</v>
      </c>
      <c r="AX128" s="612">
        <v>106193.0</v>
      </c>
      <c r="AY128" s="612">
        <v>113410.0</v>
      </c>
      <c r="AZ128" s="612">
        <v>121658.0</v>
      </c>
      <c r="BA128" s="612">
        <v>128875.0</v>
      </c>
      <c r="BB128" s="612">
        <v>137123.0</v>
      </c>
      <c r="BC128" s="612">
        <v>144340.0</v>
      </c>
      <c r="BD128" s="612">
        <v>152588.0</v>
      </c>
      <c r="BE128" s="612">
        <v>159805.0</v>
      </c>
      <c r="BF128" s="612">
        <v>168053.0</v>
      </c>
      <c r="BG128" s="612">
        <v>175270.0</v>
      </c>
      <c r="BH128" s="612">
        <v>183518.0</v>
      </c>
      <c r="BI128" s="612">
        <v>190735.0</v>
      </c>
      <c r="BJ128" s="612">
        <v>198983.0</v>
      </c>
      <c r="BK128" s="612">
        <v>200014.0</v>
      </c>
      <c r="BL128" s="612">
        <v>200014.0</v>
      </c>
      <c r="BM128" s="612">
        <v>204138.0</v>
      </c>
      <c r="BN128" s="612">
        <v>211355.0</v>
      </c>
      <c r="BO128" s="612">
        <v>219603.0</v>
      </c>
      <c r="BP128" s="612">
        <v>226820.0</v>
      </c>
      <c r="BQ128" s="612">
        <v>235068.0</v>
      </c>
      <c r="BR128" s="612">
        <v>242285.0</v>
      </c>
      <c r="BS128" s="612">
        <v>250533.0</v>
      </c>
      <c r="BT128" s="612">
        <v>257750.0</v>
      </c>
      <c r="BU128" s="612">
        <v>265998.0</v>
      </c>
      <c r="BV128" s="612">
        <v>273215.0</v>
      </c>
      <c r="BW128" s="612">
        <v>281463.0</v>
      </c>
      <c r="BX128" s="612">
        <v>288680.0</v>
      </c>
      <c r="BY128" s="612">
        <v>296928.0</v>
      </c>
      <c r="BZ128" s="612">
        <v>300021.0</v>
      </c>
      <c r="CA128" s="612">
        <v>300021.0</v>
      </c>
      <c r="CB128" s="612">
        <v>302083.0</v>
      </c>
      <c r="CC128" s="612">
        <v>309300.0</v>
      </c>
      <c r="CD128" s="612">
        <v>317548.0</v>
      </c>
      <c r="CE128" s="612">
        <v>324765.0</v>
      </c>
      <c r="CF128" s="612">
        <v>333013.0</v>
      </c>
      <c r="CG128" s="612">
        <v>340230.0</v>
      </c>
      <c r="CH128" s="612">
        <v>348478.0</v>
      </c>
      <c r="CI128" s="612">
        <v>355695.0</v>
      </c>
      <c r="CJ128" s="612">
        <v>363943.0</v>
      </c>
      <c r="CK128" s="612">
        <v>371160.0</v>
      </c>
      <c r="CL128" s="612">
        <v>379408.0</v>
      </c>
      <c r="CM128" s="612">
        <v>386625.0</v>
      </c>
      <c r="CN128" s="612">
        <v>394873.0</v>
      </c>
      <c r="CO128" s="612">
        <v>400028.0</v>
      </c>
      <c r="CP128" s="612">
        <v>400028.0</v>
      </c>
    </row>
    <row r="129">
      <c r="A129" s="645"/>
      <c r="B129" s="740" t="s">
        <v>363</v>
      </c>
      <c r="C129" s="676" t="b">
        <v>0</v>
      </c>
      <c r="D129" s="655" t="s">
        <v>749</v>
      </c>
      <c r="E129" s="655" t="s">
        <v>348</v>
      </c>
      <c r="F129" s="657" t="s">
        <v>636</v>
      </c>
      <c r="G129" s="648">
        <v>1.0</v>
      </c>
      <c r="H129" s="636">
        <v>1.0</v>
      </c>
      <c r="I129" s="637">
        <v>17443.0</v>
      </c>
      <c r="J129" s="618">
        <f>I129*IF($C$7=TRUE,VLOOKUP(B129,BuffsDebuffs!$P$8:$X$26,MATCH(E129,BuffsDebuffs!$P$8:$X$8,0),FALSE),1)*IF(AND($C$8=TRUE,H129=1),1.0778,1)*VLOOKUP($C$2,'scaling OLD'!$A$2:$H$55,8,False)*IF(K129="-",1,(1/K129*(1+((K129-1)*VLOOKUP($C$2,'scaling OLD'!$A$2:$H$55,4,False)))))*IF(K129="-",1,VLOOKUP($C$2,'scaling OLD'!$A$2:$H$55,5,False))*VLOOKUP($C$2,'scaling OLD'!$A$2:$H$55,6,False)*IF(AND(LEFT(C$2,7)="CE - Cr",B129="Sword"),1.35,1)</f>
        <v>18800.0654</v>
      </c>
      <c r="K129" s="213" t="s">
        <v>349</v>
      </c>
      <c r="L129" s="211">
        <v>1.0</v>
      </c>
      <c r="M129" s="211">
        <v>90.0</v>
      </c>
      <c r="N129" s="211">
        <v>23.0</v>
      </c>
      <c r="O129" s="215">
        <v>1.5</v>
      </c>
      <c r="P129" s="647">
        <f t="shared" si="24"/>
        <v>0</v>
      </c>
      <c r="Q129" s="620">
        <f t="shared" si="2"/>
        <v>18800.0654</v>
      </c>
      <c r="R129" s="621">
        <f t="shared" si="3"/>
        <v>33</v>
      </c>
      <c r="S129" s="622">
        <f t="shared" si="22"/>
        <v>432401.5042</v>
      </c>
      <c r="T129" s="602">
        <f t="shared" si="5"/>
        <v>432401.5042</v>
      </c>
      <c r="U129" s="623" t="str">
        <f t="shared" si="19"/>
        <v>-</v>
      </c>
      <c r="V129" s="624">
        <f t="shared" si="7"/>
        <v>13103.07588</v>
      </c>
      <c r="W129" s="605">
        <f t="shared" si="8"/>
        <v>13103.07588</v>
      </c>
      <c r="X129" s="606">
        <f t="shared" si="9"/>
        <v>12533.37693</v>
      </c>
      <c r="Y129" s="607">
        <f t="shared" si="10"/>
        <v>13</v>
      </c>
      <c r="Z129" s="608">
        <f t="shared" si="11"/>
        <v>0.5</v>
      </c>
      <c r="AA129" s="608">
        <f t="shared" si="12"/>
        <v>0.5</v>
      </c>
      <c r="AB129" s="607">
        <f t="shared" si="13"/>
        <v>14</v>
      </c>
      <c r="AC129" s="607">
        <f t="shared" si="14"/>
        <v>263200.9156</v>
      </c>
      <c r="AD129" s="608">
        <f t="shared" si="15"/>
        <v>0</v>
      </c>
      <c r="AE129" s="607">
        <f t="shared" si="16"/>
        <v>0</v>
      </c>
      <c r="AF129" s="609">
        <f t="shared" si="17"/>
        <v>0</v>
      </c>
      <c r="AG129" s="628">
        <f t="shared" si="23"/>
        <v>263200.9156</v>
      </c>
      <c r="AH129" s="611"/>
      <c r="AI129" s="612">
        <v>18800.065400000003</v>
      </c>
      <c r="AJ129" s="612">
        <v>18800.065400000003</v>
      </c>
      <c r="AK129" s="612">
        <v>37600.130800000006</v>
      </c>
      <c r="AL129" s="612">
        <v>37600.130800000006</v>
      </c>
      <c r="AM129" s="612">
        <v>37600.130800000006</v>
      </c>
      <c r="AN129" s="612">
        <v>56400.196200000006</v>
      </c>
      <c r="AO129" s="612">
        <v>56400.196200000006</v>
      </c>
      <c r="AP129" s="612">
        <v>56400.196200000006</v>
      </c>
      <c r="AQ129" s="612">
        <v>75200.26160000001</v>
      </c>
      <c r="AR129" s="612">
        <v>75200.26160000001</v>
      </c>
      <c r="AS129" s="612">
        <v>75200.26160000001</v>
      </c>
      <c r="AT129" s="612">
        <v>94000.32700000002</v>
      </c>
      <c r="AU129" s="612">
        <v>94000.32700000002</v>
      </c>
      <c r="AV129" s="612">
        <v>94000.32700000002</v>
      </c>
      <c r="AW129" s="612">
        <v>112800.39240000001</v>
      </c>
      <c r="AX129" s="612">
        <v>112800.39240000001</v>
      </c>
      <c r="AY129" s="612">
        <v>112800.39240000001</v>
      </c>
      <c r="AZ129" s="612">
        <v>131600.45780000003</v>
      </c>
      <c r="BA129" s="612">
        <v>131600.45780000003</v>
      </c>
      <c r="BB129" s="612">
        <v>131600.45780000003</v>
      </c>
      <c r="BC129" s="612">
        <v>150400.52320000003</v>
      </c>
      <c r="BD129" s="612">
        <v>150400.52320000003</v>
      </c>
      <c r="BE129" s="612">
        <v>150400.52320000003</v>
      </c>
      <c r="BF129" s="612">
        <v>169200.58860000002</v>
      </c>
      <c r="BG129" s="612">
        <v>169200.58860000002</v>
      </c>
      <c r="BH129" s="612">
        <v>169200.58860000002</v>
      </c>
      <c r="BI129" s="612">
        <v>188000.65400000004</v>
      </c>
      <c r="BJ129" s="612">
        <v>188000.65400000004</v>
      </c>
      <c r="BK129" s="612">
        <v>188000.65400000004</v>
      </c>
      <c r="BL129" s="612">
        <v>206800.71940000003</v>
      </c>
      <c r="BM129" s="612">
        <v>206800.71940000003</v>
      </c>
      <c r="BN129" s="612">
        <v>206800.71940000003</v>
      </c>
      <c r="BO129" s="612">
        <v>225600.78480000002</v>
      </c>
      <c r="BP129" s="612">
        <v>225600.78480000002</v>
      </c>
      <c r="BQ129" s="612">
        <v>225600.78480000002</v>
      </c>
      <c r="BR129" s="612">
        <v>244400.85020000004</v>
      </c>
      <c r="BS129" s="612">
        <v>244400.85020000004</v>
      </c>
      <c r="BT129" s="612">
        <v>244400.85020000004</v>
      </c>
      <c r="BU129" s="612">
        <v>263200.91560000007</v>
      </c>
      <c r="BV129" s="612">
        <v>263200.91560000007</v>
      </c>
      <c r="BW129" s="612">
        <v>263200.91560000007</v>
      </c>
      <c r="BX129" s="612">
        <v>282000.981</v>
      </c>
      <c r="BY129" s="612">
        <v>282000.981</v>
      </c>
      <c r="BZ129" s="612">
        <v>282000.981</v>
      </c>
      <c r="CA129" s="612">
        <v>300801.04640000005</v>
      </c>
      <c r="CB129" s="612">
        <v>300801.04640000005</v>
      </c>
      <c r="CC129" s="612">
        <v>300801.04640000005</v>
      </c>
      <c r="CD129" s="612">
        <v>319601.1118000001</v>
      </c>
      <c r="CE129" s="612">
        <v>319601.1118000001</v>
      </c>
      <c r="CF129" s="612">
        <v>319601.1118000001</v>
      </c>
      <c r="CG129" s="612">
        <v>338401.17720000003</v>
      </c>
      <c r="CH129" s="612">
        <v>338401.17720000003</v>
      </c>
      <c r="CI129" s="612">
        <v>338401.17720000003</v>
      </c>
      <c r="CJ129" s="612">
        <v>357201.24260000006</v>
      </c>
      <c r="CK129" s="612">
        <v>357201.24260000006</v>
      </c>
      <c r="CL129" s="612">
        <v>357201.24260000006</v>
      </c>
      <c r="CM129" s="612">
        <v>376001.3080000001</v>
      </c>
      <c r="CN129" s="612">
        <v>376001.3080000001</v>
      </c>
      <c r="CO129" s="612">
        <v>376001.3080000001</v>
      </c>
      <c r="CP129" s="612">
        <v>394801.37340000004</v>
      </c>
    </row>
    <row r="130">
      <c r="A130" s="645"/>
      <c r="B130" s="629" t="s">
        <v>363</v>
      </c>
      <c r="C130" s="614" t="b">
        <v>0</v>
      </c>
      <c r="D130" s="589" t="s">
        <v>750</v>
      </c>
      <c r="E130" s="589" t="s">
        <v>494</v>
      </c>
      <c r="F130" s="616" t="s">
        <v>751</v>
      </c>
      <c r="G130" s="648">
        <v>1.0</v>
      </c>
      <c r="H130" s="625"/>
      <c r="I130" s="654">
        <v>6249.0</v>
      </c>
      <c r="J130" s="594">
        <f>I130*IF($C$7=TRUE,VLOOKUP(B130,BuffsDebuffs!$P$8:$X$26,MATCH(E130,BuffsDebuffs!$P$8:$X$8,0),FALSE),1)*IF(AND($C$8=TRUE,H130=1),1.0778,1)*VLOOKUP($C$2,'scaling OLD'!$A$2:$H$55,8,False)*IF(K130="-",1,(1/K130*(1+((K130-1)*VLOOKUP($C$2,'scaling OLD'!$A$2:$H$55,4,False)))))*IF(K130="-",1,VLOOKUP($C$2,'scaling OLD'!$A$2:$H$55,5,False))*VLOOKUP($C$2,'scaling OLD'!$A$2:$H$55,6,False)*IF(AND(LEFT(C$2,7)="CE - Cr",B130="Sword"),1.35,1)</f>
        <v>6249</v>
      </c>
      <c r="K130" s="186" t="s">
        <v>349</v>
      </c>
      <c r="L130" s="184">
        <v>280.0</v>
      </c>
      <c r="M130" s="184">
        <v>120.0</v>
      </c>
      <c r="N130" s="184">
        <v>280.0</v>
      </c>
      <c r="O130" s="188">
        <v>1.967</v>
      </c>
      <c r="P130" s="638">
        <f t="shared" si="24"/>
        <v>139.5</v>
      </c>
      <c r="Q130" s="599">
        <f t="shared" si="2"/>
        <v>1749720</v>
      </c>
      <c r="R130" s="600">
        <f t="shared" si="3"/>
        <v>139.5</v>
      </c>
      <c r="S130" s="622">
        <f t="shared" si="22"/>
        <v>1749720</v>
      </c>
      <c r="T130" s="602">
        <f t="shared" si="5"/>
        <v>1749720</v>
      </c>
      <c r="U130" s="623">
        <f t="shared" si="19"/>
        <v>12542.7957</v>
      </c>
      <c r="V130" s="624">
        <f t="shared" si="7"/>
        <v>12542.7957</v>
      </c>
      <c r="W130" s="605">
        <f t="shared" si="8"/>
        <v>12542.7957</v>
      </c>
      <c r="X130" s="606">
        <f t="shared" si="9"/>
        <v>12542.7957</v>
      </c>
      <c r="Y130" s="607">
        <f t="shared" si="10"/>
        <v>0</v>
      </c>
      <c r="Z130" s="608">
        <f t="shared" si="11"/>
        <v>20</v>
      </c>
      <c r="AA130" s="608">
        <f t="shared" si="12"/>
        <v>0</v>
      </c>
      <c r="AB130" s="607">
        <f t="shared" si="13"/>
        <v>0</v>
      </c>
      <c r="AC130" s="607">
        <f t="shared" si="14"/>
        <v>0</v>
      </c>
      <c r="AD130" s="608">
        <f t="shared" si="15"/>
        <v>20</v>
      </c>
      <c r="AE130" s="607">
        <f t="shared" si="16"/>
        <v>41</v>
      </c>
      <c r="AF130" s="609">
        <f t="shared" si="17"/>
        <v>256209</v>
      </c>
      <c r="AG130" s="628">
        <f t="shared" si="23"/>
        <v>256209</v>
      </c>
      <c r="AH130" s="611"/>
      <c r="AI130" s="612">
        <v>12498.0</v>
      </c>
      <c r="AJ130" s="612">
        <v>18747.0</v>
      </c>
      <c r="AK130" s="612">
        <v>24996.0</v>
      </c>
      <c r="AL130" s="612">
        <v>31245.0</v>
      </c>
      <c r="AM130" s="612">
        <v>37494.0</v>
      </c>
      <c r="AN130" s="612">
        <v>43743.0</v>
      </c>
      <c r="AO130" s="612">
        <v>49992.0</v>
      </c>
      <c r="AP130" s="612">
        <v>56241.0</v>
      </c>
      <c r="AQ130" s="612">
        <v>62490.0</v>
      </c>
      <c r="AR130" s="612">
        <v>68739.0</v>
      </c>
      <c r="AS130" s="612">
        <v>74988.0</v>
      </c>
      <c r="AT130" s="612">
        <v>81237.0</v>
      </c>
      <c r="AU130" s="612">
        <v>87486.0</v>
      </c>
      <c r="AV130" s="612">
        <v>93735.0</v>
      </c>
      <c r="AW130" s="612">
        <v>99984.0</v>
      </c>
      <c r="AX130" s="612">
        <v>106233.0</v>
      </c>
      <c r="AY130" s="612">
        <v>112482.0</v>
      </c>
      <c r="AZ130" s="612">
        <v>118731.0</v>
      </c>
      <c r="BA130" s="612">
        <v>124980.0</v>
      </c>
      <c r="BB130" s="612">
        <v>131229.0</v>
      </c>
      <c r="BC130" s="612">
        <v>137478.0</v>
      </c>
      <c r="BD130" s="612">
        <v>143727.0</v>
      </c>
      <c r="BE130" s="612">
        <v>149976.0</v>
      </c>
      <c r="BF130" s="612">
        <v>156225.0</v>
      </c>
      <c r="BG130" s="612">
        <v>162474.0</v>
      </c>
      <c r="BH130" s="612">
        <v>168723.0</v>
      </c>
      <c r="BI130" s="612">
        <v>174972.0</v>
      </c>
      <c r="BJ130" s="612">
        <v>181221.0</v>
      </c>
      <c r="BK130" s="612">
        <v>187470.0</v>
      </c>
      <c r="BL130" s="612">
        <v>193719.0</v>
      </c>
      <c r="BM130" s="612">
        <v>199968.0</v>
      </c>
      <c r="BN130" s="612">
        <v>206217.0</v>
      </c>
      <c r="BO130" s="612">
        <v>212466.0</v>
      </c>
      <c r="BP130" s="612">
        <v>218715.0</v>
      </c>
      <c r="BQ130" s="612">
        <v>224964.0</v>
      </c>
      <c r="BR130" s="612">
        <v>231213.0</v>
      </c>
      <c r="BS130" s="612">
        <v>237462.0</v>
      </c>
      <c r="BT130" s="612">
        <v>243711.0</v>
      </c>
      <c r="BU130" s="612">
        <v>249960.0</v>
      </c>
      <c r="BV130" s="612">
        <v>256209.0</v>
      </c>
      <c r="BW130" s="612">
        <v>262458.0</v>
      </c>
      <c r="BX130" s="612">
        <v>268707.0</v>
      </c>
      <c r="BY130" s="612">
        <v>274956.0</v>
      </c>
      <c r="BZ130" s="612">
        <v>281205.0</v>
      </c>
      <c r="CA130" s="612">
        <v>287454.0</v>
      </c>
      <c r="CB130" s="612">
        <v>293703.0</v>
      </c>
      <c r="CC130" s="612">
        <v>299952.0</v>
      </c>
      <c r="CD130" s="612">
        <v>306201.0</v>
      </c>
      <c r="CE130" s="612">
        <v>312450.0</v>
      </c>
      <c r="CF130" s="612">
        <v>318699.0</v>
      </c>
      <c r="CG130" s="612">
        <v>324948.0</v>
      </c>
      <c r="CH130" s="612">
        <v>331197.0</v>
      </c>
      <c r="CI130" s="612">
        <v>337446.0</v>
      </c>
      <c r="CJ130" s="612">
        <v>343695.0</v>
      </c>
      <c r="CK130" s="612">
        <v>349944.0</v>
      </c>
      <c r="CL130" s="612">
        <v>356193.0</v>
      </c>
      <c r="CM130" s="612">
        <v>362442.0</v>
      </c>
      <c r="CN130" s="612">
        <v>368691.0</v>
      </c>
      <c r="CO130" s="612">
        <v>374940.0</v>
      </c>
      <c r="CP130" s="612">
        <v>381189.0</v>
      </c>
    </row>
    <row r="131">
      <c r="A131" s="645"/>
      <c r="B131" s="695" t="s">
        <v>421</v>
      </c>
      <c r="C131" s="632" t="b">
        <v>0</v>
      </c>
      <c r="D131" s="655" t="s">
        <v>752</v>
      </c>
      <c r="E131" s="655" t="s">
        <v>348</v>
      </c>
      <c r="F131" s="657"/>
      <c r="G131" s="625">
        <v>1.0</v>
      </c>
      <c r="H131" s="636">
        <v>1.0</v>
      </c>
      <c r="I131" s="637">
        <v>793.0</v>
      </c>
      <c r="J131" s="618">
        <f>I131*IF($C$7=TRUE,VLOOKUP(B131,BuffsDebuffs!$P$8:$X$26,MATCH(E131,BuffsDebuffs!$P$8:$X$8,0),FALSE),1)*IF(AND($C$8=TRUE,H131=1),1.0778,1)*VLOOKUP($C$2,'scaling OLD'!$A$2:$H$55,8,False)*IF(K131="-",1,(1/K131*(1+((K131-1)*VLOOKUP($C$2,'scaling OLD'!$A$2:$H$55,4,False)))))*IF(K131="-",1,VLOOKUP($C$2,'scaling OLD'!$A$2:$H$55,5,False))*VLOOKUP($C$2,'scaling OLD'!$A$2:$H$55,6,False)*IF(AND(LEFT(C$2,7)="CE - Cr",B131="Sword"),1.35,1)</f>
        <v>854.6954</v>
      </c>
      <c r="K131" s="213">
        <v>1.34</v>
      </c>
      <c r="L131" s="211">
        <v>94.0</v>
      </c>
      <c r="M131" s="211">
        <v>900.0</v>
      </c>
      <c r="N131" s="211">
        <v>586.0</v>
      </c>
      <c r="O131" s="215">
        <v>1.234</v>
      </c>
      <c r="P131" s="647">
        <f t="shared" si="24"/>
        <v>6.2</v>
      </c>
      <c r="Q131" s="620">
        <f t="shared" si="2"/>
        <v>80341.3676</v>
      </c>
      <c r="R131" s="621">
        <f t="shared" si="3"/>
        <v>46.004</v>
      </c>
      <c r="S131" s="622">
        <f t="shared" si="22"/>
        <v>500851.5044</v>
      </c>
      <c r="T131" s="602">
        <f t="shared" si="5"/>
        <v>482048.2056</v>
      </c>
      <c r="U131" s="623">
        <f t="shared" si="19"/>
        <v>12958.2851</v>
      </c>
      <c r="V131" s="624">
        <f t="shared" si="7"/>
        <v>10887.12948</v>
      </c>
      <c r="W131" s="605">
        <f t="shared" si="8"/>
        <v>11114.78454</v>
      </c>
      <c r="X131" s="606">
        <f t="shared" si="9"/>
        <v>10807.28647</v>
      </c>
      <c r="Y131" s="607">
        <f t="shared" si="10"/>
        <v>2</v>
      </c>
      <c r="Z131" s="608">
        <f t="shared" si="11"/>
        <v>17.532</v>
      </c>
      <c r="AA131" s="608">
        <f t="shared" si="12"/>
        <v>0</v>
      </c>
      <c r="AB131" s="607">
        <f t="shared" si="13"/>
        <v>2</v>
      </c>
      <c r="AC131" s="607">
        <f t="shared" si="14"/>
        <v>160682.7352</v>
      </c>
      <c r="AD131" s="608">
        <f t="shared" si="15"/>
        <v>5.132</v>
      </c>
      <c r="AE131" s="607">
        <f t="shared" si="16"/>
        <v>77</v>
      </c>
      <c r="AF131" s="609">
        <f t="shared" si="17"/>
        <v>65811.5458</v>
      </c>
      <c r="AG131" s="628">
        <f t="shared" si="23"/>
        <v>226494.281</v>
      </c>
      <c r="AH131" s="611"/>
      <c r="AI131" s="612">
        <v>6837.5632000000005</v>
      </c>
      <c r="AJ131" s="612">
        <v>13675.126400000001</v>
      </c>
      <c r="AK131" s="612">
        <v>19657.9942</v>
      </c>
      <c r="AL131" s="612">
        <v>26495.5574</v>
      </c>
      <c r="AM131" s="612">
        <v>32478.4252</v>
      </c>
      <c r="AN131" s="612">
        <v>39315.9884</v>
      </c>
      <c r="AO131" s="612">
        <v>45298.8562</v>
      </c>
      <c r="AP131" s="612">
        <v>52136.419400000006</v>
      </c>
      <c r="AQ131" s="612">
        <v>58119.287200000006</v>
      </c>
      <c r="AR131" s="612">
        <v>64956.8504</v>
      </c>
      <c r="AS131" s="612">
        <v>70939.7182</v>
      </c>
      <c r="AT131" s="612">
        <v>77777.2814</v>
      </c>
      <c r="AU131" s="612">
        <v>80341.36760000001</v>
      </c>
      <c r="AV131" s="612">
        <v>80341.36760000001</v>
      </c>
      <c r="AW131" s="612">
        <v>81196.06300000001</v>
      </c>
      <c r="AX131" s="612">
        <v>88033.62620000001</v>
      </c>
      <c r="AY131" s="612">
        <v>94016.494</v>
      </c>
      <c r="AZ131" s="612">
        <v>100854.05720000001</v>
      </c>
      <c r="BA131" s="612">
        <v>106836.92500000002</v>
      </c>
      <c r="BB131" s="612">
        <v>113674.48820000002</v>
      </c>
      <c r="BC131" s="612">
        <v>119657.35600000001</v>
      </c>
      <c r="BD131" s="612">
        <v>126494.91920000002</v>
      </c>
      <c r="BE131" s="612">
        <v>132477.787</v>
      </c>
      <c r="BF131" s="612">
        <v>139315.35020000002</v>
      </c>
      <c r="BG131" s="612">
        <v>145298.21800000002</v>
      </c>
      <c r="BH131" s="612">
        <v>152135.78120000003</v>
      </c>
      <c r="BI131" s="612">
        <v>158118.64900000003</v>
      </c>
      <c r="BJ131" s="612">
        <v>160682.73520000002</v>
      </c>
      <c r="BK131" s="612">
        <v>160682.73520000002</v>
      </c>
      <c r="BL131" s="612">
        <v>162392.12600000002</v>
      </c>
      <c r="BM131" s="612">
        <v>169229.68920000002</v>
      </c>
      <c r="BN131" s="612">
        <v>175212.55700000003</v>
      </c>
      <c r="BO131" s="612">
        <v>182050.12020000003</v>
      </c>
      <c r="BP131" s="612">
        <v>188032.988</v>
      </c>
      <c r="BQ131" s="612">
        <v>194870.55120000005</v>
      </c>
      <c r="BR131" s="612">
        <v>200853.41900000002</v>
      </c>
      <c r="BS131" s="612">
        <v>207690.98220000003</v>
      </c>
      <c r="BT131" s="612">
        <v>213673.85000000003</v>
      </c>
      <c r="BU131" s="612">
        <v>220511.41320000004</v>
      </c>
      <c r="BV131" s="612">
        <v>226494.28100000002</v>
      </c>
      <c r="BW131" s="612">
        <v>233331.84420000005</v>
      </c>
      <c r="BX131" s="612">
        <v>239314.71200000003</v>
      </c>
      <c r="BY131" s="612">
        <v>241024.10280000005</v>
      </c>
      <c r="BZ131" s="612">
        <v>241024.10280000005</v>
      </c>
      <c r="CA131" s="612">
        <v>243588.18900000004</v>
      </c>
      <c r="CB131" s="612">
        <v>250425.75220000005</v>
      </c>
      <c r="CC131" s="612">
        <v>256408.62000000005</v>
      </c>
      <c r="CD131" s="612">
        <v>263246.1832</v>
      </c>
      <c r="CE131" s="612">
        <v>269229.05100000004</v>
      </c>
      <c r="CF131" s="612">
        <v>276066.61420000007</v>
      </c>
      <c r="CG131" s="612">
        <v>282049.4820000001</v>
      </c>
      <c r="CH131" s="612">
        <v>288887.04520000005</v>
      </c>
      <c r="CI131" s="612">
        <v>294869.91300000006</v>
      </c>
      <c r="CJ131" s="612">
        <v>301707.47620000003</v>
      </c>
      <c r="CK131" s="612">
        <v>307690.34400000004</v>
      </c>
      <c r="CL131" s="612">
        <v>314527.9072000001</v>
      </c>
      <c r="CM131" s="612">
        <v>320510.775</v>
      </c>
      <c r="CN131" s="612">
        <v>321365.47040000005</v>
      </c>
      <c r="CO131" s="612">
        <v>321365.47040000005</v>
      </c>
      <c r="CP131" s="612">
        <v>324784.25200000004</v>
      </c>
    </row>
    <row r="132">
      <c r="A132" s="645"/>
      <c r="B132" s="613" t="s">
        <v>421</v>
      </c>
      <c r="C132" s="679" t="b">
        <v>0</v>
      </c>
      <c r="D132" s="589" t="s">
        <v>753</v>
      </c>
      <c r="E132" s="589" t="s">
        <v>490</v>
      </c>
      <c r="F132" s="672"/>
      <c r="G132" s="625">
        <v>1.0</v>
      </c>
      <c r="H132" s="630"/>
      <c r="I132" s="617">
        <v>793.0</v>
      </c>
      <c r="J132" s="594">
        <f>I132*IF($C$7=TRUE,VLOOKUP(B132,BuffsDebuffs!$P$8:$X$26,MATCH(E132,BuffsDebuffs!$P$8:$X$8,0),FALSE),1)*IF(AND($C$8=TRUE,H132=1),1.0778,1)*VLOOKUP($C$2,'scaling OLD'!$A$2:$H$55,8,False)*IF(K132="-",1,(1/K132*(1+((K132-1)*VLOOKUP($C$2,'scaling OLD'!$A$2:$H$55,4,False)))))*IF(K132="-",1,VLOOKUP($C$2,'scaling OLD'!$A$2:$H$55,5,False))*VLOOKUP($C$2,'scaling OLD'!$A$2:$H$55,6,False)*IF(AND(LEFT(C$2,7)="CE - Cr",B132="Sword"),1.35,1)</f>
        <v>793</v>
      </c>
      <c r="K132" s="186">
        <v>1.34</v>
      </c>
      <c r="L132" s="184">
        <v>97.0</v>
      </c>
      <c r="M132" s="184">
        <v>900.0</v>
      </c>
      <c r="N132" s="184">
        <v>582.0</v>
      </c>
      <c r="O132" s="188">
        <v>1.234</v>
      </c>
      <c r="P132" s="638">
        <f t="shared" si="24"/>
        <v>6.4</v>
      </c>
      <c r="Q132" s="599">
        <f t="shared" si="2"/>
        <v>76921</v>
      </c>
      <c r="R132" s="600">
        <f t="shared" si="3"/>
        <v>44.57</v>
      </c>
      <c r="S132" s="622">
        <f t="shared" si="22"/>
        <v>461526</v>
      </c>
      <c r="T132" s="602">
        <f t="shared" si="5"/>
        <v>461526</v>
      </c>
      <c r="U132" s="623">
        <f t="shared" si="19"/>
        <v>12018.90625</v>
      </c>
      <c r="V132" s="624">
        <f t="shared" si="7"/>
        <v>10355.08189</v>
      </c>
      <c r="W132" s="605">
        <f t="shared" si="8"/>
        <v>10355.08189</v>
      </c>
      <c r="X132" s="606">
        <f t="shared" si="9"/>
        <v>10076.10689</v>
      </c>
      <c r="Y132" s="607">
        <f t="shared" si="10"/>
        <v>2</v>
      </c>
      <c r="Z132" s="608">
        <f t="shared" si="11"/>
        <v>17.532</v>
      </c>
      <c r="AA132" s="608">
        <f t="shared" si="12"/>
        <v>0</v>
      </c>
      <c r="AB132" s="607">
        <f t="shared" si="13"/>
        <v>2</v>
      </c>
      <c r="AC132" s="607">
        <f t="shared" si="14"/>
        <v>153842</v>
      </c>
      <c r="AD132" s="608">
        <f t="shared" si="15"/>
        <v>4.732</v>
      </c>
      <c r="AE132" s="607">
        <f t="shared" si="16"/>
        <v>71</v>
      </c>
      <c r="AF132" s="609">
        <f t="shared" si="17"/>
        <v>56303</v>
      </c>
      <c r="AG132" s="628">
        <f t="shared" si="23"/>
        <v>210145</v>
      </c>
      <c r="AH132" s="611"/>
      <c r="AI132" s="612">
        <v>6344.0</v>
      </c>
      <c r="AJ132" s="612">
        <v>12688.0</v>
      </c>
      <c r="AK132" s="612">
        <v>18239.0</v>
      </c>
      <c r="AL132" s="612">
        <v>24583.0</v>
      </c>
      <c r="AM132" s="612">
        <v>30134.0</v>
      </c>
      <c r="AN132" s="612">
        <v>36478.0</v>
      </c>
      <c r="AO132" s="612">
        <v>42029.0</v>
      </c>
      <c r="AP132" s="612">
        <v>48373.0</v>
      </c>
      <c r="AQ132" s="612">
        <v>53924.0</v>
      </c>
      <c r="AR132" s="612">
        <v>60268.0</v>
      </c>
      <c r="AS132" s="612">
        <v>65819.0</v>
      </c>
      <c r="AT132" s="612">
        <v>72163.0</v>
      </c>
      <c r="AU132" s="612">
        <v>76921.0</v>
      </c>
      <c r="AV132" s="612">
        <v>76921.0</v>
      </c>
      <c r="AW132" s="612">
        <v>76921.0</v>
      </c>
      <c r="AX132" s="612">
        <v>81679.0</v>
      </c>
      <c r="AY132" s="612">
        <v>87230.0</v>
      </c>
      <c r="AZ132" s="612">
        <v>93574.0</v>
      </c>
      <c r="BA132" s="612">
        <v>99125.0</v>
      </c>
      <c r="BB132" s="612">
        <v>105469.0</v>
      </c>
      <c r="BC132" s="612">
        <v>111020.0</v>
      </c>
      <c r="BD132" s="612">
        <v>117364.0</v>
      </c>
      <c r="BE132" s="612">
        <v>122915.0</v>
      </c>
      <c r="BF132" s="612">
        <v>129259.0</v>
      </c>
      <c r="BG132" s="612">
        <v>134810.0</v>
      </c>
      <c r="BH132" s="612">
        <v>141154.0</v>
      </c>
      <c r="BI132" s="612">
        <v>146705.0</v>
      </c>
      <c r="BJ132" s="612">
        <v>153049.0</v>
      </c>
      <c r="BK132" s="612">
        <v>153842.0</v>
      </c>
      <c r="BL132" s="612">
        <v>153842.0</v>
      </c>
      <c r="BM132" s="612">
        <v>157014.0</v>
      </c>
      <c r="BN132" s="612">
        <v>162565.0</v>
      </c>
      <c r="BO132" s="612">
        <v>168909.0</v>
      </c>
      <c r="BP132" s="612">
        <v>174460.0</v>
      </c>
      <c r="BQ132" s="612">
        <v>180804.0</v>
      </c>
      <c r="BR132" s="612">
        <v>186355.0</v>
      </c>
      <c r="BS132" s="612">
        <v>192699.0</v>
      </c>
      <c r="BT132" s="612">
        <v>198250.0</v>
      </c>
      <c r="BU132" s="612">
        <v>204594.0</v>
      </c>
      <c r="BV132" s="612">
        <v>210145.0</v>
      </c>
      <c r="BW132" s="612">
        <v>216489.0</v>
      </c>
      <c r="BX132" s="612">
        <v>222040.0</v>
      </c>
      <c r="BY132" s="612">
        <v>228384.0</v>
      </c>
      <c r="BZ132" s="612">
        <v>230763.0</v>
      </c>
      <c r="CA132" s="612">
        <v>230763.0</v>
      </c>
      <c r="CB132" s="612">
        <v>232349.0</v>
      </c>
      <c r="CC132" s="612">
        <v>237900.0</v>
      </c>
      <c r="CD132" s="612">
        <v>244244.0</v>
      </c>
      <c r="CE132" s="612">
        <v>249795.0</v>
      </c>
      <c r="CF132" s="612">
        <v>256139.0</v>
      </c>
      <c r="CG132" s="612">
        <v>261690.0</v>
      </c>
      <c r="CH132" s="612">
        <v>268034.0</v>
      </c>
      <c r="CI132" s="612">
        <v>273585.0</v>
      </c>
      <c r="CJ132" s="612">
        <v>279929.0</v>
      </c>
      <c r="CK132" s="612">
        <v>285480.0</v>
      </c>
      <c r="CL132" s="612">
        <v>291824.0</v>
      </c>
      <c r="CM132" s="612">
        <v>297375.0</v>
      </c>
      <c r="CN132" s="612">
        <v>303719.0</v>
      </c>
      <c r="CO132" s="612">
        <v>307684.0</v>
      </c>
      <c r="CP132" s="612">
        <v>307684.0</v>
      </c>
    </row>
    <row r="133">
      <c r="A133" s="645"/>
      <c r="B133" s="613" t="s">
        <v>421</v>
      </c>
      <c r="C133" s="679" t="b">
        <v>0</v>
      </c>
      <c r="D133" s="589" t="s">
        <v>754</v>
      </c>
      <c r="E133" s="589" t="s">
        <v>494</v>
      </c>
      <c r="F133" s="616" t="s">
        <v>755</v>
      </c>
      <c r="G133" s="625">
        <v>1.0</v>
      </c>
      <c r="H133" s="680"/>
      <c r="I133" s="637">
        <v>689.0</v>
      </c>
      <c r="J133" s="618">
        <f>I133*IF($C$7=TRUE,VLOOKUP(B133,BuffsDebuffs!$P$8:$X$26,MATCH(E133,BuffsDebuffs!$P$8:$X$8,0),FALSE),1)*IF(AND($C$8=TRUE,H133=1),1.0778,1)*VLOOKUP($C$2,'scaling OLD'!$A$2:$H$55,8,False)*IF(K133="-",1,(1/K133*(1+((K133-1)*VLOOKUP($C$2,'scaling OLD'!$A$2:$H$55,4,False)))))*IF(K133="-",1,VLOOKUP($C$2,'scaling OLD'!$A$2:$H$55,5,False))*VLOOKUP($C$2,'scaling OLD'!$A$2:$H$55,6,False)*IF(AND(LEFT(C$2,7)="CE - Cr",B133="Sword"),1.35,1)</f>
        <v>689</v>
      </c>
      <c r="K133" s="213">
        <v>1.34</v>
      </c>
      <c r="L133" s="211">
        <v>194.0</v>
      </c>
      <c r="M133" s="211">
        <v>900.0</v>
      </c>
      <c r="N133" s="211">
        <v>564.0</v>
      </c>
      <c r="O133" s="215">
        <v>1.234</v>
      </c>
      <c r="P133" s="647">
        <f t="shared" si="24"/>
        <v>12.86666667</v>
      </c>
      <c r="Q133" s="620">
        <f t="shared" si="2"/>
        <v>133666</v>
      </c>
      <c r="R133" s="621">
        <f t="shared" si="3"/>
        <v>39.868</v>
      </c>
      <c r="S133" s="622">
        <f t="shared" si="22"/>
        <v>388596</v>
      </c>
      <c r="T133" s="602">
        <f t="shared" si="5"/>
        <v>267332</v>
      </c>
      <c r="U133" s="623">
        <f t="shared" si="19"/>
        <v>10388.54922</v>
      </c>
      <c r="V133" s="624">
        <f t="shared" si="7"/>
        <v>9747.065316</v>
      </c>
      <c r="W133" s="605">
        <f t="shared" si="8"/>
        <v>9913.178908</v>
      </c>
      <c r="X133" s="606">
        <f t="shared" si="9"/>
        <v>9479.409957</v>
      </c>
      <c r="Y133" s="607">
        <f t="shared" si="10"/>
        <v>1</v>
      </c>
      <c r="Z133" s="608">
        <f t="shared" si="11"/>
        <v>18.766</v>
      </c>
      <c r="AA133" s="608">
        <f t="shared" si="12"/>
        <v>0</v>
      </c>
      <c r="AB133" s="607">
        <f t="shared" si="13"/>
        <v>1</v>
      </c>
      <c r="AC133" s="607">
        <f t="shared" si="14"/>
        <v>133666</v>
      </c>
      <c r="AD133" s="608">
        <f t="shared" si="15"/>
        <v>5.899333333</v>
      </c>
      <c r="AE133" s="607">
        <f t="shared" si="16"/>
        <v>89</v>
      </c>
      <c r="AF133" s="609">
        <f t="shared" si="17"/>
        <v>61321</v>
      </c>
      <c r="AG133" s="628">
        <f t="shared" si="23"/>
        <v>194987</v>
      </c>
      <c r="AH133" s="611"/>
      <c r="AI133" s="612">
        <v>5512.0</v>
      </c>
      <c r="AJ133" s="612">
        <v>11024.0</v>
      </c>
      <c r="AK133" s="612">
        <v>15847.0</v>
      </c>
      <c r="AL133" s="612">
        <v>21359.0</v>
      </c>
      <c r="AM133" s="612">
        <v>26182.0</v>
      </c>
      <c r="AN133" s="612">
        <v>31694.0</v>
      </c>
      <c r="AO133" s="612">
        <v>36517.0</v>
      </c>
      <c r="AP133" s="612">
        <v>42029.0</v>
      </c>
      <c r="AQ133" s="612">
        <v>46852.0</v>
      </c>
      <c r="AR133" s="612">
        <v>52364.0</v>
      </c>
      <c r="AS133" s="612">
        <v>57187.0</v>
      </c>
      <c r="AT133" s="612">
        <v>62699.0</v>
      </c>
      <c r="AU133" s="612">
        <v>67522.0</v>
      </c>
      <c r="AV133" s="612">
        <v>73034.0</v>
      </c>
      <c r="AW133" s="612">
        <v>77857.0</v>
      </c>
      <c r="AX133" s="612">
        <v>83369.0</v>
      </c>
      <c r="AY133" s="612">
        <v>88192.0</v>
      </c>
      <c r="AZ133" s="612">
        <v>93704.0</v>
      </c>
      <c r="BA133" s="612">
        <v>98527.0</v>
      </c>
      <c r="BB133" s="612">
        <v>104039.0</v>
      </c>
      <c r="BC133" s="612">
        <v>108862.0</v>
      </c>
      <c r="BD133" s="612">
        <v>114374.0</v>
      </c>
      <c r="BE133" s="612">
        <v>119197.0</v>
      </c>
      <c r="BF133" s="612">
        <v>124709.0</v>
      </c>
      <c r="BG133" s="612">
        <v>129532.0</v>
      </c>
      <c r="BH133" s="612">
        <v>133666.0</v>
      </c>
      <c r="BI133" s="612">
        <v>133666.0</v>
      </c>
      <c r="BJ133" s="612">
        <v>133666.0</v>
      </c>
      <c r="BK133" s="612">
        <v>137800.0</v>
      </c>
      <c r="BL133" s="612">
        <v>143312.0</v>
      </c>
      <c r="BM133" s="612">
        <v>148135.0</v>
      </c>
      <c r="BN133" s="612">
        <v>153647.0</v>
      </c>
      <c r="BO133" s="612">
        <v>158470.0</v>
      </c>
      <c r="BP133" s="612">
        <v>163982.0</v>
      </c>
      <c r="BQ133" s="612">
        <v>168805.0</v>
      </c>
      <c r="BR133" s="612">
        <v>174317.0</v>
      </c>
      <c r="BS133" s="612">
        <v>179140.0</v>
      </c>
      <c r="BT133" s="612">
        <v>184652.0</v>
      </c>
      <c r="BU133" s="612">
        <v>189475.0</v>
      </c>
      <c r="BV133" s="612">
        <v>194987.0</v>
      </c>
      <c r="BW133" s="612">
        <v>199810.0</v>
      </c>
      <c r="BX133" s="612">
        <v>205322.0</v>
      </c>
      <c r="BY133" s="612">
        <v>210145.0</v>
      </c>
      <c r="BZ133" s="612">
        <v>215657.0</v>
      </c>
      <c r="CA133" s="612">
        <v>220480.0</v>
      </c>
      <c r="CB133" s="612">
        <v>225992.0</v>
      </c>
      <c r="CC133" s="612">
        <v>230815.0</v>
      </c>
      <c r="CD133" s="612">
        <v>236327.0</v>
      </c>
      <c r="CE133" s="612">
        <v>241150.0</v>
      </c>
      <c r="CF133" s="612">
        <v>246662.0</v>
      </c>
      <c r="CG133" s="612">
        <v>251485.0</v>
      </c>
      <c r="CH133" s="612">
        <v>256997.0</v>
      </c>
      <c r="CI133" s="612">
        <v>261820.0</v>
      </c>
      <c r="CJ133" s="612">
        <v>267332.0</v>
      </c>
      <c r="CK133" s="612">
        <v>267332.0</v>
      </c>
      <c r="CL133" s="612">
        <v>267332.0</v>
      </c>
      <c r="CM133" s="612">
        <v>270777.0</v>
      </c>
      <c r="CN133" s="612">
        <v>275600.0</v>
      </c>
      <c r="CO133" s="612">
        <v>281112.0</v>
      </c>
      <c r="CP133" s="612">
        <v>285935.0</v>
      </c>
    </row>
    <row r="134">
      <c r="A134" s="102"/>
      <c r="B134" s="613" t="s">
        <v>363</v>
      </c>
      <c r="C134" s="676" t="b">
        <v>0</v>
      </c>
      <c r="D134" s="655" t="s">
        <v>756</v>
      </c>
      <c r="E134" s="655" t="s">
        <v>348</v>
      </c>
      <c r="F134" s="657" t="s">
        <v>757</v>
      </c>
      <c r="G134" s="625">
        <v>1.0</v>
      </c>
      <c r="H134" s="741">
        <v>1.0</v>
      </c>
      <c r="I134" s="617">
        <v>12785.0</v>
      </c>
      <c r="J134" s="594">
        <f>I134*IF($C$7=TRUE,VLOOKUP(B134,BuffsDebuffs!$P$8:$X$26,MATCH(E134,BuffsDebuffs!$P$8:$X$8,0),FALSE),1)*IF(AND($C$8=TRUE,H134=1),1.0778,1)*VLOOKUP($C$2,'scaling OLD'!$A$2:$H$55,8,False)*IF(K134="-",1,(1/K134*(1+((K134-1)*VLOOKUP($C$2,'scaling OLD'!$A$2:$H$55,4,False)))))*IF(K134="-",1,VLOOKUP($C$2,'scaling OLD'!$A$2:$H$55,5,False))*VLOOKUP($C$2,'scaling OLD'!$A$2:$H$55,6,False)*IF(AND(LEFT(C$2,7)="CE - Cr",B134="Sword"),1.35,1)</f>
        <v>13779.673</v>
      </c>
      <c r="K134" s="186" t="s">
        <v>349</v>
      </c>
      <c r="L134" s="184">
        <v>1.0</v>
      </c>
      <c r="M134" s="184">
        <v>90.0</v>
      </c>
      <c r="N134" s="184">
        <v>23.0</v>
      </c>
      <c r="O134" s="188">
        <v>1.5</v>
      </c>
      <c r="P134" s="688">
        <f t="shared" si="24"/>
        <v>0</v>
      </c>
      <c r="Q134" s="694">
        <f t="shared" si="2"/>
        <v>13779.673</v>
      </c>
      <c r="R134" s="600">
        <f t="shared" si="3"/>
        <v>33</v>
      </c>
      <c r="S134" s="622">
        <f t="shared" si="22"/>
        <v>316932.479</v>
      </c>
      <c r="T134" s="602">
        <f t="shared" si="5"/>
        <v>316932.479</v>
      </c>
      <c r="U134" s="623" t="str">
        <f t="shared" si="19"/>
        <v>-</v>
      </c>
      <c r="V134" s="624">
        <f t="shared" si="7"/>
        <v>9604.014515</v>
      </c>
      <c r="W134" s="605">
        <f t="shared" si="8"/>
        <v>9604.014515</v>
      </c>
      <c r="X134" s="606">
        <f t="shared" si="9"/>
        <v>9186.448667</v>
      </c>
      <c r="Y134" s="607">
        <f t="shared" si="10"/>
        <v>13</v>
      </c>
      <c r="Z134" s="608">
        <f t="shared" si="11"/>
        <v>0.5</v>
      </c>
      <c r="AA134" s="608">
        <f t="shared" si="12"/>
        <v>0.5</v>
      </c>
      <c r="AB134" s="607">
        <f t="shared" si="13"/>
        <v>14</v>
      </c>
      <c r="AC134" s="607">
        <f t="shared" si="14"/>
        <v>192915.422</v>
      </c>
      <c r="AD134" s="608">
        <f t="shared" si="15"/>
        <v>0</v>
      </c>
      <c r="AE134" s="607">
        <f t="shared" si="16"/>
        <v>0</v>
      </c>
      <c r="AF134" s="609">
        <f t="shared" si="17"/>
        <v>0</v>
      </c>
      <c r="AG134" s="628">
        <f t="shared" si="23"/>
        <v>192915.422</v>
      </c>
      <c r="AH134" s="611"/>
      <c r="AI134" s="612">
        <v>13779.673</v>
      </c>
      <c r="AJ134" s="612">
        <v>13779.673</v>
      </c>
      <c r="AK134" s="612">
        <v>27559.346</v>
      </c>
      <c r="AL134" s="612">
        <v>27559.346</v>
      </c>
      <c r="AM134" s="612">
        <v>27559.346</v>
      </c>
      <c r="AN134" s="612">
        <v>41339.019</v>
      </c>
      <c r="AO134" s="612">
        <v>41339.019</v>
      </c>
      <c r="AP134" s="612">
        <v>41339.019</v>
      </c>
      <c r="AQ134" s="612">
        <v>55118.692</v>
      </c>
      <c r="AR134" s="612">
        <v>55118.692</v>
      </c>
      <c r="AS134" s="612">
        <v>55118.692</v>
      </c>
      <c r="AT134" s="612">
        <v>68898.365</v>
      </c>
      <c r="AU134" s="612">
        <v>68898.365</v>
      </c>
      <c r="AV134" s="612">
        <v>68898.365</v>
      </c>
      <c r="AW134" s="612">
        <v>82678.038</v>
      </c>
      <c r="AX134" s="612">
        <v>82678.038</v>
      </c>
      <c r="AY134" s="612">
        <v>82678.038</v>
      </c>
      <c r="AZ134" s="612">
        <v>96457.71100000001</v>
      </c>
      <c r="BA134" s="612">
        <v>96457.71100000001</v>
      </c>
      <c r="BB134" s="612">
        <v>96457.71100000001</v>
      </c>
      <c r="BC134" s="612">
        <v>110237.384</v>
      </c>
      <c r="BD134" s="612">
        <v>110237.384</v>
      </c>
      <c r="BE134" s="612">
        <v>110237.384</v>
      </c>
      <c r="BF134" s="612">
        <v>124017.057</v>
      </c>
      <c r="BG134" s="612">
        <v>124017.057</v>
      </c>
      <c r="BH134" s="612">
        <v>124017.057</v>
      </c>
      <c r="BI134" s="612">
        <v>137796.73</v>
      </c>
      <c r="BJ134" s="612">
        <v>137796.73</v>
      </c>
      <c r="BK134" s="612">
        <v>137796.73</v>
      </c>
      <c r="BL134" s="612">
        <v>151576.40300000002</v>
      </c>
      <c r="BM134" s="612">
        <v>151576.40300000002</v>
      </c>
      <c r="BN134" s="612">
        <v>151576.40300000002</v>
      </c>
      <c r="BO134" s="612">
        <v>165356.076</v>
      </c>
      <c r="BP134" s="612">
        <v>165356.076</v>
      </c>
      <c r="BQ134" s="612">
        <v>165356.076</v>
      </c>
      <c r="BR134" s="612">
        <v>179135.749</v>
      </c>
      <c r="BS134" s="612">
        <v>179135.749</v>
      </c>
      <c r="BT134" s="612">
        <v>179135.749</v>
      </c>
      <c r="BU134" s="612">
        <v>192915.42200000002</v>
      </c>
      <c r="BV134" s="612">
        <v>192915.42200000002</v>
      </c>
      <c r="BW134" s="612">
        <v>192915.42200000002</v>
      </c>
      <c r="BX134" s="612">
        <v>206695.095</v>
      </c>
      <c r="BY134" s="612">
        <v>206695.095</v>
      </c>
      <c r="BZ134" s="612">
        <v>206695.095</v>
      </c>
      <c r="CA134" s="612">
        <v>220474.768</v>
      </c>
      <c r="CB134" s="612">
        <v>220474.768</v>
      </c>
      <c r="CC134" s="612">
        <v>220474.768</v>
      </c>
      <c r="CD134" s="612">
        <v>234254.44100000002</v>
      </c>
      <c r="CE134" s="612">
        <v>234254.44100000002</v>
      </c>
      <c r="CF134" s="612">
        <v>234254.44100000002</v>
      </c>
      <c r="CG134" s="612">
        <v>248034.114</v>
      </c>
      <c r="CH134" s="612">
        <v>248034.114</v>
      </c>
      <c r="CI134" s="612">
        <v>248034.114</v>
      </c>
      <c r="CJ134" s="612">
        <v>261813.787</v>
      </c>
      <c r="CK134" s="612">
        <v>261813.787</v>
      </c>
      <c r="CL134" s="612">
        <v>261813.787</v>
      </c>
      <c r="CM134" s="612">
        <v>275593.46</v>
      </c>
      <c r="CN134" s="612">
        <v>275593.46</v>
      </c>
      <c r="CO134" s="612">
        <v>275593.46</v>
      </c>
      <c r="CP134" s="612">
        <v>289373.13300000003</v>
      </c>
    </row>
    <row r="135">
      <c r="A135" s="102"/>
      <c r="B135" s="613" t="s">
        <v>421</v>
      </c>
      <c r="C135" s="679" t="b">
        <v>0</v>
      </c>
      <c r="D135" s="589" t="s">
        <v>758</v>
      </c>
      <c r="E135" s="589" t="s">
        <v>497</v>
      </c>
      <c r="F135" s="672"/>
      <c r="G135" s="648">
        <v>1.0</v>
      </c>
      <c r="H135" s="681"/>
      <c r="I135" s="637">
        <v>698.0</v>
      </c>
      <c r="J135" s="618">
        <f>I135*IF($C$7=TRUE,VLOOKUP(B135,BuffsDebuffs!$P$8:$X$26,MATCH(E135,BuffsDebuffs!$P$8:$X$8,0),FALSE),1)*IF(AND($C$8=TRUE,H135=1),1.0778,1)*VLOOKUP($C$2,'scaling OLD'!$A$2:$H$55,8,False)*IF(K135="-",1,(1/K135*(1+((K135-1)*VLOOKUP($C$2,'scaling OLD'!$A$2:$H$55,4,False)))))*IF(K135="-",1,VLOOKUP($C$2,'scaling OLD'!$A$2:$H$55,5,False))*VLOOKUP($C$2,'scaling OLD'!$A$2:$H$55,6,False)*IF(AND(LEFT(C$2,7)="CE - Cr",B135="Sword"),1.35,1)</f>
        <v>698</v>
      </c>
      <c r="K135" s="213">
        <v>1.34</v>
      </c>
      <c r="L135" s="211">
        <v>100.0</v>
      </c>
      <c r="M135" s="211">
        <v>900.0</v>
      </c>
      <c r="N135" s="211">
        <v>600.0</v>
      </c>
      <c r="O135" s="215">
        <v>1.234</v>
      </c>
      <c r="P135" s="691">
        <f t="shared" si="24"/>
        <v>6.6</v>
      </c>
      <c r="Q135" s="692">
        <f t="shared" si="2"/>
        <v>69800</v>
      </c>
      <c r="R135" s="621">
        <f t="shared" si="3"/>
        <v>45.77</v>
      </c>
      <c r="S135" s="622">
        <f t="shared" si="22"/>
        <v>418800</v>
      </c>
      <c r="T135" s="602">
        <f t="shared" si="5"/>
        <v>418800</v>
      </c>
      <c r="U135" s="623">
        <f t="shared" si="19"/>
        <v>10575.75758</v>
      </c>
      <c r="V135" s="624">
        <f t="shared" si="7"/>
        <v>9150.098318</v>
      </c>
      <c r="W135" s="605">
        <f t="shared" si="8"/>
        <v>9150.098318</v>
      </c>
      <c r="X135" s="606">
        <f t="shared" si="9"/>
        <v>8909.88001</v>
      </c>
      <c r="Y135" s="607">
        <f t="shared" si="10"/>
        <v>2</v>
      </c>
      <c r="Z135" s="608">
        <f t="shared" si="11"/>
        <v>17.532</v>
      </c>
      <c r="AA135" s="608">
        <f t="shared" si="12"/>
        <v>0</v>
      </c>
      <c r="AB135" s="607">
        <f t="shared" si="13"/>
        <v>2</v>
      </c>
      <c r="AC135" s="607">
        <f t="shared" si="14"/>
        <v>139600</v>
      </c>
      <c r="AD135" s="608">
        <f t="shared" si="15"/>
        <v>4.332</v>
      </c>
      <c r="AE135" s="607">
        <f t="shared" si="16"/>
        <v>65</v>
      </c>
      <c r="AF135" s="609">
        <f t="shared" si="17"/>
        <v>45370</v>
      </c>
      <c r="AG135" s="628">
        <f t="shared" si="23"/>
        <v>184970</v>
      </c>
      <c r="AH135" s="611"/>
      <c r="AI135" s="612">
        <v>5584.0</v>
      </c>
      <c r="AJ135" s="612">
        <v>11168.0</v>
      </c>
      <c r="AK135" s="612">
        <v>16054.0</v>
      </c>
      <c r="AL135" s="612">
        <v>21638.0</v>
      </c>
      <c r="AM135" s="612">
        <v>26524.0</v>
      </c>
      <c r="AN135" s="612">
        <v>32108.0</v>
      </c>
      <c r="AO135" s="612">
        <v>36994.0</v>
      </c>
      <c r="AP135" s="612">
        <v>42578.0</v>
      </c>
      <c r="AQ135" s="612">
        <v>47464.0</v>
      </c>
      <c r="AR135" s="612">
        <v>53048.0</v>
      </c>
      <c r="AS135" s="612">
        <v>57934.0</v>
      </c>
      <c r="AT135" s="612">
        <v>63518.0</v>
      </c>
      <c r="AU135" s="612">
        <v>68404.0</v>
      </c>
      <c r="AV135" s="612">
        <v>69800.0</v>
      </c>
      <c r="AW135" s="612">
        <v>69800.0</v>
      </c>
      <c r="AX135" s="612">
        <v>71894.0</v>
      </c>
      <c r="AY135" s="612">
        <v>76780.0</v>
      </c>
      <c r="AZ135" s="612">
        <v>82364.0</v>
      </c>
      <c r="BA135" s="612">
        <v>87250.0</v>
      </c>
      <c r="BB135" s="612">
        <v>92834.0</v>
      </c>
      <c r="BC135" s="612">
        <v>97720.0</v>
      </c>
      <c r="BD135" s="612">
        <v>103304.0</v>
      </c>
      <c r="BE135" s="612">
        <v>108190.0</v>
      </c>
      <c r="BF135" s="612">
        <v>113774.0</v>
      </c>
      <c r="BG135" s="612">
        <v>118660.0</v>
      </c>
      <c r="BH135" s="612">
        <v>124244.0</v>
      </c>
      <c r="BI135" s="612">
        <v>129130.0</v>
      </c>
      <c r="BJ135" s="612">
        <v>134714.0</v>
      </c>
      <c r="BK135" s="612">
        <v>139600.0</v>
      </c>
      <c r="BL135" s="612">
        <v>139600.0</v>
      </c>
      <c r="BM135" s="612">
        <v>139600.0</v>
      </c>
      <c r="BN135" s="612">
        <v>143090.0</v>
      </c>
      <c r="BO135" s="612">
        <v>148674.0</v>
      </c>
      <c r="BP135" s="612">
        <v>153560.0</v>
      </c>
      <c r="BQ135" s="612">
        <v>159144.0</v>
      </c>
      <c r="BR135" s="612">
        <v>164030.0</v>
      </c>
      <c r="BS135" s="612">
        <v>169614.0</v>
      </c>
      <c r="BT135" s="612">
        <v>174500.0</v>
      </c>
      <c r="BU135" s="612">
        <v>180084.0</v>
      </c>
      <c r="BV135" s="612">
        <v>184970.0</v>
      </c>
      <c r="BW135" s="612">
        <v>190554.0</v>
      </c>
      <c r="BX135" s="612">
        <v>195440.0</v>
      </c>
      <c r="BY135" s="612">
        <v>201024.0</v>
      </c>
      <c r="BZ135" s="612">
        <v>205910.0</v>
      </c>
      <c r="CA135" s="612">
        <v>209400.0</v>
      </c>
      <c r="CB135" s="612">
        <v>209400.0</v>
      </c>
      <c r="CC135" s="612">
        <v>209400.0</v>
      </c>
      <c r="CD135" s="612">
        <v>214984.0</v>
      </c>
      <c r="CE135" s="612">
        <v>219870.0</v>
      </c>
      <c r="CF135" s="612">
        <v>225454.0</v>
      </c>
      <c r="CG135" s="612">
        <v>230340.0</v>
      </c>
      <c r="CH135" s="612">
        <v>235924.0</v>
      </c>
      <c r="CI135" s="612">
        <v>240810.0</v>
      </c>
      <c r="CJ135" s="612">
        <v>246394.0</v>
      </c>
      <c r="CK135" s="612">
        <v>251280.0</v>
      </c>
      <c r="CL135" s="612">
        <v>256864.0</v>
      </c>
      <c r="CM135" s="612">
        <v>261750.0</v>
      </c>
      <c r="CN135" s="612">
        <v>267334.0</v>
      </c>
      <c r="CO135" s="612">
        <v>272220.0</v>
      </c>
      <c r="CP135" s="612">
        <v>277804.0</v>
      </c>
    </row>
    <row r="136">
      <c r="A136" s="102"/>
      <c r="B136" s="613" t="s">
        <v>363</v>
      </c>
      <c r="C136" s="742" t="b">
        <v>0</v>
      </c>
      <c r="D136" s="651" t="s">
        <v>759</v>
      </c>
      <c r="E136" s="651" t="s">
        <v>348</v>
      </c>
      <c r="F136" s="653" t="s">
        <v>757</v>
      </c>
      <c r="G136" s="625">
        <v>1.0</v>
      </c>
      <c r="H136" s="680"/>
      <c r="I136" s="617">
        <v>12785.0</v>
      </c>
      <c r="J136" s="594">
        <f>I136*IF($C$7=TRUE,VLOOKUP(B136,BuffsDebuffs!$P$8:$X$26,MATCH(E136,BuffsDebuffs!$P$8:$X$8,0),FALSE),1)*IF(AND($C$8=TRUE,H136=1),1.0778,1)*VLOOKUP($C$2,'scaling OLD'!$A$2:$H$55,8,False)*IF(K136="-",1,(1/K136*(1+((K136-1)*VLOOKUP($C$2,'scaling OLD'!$A$2:$H$55,4,False)))))*IF(K136="-",1,VLOOKUP($C$2,'scaling OLD'!$A$2:$H$55,5,False))*VLOOKUP($C$2,'scaling OLD'!$A$2:$H$55,6,False)*IF(AND(LEFT(C$2,7)="CE - Cr",B136="Sword"),1.35,1)</f>
        <v>12785</v>
      </c>
      <c r="K136" s="186" t="s">
        <v>349</v>
      </c>
      <c r="L136" s="184">
        <v>1.0</v>
      </c>
      <c r="M136" s="184">
        <v>90.0</v>
      </c>
      <c r="N136" s="184">
        <v>23.0</v>
      </c>
      <c r="O136" s="188">
        <v>1.5</v>
      </c>
      <c r="P136" s="743">
        <f t="shared" si="24"/>
        <v>0</v>
      </c>
      <c r="Q136" s="694">
        <f t="shared" si="2"/>
        <v>12785</v>
      </c>
      <c r="R136" s="600">
        <f t="shared" si="3"/>
        <v>33</v>
      </c>
      <c r="S136" s="622">
        <f t="shared" si="22"/>
        <v>294055</v>
      </c>
      <c r="T136" s="602">
        <f t="shared" si="5"/>
        <v>294055</v>
      </c>
      <c r="U136" s="623" t="str">
        <f t="shared" si="19"/>
        <v>-</v>
      </c>
      <c r="V136" s="624">
        <f t="shared" si="7"/>
        <v>8910.757576</v>
      </c>
      <c r="W136" s="605">
        <f t="shared" si="8"/>
        <v>8910.757576</v>
      </c>
      <c r="X136" s="606">
        <f t="shared" si="9"/>
        <v>8523.333333</v>
      </c>
      <c r="Y136" s="607">
        <f t="shared" si="10"/>
        <v>13</v>
      </c>
      <c r="Z136" s="608">
        <f t="shared" si="11"/>
        <v>0.5</v>
      </c>
      <c r="AA136" s="608">
        <f t="shared" si="12"/>
        <v>0.5</v>
      </c>
      <c r="AB136" s="607">
        <f t="shared" si="13"/>
        <v>14</v>
      </c>
      <c r="AC136" s="607">
        <f t="shared" si="14"/>
        <v>178990</v>
      </c>
      <c r="AD136" s="608">
        <f t="shared" si="15"/>
        <v>0</v>
      </c>
      <c r="AE136" s="607">
        <f t="shared" si="16"/>
        <v>0</v>
      </c>
      <c r="AF136" s="609">
        <f t="shared" si="17"/>
        <v>0</v>
      </c>
      <c r="AG136" s="628">
        <f t="shared" si="23"/>
        <v>178990</v>
      </c>
      <c r="AH136" s="611"/>
      <c r="AI136" s="612">
        <v>12785.0</v>
      </c>
      <c r="AJ136" s="612">
        <v>12785.0</v>
      </c>
      <c r="AK136" s="612">
        <v>25570.0</v>
      </c>
      <c r="AL136" s="612">
        <v>25570.0</v>
      </c>
      <c r="AM136" s="612">
        <v>25570.0</v>
      </c>
      <c r="AN136" s="612">
        <v>38355.0</v>
      </c>
      <c r="AO136" s="612">
        <v>38355.0</v>
      </c>
      <c r="AP136" s="612">
        <v>38355.0</v>
      </c>
      <c r="AQ136" s="612">
        <v>51140.0</v>
      </c>
      <c r="AR136" s="612">
        <v>51140.0</v>
      </c>
      <c r="AS136" s="612">
        <v>51140.0</v>
      </c>
      <c r="AT136" s="612">
        <v>63925.0</v>
      </c>
      <c r="AU136" s="612">
        <v>63925.0</v>
      </c>
      <c r="AV136" s="612">
        <v>63925.0</v>
      </c>
      <c r="AW136" s="612">
        <v>76710.0</v>
      </c>
      <c r="AX136" s="612">
        <v>76710.0</v>
      </c>
      <c r="AY136" s="612">
        <v>76710.0</v>
      </c>
      <c r="AZ136" s="612">
        <v>89495.0</v>
      </c>
      <c r="BA136" s="612">
        <v>89495.0</v>
      </c>
      <c r="BB136" s="612">
        <v>89495.0</v>
      </c>
      <c r="BC136" s="612">
        <v>102280.0</v>
      </c>
      <c r="BD136" s="612">
        <v>102280.0</v>
      </c>
      <c r="BE136" s="612">
        <v>102280.0</v>
      </c>
      <c r="BF136" s="612">
        <v>115065.0</v>
      </c>
      <c r="BG136" s="612">
        <v>115065.0</v>
      </c>
      <c r="BH136" s="612">
        <v>115065.0</v>
      </c>
      <c r="BI136" s="612">
        <v>127850.0</v>
      </c>
      <c r="BJ136" s="612">
        <v>127850.0</v>
      </c>
      <c r="BK136" s="612">
        <v>127850.0</v>
      </c>
      <c r="BL136" s="612">
        <v>140635.0</v>
      </c>
      <c r="BM136" s="612">
        <v>140635.0</v>
      </c>
      <c r="BN136" s="612">
        <v>140635.0</v>
      </c>
      <c r="BO136" s="612">
        <v>153420.0</v>
      </c>
      <c r="BP136" s="612">
        <v>153420.0</v>
      </c>
      <c r="BQ136" s="612">
        <v>153420.0</v>
      </c>
      <c r="BR136" s="612">
        <v>166205.0</v>
      </c>
      <c r="BS136" s="612">
        <v>166205.0</v>
      </c>
      <c r="BT136" s="612">
        <v>166205.0</v>
      </c>
      <c r="BU136" s="612">
        <v>178990.0</v>
      </c>
      <c r="BV136" s="612">
        <v>178990.0</v>
      </c>
      <c r="BW136" s="612">
        <v>178990.0</v>
      </c>
      <c r="BX136" s="612">
        <v>191775.0</v>
      </c>
      <c r="BY136" s="612">
        <v>191775.0</v>
      </c>
      <c r="BZ136" s="612">
        <v>191775.0</v>
      </c>
      <c r="CA136" s="612">
        <v>204560.0</v>
      </c>
      <c r="CB136" s="612">
        <v>204560.0</v>
      </c>
      <c r="CC136" s="612">
        <v>204560.0</v>
      </c>
      <c r="CD136" s="612">
        <v>217345.0</v>
      </c>
      <c r="CE136" s="612">
        <v>217345.0</v>
      </c>
      <c r="CF136" s="612">
        <v>217345.0</v>
      </c>
      <c r="CG136" s="612">
        <v>230130.0</v>
      </c>
      <c r="CH136" s="612">
        <v>230130.0</v>
      </c>
      <c r="CI136" s="612">
        <v>230130.0</v>
      </c>
      <c r="CJ136" s="612">
        <v>242915.0</v>
      </c>
      <c r="CK136" s="612">
        <v>242915.0</v>
      </c>
      <c r="CL136" s="612">
        <v>242915.0</v>
      </c>
      <c r="CM136" s="612">
        <v>255700.0</v>
      </c>
      <c r="CN136" s="612">
        <v>255700.0</v>
      </c>
      <c r="CO136" s="612">
        <v>255700.0</v>
      </c>
      <c r="CP136" s="612">
        <v>268485.0</v>
      </c>
    </row>
    <row r="137">
      <c r="A137" s="102"/>
      <c r="B137" s="695" t="s">
        <v>363</v>
      </c>
      <c r="C137" s="744" t="b">
        <v>0</v>
      </c>
      <c r="D137" s="745" t="s">
        <v>760</v>
      </c>
      <c r="E137" s="745" t="s">
        <v>468</v>
      </c>
      <c r="F137" s="746" t="s">
        <v>761</v>
      </c>
      <c r="G137" s="625">
        <v>1.0</v>
      </c>
      <c r="H137" s="680"/>
      <c r="I137" s="747">
        <v>3821.0</v>
      </c>
      <c r="J137" s="618">
        <f>I137*IF($C$7=TRUE,VLOOKUP(B137,BuffsDebuffs!$P$8:$X$26,MATCH(E137,BuffsDebuffs!$P$8:$X$8,0),FALSE),1)*IF(AND($C$8=TRUE,H137=1),1.0778,1)*VLOOKUP($C$2,'scaling OLD'!$A$2:$H$55,8,False)*IF(K137="-",1,(1/K137*(1+((K137-1)*VLOOKUP($C$2,'scaling OLD'!$A$2:$H$55,4,False)))))*IF(K137="-",1,VLOOKUP($C$2,'scaling OLD'!$A$2:$H$55,5,False))*VLOOKUP($C$2,'scaling OLD'!$A$2:$H$55,6,False)*IF(AND(LEFT(C$2,7)="CE - Cr",B137="Sword"),1.35,1)</f>
        <v>3821</v>
      </c>
      <c r="K137" s="748" t="s">
        <v>349</v>
      </c>
      <c r="L137" s="749">
        <v>450.0</v>
      </c>
      <c r="M137" s="749">
        <v>120.0</v>
      </c>
      <c r="N137" s="749">
        <v>450.0</v>
      </c>
      <c r="O137" s="750">
        <v>1.5</v>
      </c>
      <c r="P137" s="751">
        <f t="shared" si="24"/>
        <v>224.5</v>
      </c>
      <c r="Q137" s="692">
        <f t="shared" si="2"/>
        <v>1719450</v>
      </c>
      <c r="R137" s="621">
        <f t="shared" si="3"/>
        <v>224.5</v>
      </c>
      <c r="S137" s="622">
        <f t="shared" si="22"/>
        <v>1719450</v>
      </c>
      <c r="T137" s="602">
        <f t="shared" si="5"/>
        <v>1719450</v>
      </c>
      <c r="U137" s="623">
        <f t="shared" si="19"/>
        <v>7659.020045</v>
      </c>
      <c r="V137" s="624">
        <f t="shared" si="7"/>
        <v>7659.020045</v>
      </c>
      <c r="W137" s="605">
        <f t="shared" si="8"/>
        <v>7659.020045</v>
      </c>
      <c r="X137" s="606">
        <f t="shared" si="9"/>
        <v>7659.020045</v>
      </c>
      <c r="Y137" s="607">
        <f t="shared" si="10"/>
        <v>0</v>
      </c>
      <c r="Z137" s="608">
        <f t="shared" si="11"/>
        <v>20</v>
      </c>
      <c r="AA137" s="608">
        <f t="shared" si="12"/>
        <v>0</v>
      </c>
      <c r="AB137" s="607">
        <f t="shared" si="13"/>
        <v>0</v>
      </c>
      <c r="AC137" s="607">
        <f t="shared" si="14"/>
        <v>0</v>
      </c>
      <c r="AD137" s="608">
        <f t="shared" si="15"/>
        <v>20</v>
      </c>
      <c r="AE137" s="607">
        <f t="shared" si="16"/>
        <v>41</v>
      </c>
      <c r="AF137" s="609">
        <f t="shared" si="17"/>
        <v>156661</v>
      </c>
      <c r="AG137" s="628">
        <f t="shared" si="23"/>
        <v>156661</v>
      </c>
      <c r="AH137" s="611"/>
      <c r="AI137" s="612">
        <v>7642.0</v>
      </c>
      <c r="AJ137" s="612">
        <v>11463.0</v>
      </c>
      <c r="AK137" s="612">
        <v>15284.0</v>
      </c>
      <c r="AL137" s="612">
        <v>19105.0</v>
      </c>
      <c r="AM137" s="612">
        <v>22926.0</v>
      </c>
      <c r="AN137" s="612">
        <v>26747.0</v>
      </c>
      <c r="AO137" s="612">
        <v>30568.0</v>
      </c>
      <c r="AP137" s="612">
        <v>34389.0</v>
      </c>
      <c r="AQ137" s="612">
        <v>38210.0</v>
      </c>
      <c r="AR137" s="612">
        <v>42031.0</v>
      </c>
      <c r="AS137" s="612">
        <v>45852.0</v>
      </c>
      <c r="AT137" s="612">
        <v>49673.0</v>
      </c>
      <c r="AU137" s="612">
        <v>53494.0</v>
      </c>
      <c r="AV137" s="612">
        <v>57315.0</v>
      </c>
      <c r="AW137" s="612">
        <v>61136.0</v>
      </c>
      <c r="AX137" s="612">
        <v>64957.0</v>
      </c>
      <c r="AY137" s="612">
        <v>68778.0</v>
      </c>
      <c r="AZ137" s="612">
        <v>72599.0</v>
      </c>
      <c r="BA137" s="612">
        <v>76420.0</v>
      </c>
      <c r="BB137" s="612">
        <v>80241.0</v>
      </c>
      <c r="BC137" s="612">
        <v>84062.0</v>
      </c>
      <c r="BD137" s="612">
        <v>87883.0</v>
      </c>
      <c r="BE137" s="612">
        <v>91704.0</v>
      </c>
      <c r="BF137" s="612">
        <v>95525.0</v>
      </c>
      <c r="BG137" s="612">
        <v>99346.0</v>
      </c>
      <c r="BH137" s="612">
        <v>103167.0</v>
      </c>
      <c r="BI137" s="612">
        <v>106988.0</v>
      </c>
      <c r="BJ137" s="612">
        <v>110809.0</v>
      </c>
      <c r="BK137" s="612">
        <v>114630.0</v>
      </c>
      <c r="BL137" s="612">
        <v>118451.0</v>
      </c>
      <c r="BM137" s="612">
        <v>122272.0</v>
      </c>
      <c r="BN137" s="612">
        <v>126093.0</v>
      </c>
      <c r="BO137" s="612">
        <v>129914.0</v>
      </c>
      <c r="BP137" s="612">
        <v>133735.0</v>
      </c>
      <c r="BQ137" s="612">
        <v>137556.0</v>
      </c>
      <c r="BR137" s="612">
        <v>141377.0</v>
      </c>
      <c r="BS137" s="612">
        <v>145198.0</v>
      </c>
      <c r="BT137" s="612">
        <v>149019.0</v>
      </c>
      <c r="BU137" s="612">
        <v>152840.0</v>
      </c>
      <c r="BV137" s="612">
        <v>156661.0</v>
      </c>
      <c r="BW137" s="612">
        <v>160482.0</v>
      </c>
      <c r="BX137" s="612">
        <v>164303.0</v>
      </c>
      <c r="BY137" s="612">
        <v>168124.0</v>
      </c>
      <c r="BZ137" s="612">
        <v>171945.0</v>
      </c>
      <c r="CA137" s="612">
        <v>175766.0</v>
      </c>
      <c r="CB137" s="612">
        <v>179587.0</v>
      </c>
      <c r="CC137" s="612">
        <v>183408.0</v>
      </c>
      <c r="CD137" s="612">
        <v>187229.0</v>
      </c>
      <c r="CE137" s="612">
        <v>191050.0</v>
      </c>
      <c r="CF137" s="612">
        <v>194871.0</v>
      </c>
      <c r="CG137" s="612">
        <v>198692.0</v>
      </c>
      <c r="CH137" s="612">
        <v>202513.0</v>
      </c>
      <c r="CI137" s="612">
        <v>206334.0</v>
      </c>
      <c r="CJ137" s="612">
        <v>210155.0</v>
      </c>
      <c r="CK137" s="612">
        <v>213976.0</v>
      </c>
      <c r="CL137" s="612">
        <v>217797.0</v>
      </c>
      <c r="CM137" s="612">
        <v>221618.0</v>
      </c>
      <c r="CN137" s="612">
        <v>225439.0</v>
      </c>
      <c r="CO137" s="612">
        <v>229260.0</v>
      </c>
      <c r="CP137" s="612">
        <v>233081.0</v>
      </c>
    </row>
  </sheetData>
  <autoFilter ref="$B$21:$CP$137">
    <sortState ref="B21:CP137">
      <sortCondition descending="1" ref="W21:W137"/>
      <sortCondition descending="1" ref="C21:C137"/>
      <sortCondition descending="1" sortBy="cellColor" ref="B21:B137" dxfId="2"/>
    </sortState>
  </autoFilter>
  <mergeCells count="15">
    <mergeCell ref="K4:N4"/>
    <mergeCell ref="I6:S6"/>
    <mergeCell ref="I19:S19"/>
    <mergeCell ref="B20:F20"/>
    <mergeCell ref="I20:S20"/>
    <mergeCell ref="X2:AG3"/>
    <mergeCell ref="Y18:AF20"/>
    <mergeCell ref="U19:X20"/>
    <mergeCell ref="C2:D2"/>
    <mergeCell ref="K2:M2"/>
    <mergeCell ref="F3:F8"/>
    <mergeCell ref="K3:N3"/>
    <mergeCell ref="O3:V3"/>
    <mergeCell ref="O4:V4"/>
    <mergeCell ref="I7:S7"/>
  </mergeCells>
  <conditionalFormatting sqref="AG22:AG137">
    <cfRule type="colorScale" priority="1">
      <colorScale>
        <cfvo type="min"/>
        <cfvo type="max"/>
        <color rgb="FFF3F3F3"/>
        <color rgb="FF4285F4"/>
      </colorScale>
    </cfRule>
  </conditionalFormatting>
  <conditionalFormatting sqref="S22:T137">
    <cfRule type="colorScale" priority="2">
      <colorScale>
        <cfvo type="min"/>
        <cfvo type="max"/>
        <color rgb="FFF3F3F3"/>
        <color rgb="FF4285F4"/>
      </colorScale>
    </cfRule>
  </conditionalFormatting>
  <conditionalFormatting sqref="V22:X137">
    <cfRule type="colorScale" priority="3">
      <colorScale>
        <cfvo type="min"/>
        <cfvo type="max"/>
        <color rgb="FFF3F3F3"/>
        <color rgb="FF4285F4"/>
      </colorScale>
    </cfRule>
  </conditionalFormatting>
  <conditionalFormatting sqref="U22:U137">
    <cfRule type="colorScale" priority="4">
      <colorScale>
        <cfvo type="percentile" val="0"/>
        <cfvo type="percentile" val="99"/>
        <color rgb="FFF3F3F3"/>
        <color rgb="FF4285F4"/>
      </colorScale>
    </cfRule>
  </conditionalFormatting>
  <conditionalFormatting sqref="AI22:AI137">
    <cfRule type="expression" dxfId="3" priority="5">
      <formula>"COUNTIF($AB$10:$AB$73,AB10)&gt;1"</formula>
    </cfRule>
  </conditionalFormatting>
  <conditionalFormatting sqref="R22:R137">
    <cfRule type="cellIs" dxfId="4" priority="6" operator="greaterThanOrEqual">
      <formula>C$5</formula>
    </cfRule>
  </conditionalFormatting>
  <conditionalFormatting sqref="C11">
    <cfRule type="expression" dxfId="5" priority="7">
      <formula>C10="Custom"</formula>
    </cfRule>
  </conditionalFormatting>
  <conditionalFormatting sqref="K22:K118 K120:K137">
    <cfRule type="cellIs" dxfId="6" priority="8" operator="greaterThanOrEqual">
      <formula>2</formula>
    </cfRule>
  </conditionalFormatting>
  <dataValidations>
    <dataValidation type="list" allowBlank="1" sqref="C2">
      <formula1>'scaling OLD'!$A$2:$A$55</formula1>
    </dataValidation>
  </dataValidations>
  <hyperlinks>
    <hyperlink display="Buffs/Debuffs" location="BuffsDebuffs!A1" ref="D7"/>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9" max="9" width="48.5"/>
  </cols>
  <sheetData>
    <row r="1">
      <c r="A1" s="102"/>
      <c r="B1" s="102" t="s">
        <v>762</v>
      </c>
      <c r="C1" s="102" t="s">
        <v>436</v>
      </c>
      <c r="D1" s="102" t="s">
        <v>763</v>
      </c>
      <c r="E1" s="102" t="s">
        <v>764</v>
      </c>
      <c r="F1" s="102" t="s">
        <v>765</v>
      </c>
      <c r="G1" s="102" t="s">
        <v>766</v>
      </c>
      <c r="H1" s="752" t="s">
        <v>767</v>
      </c>
    </row>
    <row r="2">
      <c r="A2" s="102" t="s">
        <v>192</v>
      </c>
      <c r="B2" s="102"/>
      <c r="C2" s="102"/>
      <c r="D2" s="753">
        <v>1.0</v>
      </c>
      <c r="E2" s="753">
        <v>1.0</v>
      </c>
      <c r="F2" s="753">
        <v>1.0</v>
      </c>
      <c r="G2" s="754">
        <f>(('Database OLD'!$C$4/30)+1)/(1+1/3)*1.0596</f>
        <v>48.4767</v>
      </c>
      <c r="H2" s="754">
        <f t="shared" ref="H2:H11" si="1">G2/$G$29</f>
        <v>1.848484848</v>
      </c>
      <c r="I2" s="755" t="s">
        <v>768</v>
      </c>
      <c r="J2" s="756" t="s">
        <v>769</v>
      </c>
      <c r="K2" s="756">
        <v>1840.0</v>
      </c>
    </row>
    <row r="3">
      <c r="A3" s="102" t="s">
        <v>521</v>
      </c>
      <c r="B3" s="753">
        <v>560.0</v>
      </c>
      <c r="C3" s="753">
        <v>15.0</v>
      </c>
      <c r="D3" s="753">
        <v>1.0</v>
      </c>
      <c r="E3" s="753">
        <v>2.0</v>
      </c>
      <c r="F3" s="753">
        <v>1.0</v>
      </c>
      <c r="G3" s="754">
        <f t="shared" ref="G3:G11" si="2">((B3/30)+1)/(1+1/3)*1.0596</f>
        <v>15.6291</v>
      </c>
      <c r="H3" s="754">
        <f t="shared" si="1"/>
        <v>0.595959596</v>
      </c>
      <c r="I3" s="755" t="s">
        <v>770</v>
      </c>
    </row>
    <row r="4">
      <c r="A4" s="102" t="s">
        <v>526</v>
      </c>
      <c r="B4" s="753">
        <v>565.0</v>
      </c>
      <c r="C4" s="753">
        <v>10.0</v>
      </c>
      <c r="D4" s="753">
        <v>1.0</v>
      </c>
      <c r="E4" s="753">
        <v>2.0</v>
      </c>
      <c r="F4" s="753">
        <v>1.0</v>
      </c>
      <c r="G4" s="754">
        <f t="shared" si="2"/>
        <v>15.76155</v>
      </c>
      <c r="H4" s="754">
        <f t="shared" si="1"/>
        <v>0.601010101</v>
      </c>
      <c r="I4" s="755" t="s">
        <v>771</v>
      </c>
    </row>
    <row r="5">
      <c r="A5" s="102" t="s">
        <v>523</v>
      </c>
      <c r="B5" s="753">
        <v>570.0</v>
      </c>
      <c r="C5" s="753">
        <v>45.0</v>
      </c>
      <c r="D5" s="753">
        <v>1.0</v>
      </c>
      <c r="E5" s="753">
        <v>1.0</v>
      </c>
      <c r="F5" s="753">
        <v>1.0</v>
      </c>
      <c r="G5" s="754">
        <f t="shared" si="2"/>
        <v>15.894</v>
      </c>
      <c r="H5" s="754">
        <f t="shared" si="1"/>
        <v>0.6060606061</v>
      </c>
      <c r="I5" s="755" t="s">
        <v>772</v>
      </c>
    </row>
    <row r="6">
      <c r="A6" s="102" t="s">
        <v>524</v>
      </c>
      <c r="B6" s="753">
        <v>580.0</v>
      </c>
      <c r="C6" s="753">
        <v>10.0</v>
      </c>
      <c r="D6" s="753">
        <v>1.0</v>
      </c>
      <c r="E6" s="757">
        <v>1.0</v>
      </c>
      <c r="F6" s="757">
        <v>2.0</v>
      </c>
      <c r="G6" s="754">
        <f t="shared" si="2"/>
        <v>16.1589</v>
      </c>
      <c r="H6" s="754">
        <f t="shared" si="1"/>
        <v>0.6161616162</v>
      </c>
      <c r="I6" s="755" t="s">
        <v>773</v>
      </c>
    </row>
    <row r="7">
      <c r="A7" s="102" t="s">
        <v>506</v>
      </c>
      <c r="B7" s="753">
        <v>930.0</v>
      </c>
      <c r="C7" s="753">
        <v>20.0</v>
      </c>
      <c r="D7" s="753">
        <v>1.0</v>
      </c>
      <c r="E7" s="753">
        <v>1.0</v>
      </c>
      <c r="F7" s="753">
        <v>1.0</v>
      </c>
      <c r="G7" s="754">
        <f t="shared" si="2"/>
        <v>25.4304</v>
      </c>
      <c r="H7" s="754">
        <f t="shared" si="1"/>
        <v>0.9696969697</v>
      </c>
      <c r="I7" s="755" t="s">
        <v>349</v>
      </c>
    </row>
    <row r="8">
      <c r="A8" s="102" t="s">
        <v>508</v>
      </c>
      <c r="B8" s="753">
        <v>940.0</v>
      </c>
      <c r="C8" s="753">
        <v>17.5</v>
      </c>
      <c r="D8" s="753">
        <v>1.0</v>
      </c>
      <c r="E8" s="753">
        <v>1.0</v>
      </c>
      <c r="F8" s="753">
        <v>1.0</v>
      </c>
      <c r="G8" s="754">
        <f t="shared" si="2"/>
        <v>25.6953</v>
      </c>
      <c r="H8" s="754">
        <f t="shared" si="1"/>
        <v>0.9797979798</v>
      </c>
      <c r="I8" s="755" t="s">
        <v>349</v>
      </c>
    </row>
    <row r="9">
      <c r="A9" s="102" t="s">
        <v>491</v>
      </c>
      <c r="B9" s="753">
        <v>1230.0</v>
      </c>
      <c r="C9" s="753">
        <v>3.0</v>
      </c>
      <c r="D9" s="753">
        <v>1.0</v>
      </c>
      <c r="E9" s="753">
        <v>1.0</v>
      </c>
      <c r="F9" s="753">
        <v>1.0</v>
      </c>
      <c r="G9" s="754">
        <f t="shared" si="2"/>
        <v>33.3774</v>
      </c>
      <c r="H9" s="754">
        <f t="shared" si="1"/>
        <v>1.272727273</v>
      </c>
      <c r="I9" s="755" t="s">
        <v>349</v>
      </c>
    </row>
    <row r="10">
      <c r="A10" s="102" t="s">
        <v>495</v>
      </c>
      <c r="B10" s="753">
        <v>1250.0</v>
      </c>
      <c r="C10" s="753">
        <v>15.0</v>
      </c>
      <c r="D10" s="753">
        <v>1.0</v>
      </c>
      <c r="E10" s="753">
        <v>1.0</v>
      </c>
      <c r="F10" s="753">
        <v>1.0</v>
      </c>
      <c r="G10" s="754">
        <f t="shared" si="2"/>
        <v>33.9072</v>
      </c>
      <c r="H10" s="754">
        <f t="shared" si="1"/>
        <v>1.292929293</v>
      </c>
      <c r="I10" s="755" t="s">
        <v>774</v>
      </c>
    </row>
    <row r="11">
      <c r="A11" s="102" t="s">
        <v>546</v>
      </c>
      <c r="B11" s="753">
        <v>1310.0</v>
      </c>
      <c r="C11" s="753">
        <v>60.0</v>
      </c>
      <c r="D11" s="753">
        <v>1.0</v>
      </c>
      <c r="E11" s="753">
        <v>1.0</v>
      </c>
      <c r="F11" s="753">
        <v>1.0</v>
      </c>
      <c r="G11" s="754">
        <f t="shared" si="2"/>
        <v>35.4966</v>
      </c>
      <c r="H11" s="754">
        <f t="shared" si="1"/>
        <v>1.353535354</v>
      </c>
      <c r="I11" s="755" t="s">
        <v>349</v>
      </c>
    </row>
    <row r="12">
      <c r="A12" s="539" t="s">
        <v>775</v>
      </c>
      <c r="B12" s="757">
        <f>$K$2</f>
        <v>1840</v>
      </c>
      <c r="C12" s="757">
        <v>60.0</v>
      </c>
      <c r="D12" s="757">
        <v>1.0</v>
      </c>
      <c r="E12" s="757">
        <v>1.0</v>
      </c>
      <c r="F12" s="757">
        <v>1.0</v>
      </c>
      <c r="G12" s="754">
        <f>((B12/30)+1)/(1+1/3)</f>
        <v>46.75</v>
      </c>
      <c r="H12" s="754">
        <f>G12/$G$29*0.51</f>
        <v>0.9091481062</v>
      </c>
      <c r="I12" s="755" t="s">
        <v>776</v>
      </c>
    </row>
    <row r="13">
      <c r="A13" s="539" t="s">
        <v>544</v>
      </c>
      <c r="B13" s="753">
        <v>1320.0</v>
      </c>
      <c r="C13" s="753">
        <v>30.0</v>
      </c>
      <c r="D13" s="753">
        <v>1.0</v>
      </c>
      <c r="E13" s="753">
        <v>1.0</v>
      </c>
      <c r="F13" s="753">
        <v>1.0</v>
      </c>
      <c r="G13" s="754">
        <f>((B13/30)+1)/(1+1/3)*1.0596</f>
        <v>35.7615</v>
      </c>
      <c r="H13" s="754">
        <f>G13/$G$29</f>
        <v>1.363636364</v>
      </c>
      <c r="I13" s="755" t="s">
        <v>349</v>
      </c>
    </row>
    <row r="14">
      <c r="A14" s="539" t="s">
        <v>777</v>
      </c>
      <c r="B14" s="757">
        <f>$K$2</f>
        <v>1840</v>
      </c>
      <c r="C14" s="757">
        <v>30.0</v>
      </c>
      <c r="D14" s="757">
        <v>1.0</v>
      </c>
      <c r="E14" s="757">
        <v>1.0</v>
      </c>
      <c r="F14" s="757">
        <v>1.0</v>
      </c>
      <c r="G14" s="754">
        <f>((B14/30)+1)/(1+1/3)</f>
        <v>46.75</v>
      </c>
      <c r="H14" s="754">
        <f>G14/$G$29*0.51</f>
        <v>0.9091481062</v>
      </c>
      <c r="I14" s="755" t="s">
        <v>776</v>
      </c>
    </row>
    <row r="15">
      <c r="A15" s="102" t="s">
        <v>548</v>
      </c>
      <c r="B15" s="753">
        <v>1530.0</v>
      </c>
      <c r="C15" s="753">
        <v>15.0</v>
      </c>
      <c r="D15" s="753">
        <v>1.0</v>
      </c>
      <c r="E15" s="753">
        <v>1.0</v>
      </c>
      <c r="F15" s="753">
        <v>2.0</v>
      </c>
      <c r="G15" s="754">
        <f>((B15/30)+1)/(1+1/3)*1.0596</f>
        <v>41.3244</v>
      </c>
      <c r="H15" s="754">
        <f>G15/$G$29</f>
        <v>1.575757576</v>
      </c>
      <c r="I15" s="755" t="s">
        <v>778</v>
      </c>
    </row>
    <row r="16">
      <c r="A16" s="539" t="s">
        <v>779</v>
      </c>
      <c r="B16" s="757">
        <f>$K$2</f>
        <v>1840</v>
      </c>
      <c r="C16" s="757">
        <v>15.0</v>
      </c>
      <c r="D16" s="757">
        <v>1.0</v>
      </c>
      <c r="E16" s="757">
        <v>1.0</v>
      </c>
      <c r="F16" s="757">
        <v>2.0</v>
      </c>
      <c r="G16" s="754">
        <f>((B16/30)+1)/(1+1/3)</f>
        <v>46.75</v>
      </c>
      <c r="H16" s="754">
        <f>G16/$G$29*0.51</f>
        <v>0.9091481062</v>
      </c>
      <c r="I16" s="755" t="s">
        <v>780</v>
      </c>
    </row>
    <row r="17">
      <c r="A17" s="102" t="s">
        <v>550</v>
      </c>
      <c r="B17" s="753">
        <v>1550.0</v>
      </c>
      <c r="C17" s="753">
        <v>35.0</v>
      </c>
      <c r="D17" s="753">
        <v>1.0</v>
      </c>
      <c r="E17" s="753">
        <v>1.0</v>
      </c>
      <c r="F17" s="753">
        <v>1.0</v>
      </c>
      <c r="G17" s="754">
        <f>((B17/30)+1)/(1+1/3)*1.0596</f>
        <v>41.8542</v>
      </c>
      <c r="H17" s="754">
        <f>G17/$G$29</f>
        <v>1.595959596</v>
      </c>
      <c r="I17" s="755" t="s">
        <v>349</v>
      </c>
    </row>
    <row r="18">
      <c r="A18" s="539" t="s">
        <v>781</v>
      </c>
      <c r="B18" s="757">
        <f>$K$2</f>
        <v>1840</v>
      </c>
      <c r="C18" s="757">
        <v>35.0</v>
      </c>
      <c r="D18" s="757">
        <v>1.0</v>
      </c>
      <c r="E18" s="757">
        <v>1.0</v>
      </c>
      <c r="F18" s="757">
        <v>1.0</v>
      </c>
      <c r="G18" s="754">
        <f>((B18/30)+1)/(1+1/3)</f>
        <v>46.75</v>
      </c>
      <c r="H18" s="754">
        <f>G18/$G$29*0.51</f>
        <v>0.9091481062</v>
      </c>
      <c r="I18" s="755" t="s">
        <v>776</v>
      </c>
    </row>
    <row r="19">
      <c r="A19" s="755" t="s">
        <v>519</v>
      </c>
      <c r="B19" s="755">
        <v>1565.0</v>
      </c>
      <c r="C19" s="755">
        <v>30.0</v>
      </c>
      <c r="D19" s="755">
        <v>1.0</v>
      </c>
      <c r="E19" s="755">
        <v>1.0</v>
      </c>
      <c r="F19" s="755">
        <v>1.0</v>
      </c>
      <c r="G19" s="754">
        <f>((B19/30)+1)/(1+1/3)*1.0596</f>
        <v>42.25155</v>
      </c>
      <c r="H19" s="754">
        <f>G19/$G$29</f>
        <v>1.611111111</v>
      </c>
      <c r="I19" s="755" t="s">
        <v>349</v>
      </c>
    </row>
    <row r="20">
      <c r="A20" s="755" t="s">
        <v>782</v>
      </c>
      <c r="B20" s="757">
        <f>$K$2</f>
        <v>1840</v>
      </c>
      <c r="C20" s="757">
        <v>30.0</v>
      </c>
      <c r="D20" s="757">
        <v>1.0</v>
      </c>
      <c r="E20" s="757">
        <v>1.0</v>
      </c>
      <c r="F20" s="757">
        <v>1.0</v>
      </c>
      <c r="G20" s="754">
        <f>((B20/30)+1)/(1+1/3)</f>
        <v>46.75</v>
      </c>
      <c r="H20" s="754">
        <f>G20/$G$29*0.51</f>
        <v>0.9091481062</v>
      </c>
      <c r="I20" s="755" t="s">
        <v>776</v>
      </c>
    </row>
    <row r="21">
      <c r="A21" s="755" t="s">
        <v>515</v>
      </c>
      <c r="B21" s="755">
        <v>1570.0</v>
      </c>
      <c r="C21" s="755">
        <v>10.0</v>
      </c>
      <c r="D21" s="755">
        <v>1.0</v>
      </c>
      <c r="E21" s="755">
        <v>1.0</v>
      </c>
      <c r="F21" s="755">
        <v>1.0</v>
      </c>
      <c r="G21" s="754">
        <f>((B21/30)+1)/(1+1/3)*1.0596</f>
        <v>42.384</v>
      </c>
      <c r="H21" s="754">
        <f>G21/$G$29</f>
        <v>1.616161616</v>
      </c>
      <c r="I21" s="755" t="s">
        <v>783</v>
      </c>
    </row>
    <row r="22">
      <c r="A22" s="755" t="s">
        <v>784</v>
      </c>
      <c r="B22" s="757">
        <f>$K$2</f>
        <v>1840</v>
      </c>
      <c r="C22" s="757">
        <v>10.0</v>
      </c>
      <c r="D22" s="757">
        <v>1.0</v>
      </c>
      <c r="E22" s="757">
        <v>1.0</v>
      </c>
      <c r="F22" s="757">
        <v>1.0</v>
      </c>
      <c r="G22" s="754">
        <f>((B22/30)+1)/(1+1/3)</f>
        <v>46.75</v>
      </c>
      <c r="H22" s="754">
        <f>G22/$G$29*0.51</f>
        <v>0.9091481062</v>
      </c>
      <c r="I22" s="755" t="s">
        <v>785</v>
      </c>
    </row>
    <row r="23">
      <c r="A23" s="755" t="s">
        <v>514</v>
      </c>
      <c r="B23" s="755">
        <v>1575.0</v>
      </c>
      <c r="C23" s="755">
        <v>30.0</v>
      </c>
      <c r="D23" s="755">
        <v>1.0</v>
      </c>
      <c r="E23" s="755">
        <v>1.0</v>
      </c>
      <c r="F23" s="755">
        <v>1.0</v>
      </c>
      <c r="G23" s="754">
        <f>((B23/30)+1)/(1+1/3)*1.0596</f>
        <v>42.51645</v>
      </c>
      <c r="H23" s="754">
        <f>G23/$G$29</f>
        <v>1.621212121</v>
      </c>
      <c r="I23" s="755" t="s">
        <v>772</v>
      </c>
    </row>
    <row r="24">
      <c r="A24" s="755" t="s">
        <v>786</v>
      </c>
      <c r="B24" s="757">
        <f>$K$2</f>
        <v>1840</v>
      </c>
      <c r="C24" s="757">
        <v>30.0</v>
      </c>
      <c r="D24" s="757">
        <v>1.0</v>
      </c>
      <c r="E24" s="757">
        <v>1.0</v>
      </c>
      <c r="F24" s="757">
        <v>1.0</v>
      </c>
      <c r="G24" s="754">
        <f>((B24/30)+1)/(1+1/3)</f>
        <v>46.75</v>
      </c>
      <c r="H24" s="754">
        <f>G24/$G$29*0.51</f>
        <v>0.9091481062</v>
      </c>
      <c r="I24" s="755" t="s">
        <v>787</v>
      </c>
    </row>
    <row r="25">
      <c r="A25" s="755" t="s">
        <v>517</v>
      </c>
      <c r="B25" s="755">
        <v>1580.0</v>
      </c>
      <c r="C25" s="755">
        <v>20.0</v>
      </c>
      <c r="D25" s="755">
        <v>1.0</v>
      </c>
      <c r="E25" s="755">
        <v>1.0</v>
      </c>
      <c r="F25" s="755">
        <v>1.0</v>
      </c>
      <c r="G25" s="754">
        <f>((B25/30)+1)/(1+1/3)*1.0596</f>
        <v>42.6489</v>
      </c>
      <c r="H25" s="754">
        <f>G25/$G$29</f>
        <v>1.626262626</v>
      </c>
    </row>
    <row r="26">
      <c r="A26" s="755" t="s">
        <v>788</v>
      </c>
      <c r="B26" s="757">
        <f>$K$2</f>
        <v>1840</v>
      </c>
      <c r="C26" s="757">
        <v>20.0</v>
      </c>
      <c r="D26" s="757">
        <v>1.0</v>
      </c>
      <c r="E26" s="757">
        <v>1.0</v>
      </c>
      <c r="F26" s="757">
        <v>1.0</v>
      </c>
      <c r="G26" s="754">
        <f>((B26/30)+1)/(1+1/3)</f>
        <v>46.75</v>
      </c>
      <c r="H26" s="754">
        <f>G26/$G$29*0.51</f>
        <v>0.9091481062</v>
      </c>
      <c r="I26" s="755" t="s">
        <v>776</v>
      </c>
    </row>
    <row r="27">
      <c r="A27" s="102" t="s">
        <v>543</v>
      </c>
      <c r="B27" s="753">
        <v>590.0</v>
      </c>
      <c r="C27" s="753">
        <v>30.0</v>
      </c>
      <c r="D27" s="753">
        <v>1.0</v>
      </c>
      <c r="E27" s="753">
        <v>1.0</v>
      </c>
      <c r="F27" s="753">
        <v>1.0</v>
      </c>
      <c r="G27" s="754">
        <f t="shared" ref="G27:G32" si="3">((B27/30)+1)/(1+1/3)*1.0596</f>
        <v>16.4238</v>
      </c>
      <c r="H27" s="754">
        <f t="shared" ref="H27:H32" si="4">G27/$G$29</f>
        <v>0.6262626263</v>
      </c>
    </row>
    <row r="28">
      <c r="A28" s="102" t="s">
        <v>541</v>
      </c>
      <c r="B28" s="753">
        <v>590.0</v>
      </c>
      <c r="C28" s="753">
        <v>45.0</v>
      </c>
      <c r="D28" s="753">
        <v>1.0</v>
      </c>
      <c r="E28" s="753">
        <v>1.0</v>
      </c>
      <c r="F28" s="753">
        <v>8.4845</v>
      </c>
      <c r="G28" s="754">
        <f t="shared" si="3"/>
        <v>16.4238</v>
      </c>
      <c r="H28" s="754">
        <f t="shared" si="4"/>
        <v>0.6262626263</v>
      </c>
      <c r="I28" s="755" t="s">
        <v>789</v>
      </c>
    </row>
    <row r="29">
      <c r="A29" s="102" t="s">
        <v>564</v>
      </c>
      <c r="B29" s="753">
        <v>960.0</v>
      </c>
      <c r="C29" s="753">
        <v>20.0</v>
      </c>
      <c r="D29" s="753">
        <v>1.0</v>
      </c>
      <c r="E29" s="753">
        <v>1.0</v>
      </c>
      <c r="F29" s="753">
        <v>1.0</v>
      </c>
      <c r="G29" s="754">
        <f t="shared" si="3"/>
        <v>26.2251</v>
      </c>
      <c r="H29" s="754">
        <f t="shared" si="4"/>
        <v>1</v>
      </c>
      <c r="I29" s="755" t="s">
        <v>790</v>
      </c>
    </row>
    <row r="30">
      <c r="A30" s="539" t="s">
        <v>531</v>
      </c>
      <c r="B30" s="757">
        <v>1040.0</v>
      </c>
      <c r="C30" s="757">
        <v>45.0</v>
      </c>
      <c r="D30" s="757">
        <v>1.0</v>
      </c>
      <c r="E30" s="757">
        <v>1.0</v>
      </c>
      <c r="F30" s="757">
        <v>1.0</v>
      </c>
      <c r="G30" s="754">
        <f t="shared" si="3"/>
        <v>28.3443</v>
      </c>
      <c r="H30" s="754">
        <f t="shared" si="4"/>
        <v>1.080808081</v>
      </c>
      <c r="I30" s="755" t="s">
        <v>349</v>
      </c>
    </row>
    <row r="31">
      <c r="A31" s="539" t="s">
        <v>529</v>
      </c>
      <c r="B31" s="757">
        <v>1060.0</v>
      </c>
      <c r="C31" s="757">
        <v>90.0</v>
      </c>
      <c r="D31" s="757">
        <v>1.0</v>
      </c>
      <c r="E31" s="757">
        <v>1.0</v>
      </c>
      <c r="F31" s="757">
        <v>1.0</v>
      </c>
      <c r="G31" s="754">
        <f t="shared" si="3"/>
        <v>28.8741</v>
      </c>
      <c r="H31" s="754">
        <f t="shared" si="4"/>
        <v>1.101010101</v>
      </c>
      <c r="I31" s="755" t="s">
        <v>349</v>
      </c>
    </row>
    <row r="32">
      <c r="A32" s="102" t="s">
        <v>504</v>
      </c>
      <c r="B32" s="753">
        <v>1310.0</v>
      </c>
      <c r="C32" s="757">
        <v>30.0</v>
      </c>
      <c r="D32" s="753">
        <v>1.0</v>
      </c>
      <c r="E32" s="753">
        <v>1.0</v>
      </c>
      <c r="F32" s="753">
        <v>1.0</v>
      </c>
      <c r="G32" s="754">
        <f t="shared" si="3"/>
        <v>35.4966</v>
      </c>
      <c r="H32" s="754">
        <f t="shared" si="4"/>
        <v>1.353535354</v>
      </c>
      <c r="I32" s="755" t="s">
        <v>349</v>
      </c>
    </row>
    <row r="33">
      <c r="A33" s="539" t="s">
        <v>791</v>
      </c>
      <c r="B33" s="757">
        <f>$K$2</f>
        <v>1840</v>
      </c>
      <c r="C33" s="757">
        <v>30.0</v>
      </c>
      <c r="D33" s="757">
        <v>1.0</v>
      </c>
      <c r="E33" s="757">
        <v>1.0</v>
      </c>
      <c r="F33" s="757">
        <v>1.0</v>
      </c>
      <c r="G33" s="754">
        <f>((B33/30)+1)/(1+1/3)</f>
        <v>46.75</v>
      </c>
      <c r="H33" s="754">
        <f>G33/$G$29*0.51</f>
        <v>0.9091481062</v>
      </c>
      <c r="I33" s="755" t="s">
        <v>776</v>
      </c>
    </row>
    <row r="34">
      <c r="A34" s="102" t="s">
        <v>503</v>
      </c>
      <c r="B34" s="753">
        <v>1330.0</v>
      </c>
      <c r="C34" s="757">
        <v>30.0</v>
      </c>
      <c r="D34" s="753">
        <v>1.0</v>
      </c>
      <c r="E34" s="753">
        <v>1.0</v>
      </c>
      <c r="F34" s="753">
        <v>1.0</v>
      </c>
      <c r="G34" s="754">
        <f>((B34/30)+1)/(1+1/3)*1.0596</f>
        <v>36.0264</v>
      </c>
      <c r="H34" s="754">
        <f>G34/$G$29</f>
        <v>1.373737374</v>
      </c>
      <c r="I34" s="755" t="s">
        <v>349</v>
      </c>
    </row>
    <row r="35">
      <c r="A35" s="539" t="s">
        <v>792</v>
      </c>
      <c r="B35" s="757">
        <f>$K$2</f>
        <v>1840</v>
      </c>
      <c r="C35" s="757">
        <v>30.0</v>
      </c>
      <c r="D35" s="757">
        <v>1.0</v>
      </c>
      <c r="E35" s="757">
        <v>1.0</v>
      </c>
      <c r="F35" s="757">
        <v>1.0</v>
      </c>
      <c r="G35" s="754">
        <f>((B35/30)+1)/(1+1/3)</f>
        <v>46.75</v>
      </c>
      <c r="H35" s="754">
        <f>G35/$G$29*0.51</f>
        <v>0.9091481062</v>
      </c>
      <c r="I35" s="755" t="s">
        <v>776</v>
      </c>
    </row>
    <row r="36">
      <c r="A36" s="102" t="s">
        <v>501</v>
      </c>
      <c r="B36" s="753">
        <v>1550.0</v>
      </c>
      <c r="C36" s="753">
        <v>30.0</v>
      </c>
      <c r="D36" s="753">
        <v>1.0</v>
      </c>
      <c r="E36" s="753">
        <v>1.0</v>
      </c>
      <c r="F36" s="753">
        <v>1.0</v>
      </c>
      <c r="G36" s="754">
        <f>((B36/30)+1)/(1+1/3)*1.0596</f>
        <v>41.8542</v>
      </c>
      <c r="H36" s="754">
        <f>G36/$G$29</f>
        <v>1.595959596</v>
      </c>
      <c r="I36" s="755" t="s">
        <v>349</v>
      </c>
    </row>
    <row r="37">
      <c r="A37" s="539" t="s">
        <v>793</v>
      </c>
      <c r="B37" s="757">
        <f>$K$2</f>
        <v>1840</v>
      </c>
      <c r="C37" s="757">
        <v>30.0</v>
      </c>
      <c r="D37" s="757">
        <v>1.0</v>
      </c>
      <c r="E37" s="757">
        <v>1.0</v>
      </c>
      <c r="F37" s="757">
        <v>1.0</v>
      </c>
      <c r="G37" s="754">
        <f>((B37/30)+1)/(1+1/3)</f>
        <v>46.75</v>
      </c>
      <c r="H37" s="754">
        <f>G37/$G$29*0.51</f>
        <v>0.9091481062</v>
      </c>
      <c r="I37" s="755" t="s">
        <v>776</v>
      </c>
    </row>
    <row r="38">
      <c r="A38" s="102" t="s">
        <v>498</v>
      </c>
      <c r="B38" s="753">
        <v>1570.0</v>
      </c>
      <c r="C38" s="753">
        <v>10.0</v>
      </c>
      <c r="D38" s="753">
        <v>1.5</v>
      </c>
      <c r="E38" s="757">
        <v>1.0</v>
      </c>
      <c r="F38" s="753">
        <v>1.0</v>
      </c>
      <c r="G38" s="754">
        <f>((B38/30)+1)/(1+1/3)*1.0596</f>
        <v>42.384</v>
      </c>
      <c r="H38" s="754">
        <f>G38/$G$29</f>
        <v>1.616161616</v>
      </c>
      <c r="I38" s="755" t="s">
        <v>794</v>
      </c>
    </row>
    <row r="39">
      <c r="A39" s="539" t="s">
        <v>795</v>
      </c>
      <c r="B39" s="757">
        <f>$K$2</f>
        <v>1840</v>
      </c>
      <c r="C39" s="757">
        <v>10.0</v>
      </c>
      <c r="D39" s="757">
        <v>1.5</v>
      </c>
      <c r="E39" s="757">
        <v>1.0</v>
      </c>
      <c r="F39" s="757">
        <v>1.0</v>
      </c>
      <c r="G39" s="754">
        <f>((B39/30)+1)/(1+1/3)</f>
        <v>46.75</v>
      </c>
      <c r="H39" s="754">
        <f>G39/$G$29*0.51</f>
        <v>0.9091481062</v>
      </c>
      <c r="I39" s="755" t="s">
        <v>796</v>
      </c>
    </row>
    <row r="40">
      <c r="A40" s="755" t="s">
        <v>537</v>
      </c>
      <c r="B40" s="755">
        <v>1580.0</v>
      </c>
      <c r="C40" s="755">
        <v>20.0</v>
      </c>
      <c r="D40" s="755">
        <v>1.0</v>
      </c>
      <c r="E40" s="755">
        <v>1.0</v>
      </c>
      <c r="F40" s="755">
        <v>1.0</v>
      </c>
      <c r="G40" s="754">
        <f>((B40/30)+1)/(1+1/3)*1.0596</f>
        <v>42.6489</v>
      </c>
      <c r="H40" s="754">
        <f>G40/$G$29</f>
        <v>1.626262626</v>
      </c>
      <c r="I40" s="755" t="s">
        <v>797</v>
      </c>
    </row>
    <row r="41">
      <c r="A41" s="755" t="s">
        <v>798</v>
      </c>
      <c r="B41" s="757">
        <f>$K$2</f>
        <v>1840</v>
      </c>
      <c r="C41" s="755">
        <v>20.0</v>
      </c>
      <c r="D41" s="755">
        <v>1.0</v>
      </c>
      <c r="E41" s="755">
        <v>1.0</v>
      </c>
      <c r="F41" s="755">
        <v>1.0</v>
      </c>
      <c r="G41" s="754">
        <f>((B41/30)+1)/(1+1/3)</f>
        <v>46.75</v>
      </c>
      <c r="H41" s="754">
        <f>G41/$G$29*0.51</f>
        <v>0.9091481062</v>
      </c>
      <c r="I41" s="755" t="s">
        <v>799</v>
      </c>
    </row>
    <row r="42">
      <c r="A42" s="755" t="s">
        <v>539</v>
      </c>
      <c r="B42" s="755">
        <v>1590.0</v>
      </c>
      <c r="C42" s="755">
        <v>25.0</v>
      </c>
      <c r="D42" s="755">
        <v>1.0</v>
      </c>
      <c r="E42" s="755">
        <v>1.0</v>
      </c>
      <c r="F42" s="755">
        <v>1.0</v>
      </c>
      <c r="G42" s="754">
        <f>((B42/30)+1)/(1+1/3)*1.0596</f>
        <v>42.9138</v>
      </c>
      <c r="H42" s="754">
        <f>G42/$G$29</f>
        <v>1.636363636</v>
      </c>
      <c r="I42" s="755" t="s">
        <v>349</v>
      </c>
    </row>
    <row r="43">
      <c r="A43" s="755" t="s">
        <v>800</v>
      </c>
      <c r="B43" s="757">
        <f>$K$2</f>
        <v>1840</v>
      </c>
      <c r="C43" s="755">
        <v>25.0</v>
      </c>
      <c r="D43" s="755">
        <v>1.0</v>
      </c>
      <c r="E43" s="755">
        <v>1.0</v>
      </c>
      <c r="F43" s="755">
        <v>1.0</v>
      </c>
      <c r="G43" s="754">
        <f>((B43/30)+1)/(1+1/3)</f>
        <v>46.75</v>
      </c>
      <c r="H43" s="754">
        <f>G43/$G$29*0.51</f>
        <v>0.9091481062</v>
      </c>
      <c r="I43" s="755" t="s">
        <v>776</v>
      </c>
    </row>
    <row r="44">
      <c r="A44" s="755" t="s">
        <v>535</v>
      </c>
      <c r="B44" s="755">
        <v>1790.0</v>
      </c>
      <c r="C44" s="755">
        <v>10.0</v>
      </c>
      <c r="D44" s="755">
        <v>1.0</v>
      </c>
      <c r="E44" s="755">
        <v>1.0</v>
      </c>
      <c r="F44" s="755">
        <v>1.0</v>
      </c>
      <c r="G44" s="754">
        <f>((B44/30)+1)/(1+1/3)*1.0596</f>
        <v>48.2118</v>
      </c>
      <c r="H44" s="754">
        <f>G44/$G$29</f>
        <v>1.838383838</v>
      </c>
      <c r="I44" s="755" t="s">
        <v>801</v>
      </c>
    </row>
    <row r="45">
      <c r="A45" s="755" t="s">
        <v>802</v>
      </c>
      <c r="B45" s="757">
        <f>$K$2</f>
        <v>1840</v>
      </c>
      <c r="C45" s="755">
        <v>10.0</v>
      </c>
      <c r="D45" s="755">
        <v>1.0</v>
      </c>
      <c r="E45" s="755">
        <v>1.0</v>
      </c>
      <c r="F45" s="755">
        <v>1.0</v>
      </c>
      <c r="G45" s="754">
        <f>((B45/30)+1)/(1+1/3)</f>
        <v>46.75</v>
      </c>
      <c r="H45" s="754">
        <f>G45/$G$29*0.51</f>
        <v>0.9091481062</v>
      </c>
      <c r="I45" s="755" t="s">
        <v>803</v>
      </c>
    </row>
    <row r="46">
      <c r="A46" s="755" t="s">
        <v>533</v>
      </c>
      <c r="B46" s="755">
        <v>1800.0</v>
      </c>
      <c r="C46" s="755">
        <v>30.0</v>
      </c>
      <c r="D46" s="755">
        <v>1.0</v>
      </c>
      <c r="E46" s="755">
        <v>1.0</v>
      </c>
      <c r="F46" s="755">
        <v>1.0</v>
      </c>
      <c r="G46" s="754">
        <f>((B46/30)+1)/(1+1/3)*1.0596</f>
        <v>48.4767</v>
      </c>
      <c r="H46" s="754">
        <f>G46/$G$29</f>
        <v>1.848484848</v>
      </c>
      <c r="I46" s="755" t="s">
        <v>349</v>
      </c>
    </row>
    <row r="47">
      <c r="A47" s="755" t="s">
        <v>804</v>
      </c>
      <c r="B47" s="757">
        <f>$K$2</f>
        <v>1840</v>
      </c>
      <c r="C47" s="755">
        <v>30.0</v>
      </c>
      <c r="D47" s="755">
        <v>1.0</v>
      </c>
      <c r="E47" s="755">
        <v>1.0</v>
      </c>
      <c r="F47" s="755">
        <v>1.0</v>
      </c>
      <c r="G47" s="754">
        <f>((B47/30)+1)/(1+1/3)</f>
        <v>46.75</v>
      </c>
      <c r="H47" s="754">
        <f>G47/$G$29*0.51</f>
        <v>0.9091481062</v>
      </c>
      <c r="I47" s="755" t="s">
        <v>776</v>
      </c>
    </row>
    <row r="48">
      <c r="A48" s="755" t="s">
        <v>510</v>
      </c>
      <c r="B48" s="755">
        <v>1800.0</v>
      </c>
      <c r="C48" s="755">
        <v>40.0</v>
      </c>
      <c r="D48" s="755">
        <v>1.0</v>
      </c>
      <c r="E48" s="755">
        <v>1.0</v>
      </c>
      <c r="F48" s="755">
        <v>1.0</v>
      </c>
      <c r="G48" s="754">
        <f>((B48/30)+1)/(1+1/3)*1.0596</f>
        <v>48.4767</v>
      </c>
      <c r="H48" s="754">
        <f>G48/$G$29</f>
        <v>1.848484848</v>
      </c>
      <c r="I48" s="755" t="s">
        <v>349</v>
      </c>
    </row>
    <row r="49">
      <c r="A49" s="755" t="s">
        <v>805</v>
      </c>
      <c r="B49" s="755">
        <v>1840.0</v>
      </c>
      <c r="C49" s="755">
        <v>40.0</v>
      </c>
      <c r="D49" s="755">
        <v>1.0</v>
      </c>
      <c r="E49" s="755">
        <v>1.0</v>
      </c>
      <c r="F49" s="755">
        <v>1.0</v>
      </c>
      <c r="G49" s="754">
        <f>((B49/30)+1)/(1+1/3)</f>
        <v>46.75</v>
      </c>
      <c r="H49" s="754">
        <f>G49/$G$29*0.51</f>
        <v>0.9091481062</v>
      </c>
      <c r="I49" s="755" t="s">
        <v>776</v>
      </c>
    </row>
    <row r="50">
      <c r="A50" s="755" t="s">
        <v>512</v>
      </c>
      <c r="B50" s="755">
        <v>1810.0</v>
      </c>
      <c r="C50" s="755">
        <v>45.0</v>
      </c>
      <c r="D50" s="755">
        <v>1.0</v>
      </c>
      <c r="E50" s="755">
        <v>1.0</v>
      </c>
      <c r="F50" s="755">
        <v>1.0</v>
      </c>
      <c r="G50" s="754">
        <f>((B50/30)+1)/(1+1/3)*1.0596</f>
        <v>48.7416</v>
      </c>
      <c r="H50" s="754">
        <f>G50/$G$29</f>
        <v>1.858585859</v>
      </c>
      <c r="I50" s="755" t="s">
        <v>349</v>
      </c>
    </row>
    <row r="51">
      <c r="A51" s="755" t="s">
        <v>806</v>
      </c>
      <c r="B51" s="755">
        <v>1840.0</v>
      </c>
      <c r="C51" s="755">
        <v>45.0</v>
      </c>
      <c r="D51" s="755">
        <v>1.0</v>
      </c>
      <c r="E51" s="755">
        <v>1.0</v>
      </c>
      <c r="F51" s="755">
        <v>1.0</v>
      </c>
      <c r="G51" s="754">
        <f>((B51/30)+1)/(1+1/3)</f>
        <v>46.75</v>
      </c>
      <c r="H51" s="754">
        <f>G51/$G$29*0.51</f>
        <v>0.9091481062</v>
      </c>
      <c r="I51" s="755" t="s">
        <v>776</v>
      </c>
    </row>
    <row r="52">
      <c r="A52" s="755" t="s">
        <v>486</v>
      </c>
      <c r="B52" s="755">
        <v>1805.0</v>
      </c>
      <c r="C52" s="755">
        <v>45.0</v>
      </c>
      <c r="D52" s="755">
        <v>1.0</v>
      </c>
      <c r="E52" s="755">
        <v>1.0</v>
      </c>
      <c r="F52" s="755">
        <v>1.0</v>
      </c>
      <c r="G52" s="754">
        <f>((B52/30)+1)/(1+1/3)*1.0596</f>
        <v>48.60915</v>
      </c>
      <c r="H52" s="754">
        <f>G52/$G$29</f>
        <v>1.853535354</v>
      </c>
      <c r="I52" s="755" t="s">
        <v>349</v>
      </c>
    </row>
    <row r="53">
      <c r="A53" s="755" t="s">
        <v>807</v>
      </c>
      <c r="B53" s="755">
        <v>1840.0</v>
      </c>
      <c r="C53" s="755">
        <v>45.0</v>
      </c>
      <c r="D53" s="755">
        <v>1.0</v>
      </c>
      <c r="E53" s="755">
        <v>1.0</v>
      </c>
      <c r="F53" s="755">
        <v>1.0</v>
      </c>
      <c r="G53" s="754">
        <f>((B53/30)+1)/(1+1/3)</f>
        <v>46.75</v>
      </c>
      <c r="H53" s="754">
        <f>G53/$G$29*0.51</f>
        <v>0.9091481062</v>
      </c>
      <c r="I53" s="755" t="s">
        <v>776</v>
      </c>
    </row>
    <row r="54">
      <c r="A54" s="755" t="s">
        <v>469</v>
      </c>
      <c r="B54" s="755">
        <v>1810.0</v>
      </c>
      <c r="C54" s="755">
        <v>30.0</v>
      </c>
      <c r="D54" s="755">
        <v>1.0</v>
      </c>
      <c r="E54" s="755">
        <v>1.0</v>
      </c>
      <c r="F54" s="755">
        <v>1.0</v>
      </c>
      <c r="G54" s="754">
        <f>((B54/30)+1)/(1+1/3)*1.0596</f>
        <v>48.7416</v>
      </c>
      <c r="H54" s="754">
        <f>G54/$G$29</f>
        <v>1.858585859</v>
      </c>
      <c r="I54" s="755" t="s">
        <v>808</v>
      </c>
    </row>
    <row r="55">
      <c r="A55" s="755" t="s">
        <v>809</v>
      </c>
      <c r="B55" s="755">
        <v>1840.0</v>
      </c>
      <c r="C55" s="755">
        <v>30.0</v>
      </c>
      <c r="D55" s="755">
        <v>1.0</v>
      </c>
      <c r="E55" s="755">
        <v>1.0</v>
      </c>
      <c r="F55" s="755">
        <v>1.0</v>
      </c>
      <c r="G55" s="754">
        <f>((B55/30)+1)/(1+1/3)</f>
        <v>46.75</v>
      </c>
      <c r="H55" s="754">
        <f t="shared" ref="H55:H56" si="5">G55/$G$29*0.51</f>
        <v>0.9091481062</v>
      </c>
      <c r="I55" s="755" t="s">
        <v>810</v>
      </c>
    </row>
    <row r="56">
      <c r="G56" s="755">
        <v>45.9741</v>
      </c>
      <c r="H56" s="754">
        <f t="shared" si="5"/>
        <v>0.8940591647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1.38"/>
    <col customWidth="1" min="2" max="2" width="16.75"/>
    <col customWidth="1" min="4" max="4" width="10.88"/>
    <col hidden="1" min="5" max="5" width="12.63"/>
    <col customWidth="1" min="6" max="6" width="19.88"/>
    <col customWidth="1" min="7" max="7" width="17.63"/>
    <col hidden="1" min="8" max="14" width="12.63"/>
    <col customWidth="1" min="15" max="15" width="8.75"/>
    <col customWidth="1" hidden="1" min="16" max="16" width="8.75"/>
    <col customWidth="1" min="17" max="21" width="8.75"/>
    <col hidden="1" min="25" max="25" width="12.63"/>
    <col hidden="1" min="30" max="30" width="12.63"/>
  </cols>
  <sheetData>
    <row r="1">
      <c r="A1" s="758"/>
      <c r="B1" s="564"/>
      <c r="C1" s="564"/>
      <c r="D1" s="564"/>
      <c r="E1" s="564"/>
      <c r="F1" s="564"/>
      <c r="G1" s="564"/>
      <c r="H1" s="564"/>
      <c r="I1" s="564"/>
      <c r="J1" s="564"/>
      <c r="K1" s="564"/>
      <c r="L1" s="564"/>
      <c r="M1" s="564"/>
      <c r="N1" s="564"/>
      <c r="O1" s="564"/>
      <c r="P1" s="564"/>
      <c r="Q1" s="564"/>
      <c r="R1" s="564"/>
      <c r="S1" s="564"/>
      <c r="T1" s="564"/>
      <c r="U1" s="564"/>
      <c r="V1" s="564"/>
      <c r="W1" s="564"/>
      <c r="X1" s="564"/>
      <c r="Y1" s="564"/>
      <c r="Z1" s="564"/>
      <c r="AA1" s="564"/>
      <c r="AB1" s="564"/>
      <c r="AC1" s="503"/>
      <c r="AD1" s="102"/>
    </row>
    <row r="2" ht="54.75" customHeight="1">
      <c r="A2" s="759" t="s">
        <v>811</v>
      </c>
      <c r="B2" s="760"/>
      <c r="C2" s="760"/>
      <c r="D2" s="760"/>
      <c r="E2" s="760"/>
      <c r="F2" s="760"/>
      <c r="G2" s="760"/>
      <c r="H2" s="760"/>
      <c r="I2" s="760"/>
      <c r="J2" s="760"/>
      <c r="K2" s="760"/>
      <c r="L2" s="760"/>
      <c r="M2" s="760"/>
      <c r="N2" s="760"/>
      <c r="O2" s="760"/>
      <c r="P2" s="760"/>
      <c r="Q2" s="760"/>
      <c r="R2" s="760"/>
      <c r="S2" s="760"/>
      <c r="T2" s="760"/>
      <c r="U2" s="760"/>
      <c r="V2" s="760"/>
      <c r="W2" s="760"/>
      <c r="X2" s="760"/>
      <c r="Y2" s="760"/>
      <c r="Z2" s="760"/>
      <c r="AA2" s="760"/>
      <c r="AB2" s="760"/>
      <c r="AC2" s="2"/>
      <c r="AD2" s="102"/>
    </row>
    <row r="3">
      <c r="A3" s="761" t="s">
        <v>812</v>
      </c>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2"/>
      <c r="AD3" s="102"/>
    </row>
    <row r="4">
      <c r="A4" s="762" t="s">
        <v>813</v>
      </c>
      <c r="B4" s="760"/>
      <c r="C4" s="760"/>
      <c r="D4" s="760"/>
      <c r="E4" s="760"/>
      <c r="F4" s="760"/>
      <c r="G4" s="760"/>
      <c r="H4" s="760"/>
      <c r="I4" s="760"/>
      <c r="J4" s="760"/>
      <c r="K4" s="760"/>
      <c r="L4" s="760"/>
      <c r="M4" s="760"/>
      <c r="N4" s="760"/>
      <c r="O4" s="760"/>
      <c r="P4" s="760"/>
      <c r="Q4" s="760"/>
      <c r="R4" s="760"/>
      <c r="S4" s="760"/>
      <c r="T4" s="760"/>
      <c r="U4" s="760"/>
      <c r="V4" s="760"/>
      <c r="W4" s="760"/>
      <c r="X4" s="760"/>
      <c r="Y4" s="760"/>
      <c r="Z4" s="760"/>
      <c r="AA4" s="760"/>
      <c r="AB4" s="760"/>
      <c r="AC4" s="2"/>
      <c r="AD4" s="102"/>
    </row>
    <row r="5" ht="85.5" customHeight="1">
      <c r="A5" s="763" t="s">
        <v>814</v>
      </c>
      <c r="AD5" s="102"/>
    </row>
    <row r="6">
      <c r="A6" s="764" t="s">
        <v>303</v>
      </c>
      <c r="B6" s="764" t="s">
        <v>464</v>
      </c>
      <c r="C6" s="764" t="s">
        <v>306</v>
      </c>
      <c r="D6" s="764" t="s">
        <v>308</v>
      </c>
      <c r="E6" s="764" t="s">
        <v>815</v>
      </c>
      <c r="F6" s="764" t="s">
        <v>816</v>
      </c>
      <c r="G6" s="765" t="s">
        <v>817</v>
      </c>
      <c r="H6" s="766" t="s">
        <v>224</v>
      </c>
      <c r="I6" s="767" t="s">
        <v>226</v>
      </c>
      <c r="J6" s="767" t="s">
        <v>313</v>
      </c>
      <c r="K6" s="767" t="s">
        <v>228</v>
      </c>
      <c r="L6" s="767" t="s">
        <v>232</v>
      </c>
      <c r="M6" s="767" t="s">
        <v>230</v>
      </c>
      <c r="N6" s="767" t="s">
        <v>234</v>
      </c>
      <c r="O6" s="767" t="s">
        <v>818</v>
      </c>
      <c r="P6" s="767"/>
      <c r="Q6" s="767" t="s">
        <v>228</v>
      </c>
      <c r="R6" s="767" t="s">
        <v>232</v>
      </c>
      <c r="S6" s="767" t="s">
        <v>230</v>
      </c>
      <c r="T6" s="768" t="s">
        <v>234</v>
      </c>
      <c r="U6" s="767" t="s">
        <v>590</v>
      </c>
      <c r="V6" s="767" t="s">
        <v>330</v>
      </c>
      <c r="W6" s="767" t="s">
        <v>329</v>
      </c>
      <c r="X6" s="767" t="s">
        <v>591</v>
      </c>
      <c r="Y6" s="767" t="s">
        <v>333</v>
      </c>
      <c r="Z6" s="769" t="s">
        <v>592</v>
      </c>
      <c r="AA6" s="769" t="s">
        <v>593</v>
      </c>
      <c r="AB6" s="769" t="s">
        <v>250</v>
      </c>
      <c r="AC6" s="769" t="s">
        <v>252</v>
      </c>
      <c r="AD6" s="770"/>
    </row>
    <row r="7">
      <c r="A7" s="771" t="s">
        <v>374</v>
      </c>
      <c r="B7" s="771" t="s">
        <v>380</v>
      </c>
      <c r="C7" s="771" t="s">
        <v>355</v>
      </c>
      <c r="D7" s="771" t="s">
        <v>497</v>
      </c>
      <c r="E7" s="772" t="str">
        <f>VLOOKUP(B7,'c_rs OLD'!A3:L12,MATCH(C7,'c_rs OLD'!B2:L2,0)+1,FALSE)</f>
        <v>Precision LFR</v>
      </c>
      <c r="F7" s="771" t="s">
        <v>445</v>
      </c>
      <c r="G7" s="771" t="s">
        <v>819</v>
      </c>
      <c r="H7" s="773">
        <f>VLOOKUP($E7,'Database OLD'!$D$22:$R32,MATCH(H6,'Database OLD'!$I$21:$O$21,0)+5,FALSE)</f>
        <v>26727.75</v>
      </c>
      <c r="I7" s="774">
        <f>H7*IF('Database OLD'!$C$8=TRUE,1.0778,1)</f>
        <v>28807.16895</v>
      </c>
      <c r="J7" s="775">
        <f>VLOOKUP($E7,'Database OLD'!$D$22:$R32,MATCH(J6,'Database OLD'!$I$21:$O$21,0)+5,FALSE)</f>
        <v>3.44</v>
      </c>
      <c r="K7" s="773">
        <f>VLOOKUP($E7,'Database OLD'!$D$22:$R32,MATCH(K6,'Database OLD'!$I$21:$O$21,0)+5,FALSE)</f>
        <v>6</v>
      </c>
      <c r="L7" s="773">
        <f>VLOOKUP($E7,'Database OLD'!$D$22:$R32,MATCH(L6,'Database OLD'!$I$21:$O$21,0)+5,FALSE)</f>
        <v>57</v>
      </c>
      <c r="M7" s="773">
        <f>VLOOKUP($E7,'Database OLD'!$D$22:$R32,MATCH(M6,'Database OLD'!$I$21:$O$21,0)+5,FALSE)</f>
        <v>23</v>
      </c>
      <c r="N7" s="776">
        <f>VLOOKUP($E7,'Database OLD'!$D$22:$R32,MATCH(N6,'Database OLD'!$I$21:$O$21,0)+5,FALSE)</f>
        <v>1.65</v>
      </c>
      <c r="O7" s="773">
        <f>VLOOKUP(G7,'c_rs OLD'!G15:I27,3,FALSE)*IF(AND(D7="Kinetic",A7="Special"),1.15,1)*IF('Database OLD'!C$7=TRUE,VLOOKUP(B7,BuffsDebuffs!$P$8:$X$26,MATCH(D7,BuffsDebuffs!$P$8:$X$8,0),FALSE),1)*VLOOKUP('Database OLD'!$C$2,'scaling OLD'!$A$2:$H$55,8,False)*IF(J7="-",1,(1/J7*(1+((J7-1)*VLOOKUP('Database OLD'!$C$2,'scaling OLD'!$A$2:$H$55,4,False)))))*IF(J7="-",1,VLOOKUP('Database OLD'!$C$2,'scaling OLD'!$A$2:$H$55,5,False))*VLOOKUP('Database OLD'!$C$2,'scaling OLD'!$A$2:$H$55,6,False)</f>
        <v>37449.31964</v>
      </c>
      <c r="P7" s="102"/>
      <c r="Q7" s="773">
        <f>VLOOKUP(F7,'c_rs OLD'!A15:E21,3,FALSE)</f>
        <v>10</v>
      </c>
      <c r="R7" s="773">
        <f>L7</f>
        <v>57</v>
      </c>
      <c r="S7" s="773">
        <f>VLOOKUP(F7,'c_rs OLD'!A15:E21,5,FALSE)</f>
        <v>37</v>
      </c>
      <c r="T7" s="776">
        <f>N7</f>
        <v>1.65</v>
      </c>
      <c r="U7" s="777">
        <f>60/R7*(Q7-1)</f>
        <v>9.473684211</v>
      </c>
      <c r="V7" s="773">
        <f>Q7*O7</f>
        <v>374493.1964</v>
      </c>
      <c r="W7" s="777">
        <f>ROUNDDOWN(S7/Q7,0)*U7+ROUNDDOWN((S7-1)/Q7,0)*T7+Max(0,((S7-ROUNDDOWN(S7/Q7,0)*Q7)-1)*(60/R7))</f>
        <v>39.68684211</v>
      </c>
      <c r="X7" s="773">
        <f>S7*O7</f>
        <v>1385624.826</v>
      </c>
      <c r="Y7" s="774">
        <f>ROUNDDOWN(S7/Q7,0)*V7</f>
        <v>1123479.589</v>
      </c>
      <c r="Z7" s="773">
        <f>IF(ISERROR(V7/U7),"-",V7/U7)</f>
        <v>39529.83739</v>
      </c>
      <c r="AA7" s="773">
        <f>X7/W7</f>
        <v>34913.96022</v>
      </c>
      <c r="AB7" s="773">
        <f>IF(Q7=1,AA7,MAX(AA7,(ROUNDDOWN(S7/Q7,0)*V7)/(ROUNDDOWN(S7/Q7,0)*U7+(ROUNDDOWN(S7/Q7,0)-1)*T7)))</f>
        <v>35417.47502</v>
      </c>
      <c r="AC7" s="773">
        <f>IF(Q7=S7,Z7,V7/(U7+T7))</f>
        <v>33666.2916</v>
      </c>
      <c r="AD7" s="102"/>
    </row>
    <row r="8">
      <c r="A8" s="763" t="s">
        <v>820</v>
      </c>
      <c r="AD8" s="102"/>
    </row>
    <row r="9">
      <c r="AD9" s="102"/>
    </row>
    <row r="10">
      <c r="AD10" s="102"/>
    </row>
    <row r="11" ht="29.25" customHeight="1">
      <c r="AD11" s="102"/>
    </row>
    <row r="12">
      <c r="A12" s="767" t="s">
        <v>303</v>
      </c>
      <c r="B12" s="767" t="s">
        <v>464</v>
      </c>
      <c r="C12" s="767" t="s">
        <v>306</v>
      </c>
      <c r="D12" s="767" t="s">
        <v>308</v>
      </c>
      <c r="E12" s="767" t="s">
        <v>815</v>
      </c>
      <c r="F12" s="767" t="s">
        <v>816</v>
      </c>
      <c r="G12" s="778" t="s">
        <v>817</v>
      </c>
      <c r="H12" s="766" t="s">
        <v>224</v>
      </c>
      <c r="I12" s="767" t="s">
        <v>226</v>
      </c>
      <c r="J12" s="767" t="s">
        <v>313</v>
      </c>
      <c r="K12" s="767" t="s">
        <v>228</v>
      </c>
      <c r="L12" s="767" t="s">
        <v>232</v>
      </c>
      <c r="M12" s="767" t="s">
        <v>230</v>
      </c>
      <c r="N12" s="767" t="s">
        <v>234</v>
      </c>
      <c r="O12" s="767" t="s">
        <v>818</v>
      </c>
      <c r="P12" s="779"/>
      <c r="Q12" s="767" t="s">
        <v>228</v>
      </c>
      <c r="R12" s="767" t="s">
        <v>232</v>
      </c>
      <c r="S12" s="767" t="s">
        <v>230</v>
      </c>
      <c r="T12" s="768" t="s">
        <v>234</v>
      </c>
      <c r="U12" s="767" t="s">
        <v>590</v>
      </c>
      <c r="V12" s="767" t="s">
        <v>330</v>
      </c>
      <c r="W12" s="767" t="s">
        <v>329</v>
      </c>
      <c r="X12" s="767" t="s">
        <v>591</v>
      </c>
      <c r="Y12" s="767" t="s">
        <v>333</v>
      </c>
      <c r="Z12" s="769" t="s">
        <v>592</v>
      </c>
      <c r="AA12" s="769" t="s">
        <v>593</v>
      </c>
      <c r="AB12" s="769" t="s">
        <v>250</v>
      </c>
      <c r="AC12" s="769" t="s">
        <v>252</v>
      </c>
      <c r="AD12" s="770"/>
    </row>
    <row r="13">
      <c r="A13" s="780" t="s">
        <v>374</v>
      </c>
      <c r="B13" s="780" t="s">
        <v>380</v>
      </c>
      <c r="C13" s="780" t="s">
        <v>347</v>
      </c>
      <c r="D13" s="780" t="s">
        <v>485</v>
      </c>
      <c r="E13" s="101" t="s">
        <v>685</v>
      </c>
      <c r="F13" s="780" t="s">
        <v>454</v>
      </c>
      <c r="G13" s="781" t="s">
        <v>562</v>
      </c>
      <c r="H13" s="773">
        <v>38064.6</v>
      </c>
      <c r="I13" s="774">
        <v>41026.02588</v>
      </c>
      <c r="J13" s="775">
        <v>3.44</v>
      </c>
      <c r="K13" s="773">
        <v>6.0</v>
      </c>
      <c r="L13" s="773">
        <v>41.0</v>
      </c>
      <c r="M13" s="773">
        <v>23.0</v>
      </c>
      <c r="N13" s="776">
        <v>1.65</v>
      </c>
      <c r="O13" s="773">
        <v>45128.628468</v>
      </c>
      <c r="P13" s="782"/>
      <c r="Q13" s="783">
        <v>6.0</v>
      </c>
      <c r="R13" s="773">
        <v>41.0</v>
      </c>
      <c r="S13" s="783">
        <v>26.0</v>
      </c>
      <c r="T13" s="784">
        <v>1.65</v>
      </c>
      <c r="U13" s="777">
        <v>7.317073170731707</v>
      </c>
      <c r="V13" s="773">
        <v>270771.770808</v>
      </c>
      <c r="W13" s="777">
        <v>37.33170731707317</v>
      </c>
      <c r="X13" s="773">
        <v>1173344.340168</v>
      </c>
      <c r="Y13" s="774">
        <v>1083087.083232</v>
      </c>
      <c r="Z13" s="773">
        <v>37005.47534376</v>
      </c>
      <c r="AA13" s="773">
        <v>31430.235167181498</v>
      </c>
      <c r="AB13" s="773">
        <v>31652.282984077836</v>
      </c>
      <c r="AC13" s="773">
        <v>30196.226310697675</v>
      </c>
      <c r="AD13" s="102"/>
    </row>
    <row r="14">
      <c r="A14" s="780" t="s">
        <v>374</v>
      </c>
      <c r="B14" s="780" t="s">
        <v>380</v>
      </c>
      <c r="C14" s="780" t="s">
        <v>347</v>
      </c>
      <c r="D14" s="780" t="s">
        <v>490</v>
      </c>
      <c r="E14" s="101" t="s">
        <v>685</v>
      </c>
      <c r="F14" s="780" t="s">
        <v>446</v>
      </c>
      <c r="G14" s="781" t="s">
        <v>520</v>
      </c>
      <c r="H14" s="783">
        <v>38064.6</v>
      </c>
      <c r="I14" s="785">
        <v>41026.02588</v>
      </c>
      <c r="J14" s="786">
        <v>3.44</v>
      </c>
      <c r="K14" s="783">
        <v>6.0</v>
      </c>
      <c r="L14" s="783">
        <v>41.0</v>
      </c>
      <c r="M14" s="783">
        <v>23.0</v>
      </c>
      <c r="N14" s="784">
        <v>1.65</v>
      </c>
      <c r="O14" s="773">
        <v>49231.231056</v>
      </c>
      <c r="P14" s="782"/>
      <c r="Q14" s="783">
        <v>11.0</v>
      </c>
      <c r="R14" s="783">
        <v>41.0</v>
      </c>
      <c r="S14" s="783">
        <v>23.0</v>
      </c>
      <c r="T14" s="784">
        <v>1.65</v>
      </c>
      <c r="U14" s="777">
        <v>14.634146341463413</v>
      </c>
      <c r="V14" s="773">
        <v>541543.541616</v>
      </c>
      <c r="W14" s="777">
        <v>32.568292682926824</v>
      </c>
      <c r="X14" s="773">
        <v>1132318.3142879999</v>
      </c>
      <c r="Y14" s="774">
        <v>1083087.083232</v>
      </c>
      <c r="Z14" s="773">
        <v>37005.47534376</v>
      </c>
      <c r="AA14" s="773">
        <v>34767.50609286902</v>
      </c>
      <c r="AB14" s="773">
        <v>35030.623920255595</v>
      </c>
      <c r="AC14" s="773">
        <v>33255.87539317906</v>
      </c>
      <c r="AD14" s="102"/>
    </row>
    <row r="15">
      <c r="A15" s="780" t="s">
        <v>374</v>
      </c>
      <c r="B15" s="780" t="s">
        <v>380</v>
      </c>
      <c r="C15" s="780" t="s">
        <v>355</v>
      </c>
      <c r="D15" s="780" t="s">
        <v>497</v>
      </c>
      <c r="E15" s="101" t="s">
        <v>698</v>
      </c>
      <c r="F15" s="780" t="s">
        <v>445</v>
      </c>
      <c r="G15" s="781" t="s">
        <v>819</v>
      </c>
      <c r="H15" s="783">
        <v>26727.75</v>
      </c>
      <c r="I15" s="785">
        <v>28807.168950000003</v>
      </c>
      <c r="J15" s="786">
        <v>3.44</v>
      </c>
      <c r="K15" s="783">
        <v>6.0</v>
      </c>
      <c r="L15" s="783">
        <v>57.0</v>
      </c>
      <c r="M15" s="783">
        <v>23.0</v>
      </c>
      <c r="N15" s="784">
        <v>1.65</v>
      </c>
      <c r="O15" s="773">
        <v>37449.31963500001</v>
      </c>
      <c r="P15" s="782"/>
      <c r="Q15" s="783">
        <v>10.0</v>
      </c>
      <c r="R15" s="783">
        <v>57.0</v>
      </c>
      <c r="S15" s="783">
        <v>37.0</v>
      </c>
      <c r="T15" s="784">
        <v>1.65</v>
      </c>
      <c r="U15" s="777">
        <v>9.473684210526315</v>
      </c>
      <c r="V15" s="773">
        <v>374493.1963500001</v>
      </c>
      <c r="W15" s="777">
        <v>39.68684210526316</v>
      </c>
      <c r="X15" s="773">
        <v>1385624.8264950002</v>
      </c>
      <c r="Y15" s="774">
        <v>1123479.5890500003</v>
      </c>
      <c r="Z15" s="773">
        <v>39529.83739250001</v>
      </c>
      <c r="AA15" s="773">
        <v>34913.96021935548</v>
      </c>
      <c r="AB15" s="773">
        <v>35417.475015679454</v>
      </c>
      <c r="AC15" s="773">
        <v>33666.291604684186</v>
      </c>
      <c r="AD15" s="102"/>
    </row>
    <row r="16">
      <c r="A16" s="101"/>
      <c r="B16" s="101"/>
      <c r="C16" s="101"/>
      <c r="D16" s="101"/>
      <c r="E16" s="101"/>
      <c r="F16" s="101"/>
      <c r="G16" s="787"/>
      <c r="H16" s="782"/>
      <c r="I16" s="782"/>
      <c r="J16" s="782"/>
      <c r="K16" s="782"/>
      <c r="L16" s="782"/>
      <c r="M16" s="782"/>
      <c r="N16" s="782"/>
      <c r="O16" s="773"/>
      <c r="P16" s="782"/>
      <c r="Q16" s="782"/>
      <c r="R16" s="782"/>
      <c r="S16" s="782"/>
      <c r="T16" s="784"/>
      <c r="U16" s="777"/>
      <c r="V16" s="773"/>
      <c r="W16" s="777"/>
      <c r="X16" s="773"/>
      <c r="Y16" s="774"/>
      <c r="Z16" s="773"/>
      <c r="AA16" s="773"/>
      <c r="AB16" s="773"/>
      <c r="AC16" s="773"/>
      <c r="AD16" s="102"/>
    </row>
    <row r="17">
      <c r="A17" s="101"/>
      <c r="B17" s="101"/>
      <c r="C17" s="101"/>
      <c r="D17" s="101"/>
      <c r="E17" s="101"/>
      <c r="F17" s="101"/>
      <c r="G17" s="787"/>
      <c r="H17" s="782"/>
      <c r="I17" s="782"/>
      <c r="J17" s="782"/>
      <c r="K17" s="782"/>
      <c r="L17" s="782"/>
      <c r="M17" s="782"/>
      <c r="N17" s="782"/>
      <c r="O17" s="773"/>
      <c r="P17" s="782"/>
      <c r="Q17" s="782"/>
      <c r="R17" s="782"/>
      <c r="S17" s="782"/>
      <c r="T17" s="784"/>
      <c r="U17" s="777"/>
      <c r="V17" s="773"/>
      <c r="W17" s="777"/>
      <c r="X17" s="773"/>
      <c r="Y17" s="774"/>
      <c r="Z17" s="773"/>
      <c r="AA17" s="773"/>
      <c r="AB17" s="773"/>
      <c r="AC17" s="773"/>
      <c r="AD17" s="102"/>
    </row>
    <row r="18">
      <c r="A18" s="101"/>
      <c r="B18" s="101"/>
      <c r="C18" s="101"/>
      <c r="D18" s="101"/>
      <c r="E18" s="101"/>
      <c r="F18" s="101"/>
      <c r="G18" s="787"/>
      <c r="H18" s="782"/>
      <c r="I18" s="782"/>
      <c r="J18" s="782"/>
      <c r="K18" s="782"/>
      <c r="L18" s="782"/>
      <c r="M18" s="782"/>
      <c r="N18" s="782"/>
      <c r="O18" s="773"/>
      <c r="P18" s="782"/>
      <c r="Q18" s="782"/>
      <c r="R18" s="782"/>
      <c r="S18" s="782"/>
      <c r="T18" s="784"/>
      <c r="U18" s="777"/>
      <c r="V18" s="773"/>
      <c r="W18" s="777"/>
      <c r="X18" s="773"/>
      <c r="Y18" s="774"/>
      <c r="Z18" s="773"/>
      <c r="AA18" s="773"/>
      <c r="AB18" s="773"/>
      <c r="AC18" s="773"/>
      <c r="AD18" s="102"/>
    </row>
    <row r="19">
      <c r="A19" s="101"/>
      <c r="B19" s="101"/>
      <c r="C19" s="101"/>
      <c r="D19" s="101"/>
      <c r="E19" s="101"/>
      <c r="F19" s="101"/>
      <c r="G19" s="787"/>
      <c r="H19" s="782"/>
      <c r="I19" s="782"/>
      <c r="J19" s="782"/>
      <c r="K19" s="782"/>
      <c r="L19" s="782"/>
      <c r="M19" s="782"/>
      <c r="N19" s="782"/>
      <c r="O19" s="773"/>
      <c r="P19" s="782"/>
      <c r="Q19" s="782"/>
      <c r="R19" s="782"/>
      <c r="S19" s="782"/>
      <c r="T19" s="784"/>
      <c r="U19" s="777"/>
      <c r="V19" s="773"/>
      <c r="W19" s="777"/>
      <c r="X19" s="773"/>
      <c r="Y19" s="774"/>
      <c r="Z19" s="773"/>
      <c r="AA19" s="773"/>
      <c r="AB19" s="773"/>
      <c r="AC19" s="773"/>
      <c r="AD19" s="102"/>
    </row>
    <row r="20">
      <c r="A20" s="101"/>
      <c r="B20" s="101"/>
      <c r="C20" s="101"/>
      <c r="D20" s="101"/>
      <c r="E20" s="101"/>
      <c r="F20" s="101"/>
      <c r="G20" s="787"/>
      <c r="H20" s="782"/>
      <c r="I20" s="782"/>
      <c r="J20" s="782"/>
      <c r="K20" s="782"/>
      <c r="L20" s="782"/>
      <c r="M20" s="782"/>
      <c r="N20" s="782"/>
      <c r="O20" s="773"/>
      <c r="P20" s="782"/>
      <c r="Q20" s="782"/>
      <c r="R20" s="782"/>
      <c r="S20" s="782"/>
      <c r="T20" s="784"/>
      <c r="U20" s="777"/>
      <c r="V20" s="773"/>
      <c r="W20" s="777"/>
      <c r="X20" s="773"/>
      <c r="Y20" s="774"/>
      <c r="Z20" s="773"/>
      <c r="AA20" s="773"/>
      <c r="AB20" s="773"/>
      <c r="AC20" s="773"/>
      <c r="AD20" s="102"/>
    </row>
    <row r="21">
      <c r="A21" s="101"/>
      <c r="B21" s="101"/>
      <c r="C21" s="101"/>
      <c r="D21" s="101"/>
      <c r="E21" s="101"/>
      <c r="F21" s="101"/>
      <c r="G21" s="787"/>
      <c r="H21" s="782"/>
      <c r="I21" s="782"/>
      <c r="J21" s="782"/>
      <c r="K21" s="782"/>
      <c r="L21" s="782"/>
      <c r="M21" s="782"/>
      <c r="N21" s="782"/>
      <c r="O21" s="773"/>
      <c r="P21" s="782"/>
      <c r="Q21" s="782"/>
      <c r="R21" s="782"/>
      <c r="S21" s="782"/>
      <c r="T21" s="784"/>
      <c r="U21" s="777"/>
      <c r="V21" s="773"/>
      <c r="W21" s="777"/>
      <c r="X21" s="773"/>
      <c r="Y21" s="774"/>
      <c r="Z21" s="773"/>
      <c r="AA21" s="773"/>
      <c r="AB21" s="773"/>
      <c r="AC21" s="773"/>
      <c r="AD21" s="102"/>
    </row>
    <row r="22">
      <c r="A22" s="101"/>
      <c r="B22" s="101"/>
      <c r="C22" s="101"/>
      <c r="D22" s="101"/>
      <c r="E22" s="101"/>
      <c r="F22" s="101"/>
      <c r="G22" s="787"/>
      <c r="H22" s="782"/>
      <c r="I22" s="782"/>
      <c r="J22" s="782"/>
      <c r="K22" s="782"/>
      <c r="L22" s="782"/>
      <c r="M22" s="782"/>
      <c r="N22" s="782"/>
      <c r="O22" s="773"/>
      <c r="P22" s="782"/>
      <c r="Q22" s="782"/>
      <c r="R22" s="782"/>
      <c r="S22" s="782"/>
      <c r="T22" s="784"/>
      <c r="U22" s="777"/>
      <c r="V22" s="773"/>
      <c r="W22" s="777"/>
      <c r="X22" s="773"/>
      <c r="Y22" s="774"/>
      <c r="Z22" s="773"/>
      <c r="AA22" s="773"/>
      <c r="AB22" s="773"/>
      <c r="AC22" s="773"/>
      <c r="AD22" s="102"/>
    </row>
    <row r="23">
      <c r="A23" s="101"/>
      <c r="B23" s="101"/>
      <c r="C23" s="101"/>
      <c r="D23" s="101"/>
      <c r="E23" s="101"/>
      <c r="F23" s="101"/>
      <c r="G23" s="787"/>
      <c r="H23" s="782"/>
      <c r="I23" s="782"/>
      <c r="J23" s="782"/>
      <c r="K23" s="782"/>
      <c r="L23" s="782"/>
      <c r="M23" s="782"/>
      <c r="N23" s="782"/>
      <c r="O23" s="773"/>
      <c r="P23" s="782"/>
      <c r="Q23" s="782"/>
      <c r="R23" s="782"/>
      <c r="S23" s="782"/>
      <c r="T23" s="784"/>
      <c r="U23" s="777"/>
      <c r="V23" s="773"/>
      <c r="W23" s="777"/>
      <c r="X23" s="773"/>
      <c r="Y23" s="774"/>
      <c r="Z23" s="773"/>
      <c r="AA23" s="773"/>
      <c r="AB23" s="773"/>
      <c r="AC23" s="773"/>
      <c r="AD23" s="102"/>
    </row>
    <row r="24">
      <c r="A24" s="101"/>
      <c r="B24" s="101"/>
      <c r="C24" s="101"/>
      <c r="D24" s="101"/>
      <c r="E24" s="101"/>
      <c r="F24" s="101"/>
      <c r="G24" s="787"/>
      <c r="H24" s="782"/>
      <c r="I24" s="782"/>
      <c r="J24" s="782"/>
      <c r="K24" s="782"/>
      <c r="L24" s="782"/>
      <c r="M24" s="782"/>
      <c r="N24" s="782"/>
      <c r="O24" s="773"/>
      <c r="P24" s="782"/>
      <c r="Q24" s="782"/>
      <c r="R24" s="782"/>
      <c r="S24" s="782"/>
      <c r="T24" s="784"/>
      <c r="U24" s="777"/>
      <c r="V24" s="773"/>
      <c r="W24" s="777"/>
      <c r="X24" s="773"/>
      <c r="Y24" s="774"/>
      <c r="Z24" s="773"/>
      <c r="AA24" s="773"/>
      <c r="AB24" s="773"/>
      <c r="AC24" s="773"/>
      <c r="AD24" s="102"/>
    </row>
    <row r="25">
      <c r="A25" s="101"/>
      <c r="B25" s="101"/>
      <c r="C25" s="101"/>
      <c r="D25" s="101"/>
      <c r="E25" s="101"/>
      <c r="F25" s="101"/>
      <c r="G25" s="787"/>
      <c r="H25" s="782"/>
      <c r="I25" s="782"/>
      <c r="J25" s="782"/>
      <c r="K25" s="782"/>
      <c r="L25" s="782"/>
      <c r="M25" s="782"/>
      <c r="N25" s="782"/>
      <c r="O25" s="773"/>
      <c r="P25" s="782"/>
      <c r="Q25" s="782"/>
      <c r="R25" s="782"/>
      <c r="S25" s="782"/>
      <c r="T25" s="784"/>
      <c r="U25" s="777"/>
      <c r="V25" s="773"/>
      <c r="W25" s="777"/>
      <c r="X25" s="773"/>
      <c r="Y25" s="774"/>
      <c r="Z25" s="773"/>
      <c r="AA25" s="773"/>
      <c r="AB25" s="773"/>
      <c r="AC25" s="773"/>
      <c r="AD25" s="102"/>
    </row>
    <row r="26">
      <c r="A26" s="101"/>
      <c r="B26" s="101"/>
      <c r="C26" s="101"/>
      <c r="D26" s="101"/>
      <c r="E26" s="101"/>
      <c r="F26" s="101"/>
      <c r="G26" s="787"/>
      <c r="H26" s="782"/>
      <c r="I26" s="782"/>
      <c r="J26" s="782"/>
      <c r="K26" s="782"/>
      <c r="L26" s="782"/>
      <c r="M26" s="782"/>
      <c r="N26" s="782"/>
      <c r="O26" s="773"/>
      <c r="P26" s="782"/>
      <c r="Q26" s="782"/>
      <c r="R26" s="782"/>
      <c r="S26" s="782"/>
      <c r="T26" s="784"/>
      <c r="U26" s="777"/>
      <c r="V26" s="773"/>
      <c r="W26" s="777"/>
      <c r="X26" s="773"/>
      <c r="Y26" s="774"/>
      <c r="Z26" s="773"/>
      <c r="AA26" s="773"/>
      <c r="AB26" s="773"/>
      <c r="AC26" s="773"/>
      <c r="AD26" s="102"/>
    </row>
    <row r="27">
      <c r="A27" s="101"/>
      <c r="B27" s="101"/>
      <c r="C27" s="101"/>
      <c r="D27" s="101"/>
      <c r="E27" s="101"/>
      <c r="F27" s="101"/>
      <c r="G27" s="787"/>
      <c r="H27" s="782"/>
      <c r="I27" s="782"/>
      <c r="J27" s="782"/>
      <c r="K27" s="782"/>
      <c r="L27" s="782"/>
      <c r="M27" s="782"/>
      <c r="N27" s="782"/>
      <c r="O27" s="773"/>
      <c r="P27" s="782"/>
      <c r="Q27" s="782"/>
      <c r="R27" s="782"/>
      <c r="S27" s="782"/>
      <c r="T27" s="784"/>
      <c r="U27" s="777"/>
      <c r="V27" s="773"/>
      <c r="W27" s="777"/>
      <c r="X27" s="773"/>
      <c r="Y27" s="774"/>
      <c r="Z27" s="773"/>
      <c r="AA27" s="773"/>
      <c r="AB27" s="773"/>
      <c r="AC27" s="773"/>
      <c r="AD27" s="102"/>
    </row>
    <row r="28">
      <c r="A28" s="101"/>
      <c r="B28" s="101"/>
      <c r="C28" s="101"/>
      <c r="D28" s="101"/>
      <c r="E28" s="101"/>
      <c r="F28" s="101"/>
      <c r="G28" s="787"/>
      <c r="H28" s="782"/>
      <c r="I28" s="782"/>
      <c r="J28" s="782"/>
      <c r="K28" s="782"/>
      <c r="L28" s="782"/>
      <c r="M28" s="782"/>
      <c r="N28" s="782"/>
      <c r="O28" s="773"/>
      <c r="P28" s="782"/>
      <c r="Q28" s="782"/>
      <c r="R28" s="782"/>
      <c r="S28" s="782"/>
      <c r="T28" s="784"/>
      <c r="U28" s="777"/>
      <c r="V28" s="773"/>
      <c r="W28" s="777"/>
      <c r="X28" s="773"/>
      <c r="Y28" s="774"/>
      <c r="Z28" s="773"/>
      <c r="AA28" s="773"/>
      <c r="AB28" s="773"/>
      <c r="AC28" s="773"/>
      <c r="AD28" s="102"/>
    </row>
    <row r="29">
      <c r="A29" s="101"/>
      <c r="B29" s="101"/>
      <c r="C29" s="101"/>
      <c r="D29" s="101"/>
      <c r="E29" s="101"/>
      <c r="F29" s="101"/>
      <c r="G29" s="787"/>
      <c r="H29" s="782"/>
      <c r="I29" s="782"/>
      <c r="J29" s="782"/>
      <c r="K29" s="782"/>
      <c r="L29" s="782"/>
      <c r="M29" s="782"/>
      <c r="N29" s="782"/>
      <c r="O29" s="773"/>
      <c r="P29" s="782"/>
      <c r="Q29" s="782"/>
      <c r="R29" s="782"/>
      <c r="S29" s="782"/>
      <c r="T29" s="784"/>
      <c r="U29" s="777"/>
      <c r="V29" s="773"/>
      <c r="W29" s="777"/>
      <c r="X29" s="773"/>
      <c r="Y29" s="774"/>
      <c r="Z29" s="773"/>
      <c r="AA29" s="773"/>
      <c r="AB29" s="773"/>
      <c r="AC29" s="773"/>
      <c r="AD29" s="102"/>
    </row>
    <row r="30">
      <c r="A30" s="101"/>
      <c r="B30" s="101"/>
      <c r="C30" s="101"/>
      <c r="D30" s="101"/>
      <c r="E30" s="101"/>
      <c r="F30" s="101"/>
      <c r="G30" s="787"/>
      <c r="H30" s="782"/>
      <c r="I30" s="782"/>
      <c r="J30" s="782"/>
      <c r="K30" s="782"/>
      <c r="L30" s="782"/>
      <c r="M30" s="782"/>
      <c r="N30" s="782"/>
      <c r="O30" s="773"/>
      <c r="P30" s="782"/>
      <c r="Q30" s="782"/>
      <c r="R30" s="782"/>
      <c r="S30" s="782"/>
      <c r="T30" s="784"/>
      <c r="U30" s="777"/>
      <c r="V30" s="773"/>
      <c r="W30" s="777"/>
      <c r="X30" s="773"/>
      <c r="Y30" s="774"/>
      <c r="Z30" s="773"/>
      <c r="AA30" s="773"/>
      <c r="AB30" s="773"/>
      <c r="AC30" s="773"/>
      <c r="AD30" s="102"/>
    </row>
    <row r="31">
      <c r="A31" s="101"/>
      <c r="B31" s="101"/>
      <c r="C31" s="101"/>
      <c r="D31" s="101"/>
      <c r="E31" s="101"/>
      <c r="F31" s="101"/>
      <c r="G31" s="787"/>
      <c r="H31" s="782"/>
      <c r="I31" s="782"/>
      <c r="J31" s="782"/>
      <c r="K31" s="782"/>
      <c r="L31" s="782"/>
      <c r="M31" s="782"/>
      <c r="N31" s="782"/>
      <c r="O31" s="773"/>
      <c r="P31" s="782"/>
      <c r="Q31" s="782"/>
      <c r="R31" s="782"/>
      <c r="S31" s="782"/>
      <c r="T31" s="784"/>
      <c r="U31" s="777"/>
      <c r="V31" s="773"/>
      <c r="W31" s="777"/>
      <c r="X31" s="773"/>
      <c r="Y31" s="774"/>
      <c r="Z31" s="773"/>
      <c r="AA31" s="773"/>
      <c r="AB31" s="773"/>
      <c r="AC31" s="773"/>
      <c r="AD31" s="102"/>
    </row>
    <row r="32">
      <c r="A32" s="101"/>
      <c r="B32" s="101"/>
      <c r="C32" s="101"/>
      <c r="D32" s="101"/>
      <c r="E32" s="101"/>
      <c r="F32" s="101"/>
      <c r="G32" s="787"/>
      <c r="H32" s="782"/>
      <c r="I32" s="782"/>
      <c r="J32" s="782"/>
      <c r="K32" s="782"/>
      <c r="L32" s="782"/>
      <c r="M32" s="782"/>
      <c r="N32" s="782"/>
      <c r="O32" s="773"/>
      <c r="P32" s="782"/>
      <c r="Q32" s="782"/>
      <c r="R32" s="782"/>
      <c r="S32" s="782"/>
      <c r="T32" s="784"/>
      <c r="U32" s="777"/>
      <c r="V32" s="773"/>
      <c r="W32" s="777"/>
      <c r="X32" s="773"/>
      <c r="Y32" s="774"/>
      <c r="Z32" s="773"/>
      <c r="AA32" s="773"/>
      <c r="AB32" s="773"/>
      <c r="AC32" s="773"/>
      <c r="AD32" s="102"/>
    </row>
  </sheetData>
  <mergeCells count="6">
    <mergeCell ref="A1:AC1"/>
    <mergeCell ref="A2:AC2"/>
    <mergeCell ref="A3:AC3"/>
    <mergeCell ref="A4:AC4"/>
    <mergeCell ref="A5:AC5"/>
    <mergeCell ref="A8:AC11"/>
  </mergeCells>
  <dataValidations>
    <dataValidation type="list" allowBlank="1" sqref="C7">
      <formula1>'c_rs OLD'!$B$2:$L$2</formula1>
    </dataValidation>
    <dataValidation type="list" allowBlank="1" sqref="D7">
      <formula1>'c_rs OLD'!$N$3:$N$8</formula1>
    </dataValidation>
    <dataValidation type="list" allowBlank="1" sqref="A7">
      <formula1>'c_rs OLD'!$M$3:$M$4</formula1>
    </dataValidation>
    <dataValidation type="list" allowBlank="1" sqref="F7">
      <formula1>'c_rs OLD'!$A$15:$A$21</formula1>
    </dataValidation>
    <dataValidation type="list" allowBlank="1" sqref="B7">
      <formula1>'c_rs OLD'!$A$3:$A$12</formula1>
    </dataValidation>
    <dataValidation type="list" allowBlank="1" sqref="G7">
      <formula1>'c_rs OLD'!$G$15:$G$28</formula1>
    </dataValidation>
  </dataValidations>
  <hyperlinks>
    <hyperlink r:id="rId1" ref="A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2.0"/>
    <col customWidth="1" min="2" max="2" width="2.75"/>
    <col customWidth="1" min="3" max="3" width="20.38"/>
    <col customWidth="1" min="4" max="4" width="18.88"/>
    <col customWidth="1" min="5" max="5" width="25.13"/>
    <col customWidth="1" min="6" max="7" width="5.88"/>
    <col customWidth="1" min="8" max="8" width="3.75"/>
    <col customWidth="1" min="9" max="9" width="4.0"/>
    <col customWidth="1" min="10" max="10" width="17.38"/>
    <col customWidth="1" min="11" max="11" width="28.5"/>
    <col customWidth="1" min="12" max="12" width="2.25"/>
    <col customWidth="1" min="13" max="13" width="4.38"/>
    <col customWidth="1" hidden="1" min="14" max="14" width="6.38"/>
    <col customWidth="1" min="15" max="15" width="2.75"/>
    <col customWidth="1" min="16" max="16" width="14.5"/>
    <col customWidth="1" min="17" max="17" width="6.38"/>
    <col customWidth="1" min="18" max="19" width="9.5"/>
    <col customWidth="1" min="20" max="20" width="2.75"/>
    <col customWidth="1" min="21" max="21" width="6.88"/>
    <col customWidth="1" min="22" max="24" width="9.5"/>
    <col customWidth="1" min="25" max="25" width="2.75"/>
    <col customWidth="1" min="26" max="26" width="3.5"/>
    <col customWidth="1" hidden="1" min="27" max="27" width="19.5"/>
    <col customWidth="1" hidden="1" min="28" max="28" width="6.38"/>
    <col customWidth="1" min="29" max="29" width="2.0"/>
  </cols>
  <sheetData>
    <row r="1" ht="11.25" customHeight="1">
      <c r="A1" s="788"/>
      <c r="B1" s="789"/>
      <c r="K1" s="790"/>
      <c r="L1" s="791"/>
      <c r="M1" s="792" t="s">
        <v>821</v>
      </c>
      <c r="N1" s="793"/>
      <c r="O1" s="794"/>
      <c r="P1" s="794"/>
      <c r="Q1" s="794"/>
      <c r="R1" s="794"/>
      <c r="S1" s="794"/>
      <c r="T1" s="794"/>
      <c r="U1" s="794"/>
      <c r="V1" s="795"/>
      <c r="W1" s="795"/>
      <c r="X1" s="795"/>
      <c r="Y1" s="795"/>
      <c r="Z1" s="793"/>
      <c r="AA1" s="796" t="s">
        <v>348</v>
      </c>
      <c r="AB1" s="797"/>
      <c r="AC1" s="798"/>
    </row>
    <row r="2" ht="15.75" customHeight="1">
      <c r="B2" s="799" t="s">
        <v>822</v>
      </c>
      <c r="C2" s="800"/>
      <c r="D2" s="800"/>
      <c r="E2" s="800"/>
      <c r="F2" s="800"/>
      <c r="G2" s="800"/>
      <c r="H2" s="800"/>
      <c r="I2" s="800"/>
      <c r="J2" s="800"/>
      <c r="K2" s="801"/>
      <c r="L2" s="802"/>
      <c r="M2" s="803"/>
      <c r="N2" s="804"/>
      <c r="O2" s="805"/>
      <c r="P2" s="806"/>
      <c r="Q2" s="806"/>
      <c r="R2" s="806"/>
      <c r="S2" s="806"/>
      <c r="T2" s="805"/>
      <c r="U2" s="805"/>
      <c r="V2" s="805"/>
      <c r="W2" s="805"/>
      <c r="X2" s="805"/>
      <c r="Y2" s="805"/>
      <c r="Z2" s="807"/>
      <c r="AA2" s="808" t="s">
        <v>823</v>
      </c>
      <c r="AB2" s="809" t="s">
        <v>494</v>
      </c>
      <c r="AC2" s="809"/>
    </row>
    <row r="3" ht="15.75" customHeight="1">
      <c r="B3" s="810"/>
      <c r="C3" s="811" t="s">
        <v>824</v>
      </c>
      <c r="D3" s="564"/>
      <c r="E3" s="811" t="s">
        <v>825</v>
      </c>
      <c r="F3" s="812" t="s">
        <v>826</v>
      </c>
      <c r="G3" s="813" t="s">
        <v>827</v>
      </c>
      <c r="H3" s="814" t="s">
        <v>828</v>
      </c>
      <c r="I3" s="814" t="s">
        <v>829</v>
      </c>
      <c r="J3" s="811" t="s">
        <v>830</v>
      </c>
      <c r="K3" s="815" t="s">
        <v>831</v>
      </c>
      <c r="L3" s="802"/>
      <c r="M3" s="803"/>
      <c r="N3" s="816"/>
      <c r="O3" s="817" t="s">
        <v>832</v>
      </c>
      <c r="P3" s="818"/>
      <c r="Q3" s="819"/>
      <c r="R3" s="820" t="s">
        <v>827</v>
      </c>
      <c r="S3" s="821" t="s">
        <v>826</v>
      </c>
      <c r="T3" s="822"/>
      <c r="U3" s="823"/>
      <c r="V3" s="824"/>
      <c r="W3" s="824"/>
      <c r="X3" s="825"/>
      <c r="Y3" s="805"/>
      <c r="Z3" s="807"/>
      <c r="AA3" s="808" t="s">
        <v>833</v>
      </c>
      <c r="AB3" s="809" t="s">
        <v>497</v>
      </c>
      <c r="AC3" s="809"/>
    </row>
    <row r="4" ht="15.75" customHeight="1">
      <c r="B4" s="826" t="b">
        <v>1</v>
      </c>
      <c r="C4" s="827" t="s">
        <v>834</v>
      </c>
      <c r="E4" s="828" t="s">
        <v>835</v>
      </c>
      <c r="F4" s="829">
        <v>0.3</v>
      </c>
      <c r="G4" s="830">
        <f t="shared" ref="G4:G8" si="1">IF(B4=TRUE,1+1*F4,1)</f>
        <v>1.3</v>
      </c>
      <c r="H4" s="831" t="s">
        <v>827</v>
      </c>
      <c r="I4" s="831" t="s">
        <v>827</v>
      </c>
      <c r="J4" s="832" t="s">
        <v>832</v>
      </c>
      <c r="K4" s="833"/>
      <c r="L4" s="802"/>
      <c r="M4" s="803"/>
      <c r="N4" s="816"/>
      <c r="O4" s="834"/>
      <c r="P4" s="835" t="s">
        <v>824</v>
      </c>
      <c r="Q4" s="836"/>
      <c r="R4" s="837">
        <f>MAX($G$4:$G$8)</f>
        <v>1.3</v>
      </c>
      <c r="S4" s="838">
        <f t="shared" ref="S4:S6" si="2">R4-1</f>
        <v>0.3</v>
      </c>
      <c r="T4" s="822"/>
      <c r="U4" s="834"/>
      <c r="X4" s="790"/>
      <c r="Y4" s="805"/>
      <c r="Z4" s="807"/>
      <c r="AA4" s="808" t="s">
        <v>836</v>
      </c>
      <c r="AB4" s="809" t="s">
        <v>500</v>
      </c>
      <c r="AC4" s="809"/>
    </row>
    <row r="5" ht="15.75" customHeight="1">
      <c r="B5" s="826" t="b">
        <v>0</v>
      </c>
      <c r="C5" s="827" t="s">
        <v>729</v>
      </c>
      <c r="E5" s="828" t="s">
        <v>837</v>
      </c>
      <c r="F5" s="829">
        <v>0.3</v>
      </c>
      <c r="G5" s="830">
        <f t="shared" si="1"/>
        <v>1</v>
      </c>
      <c r="H5" s="831" t="s">
        <v>827</v>
      </c>
      <c r="I5" s="831" t="s">
        <v>827</v>
      </c>
      <c r="J5" s="832" t="s">
        <v>832</v>
      </c>
      <c r="K5" s="833"/>
      <c r="L5" s="802"/>
      <c r="M5" s="803"/>
      <c r="N5" s="807"/>
      <c r="O5" s="834"/>
      <c r="P5" s="835" t="s">
        <v>838</v>
      </c>
      <c r="Q5" s="836"/>
      <c r="R5" s="837">
        <f>MAX($G$13:$G$17)</f>
        <v>1.25</v>
      </c>
      <c r="S5" s="838">
        <f t="shared" si="2"/>
        <v>0.25</v>
      </c>
      <c r="T5" s="822"/>
      <c r="U5" s="834"/>
      <c r="X5" s="790"/>
      <c r="Y5" s="805"/>
      <c r="Z5" s="807"/>
      <c r="AA5" s="808" t="s">
        <v>839</v>
      </c>
      <c r="AB5" s="809" t="s">
        <v>485</v>
      </c>
      <c r="AC5" s="809"/>
    </row>
    <row r="6" ht="15.75" customHeight="1">
      <c r="B6" s="826" t="b">
        <v>0</v>
      </c>
      <c r="C6" s="827" t="s">
        <v>840</v>
      </c>
      <c r="E6" s="828" t="s">
        <v>841</v>
      </c>
      <c r="F6" s="829">
        <v>0.3</v>
      </c>
      <c r="G6" s="830">
        <f t="shared" si="1"/>
        <v>1</v>
      </c>
      <c r="H6" s="831" t="s">
        <v>827</v>
      </c>
      <c r="I6" s="831" t="s">
        <v>827</v>
      </c>
      <c r="J6" s="832" t="s">
        <v>832</v>
      </c>
      <c r="K6" s="833"/>
      <c r="L6" s="802"/>
      <c r="M6" s="803"/>
      <c r="N6" s="804"/>
      <c r="O6" s="839"/>
      <c r="P6" s="840" t="s">
        <v>842</v>
      </c>
      <c r="Q6" s="841"/>
      <c r="R6" s="842">
        <f>R4*R5</f>
        <v>1.625</v>
      </c>
      <c r="S6" s="843">
        <f t="shared" si="2"/>
        <v>0.625</v>
      </c>
      <c r="T6" s="822"/>
      <c r="U6" s="839"/>
      <c r="V6" s="844"/>
      <c r="W6" s="844"/>
      <c r="X6" s="845"/>
      <c r="Y6" s="805"/>
      <c r="Z6" s="846"/>
      <c r="AA6" s="808" t="s">
        <v>843</v>
      </c>
      <c r="AB6" s="809" t="s">
        <v>494</v>
      </c>
      <c r="AC6" s="809"/>
    </row>
    <row r="7" ht="15.75" customHeight="1">
      <c r="B7" s="826" t="b">
        <v>0</v>
      </c>
      <c r="C7" s="827" t="s">
        <v>754</v>
      </c>
      <c r="E7" s="828" t="s">
        <v>837</v>
      </c>
      <c r="F7" s="829">
        <v>0.15</v>
      </c>
      <c r="G7" s="830">
        <f t="shared" si="1"/>
        <v>1</v>
      </c>
      <c r="H7" s="831" t="s">
        <v>827</v>
      </c>
      <c r="I7" s="831" t="s">
        <v>827</v>
      </c>
      <c r="J7" s="832" t="s">
        <v>832</v>
      </c>
      <c r="K7" s="833"/>
      <c r="L7" s="802"/>
      <c r="M7" s="803"/>
      <c r="N7" s="804"/>
      <c r="O7" s="847"/>
      <c r="P7" s="848" t="s">
        <v>844</v>
      </c>
      <c r="X7" s="790"/>
      <c r="Y7" s="847"/>
      <c r="Z7" s="846"/>
      <c r="AA7" s="808" t="s">
        <v>845</v>
      </c>
      <c r="AB7" s="809" t="s">
        <v>497</v>
      </c>
      <c r="AC7" s="809"/>
    </row>
    <row r="8" ht="15.75" customHeight="1">
      <c r="B8" s="849" t="b">
        <v>0</v>
      </c>
      <c r="C8" s="850" t="s">
        <v>846</v>
      </c>
      <c r="D8" s="564"/>
      <c r="E8" s="851" t="s">
        <v>847</v>
      </c>
      <c r="F8" s="852">
        <v>0.15</v>
      </c>
      <c r="G8" s="853">
        <f t="shared" si="1"/>
        <v>1</v>
      </c>
      <c r="H8" s="854" t="s">
        <v>827</v>
      </c>
      <c r="I8" s="854" t="s">
        <v>827</v>
      </c>
      <c r="J8" s="855" t="s">
        <v>832</v>
      </c>
      <c r="K8" s="856"/>
      <c r="L8" s="802"/>
      <c r="M8" s="803"/>
      <c r="N8" s="816"/>
      <c r="O8" s="847"/>
      <c r="P8" s="857" t="s">
        <v>308</v>
      </c>
      <c r="Q8" s="858" t="s">
        <v>348</v>
      </c>
      <c r="R8" s="820" t="s">
        <v>468</v>
      </c>
      <c r="S8" s="820" t="s">
        <v>494</v>
      </c>
      <c r="T8" s="859" t="s">
        <v>497</v>
      </c>
      <c r="U8" s="819"/>
      <c r="V8" s="859" t="s">
        <v>500</v>
      </c>
      <c r="W8" s="860" t="s">
        <v>485</v>
      </c>
      <c r="X8" s="861" t="s">
        <v>490</v>
      </c>
      <c r="Y8" s="862"/>
      <c r="Z8" s="863"/>
      <c r="AA8" s="808" t="s">
        <v>848</v>
      </c>
      <c r="AB8" s="809" t="s">
        <v>500</v>
      </c>
      <c r="AC8" s="809"/>
    </row>
    <row r="9" ht="15.75" customHeight="1">
      <c r="B9" s="864"/>
      <c r="K9" s="790"/>
      <c r="L9" s="802"/>
      <c r="M9" s="803"/>
      <c r="N9" s="816"/>
      <c r="O9" s="865" t="s">
        <v>849</v>
      </c>
      <c r="P9" s="866" t="s">
        <v>464</v>
      </c>
      <c r="Q9" s="867" t="s">
        <v>827</v>
      </c>
      <c r="R9" s="868">
        <f>$R$6*G19</f>
        <v>1.625</v>
      </c>
      <c r="S9" s="868">
        <f>$R$6*IF($D$18=S8,$G$18,1)*G20</f>
        <v>1.625</v>
      </c>
      <c r="T9" s="869">
        <f>$R$6*IF($D$18=U8,$G$18,1)*G21</f>
        <v>1.625</v>
      </c>
      <c r="U9" s="870"/>
      <c r="V9" s="869">
        <f>$R$6*IF($D$18=V8,$G$18,1)*G22</f>
        <v>1.625</v>
      </c>
      <c r="W9" s="871">
        <f>$R$6*IF($D$18=W8,$G$18,1)*G23</f>
        <v>1.625</v>
      </c>
      <c r="X9" s="872">
        <f>$R$6*IF($D$18=X8,$G$18,1)*G24</f>
        <v>1.625</v>
      </c>
      <c r="Y9" s="873"/>
      <c r="Z9" s="863"/>
      <c r="AA9" s="808" t="s">
        <v>850</v>
      </c>
      <c r="AB9" s="809" t="s">
        <v>485</v>
      </c>
      <c r="AC9" s="809"/>
    </row>
    <row r="10" ht="15.75" customHeight="1">
      <c r="B10" s="834"/>
      <c r="K10" s="790"/>
      <c r="L10" s="802"/>
      <c r="M10" s="803"/>
      <c r="N10" s="816"/>
      <c r="O10" s="874"/>
      <c r="P10" s="875" t="s">
        <v>851</v>
      </c>
      <c r="Q10" s="876">
        <f t="shared" ref="Q10:Q27" si="5">$R$6*IF($D$18=P10,$G$18,1)</f>
        <v>1.625</v>
      </c>
      <c r="R10" s="877">
        <f t="shared" ref="R10:T10" si="3">($Q10*(R$9/$R$6))</f>
        <v>1.625</v>
      </c>
      <c r="S10" s="878">
        <f t="shared" si="3"/>
        <v>1.625</v>
      </c>
      <c r="T10" s="878">
        <f t="shared" si="3"/>
        <v>1.625</v>
      </c>
      <c r="V10" s="879">
        <f t="shared" ref="V10:X10" si="4">($Q10*(V$9/$R$6))</f>
        <v>1.625</v>
      </c>
      <c r="W10" s="878">
        <f t="shared" si="4"/>
        <v>1.625</v>
      </c>
      <c r="X10" s="880">
        <f t="shared" si="4"/>
        <v>1.625</v>
      </c>
      <c r="Y10" s="873"/>
      <c r="Z10" s="863"/>
      <c r="AA10" s="808" t="s">
        <v>852</v>
      </c>
      <c r="AB10" s="809" t="s">
        <v>494</v>
      </c>
      <c r="AC10" s="809"/>
    </row>
    <row r="11" ht="15.75" customHeight="1">
      <c r="B11" s="799" t="s">
        <v>853</v>
      </c>
      <c r="C11" s="800"/>
      <c r="D11" s="800"/>
      <c r="E11" s="800"/>
      <c r="F11" s="800"/>
      <c r="G11" s="800"/>
      <c r="H11" s="800"/>
      <c r="I11" s="800"/>
      <c r="J11" s="800"/>
      <c r="K11" s="801"/>
      <c r="L11" s="802"/>
      <c r="M11" s="803"/>
      <c r="N11" s="816"/>
      <c r="O11" s="874"/>
      <c r="P11" s="875" t="s">
        <v>600</v>
      </c>
      <c r="Q11" s="876">
        <f t="shared" si="5"/>
        <v>1.625</v>
      </c>
      <c r="R11" s="877">
        <f t="shared" ref="R11:T11" si="6">($Q11*(R$9/$R$6))</f>
        <v>1.625</v>
      </c>
      <c r="S11" s="878">
        <f t="shared" si="6"/>
        <v>1.625</v>
      </c>
      <c r="T11" s="878">
        <f t="shared" si="6"/>
        <v>1.625</v>
      </c>
      <c r="V11" s="879">
        <f t="shared" ref="V11:X11" si="7">($Q11*(V$9/$R$6))</f>
        <v>1.625</v>
      </c>
      <c r="W11" s="878">
        <f t="shared" si="7"/>
        <v>1.625</v>
      </c>
      <c r="X11" s="880">
        <f t="shared" si="7"/>
        <v>1.625</v>
      </c>
      <c r="Y11" s="873"/>
      <c r="Z11" s="863"/>
      <c r="AA11" s="808" t="s">
        <v>854</v>
      </c>
      <c r="AB11" s="809" t="s">
        <v>497</v>
      </c>
      <c r="AC11" s="809"/>
    </row>
    <row r="12" ht="15.75" customHeight="1">
      <c r="B12" s="810"/>
      <c r="C12" s="811" t="s">
        <v>838</v>
      </c>
      <c r="D12" s="881" t="s">
        <v>855</v>
      </c>
      <c r="E12" s="811" t="s">
        <v>825</v>
      </c>
      <c r="F12" s="812" t="s">
        <v>826</v>
      </c>
      <c r="G12" s="813" t="s">
        <v>827</v>
      </c>
      <c r="H12" s="814" t="s">
        <v>828</v>
      </c>
      <c r="I12" s="814" t="s">
        <v>829</v>
      </c>
      <c r="J12" s="811" t="s">
        <v>830</v>
      </c>
      <c r="K12" s="815" t="s">
        <v>831</v>
      </c>
      <c r="L12" s="802"/>
      <c r="M12" s="803"/>
      <c r="N12" s="816"/>
      <c r="O12" s="874"/>
      <c r="P12" s="875" t="s">
        <v>363</v>
      </c>
      <c r="Q12" s="876">
        <f t="shared" si="5"/>
        <v>1.625</v>
      </c>
      <c r="R12" s="877">
        <f t="shared" ref="R12:T12" si="8">($Q12*(R$9/$R$6))</f>
        <v>1.625</v>
      </c>
      <c r="S12" s="878">
        <f t="shared" si="8"/>
        <v>1.625</v>
      </c>
      <c r="T12" s="878">
        <f t="shared" si="8"/>
        <v>1.625</v>
      </c>
      <c r="V12" s="879">
        <f t="shared" ref="V12:X12" si="9">($Q12*(V$9/$R$6))</f>
        <v>1.625</v>
      </c>
      <c r="W12" s="878">
        <f t="shared" si="9"/>
        <v>1.625</v>
      </c>
      <c r="X12" s="880">
        <f t="shared" si="9"/>
        <v>1.625</v>
      </c>
      <c r="Y12" s="873"/>
      <c r="Z12" s="863"/>
      <c r="AA12" s="882" t="s">
        <v>856</v>
      </c>
      <c r="AB12" s="809" t="s">
        <v>500</v>
      </c>
      <c r="AC12" s="809"/>
    </row>
    <row r="13" ht="15.75" customHeight="1">
      <c r="B13" s="826" t="b">
        <v>0</v>
      </c>
      <c r="C13" s="827" t="s">
        <v>857</v>
      </c>
      <c r="D13" s="883" t="s">
        <v>858</v>
      </c>
      <c r="E13" s="828" t="s">
        <v>859</v>
      </c>
      <c r="F13" s="829">
        <v>0.4</v>
      </c>
      <c r="G13" s="830">
        <f t="shared" ref="G13:G16" si="12">IF(B13=TRUE,1+1*F13,1)</f>
        <v>1</v>
      </c>
      <c r="H13" s="884"/>
      <c r="I13" s="885" t="s">
        <v>827</v>
      </c>
      <c r="J13" s="832" t="s">
        <v>832</v>
      </c>
      <c r="K13" s="833"/>
      <c r="L13" s="802"/>
      <c r="M13" s="803"/>
      <c r="N13" s="816"/>
      <c r="O13" s="874"/>
      <c r="P13" s="875" t="s">
        <v>375</v>
      </c>
      <c r="Q13" s="876">
        <f t="shared" si="5"/>
        <v>1.625</v>
      </c>
      <c r="R13" s="877">
        <f t="shared" ref="R13:T13" si="10">($Q13*(R$9/$R$6))</f>
        <v>1.625</v>
      </c>
      <c r="S13" s="878">
        <f t="shared" si="10"/>
        <v>1.625</v>
      </c>
      <c r="T13" s="878">
        <f t="shared" si="10"/>
        <v>1.625</v>
      </c>
      <c r="V13" s="879">
        <f t="shared" ref="V13:X13" si="11">($Q13*(V$9/$R$6))</f>
        <v>1.625</v>
      </c>
      <c r="W13" s="878">
        <f t="shared" si="11"/>
        <v>1.625</v>
      </c>
      <c r="X13" s="880">
        <f t="shared" si="11"/>
        <v>1.625</v>
      </c>
      <c r="Y13" s="873"/>
      <c r="Z13" s="863"/>
      <c r="AA13" s="808" t="s">
        <v>860</v>
      </c>
      <c r="AB13" s="809" t="s">
        <v>485</v>
      </c>
      <c r="AC13" s="809"/>
    </row>
    <row r="14" ht="15.75" customHeight="1">
      <c r="B14" s="826" t="b">
        <v>0</v>
      </c>
      <c r="C14" s="827" t="s">
        <v>861</v>
      </c>
      <c r="D14" s="883" t="s">
        <v>862</v>
      </c>
      <c r="E14" s="828" t="s">
        <v>863</v>
      </c>
      <c r="F14" s="829">
        <v>0.35</v>
      </c>
      <c r="G14" s="830">
        <f t="shared" si="12"/>
        <v>1</v>
      </c>
      <c r="H14" s="885" t="s">
        <v>864</v>
      </c>
      <c r="I14" s="885" t="s">
        <v>827</v>
      </c>
      <c r="J14" s="832" t="s">
        <v>832</v>
      </c>
      <c r="K14" s="886" t="s">
        <v>865</v>
      </c>
      <c r="L14" s="802"/>
      <c r="M14" s="803"/>
      <c r="N14" s="816"/>
      <c r="O14" s="874"/>
      <c r="P14" s="875" t="s">
        <v>731</v>
      </c>
      <c r="Q14" s="876">
        <f t="shared" si="5"/>
        <v>1.625</v>
      </c>
      <c r="R14" s="877">
        <f t="shared" ref="R14:T14" si="13">($Q14*(R$9/$R$6))</f>
        <v>1.625</v>
      </c>
      <c r="S14" s="878">
        <f t="shared" si="13"/>
        <v>1.625</v>
      </c>
      <c r="T14" s="878">
        <f t="shared" si="13"/>
        <v>1.625</v>
      </c>
      <c r="V14" s="879">
        <f t="shared" ref="V14:X14" si="14">($Q14*(V$9/$R$6))</f>
        <v>1.625</v>
      </c>
      <c r="W14" s="878">
        <f t="shared" si="14"/>
        <v>1.625</v>
      </c>
      <c r="X14" s="880">
        <f t="shared" si="14"/>
        <v>1.625</v>
      </c>
      <c r="Y14" s="873"/>
      <c r="Z14" s="863"/>
      <c r="AA14" s="887"/>
      <c r="AB14" s="887"/>
      <c r="AC14" s="809"/>
    </row>
    <row r="15" ht="15.75" customHeight="1">
      <c r="B15" s="826" t="b">
        <v>1</v>
      </c>
      <c r="C15" s="827" t="s">
        <v>866</v>
      </c>
      <c r="D15" s="883" t="s">
        <v>866</v>
      </c>
      <c r="E15" s="828" t="s">
        <v>867</v>
      </c>
      <c r="F15" s="829">
        <v>0.25</v>
      </c>
      <c r="G15" s="830">
        <f t="shared" si="12"/>
        <v>1.25</v>
      </c>
      <c r="H15" s="885" t="s">
        <v>827</v>
      </c>
      <c r="I15" s="885" t="s">
        <v>827</v>
      </c>
      <c r="J15" s="832" t="s">
        <v>832</v>
      </c>
      <c r="K15" s="886" t="s">
        <v>868</v>
      </c>
      <c r="L15" s="802"/>
      <c r="M15" s="803"/>
      <c r="N15" s="816"/>
      <c r="O15" s="874"/>
      <c r="P15" s="875" t="s">
        <v>869</v>
      </c>
      <c r="Q15" s="876">
        <f t="shared" si="5"/>
        <v>1.625</v>
      </c>
      <c r="R15" s="877">
        <f t="shared" ref="R15:T15" si="15">($Q15*(R$9/$R$6))</f>
        <v>1.625</v>
      </c>
      <c r="S15" s="878">
        <f t="shared" si="15"/>
        <v>1.625</v>
      </c>
      <c r="T15" s="878">
        <f t="shared" si="15"/>
        <v>1.625</v>
      </c>
      <c r="V15" s="879">
        <f t="shared" ref="V15:X15" si="16">($Q15*(V$9/$R$6))</f>
        <v>1.625</v>
      </c>
      <c r="W15" s="878">
        <f t="shared" si="16"/>
        <v>1.625</v>
      </c>
      <c r="X15" s="880">
        <f t="shared" si="16"/>
        <v>1.625</v>
      </c>
      <c r="Y15" s="873"/>
      <c r="Z15" s="863"/>
      <c r="AA15" s="887"/>
      <c r="AB15" s="887"/>
      <c r="AC15" s="809"/>
    </row>
    <row r="16" ht="15.75" customHeight="1">
      <c r="B16" s="826" t="b">
        <v>0</v>
      </c>
      <c r="C16" s="827" t="s">
        <v>870</v>
      </c>
      <c r="D16" s="883" t="s">
        <v>858</v>
      </c>
      <c r="E16" s="828" t="s">
        <v>859</v>
      </c>
      <c r="F16" s="829">
        <v>0.25</v>
      </c>
      <c r="G16" s="830">
        <f t="shared" si="12"/>
        <v>1</v>
      </c>
      <c r="H16" s="885" t="s">
        <v>827</v>
      </c>
      <c r="I16" s="885" t="s">
        <v>827</v>
      </c>
      <c r="J16" s="832" t="s">
        <v>832</v>
      </c>
      <c r="K16" s="833"/>
      <c r="L16" s="802"/>
      <c r="M16" s="803"/>
      <c r="N16" s="816"/>
      <c r="O16" s="874"/>
      <c r="P16" s="875" t="s">
        <v>871</v>
      </c>
      <c r="Q16" s="876">
        <f t="shared" si="5"/>
        <v>1.625</v>
      </c>
      <c r="R16" s="877">
        <f t="shared" ref="R16:T16" si="17">($Q16*(R$9/$R$6))</f>
        <v>1.625</v>
      </c>
      <c r="S16" s="878">
        <f t="shared" si="17"/>
        <v>1.625</v>
      </c>
      <c r="T16" s="878">
        <f t="shared" si="17"/>
        <v>1.625</v>
      </c>
      <c r="V16" s="879">
        <f t="shared" ref="V16:X16" si="18">($Q16*(V$9/$R$6))</f>
        <v>1.625</v>
      </c>
      <c r="W16" s="878">
        <f t="shared" si="18"/>
        <v>1.625</v>
      </c>
      <c r="X16" s="880">
        <f t="shared" si="18"/>
        <v>1.625</v>
      </c>
      <c r="Y16" s="873"/>
      <c r="Z16" s="863"/>
      <c r="AA16" s="887"/>
      <c r="AB16" s="887"/>
      <c r="AC16" s="809"/>
    </row>
    <row r="17" ht="15.75" customHeight="1">
      <c r="B17" s="826" t="b">
        <v>0</v>
      </c>
      <c r="C17" s="827" t="s">
        <v>872</v>
      </c>
      <c r="D17" s="883" t="s">
        <v>872</v>
      </c>
      <c r="E17" s="828" t="s">
        <v>873</v>
      </c>
      <c r="F17" s="829">
        <v>0.2</v>
      </c>
      <c r="G17" s="830">
        <f>IF(B17=TRUE,(1+1*F17),1)</f>
        <v>1</v>
      </c>
      <c r="H17" s="885" t="s">
        <v>827</v>
      </c>
      <c r="I17" s="885" t="s">
        <v>827</v>
      </c>
      <c r="J17" s="832" t="s">
        <v>832</v>
      </c>
      <c r="K17" s="833"/>
      <c r="L17" s="802"/>
      <c r="M17" s="803"/>
      <c r="N17" s="816"/>
      <c r="O17" s="874"/>
      <c r="P17" s="875" t="s">
        <v>394</v>
      </c>
      <c r="Q17" s="876">
        <f t="shared" si="5"/>
        <v>1.625</v>
      </c>
      <c r="R17" s="877">
        <f t="shared" ref="R17:T17" si="19">($Q17*(R$9/$R$6))</f>
        <v>1.625</v>
      </c>
      <c r="S17" s="878">
        <f t="shared" si="19"/>
        <v>1.625</v>
      </c>
      <c r="T17" s="878">
        <f t="shared" si="19"/>
        <v>1.625</v>
      </c>
      <c r="V17" s="879">
        <f t="shared" ref="V17:X17" si="20">($Q17*(V$9/$R$6))</f>
        <v>1.625</v>
      </c>
      <c r="W17" s="878">
        <f t="shared" si="20"/>
        <v>1.625</v>
      </c>
      <c r="X17" s="880">
        <f t="shared" si="20"/>
        <v>1.625</v>
      </c>
      <c r="Y17" s="873"/>
      <c r="Z17" s="863"/>
      <c r="AA17" s="887"/>
      <c r="AB17" s="887"/>
      <c r="AC17" s="809"/>
    </row>
    <row r="18" ht="15.75" customHeight="1">
      <c r="B18" s="888" t="s">
        <v>874</v>
      </c>
      <c r="D18" s="889" t="s">
        <v>875</v>
      </c>
      <c r="E18" s="890" t="s">
        <v>876</v>
      </c>
      <c r="F18" s="891">
        <v>0.25</v>
      </c>
      <c r="G18" s="892">
        <f t="shared" ref="G18:G24" si="23">IF(D18="None",1,1+1*F18)</f>
        <v>1</v>
      </c>
      <c r="H18" s="889" t="s">
        <v>827</v>
      </c>
      <c r="I18" s="893"/>
      <c r="J18" s="894" t="s">
        <v>877</v>
      </c>
      <c r="K18" s="895" t="s">
        <v>878</v>
      </c>
      <c r="L18" s="802"/>
      <c r="M18" s="803"/>
      <c r="N18" s="816"/>
      <c r="O18" s="874"/>
      <c r="P18" s="875" t="s">
        <v>404</v>
      </c>
      <c r="Q18" s="876">
        <f t="shared" si="5"/>
        <v>1.625</v>
      </c>
      <c r="R18" s="877">
        <f t="shared" ref="R18:T18" si="21">($Q18*(R$9/$R$6))</f>
        <v>1.625</v>
      </c>
      <c r="S18" s="878">
        <f t="shared" si="21"/>
        <v>1.625</v>
      </c>
      <c r="T18" s="878">
        <f t="shared" si="21"/>
        <v>1.625</v>
      </c>
      <c r="V18" s="879">
        <f t="shared" ref="V18:X18" si="22">($Q18*(V$9/$R$6))</f>
        <v>1.625</v>
      </c>
      <c r="W18" s="878">
        <f t="shared" si="22"/>
        <v>1.625</v>
      </c>
      <c r="X18" s="880">
        <f t="shared" si="22"/>
        <v>1.625</v>
      </c>
      <c r="Y18" s="873"/>
      <c r="Z18" s="863"/>
      <c r="AA18" s="887"/>
      <c r="AB18" s="887"/>
      <c r="AC18" s="809"/>
    </row>
    <row r="19" ht="15.75" customHeight="1">
      <c r="B19" s="896" t="s">
        <v>879</v>
      </c>
      <c r="D19" s="897" t="s">
        <v>462</v>
      </c>
      <c r="E19" s="898" t="s">
        <v>880</v>
      </c>
      <c r="F19" s="899">
        <f>VLOOKUP(D19,backend!BJ$3:BK33,2,FALSE)</f>
        <v>0</v>
      </c>
      <c r="G19" s="900">
        <f t="shared" si="23"/>
        <v>1</v>
      </c>
      <c r="H19" s="901" t="s">
        <v>827</v>
      </c>
      <c r="I19" s="902"/>
      <c r="J19" s="903" t="s">
        <v>881</v>
      </c>
      <c r="K19" s="904" t="s">
        <v>882</v>
      </c>
      <c r="L19" s="802"/>
      <c r="M19" s="803"/>
      <c r="N19" s="816"/>
      <c r="O19" s="874"/>
      <c r="P19" s="875" t="s">
        <v>407</v>
      </c>
      <c r="Q19" s="876">
        <f t="shared" si="5"/>
        <v>1.625</v>
      </c>
      <c r="R19" s="877">
        <f t="shared" ref="R19:T19" si="24">($Q19*(R$9/$R$6))</f>
        <v>1.625</v>
      </c>
      <c r="S19" s="878">
        <f t="shared" si="24"/>
        <v>1.625</v>
      </c>
      <c r="T19" s="878">
        <f t="shared" si="24"/>
        <v>1.625</v>
      </c>
      <c r="V19" s="879">
        <f t="shared" ref="V19:X19" si="25">($Q19*(V$9/$R$6))</f>
        <v>1.625</v>
      </c>
      <c r="W19" s="878">
        <f t="shared" si="25"/>
        <v>1.625</v>
      </c>
      <c r="X19" s="880">
        <f t="shared" si="25"/>
        <v>1.625</v>
      </c>
      <c r="Y19" s="873"/>
      <c r="Z19" s="863"/>
      <c r="AA19" s="887"/>
      <c r="AB19" s="887"/>
      <c r="AC19" s="809"/>
    </row>
    <row r="20" ht="15.75" customHeight="1">
      <c r="B20" s="896" t="s">
        <v>883</v>
      </c>
      <c r="D20" s="901" t="s">
        <v>462</v>
      </c>
      <c r="E20" s="898" t="s">
        <v>880</v>
      </c>
      <c r="F20" s="899">
        <f>VLOOKUP(D20,backend!BJ$3:BK33,2,FALSE)</f>
        <v>0</v>
      </c>
      <c r="G20" s="900">
        <f t="shared" si="23"/>
        <v>1</v>
      </c>
      <c r="H20" s="901" t="s">
        <v>827</v>
      </c>
      <c r="I20" s="902"/>
      <c r="J20" s="903" t="s">
        <v>881</v>
      </c>
      <c r="K20" s="905"/>
      <c r="L20" s="802"/>
      <c r="M20" s="803"/>
      <c r="N20" s="816"/>
      <c r="O20" s="874"/>
      <c r="P20" s="875" t="s">
        <v>884</v>
      </c>
      <c r="Q20" s="876">
        <f t="shared" si="5"/>
        <v>1.625</v>
      </c>
      <c r="R20" s="877">
        <f t="shared" ref="R20:T20" si="26">($Q20*(R$9/$R$6))</f>
        <v>1.625</v>
      </c>
      <c r="S20" s="878">
        <f t="shared" si="26"/>
        <v>1.625</v>
      </c>
      <c r="T20" s="878">
        <f t="shared" si="26"/>
        <v>1.625</v>
      </c>
      <c r="V20" s="879">
        <f t="shared" ref="V20:X20" si="27">($Q20*(V$9/$R$6))</f>
        <v>1.625</v>
      </c>
      <c r="W20" s="878">
        <f t="shared" si="27"/>
        <v>1.625</v>
      </c>
      <c r="X20" s="880">
        <f t="shared" si="27"/>
        <v>1.625</v>
      </c>
      <c r="Y20" s="873"/>
      <c r="Z20" s="863"/>
      <c r="AA20" s="887"/>
      <c r="AB20" s="887"/>
      <c r="AC20" s="809"/>
    </row>
    <row r="21" ht="15.75" customHeight="1">
      <c r="B21" s="896" t="s">
        <v>885</v>
      </c>
      <c r="D21" s="901" t="s">
        <v>462</v>
      </c>
      <c r="E21" s="898" t="s">
        <v>880</v>
      </c>
      <c r="F21" s="899">
        <f>VLOOKUP(D21,backend!BJ$3:BK33,2,FALSE)</f>
        <v>0</v>
      </c>
      <c r="G21" s="900">
        <f t="shared" si="23"/>
        <v>1</v>
      </c>
      <c r="H21" s="901" t="s">
        <v>827</v>
      </c>
      <c r="I21" s="902"/>
      <c r="J21" s="903" t="s">
        <v>881</v>
      </c>
      <c r="K21" s="905"/>
      <c r="L21" s="802"/>
      <c r="M21" s="803"/>
      <c r="N21" s="816"/>
      <c r="O21" s="874"/>
      <c r="P21" s="875" t="s">
        <v>345</v>
      </c>
      <c r="Q21" s="876">
        <f t="shared" si="5"/>
        <v>1.625</v>
      </c>
      <c r="R21" s="877">
        <f t="shared" ref="R21:T21" si="28">($Q21*(R$9/$R$6))</f>
        <v>1.625</v>
      </c>
      <c r="S21" s="878">
        <f t="shared" si="28"/>
        <v>1.625</v>
      </c>
      <c r="T21" s="878">
        <f t="shared" si="28"/>
        <v>1.625</v>
      </c>
      <c r="V21" s="879">
        <f t="shared" ref="V21:X21" si="29">($Q21*(V$9/$R$6))</f>
        <v>1.625</v>
      </c>
      <c r="W21" s="878">
        <f t="shared" si="29"/>
        <v>1.625</v>
      </c>
      <c r="X21" s="880">
        <f t="shared" si="29"/>
        <v>1.625</v>
      </c>
      <c r="Y21" s="873"/>
      <c r="Z21" s="863"/>
      <c r="AA21" s="887"/>
      <c r="AB21" s="887"/>
      <c r="AC21" s="809"/>
    </row>
    <row r="22" ht="15.75" customHeight="1">
      <c r="B22" s="896" t="s">
        <v>886</v>
      </c>
      <c r="D22" s="901" t="s">
        <v>462</v>
      </c>
      <c r="E22" s="898" t="s">
        <v>880</v>
      </c>
      <c r="F22" s="899">
        <f>VLOOKUP(D22,backend!BJ$3:BK33,2,FALSE)</f>
        <v>0</v>
      </c>
      <c r="G22" s="900">
        <f t="shared" si="23"/>
        <v>1</v>
      </c>
      <c r="H22" s="901" t="s">
        <v>827</v>
      </c>
      <c r="I22" s="902"/>
      <c r="J22" s="903" t="s">
        <v>881</v>
      </c>
      <c r="K22" s="905"/>
      <c r="L22" s="802"/>
      <c r="M22" s="803"/>
      <c r="N22" s="816"/>
      <c r="O22" s="874"/>
      <c r="P22" s="875" t="s">
        <v>421</v>
      </c>
      <c r="Q22" s="876">
        <f t="shared" si="5"/>
        <v>1.625</v>
      </c>
      <c r="R22" s="877">
        <f t="shared" ref="R22:T22" si="30">($Q22*(R$9/$R$6))</f>
        <v>1.625</v>
      </c>
      <c r="S22" s="878">
        <f t="shared" si="30"/>
        <v>1.625</v>
      </c>
      <c r="T22" s="878">
        <f t="shared" si="30"/>
        <v>1.625</v>
      </c>
      <c r="V22" s="879">
        <f t="shared" ref="V22:X22" si="31">($Q22*(V$9/$R$6))</f>
        <v>1.625</v>
      </c>
      <c r="W22" s="878">
        <f t="shared" si="31"/>
        <v>1.625</v>
      </c>
      <c r="X22" s="880">
        <f t="shared" si="31"/>
        <v>1.625</v>
      </c>
      <c r="Y22" s="873"/>
      <c r="Z22" s="863"/>
      <c r="AA22" s="887"/>
      <c r="AB22" s="887"/>
      <c r="AC22" s="809"/>
    </row>
    <row r="23" ht="15.75" customHeight="1">
      <c r="B23" s="896" t="s">
        <v>887</v>
      </c>
      <c r="D23" s="901" t="s">
        <v>462</v>
      </c>
      <c r="E23" s="898" t="s">
        <v>880</v>
      </c>
      <c r="F23" s="899">
        <f>VLOOKUP(D23,backend!BJ$3:BK33,2,FALSE)</f>
        <v>0</v>
      </c>
      <c r="G23" s="900">
        <f t="shared" si="23"/>
        <v>1</v>
      </c>
      <c r="H23" s="901" t="s">
        <v>827</v>
      </c>
      <c r="I23" s="902"/>
      <c r="J23" s="903" t="s">
        <v>881</v>
      </c>
      <c r="K23" s="905"/>
      <c r="L23" s="802"/>
      <c r="M23" s="803"/>
      <c r="N23" s="816"/>
      <c r="O23" s="874"/>
      <c r="P23" s="875" t="s">
        <v>380</v>
      </c>
      <c r="Q23" s="876">
        <f t="shared" si="5"/>
        <v>1.625</v>
      </c>
      <c r="R23" s="877">
        <f t="shared" ref="R23:T23" si="32">($Q23*(R$9/$R$6))</f>
        <v>1.625</v>
      </c>
      <c r="S23" s="878">
        <f t="shared" si="32"/>
        <v>1.625</v>
      </c>
      <c r="T23" s="878">
        <f t="shared" si="32"/>
        <v>1.625</v>
      </c>
      <c r="V23" s="879">
        <f t="shared" ref="V23:X23" si="33">($Q23*(V$9/$R$6))</f>
        <v>1.625</v>
      </c>
      <c r="W23" s="878">
        <f t="shared" si="33"/>
        <v>1.625</v>
      </c>
      <c r="X23" s="880">
        <f t="shared" si="33"/>
        <v>1.625</v>
      </c>
      <c r="Y23" s="873"/>
      <c r="Z23" s="863"/>
      <c r="AA23" s="887"/>
      <c r="AB23" s="887"/>
      <c r="AC23" s="809"/>
    </row>
    <row r="24" ht="15.75" customHeight="1">
      <c r="B24" s="906" t="s">
        <v>888</v>
      </c>
      <c r="C24" s="564"/>
      <c r="D24" s="907" t="s">
        <v>462</v>
      </c>
      <c r="E24" s="908" t="s">
        <v>880</v>
      </c>
      <c r="F24" s="909">
        <f>VLOOKUP(D24,backend!BJ$3:BK33,2,FALSE)</f>
        <v>0</v>
      </c>
      <c r="G24" s="910">
        <f t="shared" si="23"/>
        <v>1</v>
      </c>
      <c r="H24" s="907" t="s">
        <v>827</v>
      </c>
      <c r="I24" s="911"/>
      <c r="J24" s="912" t="s">
        <v>881</v>
      </c>
      <c r="K24" s="503"/>
      <c r="L24" s="802"/>
      <c r="M24" s="803"/>
      <c r="N24" s="816"/>
      <c r="O24" s="874"/>
      <c r="P24" s="875" t="s">
        <v>384</v>
      </c>
      <c r="Q24" s="876">
        <f t="shared" si="5"/>
        <v>1.625</v>
      </c>
      <c r="R24" s="877">
        <f t="shared" ref="R24:T24" si="34">($Q24*(R$9/$R$6))</f>
        <v>1.625</v>
      </c>
      <c r="S24" s="878">
        <f t="shared" si="34"/>
        <v>1.625</v>
      </c>
      <c r="T24" s="878">
        <f t="shared" si="34"/>
        <v>1.625</v>
      </c>
      <c r="V24" s="879">
        <f t="shared" ref="V24:X24" si="35">($Q24*(V$9/$R$6))</f>
        <v>1.625</v>
      </c>
      <c r="W24" s="878">
        <f t="shared" si="35"/>
        <v>1.625</v>
      </c>
      <c r="X24" s="880">
        <f t="shared" si="35"/>
        <v>1.625</v>
      </c>
      <c r="Y24" s="873"/>
      <c r="Z24" s="863"/>
      <c r="AA24" s="887"/>
      <c r="AB24" s="887"/>
      <c r="AC24" s="809"/>
    </row>
    <row r="25" ht="15.75" customHeight="1">
      <c r="B25" s="913" t="s">
        <v>889</v>
      </c>
      <c r="K25" s="873"/>
      <c r="L25" s="802"/>
      <c r="M25" s="803"/>
      <c r="N25" s="816"/>
      <c r="O25" s="874"/>
      <c r="P25" s="875" t="s">
        <v>389</v>
      </c>
      <c r="Q25" s="876">
        <f t="shared" si="5"/>
        <v>1.625</v>
      </c>
      <c r="R25" s="877">
        <f t="shared" ref="R25:T25" si="36">($Q25*(R$9/$R$6))</f>
        <v>1.625</v>
      </c>
      <c r="S25" s="878">
        <f t="shared" si="36"/>
        <v>1.625</v>
      </c>
      <c r="T25" s="878">
        <f t="shared" si="36"/>
        <v>1.625</v>
      </c>
      <c r="V25" s="879">
        <f t="shared" ref="V25:X25" si="37">($Q25*(V$9/$R$6))</f>
        <v>1.625</v>
      </c>
      <c r="W25" s="878">
        <f t="shared" si="37"/>
        <v>1.625</v>
      </c>
      <c r="X25" s="880">
        <f t="shared" si="37"/>
        <v>1.625</v>
      </c>
      <c r="Y25" s="873"/>
      <c r="Z25" s="863"/>
      <c r="AA25" s="887"/>
      <c r="AB25" s="887"/>
      <c r="AC25" s="809"/>
    </row>
    <row r="26" ht="15.75" customHeight="1">
      <c r="B26" s="914"/>
      <c r="K26" s="873"/>
      <c r="L26" s="802"/>
      <c r="M26" s="803"/>
      <c r="N26" s="816"/>
      <c r="O26" s="874"/>
      <c r="P26" s="875" t="s">
        <v>411</v>
      </c>
      <c r="Q26" s="876">
        <f t="shared" si="5"/>
        <v>1.625</v>
      </c>
      <c r="R26" s="877">
        <f t="shared" ref="R26:T26" si="38">($Q26*(R$9/$R$6))</f>
        <v>1.625</v>
      </c>
      <c r="S26" s="878">
        <f t="shared" si="38"/>
        <v>1.625</v>
      </c>
      <c r="T26" s="878">
        <f t="shared" si="38"/>
        <v>1.625</v>
      </c>
      <c r="V26" s="879">
        <f t="shared" ref="V26:X26" si="39">($Q26*(V$9/$R$6))</f>
        <v>1.625</v>
      </c>
      <c r="W26" s="878">
        <f t="shared" si="39"/>
        <v>1.625</v>
      </c>
      <c r="X26" s="880">
        <f t="shared" si="39"/>
        <v>1.625</v>
      </c>
      <c r="Y26" s="873"/>
      <c r="Z26" s="863"/>
      <c r="AA26" s="887"/>
      <c r="AB26" s="887"/>
      <c r="AC26" s="809"/>
    </row>
    <row r="27" ht="15.75" customHeight="1">
      <c r="B27" s="914"/>
      <c r="K27" s="873"/>
      <c r="L27" s="915"/>
      <c r="M27" s="803"/>
      <c r="N27" s="816"/>
      <c r="O27" s="874"/>
      <c r="P27" s="916" t="s">
        <v>358</v>
      </c>
      <c r="Q27" s="917">
        <f t="shared" si="5"/>
        <v>1.625</v>
      </c>
      <c r="R27" s="918">
        <f t="shared" ref="R27:T27" si="40">($Q27*(R$9/$R$6))</f>
        <v>1.625</v>
      </c>
      <c r="S27" s="919">
        <f t="shared" si="40"/>
        <v>1.625</v>
      </c>
      <c r="T27" s="919">
        <f t="shared" si="40"/>
        <v>1.625</v>
      </c>
      <c r="U27" s="564"/>
      <c r="V27" s="920">
        <f t="shared" ref="V27:X27" si="41">($Q27*(V$9/$R$6))</f>
        <v>1.625</v>
      </c>
      <c r="W27" s="919">
        <f t="shared" si="41"/>
        <v>1.625</v>
      </c>
      <c r="X27" s="921">
        <f t="shared" si="41"/>
        <v>1.625</v>
      </c>
      <c r="Y27" s="873"/>
      <c r="Z27" s="863"/>
      <c r="AA27" s="887"/>
      <c r="AB27" s="887"/>
      <c r="AC27" s="809"/>
    </row>
    <row r="28" ht="15.75" customHeight="1">
      <c r="B28" s="914"/>
      <c r="K28" s="873"/>
      <c r="L28" s="922"/>
      <c r="M28" s="803"/>
      <c r="N28" s="816"/>
      <c r="O28" s="923"/>
      <c r="P28" s="924"/>
      <c r="Q28" s="924"/>
      <c r="R28" s="924"/>
      <c r="S28" s="924"/>
      <c r="T28" s="864"/>
      <c r="U28" s="790"/>
      <c r="V28" s="924"/>
      <c r="W28" s="924"/>
      <c r="X28" s="924"/>
      <c r="Y28" s="925"/>
      <c r="Z28" s="863"/>
      <c r="AA28" s="887"/>
      <c r="AB28" s="887"/>
      <c r="AC28" s="809"/>
    </row>
    <row r="29" ht="15.75" customHeight="1">
      <c r="B29" s="914"/>
      <c r="K29" s="873"/>
      <c r="L29" s="926"/>
      <c r="M29" s="803"/>
      <c r="N29" s="816"/>
      <c r="O29" s="927"/>
      <c r="P29" s="928"/>
      <c r="Q29" s="929"/>
      <c r="R29" s="930"/>
      <c r="S29" s="930"/>
      <c r="T29" s="931"/>
      <c r="U29" s="931"/>
      <c r="V29" s="931"/>
      <c r="W29" s="931"/>
      <c r="X29" s="931"/>
      <c r="Y29" s="932"/>
      <c r="Z29" s="863"/>
      <c r="AA29" s="887"/>
      <c r="AB29" s="887"/>
      <c r="AC29" s="809"/>
    </row>
    <row r="30" ht="15.75" customHeight="1">
      <c r="B30" s="914"/>
      <c r="K30" s="873"/>
      <c r="L30" s="802"/>
      <c r="M30" s="803"/>
      <c r="N30" s="816"/>
      <c r="O30" s="933" t="s">
        <v>832</v>
      </c>
      <c r="P30" s="934"/>
      <c r="Q30" s="935"/>
      <c r="R30" s="936"/>
      <c r="S30" s="937"/>
      <c r="T30" s="938" t="str">
        <f>HYPERLINK("https://docs.google.com/spreadsheets/d/1i1KUwgVkd8qhwYj481gkV9sZNJQCE-C3Q-dpQutPCi4/edit#gid=242217075","Visit CourtProjects' spreadsheet for all information on buffs, debuffs and buff stacking")</f>
        <v>Visit CourtProjects' spreadsheet for all information on buffs, debuffs and buff stacking</v>
      </c>
      <c r="U30" s="939"/>
      <c r="V30" s="939"/>
      <c r="W30" s="939"/>
      <c r="X30" s="939"/>
      <c r="Y30" s="940"/>
      <c r="Z30" s="936"/>
      <c r="AA30" s="887"/>
      <c r="AB30" s="887"/>
      <c r="AC30" s="809"/>
    </row>
    <row r="31" ht="15.75" customHeight="1">
      <c r="B31" s="914"/>
      <c r="K31" s="873"/>
      <c r="L31" s="802"/>
      <c r="M31" s="803"/>
      <c r="N31" s="816"/>
      <c r="O31" s="941" t="s">
        <v>844</v>
      </c>
      <c r="P31" s="934"/>
      <c r="Q31" s="935"/>
      <c r="R31" s="936"/>
      <c r="S31" s="937"/>
      <c r="T31" s="942"/>
      <c r="Y31" s="922"/>
      <c r="Z31" s="936"/>
      <c r="AA31" s="887"/>
      <c r="AB31" s="887"/>
      <c r="AC31" s="943"/>
    </row>
    <row r="32" ht="15.75" customHeight="1">
      <c r="A32" s="844"/>
      <c r="B32" s="914"/>
      <c r="K32" s="873"/>
      <c r="L32" s="802"/>
      <c r="M32" s="944"/>
      <c r="N32" s="945"/>
      <c r="O32" s="946" t="s">
        <v>849</v>
      </c>
      <c r="P32" s="940"/>
      <c r="Q32" s="947"/>
      <c r="R32" s="948"/>
      <c r="S32" s="949"/>
      <c r="T32" s="950"/>
      <c r="U32" s="951"/>
      <c r="V32" s="951"/>
      <c r="W32" s="951"/>
      <c r="X32" s="951"/>
      <c r="Y32" s="952"/>
      <c r="Z32" s="953"/>
      <c r="AA32" s="887"/>
      <c r="AB32" s="887"/>
      <c r="AC32" s="943"/>
    </row>
    <row r="33" ht="15.75" customHeight="1">
      <c r="A33" s="788"/>
      <c r="B33" s="914"/>
      <c r="K33" s="873"/>
      <c r="L33" s="788"/>
      <c r="M33" s="954"/>
      <c r="N33" s="955"/>
      <c r="O33" s="955"/>
      <c r="P33" s="955"/>
      <c r="Q33" s="947"/>
      <c r="R33" s="947"/>
      <c r="S33" s="947"/>
      <c r="T33" s="947"/>
      <c r="U33" s="947"/>
      <c r="V33" s="947"/>
      <c r="W33" s="947"/>
      <c r="X33" s="947"/>
      <c r="Y33" s="955"/>
      <c r="Z33" s="955"/>
      <c r="AA33" s="956"/>
      <c r="AB33" s="956"/>
      <c r="AC33" s="956"/>
    </row>
  </sheetData>
  <mergeCells count="56">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U3:X6"/>
    <mergeCell ref="T8:U8"/>
    <mergeCell ref="Y8:Y28"/>
    <mergeCell ref="T9:U9"/>
    <mergeCell ref="T10:U10"/>
    <mergeCell ref="T11:U11"/>
    <mergeCell ref="T12:U12"/>
    <mergeCell ref="T30:Y32"/>
    <mergeCell ref="B19:C19"/>
    <mergeCell ref="K19:K24"/>
    <mergeCell ref="B20:C20"/>
    <mergeCell ref="B21:C21"/>
    <mergeCell ref="B22:C22"/>
    <mergeCell ref="B23:C23"/>
    <mergeCell ref="B24:C24"/>
    <mergeCell ref="B25:K33"/>
    <mergeCell ref="L27:L29"/>
    <mergeCell ref="A1:A32"/>
    <mergeCell ref="B1:K1"/>
    <mergeCell ref="M1:M32"/>
    <mergeCell ref="B2:K2"/>
    <mergeCell ref="C6:D6"/>
    <mergeCell ref="B9:K10"/>
    <mergeCell ref="B11:K11"/>
    <mergeCell ref="C3:D3"/>
    <mergeCell ref="C4:D4"/>
    <mergeCell ref="P4:Q4"/>
    <mergeCell ref="C5:D5"/>
    <mergeCell ref="P5:Q5"/>
    <mergeCell ref="P3:Q3"/>
    <mergeCell ref="P6:Q6"/>
    <mergeCell ref="C7:D7"/>
    <mergeCell ref="P7:X7"/>
    <mergeCell ref="O3:O6"/>
    <mergeCell ref="O9:O28"/>
    <mergeCell ref="O30:P30"/>
    <mergeCell ref="O31:P31"/>
    <mergeCell ref="O32:P32"/>
    <mergeCell ref="T13:U13"/>
    <mergeCell ref="T14:U14"/>
    <mergeCell ref="C8:D8"/>
    <mergeCell ref="B18:C18"/>
  </mergeCells>
  <conditionalFormatting sqref="B18:B28">
    <cfRule type="expression" dxfId="7" priority="1">
      <formula>AND(LEFT($O$3,1)="W",$O$4=TRUE)</formula>
    </cfRule>
  </conditionalFormatting>
  <conditionalFormatting sqref="B18:B29">
    <cfRule type="expression" dxfId="7" priority="2">
      <formula>$O$3="Warlock: Attunement of Grace"</formula>
    </cfRule>
  </conditionalFormatting>
  <conditionalFormatting sqref="B18:B29 B32:B33">
    <cfRule type="expression" dxfId="7" priority="3">
      <formula>OR($O$4=TRUE,$O$3="Any")</formula>
    </cfRule>
  </conditionalFormatting>
  <dataValidations>
    <dataValidation type="list" allowBlank="1" showErrorMessage="1" sqref="D19:D24">
      <formula1>"x 0,x 1,x 2,x 3,x 4"</formula1>
    </dataValidation>
    <dataValidation type="list" allowBlank="1" showErrorMessage="1" sqref="D18">
      <formula1>"None,Auto Rifle,Bow,Grenade Launcher,Hand Cannon,Pulse Rifle,Scout Rifle,Shotgun,Sidearm,Sniper Rifle,Submachine Gun,Fusion Rifle,Trace Rifle,Glaive,Linear Fusion Rifle,Machine Gun,Rocket Launcher,Sword,Arc,Solar,Void,Stasis,Strand"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7" t="s">
        <v>890</v>
      </c>
      <c r="B1" s="102"/>
      <c r="C1" s="102"/>
      <c r="D1" s="102"/>
      <c r="E1" s="102"/>
      <c r="F1" s="102"/>
      <c r="G1" s="102"/>
      <c r="H1" s="102"/>
      <c r="I1" s="102"/>
      <c r="J1" s="102"/>
      <c r="K1" s="102"/>
      <c r="L1" s="102"/>
      <c r="M1" s="958" t="s">
        <v>891</v>
      </c>
      <c r="N1" s="102"/>
      <c r="O1" s="102"/>
      <c r="P1" s="102"/>
      <c r="Q1" s="102"/>
      <c r="R1" s="102"/>
      <c r="S1" s="102"/>
      <c r="T1" s="102"/>
      <c r="U1" s="102"/>
      <c r="V1" s="102"/>
      <c r="W1" s="102"/>
      <c r="X1" s="102"/>
      <c r="Y1" s="102"/>
      <c r="Z1" s="102"/>
    </row>
    <row r="2">
      <c r="A2" s="959"/>
      <c r="B2" s="960" t="s">
        <v>347</v>
      </c>
      <c r="C2" s="960" t="s">
        <v>351</v>
      </c>
      <c r="D2" s="960" t="s">
        <v>416</v>
      </c>
      <c r="E2" s="960" t="s">
        <v>353</v>
      </c>
      <c r="F2" s="960" t="s">
        <v>369</v>
      </c>
      <c r="G2" s="960" t="s">
        <v>401</v>
      </c>
      <c r="H2" s="960" t="s">
        <v>355</v>
      </c>
      <c r="I2" s="960" t="s">
        <v>357</v>
      </c>
      <c r="J2" s="960" t="s">
        <v>419</v>
      </c>
      <c r="K2" s="960" t="s">
        <v>373</v>
      </c>
      <c r="L2" s="961" t="s">
        <v>892</v>
      </c>
      <c r="M2" s="962" t="s">
        <v>893</v>
      </c>
      <c r="N2" s="963" t="s">
        <v>894</v>
      </c>
      <c r="O2" s="102"/>
      <c r="P2" s="102"/>
      <c r="Q2" s="102"/>
      <c r="R2" s="102"/>
      <c r="S2" s="102"/>
      <c r="T2" s="102"/>
      <c r="U2" s="102"/>
      <c r="V2" s="102"/>
      <c r="W2" s="102"/>
      <c r="X2" s="102"/>
      <c r="Y2" s="102"/>
      <c r="Z2" s="102"/>
    </row>
    <row r="3">
      <c r="A3" s="964" t="s">
        <v>380</v>
      </c>
      <c r="B3" s="965" t="s">
        <v>685</v>
      </c>
      <c r="C3" s="966"/>
      <c r="D3" s="152"/>
      <c r="E3" s="152"/>
      <c r="F3" s="152"/>
      <c r="G3" s="152"/>
      <c r="H3" s="960" t="s">
        <v>698</v>
      </c>
      <c r="I3" s="152"/>
      <c r="J3" s="152"/>
      <c r="K3" s="152"/>
      <c r="L3" s="967"/>
      <c r="M3" s="964" t="s">
        <v>344</v>
      </c>
      <c r="N3" s="787" t="s">
        <v>468</v>
      </c>
      <c r="O3" s="102"/>
      <c r="P3" s="102"/>
      <c r="Q3" s="102"/>
      <c r="R3" s="102"/>
      <c r="S3" s="102"/>
      <c r="T3" s="102"/>
      <c r="U3" s="102"/>
      <c r="V3" s="102"/>
      <c r="W3" s="102"/>
      <c r="X3" s="102"/>
      <c r="Y3" s="102"/>
      <c r="Z3" s="102"/>
    </row>
    <row r="4">
      <c r="A4" s="964" t="s">
        <v>389</v>
      </c>
      <c r="B4" s="964" t="s">
        <v>670</v>
      </c>
      <c r="C4" s="101" t="s">
        <v>674</v>
      </c>
      <c r="D4" s="102"/>
      <c r="E4" s="101" t="s">
        <v>694</v>
      </c>
      <c r="F4" s="102"/>
      <c r="G4" s="102"/>
      <c r="H4" s="101" t="s">
        <v>699</v>
      </c>
      <c r="I4" s="102"/>
      <c r="J4" s="102"/>
      <c r="K4" s="102"/>
      <c r="L4" s="968"/>
      <c r="M4" s="964" t="s">
        <v>374</v>
      </c>
      <c r="N4" s="787" t="s">
        <v>494</v>
      </c>
      <c r="O4" s="102"/>
      <c r="P4" s="102"/>
      <c r="Q4" s="102"/>
      <c r="R4" s="102"/>
      <c r="S4" s="102"/>
      <c r="T4" s="102"/>
      <c r="U4" s="102"/>
      <c r="V4" s="102"/>
      <c r="W4" s="102"/>
      <c r="X4" s="102"/>
      <c r="Y4" s="102"/>
      <c r="Z4" s="102"/>
    </row>
    <row r="5">
      <c r="A5" s="964" t="s">
        <v>363</v>
      </c>
      <c r="B5" s="964" t="s">
        <v>635</v>
      </c>
      <c r="C5" s="101" t="s">
        <v>738</v>
      </c>
      <c r="D5" s="102"/>
      <c r="E5" s="102"/>
      <c r="F5" s="101" t="s">
        <v>749</v>
      </c>
      <c r="G5" s="102"/>
      <c r="H5" s="102"/>
      <c r="I5" s="101" t="s">
        <v>666</v>
      </c>
      <c r="J5" s="102"/>
      <c r="K5" s="101" t="s">
        <v>756</v>
      </c>
      <c r="L5" s="969" t="s">
        <v>639</v>
      </c>
      <c r="M5" s="970"/>
      <c r="N5" s="787" t="s">
        <v>497</v>
      </c>
      <c r="O5" s="102"/>
      <c r="P5" s="102"/>
      <c r="Q5" s="102"/>
      <c r="R5" s="102"/>
      <c r="S5" s="102"/>
      <c r="T5" s="102"/>
      <c r="U5" s="102"/>
      <c r="V5" s="102"/>
      <c r="W5" s="102"/>
      <c r="X5" s="102"/>
      <c r="Y5" s="102"/>
      <c r="Z5" s="102"/>
    </row>
    <row r="6">
      <c r="A6" s="964" t="s">
        <v>345</v>
      </c>
      <c r="B6" s="964" t="s">
        <v>730</v>
      </c>
      <c r="C6" s="101" t="s">
        <v>724</v>
      </c>
      <c r="D6" s="102"/>
      <c r="E6" s="101" t="s">
        <v>721</v>
      </c>
      <c r="F6" s="102"/>
      <c r="G6" s="102"/>
      <c r="H6" s="101" t="s">
        <v>736</v>
      </c>
      <c r="I6" s="101" t="s">
        <v>718</v>
      </c>
      <c r="J6" s="102"/>
      <c r="K6" s="102"/>
      <c r="L6" s="968"/>
      <c r="M6" s="970"/>
      <c r="N6" s="781" t="s">
        <v>500</v>
      </c>
      <c r="O6" s="102"/>
      <c r="P6" s="102"/>
      <c r="Q6" s="102"/>
      <c r="R6" s="102"/>
      <c r="S6" s="102"/>
      <c r="T6" s="102"/>
      <c r="U6" s="102"/>
      <c r="V6" s="102"/>
      <c r="W6" s="102"/>
      <c r="X6" s="102"/>
      <c r="Y6" s="102"/>
      <c r="Z6" s="102"/>
    </row>
    <row r="7">
      <c r="A7" s="964" t="s">
        <v>394</v>
      </c>
      <c r="B7" s="970"/>
      <c r="C7" s="101" t="s">
        <v>715</v>
      </c>
      <c r="D7" s="102"/>
      <c r="E7" s="102"/>
      <c r="F7" s="101" t="s">
        <v>704</v>
      </c>
      <c r="G7" s="780" t="s">
        <v>401</v>
      </c>
      <c r="H7" s="101" t="s">
        <v>717</v>
      </c>
      <c r="I7" s="101" t="s">
        <v>703</v>
      </c>
      <c r="J7" s="102"/>
      <c r="K7" s="102"/>
      <c r="L7" s="968"/>
      <c r="M7" s="970"/>
      <c r="N7" s="781" t="s">
        <v>485</v>
      </c>
      <c r="O7" s="102"/>
      <c r="P7" s="102"/>
      <c r="Q7" s="102"/>
      <c r="R7" s="102"/>
      <c r="S7" s="102"/>
      <c r="T7" s="102"/>
      <c r="U7" s="102"/>
      <c r="V7" s="102"/>
      <c r="W7" s="102"/>
      <c r="X7" s="102"/>
      <c r="Y7" s="102"/>
      <c r="Z7" s="102"/>
    </row>
    <row r="8">
      <c r="A8" s="964" t="s">
        <v>407</v>
      </c>
      <c r="B8" s="964" t="s">
        <v>714</v>
      </c>
      <c r="C8" s="101" t="s">
        <v>716</v>
      </c>
      <c r="D8" s="102"/>
      <c r="E8" s="102"/>
      <c r="F8" s="102"/>
      <c r="G8" s="102"/>
      <c r="H8" s="102"/>
      <c r="I8" s="101" t="s">
        <v>710</v>
      </c>
      <c r="J8" s="102"/>
      <c r="K8" s="102"/>
      <c r="L8" s="968"/>
      <c r="M8" s="971"/>
      <c r="N8" s="972" t="s">
        <v>490</v>
      </c>
      <c r="O8" s="102"/>
      <c r="P8" s="102"/>
      <c r="Q8" s="102"/>
      <c r="R8" s="102"/>
      <c r="S8" s="102"/>
      <c r="T8" s="102"/>
      <c r="U8" s="102"/>
      <c r="V8" s="102"/>
      <c r="W8" s="102"/>
      <c r="X8" s="102"/>
      <c r="Y8" s="102"/>
      <c r="Z8" s="102"/>
    </row>
    <row r="9">
      <c r="A9" s="964" t="s">
        <v>411</v>
      </c>
      <c r="B9" s="973" t="s">
        <v>701</v>
      </c>
      <c r="C9" s="539" t="s">
        <v>693</v>
      </c>
      <c r="D9" s="101" t="s">
        <v>700</v>
      </c>
      <c r="E9" s="102"/>
      <c r="F9" s="539" t="s">
        <v>687</v>
      </c>
      <c r="G9" s="102"/>
      <c r="H9" s="102"/>
      <c r="I9" s="102"/>
      <c r="J9" s="101" t="s">
        <v>702</v>
      </c>
      <c r="K9" s="102"/>
      <c r="L9" s="968"/>
      <c r="M9" s="102"/>
      <c r="N9" s="102"/>
      <c r="O9" s="102"/>
      <c r="P9" s="102"/>
      <c r="Q9" s="102"/>
      <c r="R9" s="102"/>
      <c r="S9" s="102"/>
      <c r="T9" s="102"/>
      <c r="U9" s="102"/>
      <c r="V9" s="102"/>
      <c r="W9" s="102"/>
      <c r="X9" s="102"/>
      <c r="Y9" s="102"/>
      <c r="Z9" s="102"/>
    </row>
    <row r="10">
      <c r="A10" s="964" t="s">
        <v>358</v>
      </c>
      <c r="B10" s="974" t="s">
        <v>743</v>
      </c>
      <c r="C10" s="974" t="s">
        <v>742</v>
      </c>
      <c r="D10" s="102"/>
      <c r="E10" s="102"/>
      <c r="F10" s="102"/>
      <c r="G10" s="102"/>
      <c r="H10" s="102"/>
      <c r="I10" s="102"/>
      <c r="J10" s="102"/>
      <c r="K10" s="102"/>
      <c r="L10" s="968"/>
      <c r="M10" s="102"/>
      <c r="N10" s="102"/>
      <c r="O10" s="102"/>
      <c r="P10" s="102"/>
      <c r="Q10" s="102"/>
      <c r="R10" s="102"/>
      <c r="S10" s="102"/>
      <c r="T10" s="102"/>
      <c r="U10" s="102"/>
      <c r="V10" s="102"/>
      <c r="W10" s="102"/>
      <c r="X10" s="102"/>
      <c r="Y10" s="102"/>
      <c r="Z10" s="102"/>
    </row>
    <row r="11">
      <c r="A11" s="964" t="s">
        <v>384</v>
      </c>
      <c r="B11" s="964" t="s">
        <v>741</v>
      </c>
      <c r="C11" s="102"/>
      <c r="D11" s="102"/>
      <c r="E11" s="101" t="s">
        <v>744</v>
      </c>
      <c r="F11" s="102"/>
      <c r="G11" s="102"/>
      <c r="H11" s="102"/>
      <c r="I11" s="101" t="s">
        <v>737</v>
      </c>
      <c r="J11" s="102"/>
      <c r="K11" s="102"/>
      <c r="L11" s="968"/>
      <c r="M11" s="102"/>
      <c r="N11" s="102"/>
      <c r="O11" s="102"/>
      <c r="P11" s="102"/>
      <c r="Q11" s="102"/>
      <c r="R11" s="102"/>
      <c r="S11" s="102"/>
      <c r="T11" s="102"/>
      <c r="U11" s="102"/>
      <c r="V11" s="102"/>
      <c r="W11" s="102"/>
      <c r="X11" s="102"/>
      <c r="Y11" s="102"/>
      <c r="Z11" s="102"/>
    </row>
    <row r="12">
      <c r="A12" s="975" t="s">
        <v>421</v>
      </c>
      <c r="B12" s="976" t="s">
        <v>752</v>
      </c>
      <c r="C12" s="977"/>
      <c r="D12" s="977"/>
      <c r="E12" s="977"/>
      <c r="F12" s="977"/>
      <c r="G12" s="977"/>
      <c r="H12" s="977"/>
      <c r="I12" s="977"/>
      <c r="J12" s="977"/>
      <c r="K12" s="977"/>
      <c r="L12" s="978"/>
      <c r="M12" s="102"/>
      <c r="N12" s="102"/>
      <c r="O12" s="102"/>
      <c r="P12" s="102"/>
      <c r="Q12" s="102"/>
      <c r="R12" s="102"/>
      <c r="S12" s="102"/>
      <c r="T12" s="102"/>
      <c r="U12" s="102"/>
      <c r="V12" s="102"/>
      <c r="W12" s="102"/>
      <c r="X12" s="102"/>
      <c r="Y12" s="102"/>
      <c r="Z12" s="102"/>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c r="A14" s="979" t="s">
        <v>427</v>
      </c>
      <c r="B14" s="960" t="s">
        <v>895</v>
      </c>
      <c r="C14" s="960" t="s">
        <v>896</v>
      </c>
      <c r="D14" s="960" t="s">
        <v>897</v>
      </c>
      <c r="E14" s="963" t="s">
        <v>898</v>
      </c>
      <c r="F14" s="102"/>
      <c r="G14" s="979" t="s">
        <v>899</v>
      </c>
      <c r="H14" s="960" t="s">
        <v>900</v>
      </c>
      <c r="I14" s="963" t="s">
        <v>901</v>
      </c>
      <c r="J14" s="102"/>
      <c r="K14" s="102"/>
      <c r="L14" s="102"/>
      <c r="M14" s="102"/>
      <c r="N14" s="102"/>
      <c r="O14" s="102"/>
      <c r="P14" s="102"/>
      <c r="Q14" s="102"/>
      <c r="R14" s="102"/>
      <c r="S14" s="102"/>
      <c r="T14" s="102"/>
      <c r="U14" s="102"/>
      <c r="V14" s="102"/>
      <c r="W14" s="102"/>
      <c r="X14" s="102"/>
      <c r="Y14" s="102"/>
      <c r="Z14" s="102"/>
    </row>
    <row r="15">
      <c r="A15" s="964" t="s">
        <v>875</v>
      </c>
      <c r="B15" s="773">
        <f>'Crafting OLD'!K$7</f>
        <v>6</v>
      </c>
      <c r="C15" s="773">
        <f>B15</f>
        <v>6</v>
      </c>
      <c r="D15" s="773">
        <f>'Crafting OLD'!M$7</f>
        <v>23</v>
      </c>
      <c r="E15" s="980">
        <f>D15</f>
        <v>23</v>
      </c>
      <c r="F15" s="102"/>
      <c r="G15" s="964" t="s">
        <v>875</v>
      </c>
      <c r="H15" s="774">
        <f>'Crafting OLD'!I$7</f>
        <v>28807.16895</v>
      </c>
      <c r="I15" s="981">
        <f>H15*1</f>
        <v>28807.16895</v>
      </c>
      <c r="J15" s="102"/>
      <c r="K15" s="102"/>
      <c r="L15" s="102"/>
      <c r="M15" s="102"/>
      <c r="N15" s="102"/>
      <c r="O15" s="102"/>
      <c r="P15" s="102"/>
      <c r="Q15" s="102"/>
      <c r="R15" s="102"/>
      <c r="S15" s="102"/>
      <c r="T15" s="102"/>
      <c r="U15" s="102"/>
      <c r="V15" s="102"/>
      <c r="W15" s="102"/>
      <c r="X15" s="102"/>
      <c r="Y15" s="102"/>
      <c r="Z15" s="102"/>
    </row>
    <row r="16">
      <c r="A16" s="964" t="s">
        <v>444</v>
      </c>
      <c r="B16" s="773">
        <f>'Crafting OLD'!K$7</f>
        <v>6</v>
      </c>
      <c r="C16" s="982">
        <f>IF(B16=1,1,ROUND(1.5*B16-1,0))</f>
        <v>8</v>
      </c>
      <c r="D16" s="773">
        <f>'Crafting OLD'!M$7</f>
        <v>23</v>
      </c>
      <c r="E16" s="980">
        <f>Max(D20,ROUNDDOWN(D16/B16,0)*C16+ROUND(1.5*(D16-ROUNDDOWN(D16/B16,0)*B16)-1,0))</f>
        <v>31</v>
      </c>
      <c r="F16" s="102"/>
      <c r="G16" s="964" t="s">
        <v>520</v>
      </c>
      <c r="H16" s="774">
        <f>'Crafting OLD'!I$7</f>
        <v>28807.16895</v>
      </c>
      <c r="I16" s="981">
        <f>H16*1.2</f>
        <v>34568.60274</v>
      </c>
      <c r="J16" s="102"/>
      <c r="K16" s="102"/>
      <c r="L16" s="102"/>
      <c r="M16" s="102"/>
      <c r="N16" s="102"/>
      <c r="O16" s="102"/>
      <c r="P16" s="102"/>
      <c r="Q16" s="102"/>
      <c r="R16" s="102"/>
      <c r="S16" s="102"/>
      <c r="T16" s="102"/>
      <c r="U16" s="102"/>
      <c r="V16" s="102"/>
      <c r="W16" s="102"/>
      <c r="X16" s="102"/>
      <c r="Y16" s="102"/>
      <c r="Z16" s="102"/>
    </row>
    <row r="17">
      <c r="A17" s="974" t="s">
        <v>445</v>
      </c>
      <c r="B17" s="773">
        <f>'Crafting OLD'!K$7</f>
        <v>6</v>
      </c>
      <c r="C17" s="773">
        <f>IF(B16=1,1,4*FLOOR(B17/2,1)-2+MOD(B17,2))</f>
        <v>10</v>
      </c>
      <c r="D17" s="773">
        <f>'Crafting OLD'!M$7</f>
        <v>23</v>
      </c>
      <c r="E17" s="980">
        <f>ROUNDDOWN(D17/B17,0)*C17+MAX((D17-ROUNDDOWN(D17/B17,0)*B17),4*FLOOR((D17-ROUNDDOWN(D17/B17,0)*B17)/2,1)-2+MOD((D17-ROUNDDOWN(D17/B17,0)*B17),2))</f>
        <v>37</v>
      </c>
      <c r="F17" s="102"/>
      <c r="G17" s="964" t="s">
        <v>516</v>
      </c>
      <c r="H17" s="774">
        <f>'Crafting OLD'!I$7</f>
        <v>28807.16895</v>
      </c>
      <c r="I17" s="981">
        <f>H17*IF('Crafting OLD'!B7="Grenade Launcher",1.429,1.248)</f>
        <v>35951.34685</v>
      </c>
      <c r="J17" s="102"/>
      <c r="K17" s="102"/>
      <c r="L17" s="102"/>
      <c r="M17" s="102"/>
      <c r="N17" s="102"/>
      <c r="O17" s="102"/>
      <c r="P17" s="102"/>
      <c r="Q17" s="102"/>
      <c r="R17" s="102"/>
      <c r="S17" s="102"/>
      <c r="T17" s="102"/>
      <c r="U17" s="102"/>
      <c r="V17" s="102"/>
      <c r="W17" s="102"/>
      <c r="X17" s="102"/>
      <c r="Y17" s="102"/>
      <c r="Z17" s="102"/>
    </row>
    <row r="18">
      <c r="A18" s="964" t="s">
        <v>448</v>
      </c>
      <c r="B18" s="773">
        <f>'Crafting OLD'!K$7</f>
        <v>6</v>
      </c>
      <c r="C18" s="982">
        <f>ROUNDUP(B18*1.5,0)</f>
        <v>9</v>
      </c>
      <c r="D18" s="773">
        <f>'Crafting OLD'!M$7</f>
        <v>23</v>
      </c>
      <c r="E18" s="980">
        <f>D18</f>
        <v>23</v>
      </c>
      <c r="F18" s="102"/>
      <c r="G18" s="964" t="s">
        <v>562</v>
      </c>
      <c r="H18" s="774">
        <f>'Crafting OLD'!I$7</f>
        <v>28807.16895</v>
      </c>
      <c r="I18" s="981">
        <f>H18*IF('Crafting OLD'!A7="Heavy",1.1,1.15)</f>
        <v>31687.88585</v>
      </c>
      <c r="J18" s="102"/>
      <c r="K18" s="102"/>
      <c r="L18" s="102"/>
      <c r="M18" s="102"/>
      <c r="N18" s="102"/>
      <c r="O18" s="102"/>
      <c r="P18" s="102"/>
      <c r="Q18" s="102"/>
      <c r="R18" s="102"/>
      <c r="S18" s="102"/>
      <c r="T18" s="102"/>
      <c r="U18" s="102"/>
      <c r="V18" s="102"/>
      <c r="W18" s="102"/>
      <c r="X18" s="102"/>
      <c r="Y18" s="102"/>
      <c r="Z18" s="102"/>
    </row>
    <row r="19">
      <c r="A19" s="964" t="s">
        <v>454</v>
      </c>
      <c r="B19" s="773">
        <f>'Crafting OLD'!K$7</f>
        <v>6</v>
      </c>
      <c r="C19" s="773">
        <f>IF(B16=1,1,B19)</f>
        <v>6</v>
      </c>
      <c r="D19" s="773">
        <f>'Crafting OLD'!M$7</f>
        <v>23</v>
      </c>
      <c r="E19" s="983">
        <f>IF('Crafting OLD'!B7="Rocket Launcher",Min(10,ROUNDUP(D19*1.1,0)),ROUNDUP(D19*1.1,0))</f>
        <v>26</v>
      </c>
      <c r="F19" s="102"/>
      <c r="G19" s="964" t="s">
        <v>525</v>
      </c>
      <c r="H19" s="774">
        <f>'Crafting OLD'!I$7</f>
        <v>28807.16895</v>
      </c>
      <c r="I19" s="981">
        <f>H19*1.15</f>
        <v>33128.24429</v>
      </c>
      <c r="J19" s="102"/>
      <c r="K19" s="102"/>
      <c r="L19" s="102"/>
      <c r="M19" s="102"/>
      <c r="N19" s="102"/>
      <c r="O19" s="102"/>
      <c r="P19" s="102"/>
      <c r="Q19" s="102"/>
      <c r="R19" s="102"/>
      <c r="S19" s="102"/>
      <c r="T19" s="102"/>
      <c r="U19" s="102"/>
      <c r="V19" s="102"/>
      <c r="W19" s="102"/>
      <c r="X19" s="102"/>
      <c r="Y19" s="102"/>
      <c r="Z19" s="102"/>
    </row>
    <row r="20">
      <c r="A20" s="964" t="s">
        <v>452</v>
      </c>
      <c r="B20" s="773">
        <f>'Crafting OLD'!K$7</f>
        <v>6</v>
      </c>
      <c r="C20" s="982">
        <f>ROUND(1.5*B20-1,0)</f>
        <v>8</v>
      </c>
      <c r="D20" s="773">
        <f>'Crafting OLD'!M$7</f>
        <v>23</v>
      </c>
      <c r="E20" s="980">
        <f>Max(D20,ROUNDDOWN(D20/B20,0)*C20+ROUND(1.5*(D20-ROUNDDOWN(D20/B20,0)*B20)-1,0))</f>
        <v>31</v>
      </c>
      <c r="F20" s="102"/>
      <c r="G20" s="964" t="s">
        <v>534</v>
      </c>
      <c r="H20" s="774">
        <f>'Crafting OLD'!I$7</f>
        <v>28807.16895</v>
      </c>
      <c r="I20" s="981">
        <f>H20*IF(OR('Crafting OLD'!F7=A16,'Crafting OLD'!F7=A17,'Crafting OLD'!F7=A21),1.17,1.12)</f>
        <v>33704.38767</v>
      </c>
      <c r="J20" s="102"/>
      <c r="K20" s="102"/>
      <c r="L20" s="102"/>
      <c r="M20" s="102"/>
      <c r="N20" s="102"/>
      <c r="O20" s="102"/>
      <c r="P20" s="102"/>
      <c r="Q20" s="102"/>
      <c r="R20" s="102"/>
      <c r="S20" s="102"/>
      <c r="T20" s="102"/>
      <c r="U20" s="102"/>
      <c r="V20" s="102"/>
      <c r="W20" s="102"/>
      <c r="X20" s="102"/>
      <c r="Y20" s="102"/>
      <c r="Z20" s="102"/>
    </row>
    <row r="21">
      <c r="A21" s="975" t="s">
        <v>446</v>
      </c>
      <c r="B21" s="984">
        <f>'Crafting OLD'!K$7</f>
        <v>6</v>
      </c>
      <c r="C21" s="984">
        <f>IF(B16=1,1,B21+ROUNDUP((B21/2),0)+ROUNDUP((B21/4),0))</f>
        <v>11</v>
      </c>
      <c r="D21" s="984">
        <f>'Crafting OLD'!M$7</f>
        <v>23</v>
      </c>
      <c r="E21" s="985">
        <f>D21</f>
        <v>23</v>
      </c>
      <c r="F21" s="102"/>
      <c r="G21" s="964" t="s">
        <v>902</v>
      </c>
      <c r="H21" s="774">
        <f>'Crafting OLD'!I$7</f>
        <v>28807.16895</v>
      </c>
      <c r="I21" s="981">
        <f>H21*1.19</f>
        <v>34280.53105</v>
      </c>
      <c r="J21" s="102"/>
      <c r="K21" s="102"/>
      <c r="L21" s="102"/>
      <c r="M21" s="102"/>
      <c r="N21" s="102"/>
      <c r="O21" s="102"/>
      <c r="P21" s="102"/>
      <c r="Q21" s="102"/>
      <c r="R21" s="102"/>
      <c r="S21" s="102"/>
      <c r="T21" s="102"/>
      <c r="U21" s="102"/>
      <c r="V21" s="102"/>
      <c r="W21" s="102"/>
      <c r="X21" s="102"/>
      <c r="Y21" s="102"/>
      <c r="Z21" s="102"/>
    </row>
    <row r="22">
      <c r="A22" s="102"/>
      <c r="B22" s="102"/>
      <c r="C22" s="102"/>
      <c r="D22" s="102"/>
      <c r="E22" s="102"/>
      <c r="F22" s="102"/>
      <c r="G22" s="964" t="s">
        <v>522</v>
      </c>
      <c r="H22" s="774">
        <f>'Crafting OLD'!I$7</f>
        <v>28807.16895</v>
      </c>
      <c r="I22" s="981">
        <f>H22*1.2</f>
        <v>34568.60274</v>
      </c>
      <c r="J22" s="102"/>
      <c r="K22" s="102"/>
      <c r="L22" s="102"/>
      <c r="M22" s="102"/>
      <c r="N22" s="102"/>
      <c r="O22" s="102"/>
      <c r="P22" s="102"/>
      <c r="Q22" s="102"/>
      <c r="R22" s="102"/>
      <c r="S22" s="102"/>
      <c r="T22" s="102"/>
      <c r="U22" s="102"/>
      <c r="V22" s="102"/>
      <c r="W22" s="102"/>
      <c r="X22" s="102"/>
      <c r="Y22" s="102"/>
      <c r="Z22" s="102"/>
    </row>
    <row r="23">
      <c r="A23" s="102"/>
      <c r="B23" s="102"/>
      <c r="C23" s="102"/>
      <c r="D23" s="102"/>
      <c r="E23" s="102"/>
      <c r="F23" s="102"/>
      <c r="G23" s="964" t="s">
        <v>903</v>
      </c>
      <c r="H23" s="774">
        <f>'Crafting OLD'!I$7</f>
        <v>28807.16895</v>
      </c>
      <c r="I23" s="981">
        <f>H23*1.3</f>
        <v>37449.31964</v>
      </c>
      <c r="J23" s="102"/>
      <c r="K23" s="102"/>
      <c r="L23" s="102"/>
      <c r="M23" s="102"/>
      <c r="N23" s="102"/>
      <c r="O23" s="102"/>
      <c r="P23" s="102"/>
      <c r="Q23" s="102"/>
      <c r="R23" s="102"/>
      <c r="S23" s="102"/>
      <c r="T23" s="102"/>
      <c r="U23" s="102"/>
      <c r="V23" s="102"/>
      <c r="W23" s="102"/>
      <c r="X23" s="102"/>
      <c r="Y23" s="102"/>
      <c r="Z23" s="102"/>
    </row>
    <row r="24">
      <c r="A24" s="102"/>
      <c r="B24" s="102"/>
      <c r="C24" s="102"/>
      <c r="D24" s="102"/>
      <c r="E24" s="102"/>
      <c r="F24" s="102"/>
      <c r="G24" s="964" t="s">
        <v>904</v>
      </c>
      <c r="H24" s="774">
        <f>'Crafting OLD'!I$7</f>
        <v>28807.16895</v>
      </c>
      <c r="I24" s="981">
        <f t="shared" ref="I24:I25" si="1">H24*1.33</f>
        <v>38313.5347</v>
      </c>
      <c r="J24" s="102"/>
      <c r="K24" s="102"/>
      <c r="L24" s="102"/>
      <c r="M24" s="102"/>
      <c r="N24" s="102"/>
      <c r="O24" s="102"/>
      <c r="P24" s="102"/>
      <c r="Q24" s="102"/>
      <c r="R24" s="102"/>
      <c r="S24" s="102"/>
      <c r="T24" s="102"/>
      <c r="U24" s="102"/>
      <c r="V24" s="102"/>
      <c r="W24" s="102"/>
      <c r="X24" s="102"/>
      <c r="Y24" s="102"/>
      <c r="Z24" s="102"/>
    </row>
    <row r="25">
      <c r="A25" s="102"/>
      <c r="B25" s="102"/>
      <c r="C25" s="102"/>
      <c r="D25" s="102"/>
      <c r="E25" s="102"/>
      <c r="F25" s="102"/>
      <c r="G25" s="964" t="s">
        <v>905</v>
      </c>
      <c r="H25" s="774">
        <f>'Crafting OLD'!I$7</f>
        <v>28807.16895</v>
      </c>
      <c r="I25" s="981">
        <f t="shared" si="1"/>
        <v>38313.5347</v>
      </c>
      <c r="J25" s="102"/>
      <c r="K25" s="102"/>
      <c r="L25" s="102"/>
      <c r="M25" s="102"/>
      <c r="N25" s="102"/>
      <c r="O25" s="102"/>
      <c r="P25" s="102"/>
      <c r="Q25" s="102"/>
      <c r="R25" s="102"/>
      <c r="S25" s="102"/>
      <c r="T25" s="102"/>
      <c r="U25" s="102"/>
      <c r="V25" s="102"/>
      <c r="W25" s="102"/>
      <c r="X25" s="102"/>
      <c r="Y25" s="102"/>
      <c r="Z25" s="102"/>
    </row>
    <row r="26">
      <c r="A26" s="102"/>
      <c r="B26" s="102"/>
      <c r="C26" s="102"/>
      <c r="D26" s="102"/>
      <c r="E26" s="102"/>
      <c r="F26" s="102"/>
      <c r="G26" s="964" t="s">
        <v>819</v>
      </c>
      <c r="H26" s="774">
        <f>'Crafting OLD'!I$7</f>
        <v>28807.16895</v>
      </c>
      <c r="I26" s="981">
        <f>H26*1.3</f>
        <v>37449.31964</v>
      </c>
      <c r="J26" s="102"/>
      <c r="K26" s="102"/>
      <c r="L26" s="102"/>
      <c r="M26" s="102"/>
      <c r="N26" s="102"/>
      <c r="O26" s="102"/>
      <c r="P26" s="102"/>
      <c r="Q26" s="102"/>
      <c r="R26" s="102"/>
      <c r="S26" s="102"/>
      <c r="T26" s="102"/>
      <c r="U26" s="102"/>
      <c r="V26" s="102"/>
      <c r="W26" s="102"/>
      <c r="X26" s="102"/>
      <c r="Y26" s="102"/>
      <c r="Z26" s="102"/>
    </row>
    <row r="27">
      <c r="A27" s="102"/>
      <c r="B27" s="102"/>
      <c r="C27" s="102"/>
      <c r="D27" s="102"/>
      <c r="E27" s="102"/>
      <c r="F27" s="102"/>
      <c r="G27" s="964" t="s">
        <v>560</v>
      </c>
      <c r="H27" s="774">
        <f>'Crafting OLD'!I$7</f>
        <v>28807.16895</v>
      </c>
      <c r="I27" s="981">
        <f>H27*IF(OR('Crafting OLD'!F7=A16,'Crafting OLD'!F7=A17,'Crafting OLD'!F7=A21),1.3,1.25)</f>
        <v>37449.31964</v>
      </c>
      <c r="J27" s="102"/>
      <c r="K27" s="102"/>
      <c r="L27" s="102"/>
      <c r="M27" s="102"/>
      <c r="N27" s="102"/>
      <c r="O27" s="102"/>
      <c r="P27" s="102"/>
      <c r="Q27" s="102"/>
      <c r="R27" s="102"/>
      <c r="S27" s="102"/>
      <c r="T27" s="102"/>
      <c r="U27" s="102"/>
      <c r="V27" s="102"/>
      <c r="W27" s="102"/>
      <c r="X27" s="102"/>
      <c r="Y27" s="102"/>
      <c r="Z27" s="102"/>
    </row>
    <row r="28">
      <c r="A28" s="102"/>
      <c r="B28" s="101"/>
      <c r="C28" s="101"/>
      <c r="D28" s="101"/>
      <c r="E28" s="102"/>
      <c r="F28" s="102"/>
      <c r="G28" s="986" t="s">
        <v>554</v>
      </c>
      <c r="H28" s="987">
        <f>'Crafting OLD'!I$7</f>
        <v>28807.16895</v>
      </c>
      <c r="I28" s="988">
        <f>H28*1.4</f>
        <v>40330.03653</v>
      </c>
      <c r="J28" s="102"/>
      <c r="K28" s="102"/>
      <c r="L28" s="102"/>
      <c r="M28" s="102"/>
      <c r="N28" s="102"/>
      <c r="O28" s="102"/>
      <c r="P28" s="102"/>
      <c r="Q28" s="102"/>
      <c r="R28" s="102"/>
      <c r="S28" s="102"/>
      <c r="T28" s="102"/>
      <c r="U28" s="102"/>
      <c r="V28" s="102"/>
      <c r="W28" s="102"/>
      <c r="X28" s="102"/>
      <c r="Y28" s="102"/>
      <c r="Z28" s="102"/>
    </row>
    <row r="29">
      <c r="A29" s="958" t="s">
        <v>432</v>
      </c>
      <c r="B29" s="101"/>
      <c r="C29" s="101"/>
      <c r="D29" s="102"/>
      <c r="E29" s="101"/>
      <c r="F29" s="102"/>
      <c r="G29" s="102"/>
      <c r="H29" s="102"/>
      <c r="I29" s="102"/>
      <c r="J29" s="102"/>
      <c r="K29" s="102"/>
      <c r="L29" s="102"/>
      <c r="M29" s="102"/>
      <c r="N29" s="102"/>
      <c r="O29" s="102"/>
      <c r="P29" s="102"/>
      <c r="Q29" s="102"/>
      <c r="R29" s="102"/>
      <c r="S29" s="102"/>
      <c r="T29" s="102"/>
      <c r="U29" s="102"/>
      <c r="V29" s="102"/>
      <c r="W29" s="102"/>
      <c r="X29" s="102"/>
      <c r="Y29" s="102"/>
      <c r="Z29" s="102"/>
    </row>
    <row r="30">
      <c r="A30" s="989" t="s">
        <v>462</v>
      </c>
      <c r="B30" s="990">
        <v>0.0</v>
      </c>
      <c r="C30" s="101"/>
      <c r="D30" s="102"/>
      <c r="E30" s="101"/>
      <c r="F30" s="102"/>
      <c r="G30" s="102"/>
      <c r="H30" s="102"/>
      <c r="I30" s="102"/>
      <c r="J30" s="102"/>
      <c r="K30" s="102"/>
      <c r="L30" s="102"/>
      <c r="M30" s="102"/>
      <c r="N30" s="102"/>
      <c r="O30" s="102"/>
      <c r="P30" s="102"/>
      <c r="Q30" s="102"/>
      <c r="R30" s="102"/>
      <c r="S30" s="102"/>
      <c r="T30" s="102"/>
      <c r="U30" s="102"/>
      <c r="V30" s="102"/>
      <c r="W30" s="102"/>
      <c r="X30" s="102"/>
      <c r="Y30" s="102"/>
      <c r="Z30" s="102"/>
    </row>
    <row r="31">
      <c r="A31" s="991" t="s">
        <v>471</v>
      </c>
      <c r="B31" s="781">
        <v>0.1</v>
      </c>
      <c r="C31" s="101"/>
      <c r="D31" s="102"/>
      <c r="E31" s="101"/>
      <c r="F31" s="102"/>
      <c r="G31" s="102"/>
      <c r="H31" s="102"/>
      <c r="I31" s="102"/>
      <c r="J31" s="102"/>
      <c r="K31" s="102"/>
      <c r="L31" s="102"/>
      <c r="M31" s="102"/>
      <c r="N31" s="102"/>
      <c r="O31" s="102"/>
      <c r="P31" s="102"/>
      <c r="Q31" s="102"/>
      <c r="R31" s="102"/>
      <c r="S31" s="102"/>
      <c r="T31" s="102"/>
      <c r="U31" s="102"/>
      <c r="V31" s="102"/>
      <c r="W31" s="102"/>
      <c r="X31" s="102"/>
      <c r="Y31" s="102"/>
      <c r="Z31" s="102"/>
    </row>
    <row r="32">
      <c r="A32" s="991" t="s">
        <v>488</v>
      </c>
      <c r="B32" s="781">
        <v>0.17</v>
      </c>
      <c r="C32" s="992"/>
      <c r="D32" s="102"/>
      <c r="E32" s="101"/>
      <c r="F32" s="102"/>
      <c r="G32" s="102"/>
      <c r="H32" s="102"/>
      <c r="I32" s="102"/>
      <c r="J32" s="102"/>
      <c r="K32" s="102"/>
      <c r="L32" s="102"/>
      <c r="M32" s="102"/>
      <c r="N32" s="102"/>
      <c r="O32" s="102"/>
      <c r="P32" s="102"/>
      <c r="Q32" s="102"/>
      <c r="R32" s="102"/>
      <c r="S32" s="102"/>
      <c r="T32" s="102"/>
      <c r="U32" s="102"/>
      <c r="V32" s="102"/>
      <c r="W32" s="102"/>
      <c r="X32" s="102"/>
      <c r="Y32" s="102"/>
      <c r="Z32" s="102"/>
    </row>
    <row r="33">
      <c r="A33" s="991" t="s">
        <v>493</v>
      </c>
      <c r="B33" s="781">
        <v>0.22</v>
      </c>
      <c r="C33" s="101"/>
      <c r="D33" s="102"/>
      <c r="E33" s="101"/>
      <c r="F33" s="102"/>
      <c r="G33" s="102"/>
      <c r="H33" s="102"/>
      <c r="I33" s="102"/>
      <c r="J33" s="102"/>
      <c r="K33" s="102"/>
      <c r="L33" s="102"/>
      <c r="M33" s="102"/>
      <c r="N33" s="102"/>
      <c r="O33" s="102"/>
      <c r="P33" s="102"/>
      <c r="Q33" s="102"/>
      <c r="R33" s="102"/>
      <c r="S33" s="102"/>
      <c r="T33" s="102"/>
      <c r="U33" s="102"/>
      <c r="V33" s="102"/>
      <c r="W33" s="102"/>
      <c r="X33" s="102"/>
      <c r="Y33" s="102"/>
      <c r="Z33" s="102"/>
    </row>
    <row r="34">
      <c r="A34" s="986" t="s">
        <v>496</v>
      </c>
      <c r="B34" s="993">
        <v>0.25</v>
      </c>
      <c r="C34" s="101"/>
      <c r="D34" s="102"/>
      <c r="E34" s="101"/>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1"/>
      <c r="C35" s="101"/>
      <c r="D35" s="102"/>
      <c r="E35" s="101"/>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1"/>
      <c r="C36" s="101"/>
      <c r="D36" s="102"/>
      <c r="E36" s="101"/>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1"/>
      <c r="C37" s="101"/>
      <c r="D37" s="102"/>
      <c r="E37" s="101"/>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1"/>
      <c r="C38" s="101"/>
      <c r="D38" s="102"/>
      <c r="E38" s="101"/>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sheetData>
  <drawing r:id="rId1"/>
</worksheet>
</file>