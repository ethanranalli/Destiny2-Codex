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 Combo Finder" sheetId="1" r:id="rId5"/>
    <sheet state="visible" name="Hunter" sheetId="2" r:id="rId6"/>
    <sheet state="visible" name="Titan" sheetId="3" r:id="rId7"/>
    <sheet state="visible" name="Warlock" sheetId="4" r:id="rId8"/>
    <sheet state="visible" name="Perk Descriptions" sheetId="5" r:id="rId9"/>
    <sheet state="visible" name="Exotic Perk Questions" sheetId="6" r:id="rId10"/>
    <sheet state="visible" name="Exotic Class Guide Tables" sheetId="7" r:id="rId11"/>
    <sheet state="visible" name="DIM Wishlist Generation" sheetId="8" r:id="rId12"/>
    <sheet state="visible" name="Version" sheetId="9" r:id="rId13"/>
  </sheets>
  <definedNames>
    <definedName name="Warlock_Exotics_Class2_Icon">'Perk Descriptions'!$AC$3:$AC$10</definedName>
    <definedName name="Hunter_Primary_Desc">'Exotic Class Guide Tables'!$C$20:$H$20</definedName>
    <definedName name="Hunter_Exotics_Class1">'Perk Descriptions'!$C$3:$C$10</definedName>
    <definedName name="Titan_SecondaryPerks">'Exotic Class Guide Tables'!$C$26:$H$31</definedName>
    <definedName name="Hunter_Primary_Abilities">'Exotic Class Guide Tables'!$C$21:$H$21</definedName>
    <definedName name="Hunter_Exotics_Class1_ID">'Perk Descriptions'!$F$3:$F$10</definedName>
    <definedName name="Warlock_Exotics_Class2">'Perk Descriptions'!$AD$3:$AD$10</definedName>
    <definedName name="Titan_Secondary_Desc">'Exotic Class Guide Tables'!$K$26:$P$31</definedName>
    <definedName name="Titan_Primary_Icon">'Exotic Class Guide Tables'!$K$25:$P$25</definedName>
    <definedName name="Caliban">'Exotic Class Guide Tables'!$D$14:$D$19</definedName>
    <definedName name="Warlock_Secondary_Desc">'Exotic Class Guide Tables'!$K$38:$P$43</definedName>
    <definedName name="Classes">'Exotic Class Guide Tables'!$C$2:$E$2</definedName>
    <definedName name="Warlock_Secondary_Icon">'Exotic Class Guide Tables'!$S$38:$X$43</definedName>
    <definedName name="Warlock_Exotics_Class1_Icon">'Perk Descriptions'!$X$3:$X$10</definedName>
    <definedName name="Titan_Exotics_Class2_ID">'Perk Descriptions'!$V$3:$V$10</definedName>
    <definedName name="Warlock_Exotics_Class1">'Perk Descriptions'!$Y$3:$Y$10</definedName>
    <definedName name="Titan_Primary_Desc">'Exotic Class Guide Tables'!$C$32:$H$32</definedName>
    <definedName name="Hunter_Primary_Icon">'Exotic Class Guide Tables'!$K$13:$P$13</definedName>
    <definedName name="Titan_Exotics_Class1">'Perk Descriptions'!$N$3:$N$10</definedName>
    <definedName name="Warlock_Exotics_Class1_ID">'Perk Descriptions'!$AB$3:$AB$10</definedName>
    <definedName name="Titan_Exotics_Class1_Desc">'Perk Descriptions'!$P$3:$P$10</definedName>
    <definedName name="Titan_Primary_Fragments">'Exotic Class Guide Tables'!$C$34:$H$34</definedName>
    <definedName name="Warlock_Exotics_Class2_Desc">'Perk Descriptions'!$AF$3:$AF$10</definedName>
    <definedName name="Warlock_SecondaryPerks">'Exotic Class Guide Tables'!$C$38:$H$43</definedName>
    <definedName name="Titan">'Exotic Class Guide Tables'!$D$3:$D$8</definedName>
    <definedName name="Titan_Exotics_Class2">'Perk Descriptions'!$S$3:$S$10</definedName>
    <definedName name="Hunter_Primary_Fragments">'Exotic Class Guide Tables'!$C$22:$H$22</definedName>
    <definedName name="Warlock_Primary_Abilities">'Exotic Class Guide Tables'!$C$45:$H$45</definedName>
    <definedName name="Hunter_Exotics_Class1_Icon">'Perk Descriptions'!$B$3:$B$10</definedName>
    <definedName name="Warlock_Exotics_Class2_ID">'Perk Descriptions'!$AG$3:$AG$10</definedName>
    <definedName name="Hunter_Exotics_Class1_Desc">'Perk Descriptions'!$E$3:$E$10</definedName>
    <definedName name="Warlock_Primary_Desc">'Exotic Class Guide Tables'!$C$44:$H$44</definedName>
    <definedName name="Warlock_Primary_Icon">'Exotic Class Guide Tables'!$K$37:$P$37</definedName>
    <definedName name="Primary_Perks">'Exotic Class Guide Tables'!$F$3:$F$8</definedName>
    <definedName name="Hunter_Secondary_Desc">'Exotic Class Guide Tables'!$K$14:$P$19</definedName>
    <definedName name="Titan_Exotics_Class1_Icon">'Perk Descriptions'!$M$3:$M$10</definedName>
    <definedName name="Warlock_Primary_Fragments">'Exotic Class Guide Tables'!$C$46:$H$46</definedName>
    <definedName name="Hunter_Exotics_Class2">'Perk Descriptions'!$H$3:$H$10</definedName>
    <definedName name="Hunter_Exotics_Class2_ID">'Perk Descriptions'!$K$3:$K$10</definedName>
    <definedName name="Titan_Secondary_Icon">'Exotic Class Guide Tables'!$S$26:$X$31</definedName>
    <definedName name="Warlock_Exotics_Class1_Desc">'Perk Descriptions'!$AA$3:$AA$10</definedName>
    <definedName name="Hunter_Exotics_Class2_Icon">'Perk Descriptions'!$G$3:$G$10</definedName>
    <definedName name="Warlock">'Exotic Class Guide Tables'!$E$3:$E$8</definedName>
    <definedName name="Titan_Primary_Abilities">'Exotic Class Guide Tables'!$C$33:$H$33</definedName>
    <definedName name="Hunter">'Exotic Class Guide Tables'!$C$3:$C$8</definedName>
    <definedName name="Titan_Exotics_Class1_ID">'Perk Descriptions'!$Q$3:$Q$10</definedName>
    <definedName name="Hunter_Exotics_Class2_Desc">'Perk Descriptions'!$J$3:$J$10</definedName>
    <definedName name="Titan_Exotics_Class2_Desc">'Perk Descriptions'!$U$3:$U$10</definedName>
    <definedName name="Hunter_SecondaryPerks">'Exotic Class Guide Tables'!$C$14:$H$19</definedName>
    <definedName name="Titan_Exotics_Class2_Icon">'Perk Descriptions'!$R$3:$R$10</definedName>
    <definedName name="Hunter_Secondary_Icon">'Exotic Class Guide Tables'!$S$14:$X$19</definedName>
  </definedNames>
  <calcPr/>
</workbook>
</file>

<file path=xl/sharedStrings.xml><?xml version="1.0" encoding="utf-8"?>
<sst xmlns="http://schemas.openxmlformats.org/spreadsheetml/2006/main" count="959" uniqueCount="341">
  <si>
    <t>Class</t>
  </si>
  <si>
    <t>Hunter</t>
  </si>
  <si>
    <t>Primary Perk</t>
  </si>
  <si>
    <t>Gyrfalcon</t>
  </si>
  <si>
    <t>Description</t>
  </si>
  <si>
    <t>Abilities</t>
  </si>
  <si>
    <t>Fragments</t>
  </si>
  <si>
    <t>1
1
1</t>
  </si>
  <si>
    <r>
      <rPr>
        <rFont val="Arial"/>
        <b/>
        <color theme="1"/>
        <sz val="12.0"/>
      </rPr>
      <t xml:space="preserve">Recommended Secondary Perk Options
</t>
    </r>
    <r>
      <rPr>
        <rFont val="Arial"/>
        <b val="0"/>
        <color theme="1"/>
        <sz val="12.0"/>
      </rPr>
      <t>Strongest 
\/ 
Less Strong</t>
    </r>
  </si>
  <si>
    <t>Galanor</t>
  </si>
  <si>
    <t>More super up time is solid.</t>
  </si>
  <si>
    <t>Caliban</t>
  </si>
  <si>
    <t>Can give a more reliable way to get into Stylish Executioner.</t>
  </si>
  <si>
    <t>Assassin</t>
  </si>
  <si>
    <t>Can let you skip Stylish Executioner but it's less reliable.</t>
  </si>
  <si>
    <t>Foetracer</t>
  </si>
  <si>
    <t>If you are in the right content where Foetracer procs decently often this can be nice for free surges but they match the ability you used and last 11s.</t>
  </si>
  <si>
    <t>---</t>
  </si>
  <si>
    <t>Hunter Exotic Class Item Ratings (PvE Focused)</t>
  </si>
  <si>
    <t>Descriptions</t>
  </si>
  <si>
    <t>While your Super energy is full, picking up an Orb of Power overcharges your Super, granting it bonus damage.</t>
  </si>
  <si>
    <t>Improved melee damage when you're surrounded.</t>
  </si>
  <si>
    <t>Weapon final blows with a damage type matching your grenade grant a stacking grenade damage bonus.</t>
  </si>
  <si>
    <t>Gain Woven Mail when you use your grenade.</t>
  </si>
  <si>
    <t>Your Void weapons gain Volatile Rounds after you emerge from being invisible.</t>
  </si>
  <si>
    <t>Dealing damage with a powered melee or being hit by a melee attack will allow you to follow up with an extremely powerful melee counterpunch.</t>
  </si>
  <si>
    <t>Dodging gives a small health and shield bump.</t>
  </si>
  <si>
    <t>Gain an additional class ability charge.</t>
  </si>
  <si>
    <t>Spirit of the Star-Eater</t>
  </si>
  <si>
    <t>Spirit of the Synthoceps</t>
  </si>
  <si>
    <t>Spirit of Verity</t>
  </si>
  <si>
    <t>Spirit of Cyrtarachne</t>
  </si>
  <si>
    <t>Spirit of Gyrfalcon</t>
  </si>
  <si>
    <t>Spirit of the Liar</t>
  </si>
  <si>
    <t>Spirit of the Wormhusk</t>
  </si>
  <si>
    <t>Spirit of the Coyote</t>
  </si>
  <si>
    <t>Scale</t>
  </si>
  <si>
    <t>Count</t>
  </si>
  <si>
    <t>Finishers and powered melee final blows grant invisibility.</t>
  </si>
  <si>
    <t>Spirit of the Assassin</t>
  </si>
  <si>
    <t>Bad</t>
  </si>
  <si>
    <t>Using an ability empowers the other two abilities granting them improved energy regeneration.</t>
  </si>
  <si>
    <t>Spirit of the Inmost Light</t>
  </si>
  <si>
    <t>Okay</t>
  </si>
  <si>
    <t>Weapons ready very quickly.</t>
  </si>
  <si>
    <t xml:space="preserve">Spirit of the Ophidian </t>
  </si>
  <si>
    <t>Good</t>
  </si>
  <si>
    <t>Using your class ability reloads all weapons and increases weapon handling speeds for a brief time.</t>
  </si>
  <si>
    <t>Spirit of the Dragon</t>
  </si>
  <si>
    <t>Very Good</t>
  </si>
  <si>
    <t>Hits and final blows with your Super will return Super energy after it ends.</t>
  </si>
  <si>
    <t>Spirit of Galanor</t>
  </si>
  <si>
    <t>Excellent</t>
  </si>
  <si>
    <t>Damaging a powerful combatant or Guardian with an ability grants you a temporary damage bonus for weapons matching that ability's element.</t>
  </si>
  <si>
    <t>Spirit of the Foetracer</t>
  </si>
  <si>
    <t>Wishlisted Perk Combo</t>
  </si>
  <si>
    <t>Powered melee final blows trigger an ignition.</t>
  </si>
  <si>
    <t>Spirit of Caliban</t>
  </si>
  <si>
    <t>Wishlisted Perk Combo Obtained!</t>
  </si>
  <si>
    <t>Allies inside the Duskfield take reduced damage, and targets inside the area deal reduced damage.</t>
  </si>
  <si>
    <t>Spirit of Renewal</t>
  </si>
  <si>
    <t>Hunter Exotic Bond - Perk Wishlist</t>
  </si>
  <si>
    <t>Item ID</t>
  </si>
  <si>
    <t>First column</t>
  </si>
  <si>
    <t>Second column</t>
  </si>
  <si>
    <t>Acquired?</t>
  </si>
  <si>
    <t>Notes</t>
  </si>
  <si>
    <t>Row,Column</t>
  </si>
  <si>
    <t>Maximum Super</t>
  </si>
  <si>
    <t>Maximum defenses</t>
  </si>
  <si>
    <t>Team defense and Super damage</t>
  </si>
  <si>
    <t>One Punch to destroy them all</t>
  </si>
  <si>
    <t>Or this very strong punch</t>
  </si>
  <si>
    <t>Super damage and boss weapon damage</t>
  </si>
  <si>
    <t>Combo blow to ability regen</t>
  </si>
  <si>
    <t>Ability spam and super damage</t>
  </si>
  <si>
    <t xml:space="preserve">dimwishlist:item=2809120022&amp;perks=3751917998,1476923955
dimwishlist:item=2809120022&amp;perks=3751917995,3751917994
dimwishlist:item=2809120022&amp;perks=3751917995,1476923955
dimwishlist:item=2809120022&amp;perks=3751917996,3751917992
dimwishlist:item=2809120022&amp;perks=3751917996,1476923956
dimwishlist:item=2809120022&amp;perks=3751917997,1476923955
dimwishlist:item=2809120022&amp;perks=1476923953,1476923956
dimwishlist:item=2809120022&amp;perks=1476923953,1476923955
dimwishlist:item=2809120022&amp;perks=1476923953,3751917994
dimwishlist:item=2809120022&amp;perks=3751917997,1476923957
dimwishlist:item=2809120022&amp;perks=3751917998,3751917993
dimwishlist:item=2809120022&amp;perks=1476923953,1476923957
dimwishlist:item=2809120022&amp;perks=3751917996,3751917994
dimwishlist:item=2809120022&amp;perks=1476923952,1476923956
</t>
  </si>
  <si>
    <t>Titan Exotic Class Item Ratings (PvE Focused)</t>
  </si>
  <si>
    <t xml:space="preserve">Damaging a target with a powered melee causes all nearby enemies to suffer lightning strikes and become jolted. </t>
  </si>
  <si>
    <t xml:space="preserve">Final blows with weapons that have a damage type matching your Super's element create a burst of healing around you that grants allies restoration. </t>
  </si>
  <si>
    <t>Your Barricade unleashes a blast of Solar energy that scorches targets. Thruster creates a fire orb that explodes, scorching enemies.</t>
  </si>
  <si>
    <t xml:space="preserve">Generates a healing pulse when Barricade or Thruster is activated. </t>
  </si>
  <si>
    <t xml:space="preserve">Gain an additional grenade charge. </t>
  </si>
  <si>
    <t>Spirit of Contact</t>
  </si>
  <si>
    <t>Spirit of Scars</t>
  </si>
  <si>
    <t>Spirit of the Horn</t>
  </si>
  <si>
    <t>Spirit of Alpha Lupi</t>
  </si>
  <si>
    <t>Spirit of the Armamentarium</t>
  </si>
  <si>
    <t>Powered melee or finisher final blows
unleash a damaging explosion.</t>
  </si>
  <si>
    <t>Spirit of Severance</t>
  </si>
  <si>
    <t>Your Barricade becomes a wall of Stasis crystals that slows nearby targets when created. Thruster spawns 2 Stasis Crystals</t>
  </si>
  <si>
    <t>Spirit of Hoarfrost</t>
  </si>
  <si>
    <t xml:space="preserve">Gain a damage bonus for weapons matching your Super's element when your Super ends. </t>
  </si>
  <si>
    <t>Spirit of the Eternal Warrior</t>
  </si>
  <si>
    <t xml:space="preserve">Improves Drengr’s Lash. Drengr’s Lash projectiles track targets more aggressively and travel further. </t>
  </si>
  <si>
    <t>Spirit of the Abeyant</t>
  </si>
  <si>
    <t xml:space="preserve">Move faster while guarding with the Unbreakable shield. Damage blocked with Unbreakable is converted to Super energy. </t>
  </si>
  <si>
    <t>Spirit of the Bear</t>
  </si>
  <si>
    <t>Titan Exotic Bond - Perk Wishlist</t>
  </si>
  <si>
    <t xml:space="preserve">dimwishlist:item=266021826&amp;perks=1476923952,1476923956
dimwishlist:item=266021826&amp;perks=3573490507,1476923955
dimwishlist:item=266021826&amp;perks=3573490506,3573490503
dimwishlist:item=266021826&amp;perks=1476923953,1476923955
dimwishlist:item=266021826&amp;perks=1476923953,3573490503
dimwishlist:item=266021826&amp;perks=3573490506,1476923956
dimwishlist:item=266021826&amp;perks=3573490505,3573490500
dimwishlist:item=266021826&amp;perks=1476923953,3573490504
dimwishlist:item=266021826&amp;perks=3573490506,3573490504
dimwishlist:item=266021826&amp;perks=3573490509,1476923956
dimwishlist:item=266021826&amp;perks=1476923953,3573490500
dimwishlist:item=266021826&amp;perks=1476923953,1476923957
dimwishlist:item=266021826&amp;perks=3573490509,3573490504
dimwishlist:item=266021826&amp;perks=1476923953,1476923956
</t>
  </si>
  <si>
    <t>Warlock Exotic Class Item Ratings (PvE Focused)</t>
  </si>
  <si>
    <t xml:space="preserve">Rifts periodically release Arc shockwaves. </t>
  </si>
  <si>
    <t xml:space="preserve">Final blows with weapons that have a damage type matching your Super's element grant you Super energy. </t>
  </si>
  <si>
    <t xml:space="preserve">Grenades recharge from empowered weapon damage, with empowered weapon final blows granting more energy. </t>
  </si>
  <si>
    <t xml:space="preserve">Destroying a Tangle spawns Threadlings. </t>
  </si>
  <si>
    <t xml:space="preserve">Gain an additional melee charge. </t>
  </si>
  <si>
    <t>Spirit of Vesper</t>
  </si>
  <si>
    <t>Spirit of Harmony</t>
  </si>
  <si>
    <t>Spirit of Starfire</t>
  </si>
  <si>
    <t>Spirit of the Swarm</t>
  </si>
  <si>
    <t>Spirit of the Claw</t>
  </si>
  <si>
    <t xml:space="preserve">Your Rift provides damage reduction to allied Guardians standing in it. </t>
  </si>
  <si>
    <t>Spirit of the Stag</t>
  </si>
  <si>
    <t xml:space="preserve">Casting an empowering rift will grant you Devour. </t>
  </si>
  <si>
    <t>Spirit of the Filaments</t>
  </si>
  <si>
    <t xml:space="preserve">Damaging combatants with your melee poisons them. Defeating a poisoned enemy spreads the condition. </t>
  </si>
  <si>
    <t>Spirit of the Necrotic</t>
  </si>
  <si>
    <t xml:space="preserve">Your grenades recharge quicker on hits. The seeker spawned from Coldsnap grenades travels further. </t>
  </si>
  <si>
    <t>Spirit of Osmiomancy</t>
  </si>
  <si>
    <t xml:space="preserve">Temporarily gain greatly increased melee and grenade regen after your Super ends. </t>
  </si>
  <si>
    <t>Spirit of Apotheosis</t>
  </si>
  <si>
    <t>Inmost Light</t>
  </si>
  <si>
    <t>Osmiomancy</t>
  </si>
  <si>
    <t>Apotheosis</t>
  </si>
  <si>
    <t>Warlock Exotic Bond - Perk Wishlist</t>
  </si>
  <si>
    <t>Star Eater</t>
  </si>
  <si>
    <t>Harmony</t>
  </si>
  <si>
    <t>Osmio-Verity</t>
  </si>
  <si>
    <t>Osmio-Swarm</t>
  </si>
  <si>
    <t xml:space="preserve">dimwishlist:item=2273643087&amp;perks=183430253,1476923957
dimwishlist:item=2273643087&amp;perks=183430253,183430246
dimwishlist:item=2273643087&amp;perks=1476923953,1476923957
dimwishlist:item=2273643087&amp;perks=183430253,183430249
dimwishlist:item=2273643087&amp;perks=183430250,1476923955
dimwishlist:item=2273643087&amp;perks=183430253,1476923955
dimwishlist:item=2273643087&amp;perks=183430255,183430249
dimwishlist:item=2273643087&amp;perks=183430252,183430247
dimwishlist:item=2273643087&amp;perks=183430250,183430246
dimwishlist:item=2273643087&amp;perks=183430252,1476923955
dimwishlist:item=2273643087&amp;perks=183430253,183430254
dimwishlist:item=2273643087&amp;perks=183430250,183430254
dimwishlist:item=2273643087&amp;perks=183430252,1476923956
dimwishlist:item=2273643087&amp;perks=1476923953,1476923957
</t>
  </si>
  <si>
    <t>Hunter Exotic Cloak - Relativism</t>
  </si>
  <si>
    <t>Titan Exotic Mark - Stoicism</t>
  </si>
  <si>
    <t>Warlock Exotic Bond - Solipsism</t>
  </si>
  <si>
    <t xml:space="preserve">Secondary </t>
  </si>
  <si>
    <t>Secondary</t>
  </si>
  <si>
    <t>Primary</t>
  </si>
  <si>
    <t xml:space="preserve">Primary </t>
  </si>
  <si>
    <t xml:space="preserve">Bad </t>
  </si>
  <si>
    <r>
      <rPr>
        <rFont val="Arial"/>
        <color theme="1"/>
      </rPr>
      <t xml:space="preserve">Gain a damage bonus for weapons matching your Super's element when your Super ends for </t>
    </r>
    <r>
      <rPr>
        <rFont val="Arial"/>
        <b/>
        <color theme="1"/>
      </rPr>
      <t>30s.</t>
    </r>
  </si>
  <si>
    <t xml:space="preserve">Generates a healing pulse when Barricade or Thruster is activated.  </t>
  </si>
  <si>
    <t>Spirit of Galanor Testing from u/AskDevin777 on r/RaidSecrets</t>
  </si>
  <si>
    <t>no heal</t>
  </si>
  <si>
    <t>without stronger orbs</t>
  </si>
  <si>
    <t>No damage boost. Half regen effect (200 | 400% grenade/melee regen)</t>
  </si>
  <si>
    <t xml:space="preserve">Loses weapon benefits and boss damage. </t>
  </si>
  <si>
    <t>loses reload speed and AE</t>
  </si>
  <si>
    <t>Buffs Transcendence Grenade and GpG 
No grenade regen</t>
  </si>
  <si>
    <t>loses mobility benefits</t>
  </si>
  <si>
    <t>loses flinch resistance. lasts 11s</t>
  </si>
  <si>
    <t>Based on hits. See Table</t>
  </si>
  <si>
    <t>Your Void weapons gain Volatile Rounds for 10s after you emerge from being invisible.</t>
  </si>
  <si>
    <t>loses finisher and overshield</t>
  </si>
  <si>
    <t>no subclass pickup</t>
  </si>
  <si>
    <t>Counterpunch doesn't heal</t>
  </si>
  <si>
    <t>Grapple Melee only ignites 1 enemy. All kills for Threaded Spike</t>
  </si>
  <si>
    <t>Effect seems to be half or around 33 HP</t>
  </si>
  <si>
    <t>basic duskfield radius</t>
  </si>
  <si>
    <t>no free reaper</t>
  </si>
  <si>
    <t>Buffs Transcendence Grenade
No grenade regen</t>
  </si>
  <si>
    <t>Half damage on explosions</t>
  </si>
  <si>
    <t>jolt kills don't count for melee triggered perks
No ability regen</t>
  </si>
  <si>
    <t xml:space="preserve">Your Barricade becomes a wall of Stasis crystals that slows nearby targets when created. </t>
  </si>
  <si>
    <t>No rally benefits</t>
  </si>
  <si>
    <t>no revive benefits</t>
  </si>
  <si>
    <t>lose super benefits 
30 Seconds!</t>
  </si>
  <si>
    <t xml:space="preserve">Your Barricade unleashes a blast of Solar energy that scorches targets </t>
  </si>
  <si>
    <t>no return wave?
no class ability regen</t>
  </si>
  <si>
    <t xml:space="preserve">No Woven Mail. </t>
  </si>
  <si>
    <t xml:space="preserve">Generates a healing pulse when Barricade is activated. </t>
  </si>
  <si>
    <t>Is healing weaker?
no extra super orbs</t>
  </si>
  <si>
    <t>Returns max of 15% energy per Unbreakable activation</t>
  </si>
  <si>
    <t xml:space="preserve">no intrinsic firepower </t>
  </si>
  <si>
    <t>No Rift regen bonus</t>
  </si>
  <si>
    <t>No rift regen</t>
  </si>
  <si>
    <t>No intrinsic Overload</t>
  </si>
  <si>
    <t>No weapon surges</t>
  </si>
  <si>
    <t>Does work with Weapons of Sorrow
Weaker poison (does not scale up in damage)</t>
  </si>
  <si>
    <t>Still just Emp. Rift</t>
  </si>
  <si>
    <t>Energy return on all damaging grenades</t>
  </si>
  <si>
    <t>No Unraveling Threadlings</t>
  </si>
  <si>
    <t>No On Super Cast benefits</t>
  </si>
  <si>
    <t>no intrinsic heavy handed</t>
  </si>
  <si>
    <t>Titan</t>
  </si>
  <si>
    <t>Warlock</t>
  </si>
  <si>
    <t>Selected</t>
  </si>
  <si>
    <t>Severance</t>
  </si>
  <si>
    <t>Renewal</t>
  </si>
  <si>
    <t>Abeyant</t>
  </si>
  <si>
    <t>Cyrtarachne</t>
  </si>
  <si>
    <t>Star-Eater</t>
  </si>
  <si>
    <t>Synthoceps</t>
  </si>
  <si>
    <t>Liar</t>
  </si>
  <si>
    <t>Contact</t>
  </si>
  <si>
    <t>Provides strong damage on Combination Blow</t>
  </si>
  <si>
    <t>Strong punch for Combination Blow.</t>
  </si>
  <si>
    <t>Even more damage reduction when you throw your Duskfield. Just insanely good.</t>
  </si>
  <si>
    <t>Fantastic Grenade Regen</t>
  </si>
  <si>
    <t>It's always good and can let you get into invisibility easier.</t>
  </si>
  <si>
    <t>Adding Explosions in is always cool. This may kill things before you can even do the Liar attack though.</t>
  </si>
  <si>
    <t>Whenever you throw grenades (including Gunpowder Gamble) you get 11s of Woven Mail for 40% damage reduction.</t>
  </si>
  <si>
    <t>Stronger melees for Knife Trick or Threaded Spike. Does significantly less for combination blow. Use Spirit of Liar for Combination Blow.</t>
  </si>
  <si>
    <t>Renewal Duskfield creates a perfect bubble of extra safety for Combination Blow builds and Liar augments that perfectly.</t>
  </si>
  <si>
    <t>Caliban feeds Gunpowder Gamble which enables Cyrtarachne more often.</t>
  </si>
  <si>
    <t>The melee loop so feeds the Inmost ability regen.</t>
  </si>
  <si>
    <t>Double damage on melees while surrounded. Does significantly less for combination blow. Use Spirit of Liar for Combination Blow.</t>
  </si>
  <si>
    <t>Great with Grapple Grenade or Gunpowder Gamble.</t>
  </si>
  <si>
    <t>Stronger melees but a weaker effect for Combination Blow. Liar is preferred.</t>
  </si>
  <si>
    <t>An additional source of damage reduction when throwing grenades but locks you into Duskfield</t>
  </si>
  <si>
    <t>The Duskfield Frost Armor can stack on some damage reduction to help keep you alive.</t>
  </si>
  <si>
    <t>Verity</t>
  </si>
  <si>
    <t>Up to double damage on your grenade when you get kills with a matching element weapon. Also buffs Gunpowder Gamble as long as you get weapon kills matching your normal grenade. Magnetic Grenade or Grapple Grenade are best for damage.</t>
  </si>
  <si>
    <t>Super damage is solid.</t>
  </si>
  <si>
    <t>Super damage is good. Also Duskfields can be helpful for boss damage.</t>
  </si>
  <si>
    <t>Super energy return for more super uptime.</t>
  </si>
  <si>
    <t>Super uptime is solid.</t>
  </si>
  <si>
    <t>Coyote</t>
  </si>
  <si>
    <t>Dragon</t>
  </si>
  <si>
    <t>Stronger super damage is solid.</t>
  </si>
  <si>
    <t>An extra Gambler's Dodge</t>
  </si>
  <si>
    <t>The combo blow loop will dodge frequently and can keep your weapons loaded.</t>
  </si>
  <si>
    <t>An extra dodge to help provide more ability uptime.</t>
  </si>
  <si>
    <t>Increased Ability regen when you use your other abilities.</t>
  </si>
  <si>
    <t>Powered Melee Kills cause Ignitions.</t>
  </si>
  <si>
    <t>Duskfield Grenades provide Frost Armor over time and reduce enemy damage.</t>
  </si>
  <si>
    <t>Gain Woven Mail (40% damage reduction) for 11s whenever you throw a grenade.</t>
  </si>
  <si>
    <t>When leaving invisibility gain Volatile Rounds.</t>
  </si>
  <si>
    <t>Follow up with a powerful melee counterattack.</t>
  </si>
  <si>
    <t>All of them. Generally short cooldown abilities are preferred. The Combination Blow-Gambler's Dodge combo is very potent for keeping grenade regen topped off. Gunpowder Gamble also activates Inmost Light and is pretty spammable.</t>
  </si>
  <si>
    <t>Combination Blow, Threaded Spike or Knife Trick. Grapple Grenade also works. Caliban builds Gunpowder Gamble extremely fast and is also providing Ignitions.</t>
  </si>
  <si>
    <t>Duskfield Grenade is required. Winter's Shroud can be a good combination for easy freeze and shatter. Combination Blow is really good with Renewal.</t>
  </si>
  <si>
    <t>Almost any grenade. Highly recommend Gunpowder Gamble.</t>
  </si>
  <si>
    <t>Stylish Executioner is required. Gunpowder Gamble or Ascension are great. Melees with verbs are good for proccing Stylish Executioner. Arcbolt or Magnetic Grenade require Facet of Dominance to apply verbs.</t>
  </si>
  <si>
    <t>Combination Blow babyyy. Everything else is flexible. Threaded Specter and Winter's Shroud are pretty solid.</t>
  </si>
  <si>
    <t>Facet of Balance is great to increase melee and grenade energy. Facet of Hope can provide more Class Ability Energy though on Hunter that isn't as necessary.</t>
  </si>
  <si>
    <t>Facet of Ruin to increase Ignition explosion. Facet of Balance for melee regen or Facet of Hope for Class Ability Regen. Facet of Dawn can add Radiant on melee hits too. Facet of Bravery will grant Unraveling Rounds with powered melee kills for more damage floating around.</t>
  </si>
  <si>
    <t>Facet of Balance for grenade energy. Facet of Ruin for stronger shatters. Facet of Courage for Light abilities to deal more damage to slowed enemies.</t>
  </si>
  <si>
    <t>Facet of Balance for Grenade energy. Facet of Purpose can help you stack some more damage reduction. Facet of Protection gives damage reduction when near enemies.</t>
  </si>
  <si>
    <t>Facet of Dominance if you need it for the above. Facet of Solitude can synergize well. Balance is good for mixing ability spam in.</t>
  </si>
  <si>
    <t>Facet of Courage can add a little more damage if you inflict a Darkness debuff first. Facets of Protection and Purpose add defenses.</t>
  </si>
  <si>
    <t>Eternal Warrior</t>
  </si>
  <si>
    <t>Jolting melees work with the higher melee uptime.</t>
  </si>
  <si>
    <t>Jolting and explosions are a fun combo.</t>
  </si>
  <si>
    <t>30s of 4x surge after casting your super. Just an incredible combo for boss dps.</t>
  </si>
  <si>
    <t xml:space="preserve">Higher melee uptime is great for a melee perk. </t>
  </si>
  <si>
    <t>Stronger melees work well with the higher melee uptime.</t>
  </si>
  <si>
    <t>Stronger melees ensure Severance procs more often.</t>
  </si>
  <si>
    <t xml:space="preserve">Just an amazing perk to keep ability uptime. </t>
  </si>
  <si>
    <t xml:space="preserve">Stronger melees allow the explosion on kill to happen more often. </t>
  </si>
  <si>
    <t xml:space="preserve">Explosions on top of Jolting is great. </t>
  </si>
  <si>
    <t>Bear</t>
  </si>
  <si>
    <t>Super damage is always solid.</t>
  </si>
  <si>
    <t xml:space="preserve">Super damage is always solid. </t>
  </si>
  <si>
    <t>Can strengthen grenades to kill suspended enemies.</t>
  </si>
  <si>
    <t>Each use of Unbreakable can restore 15% super energy if you block enough damage.</t>
  </si>
  <si>
    <t>Invisibility can keep you safe after powered melee kills.</t>
  </si>
  <si>
    <t>Scars</t>
  </si>
  <si>
    <t>Horn</t>
  </si>
  <si>
    <t xml:space="preserve">Can strengthen grenades further. </t>
  </si>
  <si>
    <t>Restoration for you and your time just for weapon kills. Great even without synergy.</t>
  </si>
  <si>
    <t>Kind of a gimmick but your barricade will Suspend and Scorch.</t>
  </si>
  <si>
    <t xml:space="preserve">Better suspending can help generally in challenging content. </t>
  </si>
  <si>
    <t>The suspend can set up enemies for easier melee kills.</t>
  </si>
  <si>
    <t>Solid add clear.</t>
  </si>
  <si>
    <t>Ophidian</t>
  </si>
  <si>
    <t>This perk is medium but the class ability regen gives you better uptime on it.</t>
  </si>
  <si>
    <t>Helps for weapon swapping during DPS.</t>
  </si>
  <si>
    <t>Powered melee kills or finishers cause explosions.</t>
  </si>
  <si>
    <t>Improves Drengr's Lash (suspending Strand blast)</t>
  </si>
  <si>
    <t>Collect orbs after your super is full to gain increased super damage.</t>
  </si>
  <si>
    <t>Increased melee damage when surrounded by enemies.</t>
  </si>
  <si>
    <t>Powered Melees Jolt enemies.</t>
  </si>
  <si>
    <t>All of them. Just use your abilities. Thruster is ideal to use Class Ability more.</t>
  </si>
  <si>
    <t>This works with every melee basically and Consecration as well.</t>
  </si>
  <si>
    <t>Drengr's Lash is required. Your choice of Thruster or Barricade as well.</t>
  </si>
  <si>
    <t>All the supers work pretty well. Twilight Arsenal is your fastest cast time.</t>
  </si>
  <si>
    <t>All melee abilities can work as long as you stay close to enemies.</t>
  </si>
  <si>
    <t>All melees work. Consecration is especially solid. Shield Throw can spread a lot of Jolt quickly.</t>
  </si>
  <si>
    <t>Facet of Balance is great to increase melee and grenade energy. Facet of Hope can provide more Class Ability Energy.</t>
  </si>
  <si>
    <t>Facet of Balance for melee uptime. Facets of Protection and Purpose add defenses.</t>
  </si>
  <si>
    <t>Facet of Hope improves class ability uptime. Facet of Courage can let an accompanying light ability do more damage to those suspended enemies.</t>
  </si>
  <si>
    <t>Boss dps stuff is good. Facet of Dawn for Radiant. Facet of Courage boosts damage of Light Supers.</t>
  </si>
  <si>
    <t>Stronger melees are good.</t>
  </si>
  <si>
    <t>Making the grenades stronger as you spam them is fantastic. Can also buff Transcendence Grenade.</t>
  </si>
  <si>
    <t>Fantastic for getting your super up more often.</t>
  </si>
  <si>
    <t>A really solid super damage combination.</t>
  </si>
  <si>
    <t>Spam your abilities more.</t>
  </si>
  <si>
    <t>A super perk is a good pairing to maximize the number of times you can cast your super.</t>
  </si>
  <si>
    <t>Necrotic</t>
  </si>
  <si>
    <t>Can increase grenade damage by 100% if you can get some weapon kills. Can also buff Transcendence Grenade.</t>
  </si>
  <si>
    <t>A really potent super damage focused combo.</t>
  </si>
  <si>
    <t>Adding poison DoT during boss dps is free damage.</t>
  </si>
  <si>
    <t>Add some poison onto those melees for more damage.</t>
  </si>
  <si>
    <t>A solid perk for more ability energy.</t>
  </si>
  <si>
    <t>Starfire</t>
  </si>
  <si>
    <t>Can get another source of grenade energy.</t>
  </si>
  <si>
    <t>Can boost the melee damage some if you have the right setup.</t>
  </si>
  <si>
    <t>More grenade uptime, especially on Weakening Vortex grenades is great.</t>
  </si>
  <si>
    <t>Can make the extra melees after super even stronger if you have adds around.</t>
  </si>
  <si>
    <t>More grenade spam which can also mean more weakening or jolting.</t>
  </si>
  <si>
    <t>Claw</t>
  </si>
  <si>
    <t>Swarm</t>
  </si>
  <si>
    <t>An extra melee charge is decent.</t>
  </si>
  <si>
    <t>This perk is very medium but if you are trying to max Threadlings it helps.</t>
  </si>
  <si>
    <t>Slightly more Threadlings for Euphony builds.</t>
  </si>
  <si>
    <t>Good for ability spam.</t>
  </si>
  <si>
    <t>This perk is just so good on all builds. Can't go wrong with more grenades.</t>
  </si>
  <si>
    <t>Vesper</t>
  </si>
  <si>
    <t>Stag</t>
  </si>
  <si>
    <t>Could add some damage. Can Blind if you have Stormtrance.</t>
  </si>
  <si>
    <t>Damage reduction during boss dps is always nice.</t>
  </si>
  <si>
    <t>The Handling bonus can be good for weapon swapping.</t>
  </si>
  <si>
    <t>Grenade hits return grenade energy</t>
  </si>
  <si>
    <t>Get dramatically increased melee and grenade regen after casting your super.</t>
  </si>
  <si>
    <t>Weapon kills matching your super give increased super energy.</t>
  </si>
  <si>
    <t>ALL OF THEM. But seriously just use your abilities a lot. Phoenix Dive is nice for a shorter cooldown class ability. Feed the Void is great for more grenade energy.</t>
  </si>
  <si>
    <t>Returns Grenade energy on hits. Your best grenades are Vortex and Storm Grenades. Threadling Grenades are decent. Coldsnaps would work better with Osmiomancy Gloves.</t>
  </si>
  <si>
    <t>Arcane Needle is best for melees but Incinerator Snaps can be strong. Grenade-wise they all have uses though Healing Grenades are probably less ideal. Vortex Grenades and Storm Grenades are nice for Weaken or Jolt respectively.</t>
  </si>
  <si>
    <t>Your best supers are Needlestorm or Novabomb for boss dps. For roaming Song of Flame is the best.</t>
  </si>
  <si>
    <t xml:space="preserve">Tempest Surge is really ideal for this. Incinerator Snap is also pretty solid as the scorch inherits the damage buff if it's the first thing to scorch an enemy. </t>
  </si>
  <si>
    <t>This is mostly focused on your weapons so pretty flexible on abilities.</t>
  </si>
  <si>
    <t>Facet of Balance is great.</t>
  </si>
  <si>
    <t>Facet of Balance for more grenade energy. Facet of Dominance to add weakening to Vortex or Transcendence Grenades or Jolt to Storm Grenades.</t>
  </si>
  <si>
    <t>Facet of Dominance to add weakening to Vortex or Transcendence Grenades or Jolt to Storm Grenades.</t>
  </si>
  <si>
    <t>Boss dps stuff is good. Facet of Dawn for Radiant. Facet of Courage boosts damage of Nova Bomb.</t>
  </si>
  <si>
    <t>Facet of Bravery for Volatile or Unraveling Rounds is nice synergy. Facets of Devotion and Sacrifice can help balance Transcendence energy.</t>
  </si>
  <si>
    <t>Combined</t>
  </si>
  <si>
    <t>Instructions</t>
  </si>
  <si>
    <r>
      <rPr>
        <rFont val="Arial"/>
        <b/>
        <color theme="1"/>
      </rPr>
      <t xml:space="preserve">1. Select cell you want to copy. 
2. Use Copy (either Ctrl+C or Edit&gt;Copy)
3. Select any other cell
4. Paste Values by going to Edit &gt; Paste Special &gt; Values Only
5. Copy that cell  (either Ctrl+C or Edit&gt;Copy)
6. Open Notepad on your computer. 
7. Paste the text there. 
8. Save the file as whatever name you want with a .txt file.
9. Go to DIM &gt; Settings &gt; Wish List
10. Click on "Load Wish List Rolls" and select your file.
11. </t>
    </r>
    <r>
      <rPr>
        <rFont val="Arial"/>
        <b/>
        <color theme="1"/>
        <u/>
      </rPr>
      <t xml:space="preserve">This will overwrite any online lists you have selected in this setting menu. You can always re-enable them but you will lose your custom wishlist again.  </t>
    </r>
  </si>
  <si>
    <t>Made by ENGINEEEEER</t>
  </si>
  <si>
    <t>Version 3.0</t>
  </si>
  <si>
    <t>Added Class Combo Finder</t>
  </si>
  <si>
    <t>Version 2.5</t>
  </si>
  <si>
    <t>Added Wishlist file generation for DIM</t>
  </si>
  <si>
    <t>Version 2.1</t>
  </si>
  <si>
    <t>Added Counts for Wishlisted Perks and Obtained Perks</t>
  </si>
  <si>
    <t>Version 2.0</t>
  </si>
  <si>
    <t>Updated Combo Ratings and Wishlist feature</t>
  </si>
  <si>
    <t>Version 1.0</t>
  </si>
  <si>
    <t>Completed Planner and Exotic Compatibility Table</t>
  </si>
  <si>
    <t>Wanna Support? Buy me a coffee at the link below:</t>
  </si>
  <si>
    <t>https://ko-fi.com/engineeeeer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</si>
</sst>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46">
    <font>
      <sz val="10.0"/>
      <color rgb="FF000000"/>
      <name val="Arial"/>
      <scheme val="minor"/>
    </font>
    <font>
      <b/>
      <color theme="1"/>
      <name val="Arial"/>
      <scheme val="minor"/>
    </font>
    <font>
      <b/>
      <sz val="12.0"/>
      <color theme="1"/>
      <name val="Arial"/>
      <scheme val="minor"/>
    </font>
    <font/>
    <font>
      <color theme="1"/>
      <name val="Arial"/>
      <scheme val="minor"/>
    </font>
    <font>
      <b/>
      <color rgb="FFFFFFFF"/>
      <name val="Arial"/>
      <scheme val="minor"/>
    </font>
    <font>
      <sz val="11.0"/>
      <color theme="1"/>
      <name val="Arial"/>
      <scheme val="minor"/>
    </font>
    <font>
      <sz val="9.0"/>
      <color rgb="FF000000"/>
      <name val="&quot;Google Sans Mono&quot;"/>
    </font>
    <font>
      <sz val="9.0"/>
      <color theme="1"/>
      <name val="Arial"/>
      <scheme val="minor"/>
    </font>
    <font>
      <b/>
      <sz val="10.0"/>
      <color theme="1"/>
      <name val="Arial"/>
      <scheme val="minor"/>
    </font>
    <font>
      <color theme="1"/>
      <name val="Arial"/>
    </font>
    <font>
      <b/>
      <color theme="1"/>
      <name val="-apple-system"/>
    </font>
    <font>
      <b/>
      <u/>
      <color theme="1"/>
      <name val="-apple-system"/>
    </font>
    <font>
      <sz val="11.0"/>
      <color rgb="FFFFFFFF"/>
      <name val="&quot;Titillium Web&quot;"/>
    </font>
    <font>
      <sz val="9.0"/>
      <color theme="1"/>
      <name val="-apple-system"/>
    </font>
    <font>
      <b/>
      <sz val="24.0"/>
      <color theme="1"/>
      <name val="Arial"/>
    </font>
    <font>
      <b/>
      <sz val="24.0"/>
      <color theme="1"/>
      <name val="Arial"/>
      <scheme val="minor"/>
    </font>
    <font>
      <b/>
      <sz val="9.0"/>
      <color theme="1"/>
      <name val="Arial"/>
      <scheme val="minor"/>
    </font>
    <font>
      <b/>
      <u/>
      <color theme="1"/>
      <name val="-apple-system"/>
    </font>
    <font>
      <b/>
      <u/>
      <sz val="24.0"/>
      <color rgb="FFFF00FF"/>
      <name val="Arial"/>
      <scheme val="minor"/>
    </font>
    <font>
      <b/>
      <u/>
      <color theme="1"/>
      <name val="-apple-system"/>
    </font>
    <font>
      <b/>
      <strike/>
      <sz val="24.0"/>
      <color rgb="FFB7B7B7"/>
      <name val="Arial"/>
      <scheme val="minor"/>
    </font>
    <font>
      <b/>
      <u/>
      <color theme="1"/>
      <name val="-apple-system"/>
    </font>
    <font>
      <b/>
      <sz val="11.0"/>
      <color rgb="FF1F1F1F"/>
      <name val="&quot;Google Sans&quot;"/>
    </font>
    <font>
      <b/>
      <color theme="1"/>
      <name val="Arial"/>
    </font>
    <font>
      <sz val="10.0"/>
      <color theme="1"/>
      <name val="Arial"/>
      <scheme val="minor"/>
    </font>
    <font>
      <b/>
      <sz val="15.0"/>
      <color theme="1"/>
      <name val="Arial"/>
    </font>
    <font>
      <b/>
      <sz val="10.0"/>
      <color theme="1"/>
      <name val="Arial"/>
    </font>
    <font>
      <b/>
      <sz val="15.0"/>
      <color theme="1"/>
      <name val="Arial"/>
      <scheme val="minor"/>
    </font>
    <font>
      <b/>
      <sz val="10.0"/>
      <color theme="1"/>
      <name val="-apple-system"/>
    </font>
    <font>
      <b/>
      <sz val="9.0"/>
      <color theme="1"/>
      <name val="-apple-system"/>
    </font>
    <font>
      <b/>
      <i/>
      <sz val="24.0"/>
      <color theme="1"/>
      <name val="Arial"/>
    </font>
    <font>
      <sz val="9.0"/>
      <color theme="1"/>
      <name val="Arial"/>
    </font>
    <font>
      <b/>
      <sz val="9.0"/>
      <color theme="1"/>
      <name val="Arial"/>
    </font>
    <font>
      <color theme="1"/>
      <name val="-apple-system"/>
    </font>
    <font>
      <sz val="10.0"/>
      <color theme="1"/>
      <name val="-apple-system"/>
    </font>
    <font>
      <sz val="8.0"/>
      <color theme="1"/>
      <name val="-apple-system"/>
    </font>
    <font>
      <sz val="8.0"/>
      <color theme="1"/>
      <name val="Arial"/>
      <scheme val="minor"/>
    </font>
    <font>
      <b/>
      <sz val="8.0"/>
      <color theme="1"/>
      <name val="Arial"/>
    </font>
    <font>
      <b/>
      <i/>
      <sz val="9.0"/>
      <color theme="1"/>
      <name val="Arial"/>
      <scheme val="minor"/>
    </font>
    <font>
      <b/>
      <i/>
      <color theme="1"/>
      <name val="Arial"/>
      <scheme val="minor"/>
    </font>
    <font>
      <b/>
      <i/>
      <color theme="1"/>
      <name val="Arial"/>
    </font>
    <font>
      <b/>
      <i/>
      <sz val="8.0"/>
      <color theme="1"/>
      <name val="-apple-system"/>
    </font>
    <font>
      <b/>
      <sz val="7.0"/>
      <color theme="1"/>
      <name val="Arial"/>
    </font>
    <font>
      <b/>
      <sz val="14.0"/>
      <color rgb="FFFFA4F0"/>
      <name val="Arial"/>
    </font>
    <font>
      <u/>
      <color rgb="FF0000FF"/>
    </font>
  </fonts>
  <fills count="12">
    <fill>
      <patternFill patternType="none"/>
    </fill>
    <fill>
      <patternFill patternType="lightGray"/>
    </fill>
    <fill>
      <patternFill patternType="solid">
        <fgColor rgb="FF000000"/>
        <bgColor rgb="FF000000"/>
      </patternFill>
    </fill>
    <fill>
      <patternFill patternType="solid">
        <fgColor rgb="FFD9D9D9"/>
        <bgColor rgb="FFD9D9D9"/>
      </patternFill>
    </fill>
    <fill>
      <patternFill patternType="solid">
        <fgColor rgb="FFEAD1DC"/>
        <bgColor rgb="FFEAD1DC"/>
      </patternFill>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FF00FF"/>
        <bgColor rgb="FFFF00FF"/>
      </patternFill>
    </fill>
  </fills>
  <borders count="56">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top style="medium">
        <color rgb="FF000000"/>
      </top>
    </border>
    <border>
      <left style="medium">
        <color rgb="FF000000"/>
      </left>
    </border>
    <border>
      <left style="medium">
        <color rgb="FF000000"/>
      </left>
      <top style="medium">
        <color rgb="FF000000"/>
      </top>
    </border>
    <border>
      <right style="medium">
        <color rgb="FF000000"/>
      </right>
      <top style="medium">
        <color rgb="FF000000"/>
      </top>
    </border>
    <border>
      <left style="medium">
        <color rgb="FF000000"/>
      </left>
      <right style="thin">
        <color rgb="FF000000"/>
      </right>
      <top style="medium">
        <color rgb="FF000000"/>
      </top>
      <bottom style="thin">
        <color rgb="FF000000"/>
      </bottom>
    </border>
    <border>
      <left style="medium">
        <color rgb="FF000000"/>
      </left>
      <bottom style="medium">
        <color rgb="FF000000"/>
      </bottom>
    </border>
    <border>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top style="medium">
        <color rgb="FF000000"/>
      </top>
    </border>
    <border>
      <bottom style="medium">
        <color rgb="FF000000"/>
      </bottom>
    </border>
    <border>
      <left style="medium">
        <color rgb="FF000000"/>
      </left>
      <right style="medium">
        <color rgb="FF000000"/>
      </right>
      <bottom style="medium">
        <color rgb="FF000000"/>
      </bottom>
    </border>
    <border>
      <top style="medium">
        <color rgb="FF000000"/>
      </top>
      <bottom style="thin">
        <color rgb="FF000000"/>
      </bottom>
    </border>
    <border>
      <top style="thin">
        <color rgb="FF000000"/>
      </top>
      <bottom style="thin">
        <color rgb="FF000000"/>
      </bottom>
    </border>
    <border>
      <bottom style="thin">
        <color rgb="FF000000"/>
      </bottom>
    </border>
    <border>
      <top style="thin">
        <color rgb="FF000000"/>
      </top>
      <bottom style="medium">
        <color rgb="FF000000"/>
      </bottom>
    </border>
  </borders>
  <cellStyleXfs count="1">
    <xf borderId="0" fillId="0" fontId="0" numFmtId="0" applyAlignment="1" applyFont="1"/>
  </cellStyleXfs>
  <cellXfs count="289">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readingOrder="0" vertical="center"/>
    </xf>
    <xf borderId="1" fillId="0" fontId="2" numFmtId="0" xfId="0" applyAlignment="1" applyBorder="1" applyFont="1">
      <alignment horizontal="center" readingOrder="0" vertical="center"/>
    </xf>
    <xf borderId="2" fillId="0" fontId="3" numFmtId="0" xfId="0" applyBorder="1" applyFont="1"/>
    <xf borderId="3" fillId="0" fontId="2" numFmtId="0" xfId="0" applyAlignment="1" applyBorder="1" applyFont="1">
      <alignment horizontal="center" readingOrder="0" vertical="center"/>
    </xf>
    <xf borderId="4" fillId="0" fontId="2" numFmtId="0" xfId="0" applyAlignment="1" applyBorder="1" applyFont="1">
      <alignment horizontal="center" readingOrder="0" vertical="center"/>
    </xf>
    <xf borderId="5" fillId="0" fontId="2" numFmtId="0" xfId="0" applyAlignment="1" applyBorder="1" applyFont="1">
      <alignment horizontal="center" readingOrder="0" vertical="center"/>
    </xf>
    <xf borderId="0" fillId="0" fontId="4" numFmtId="0" xfId="0" applyAlignment="1" applyFont="1">
      <alignment vertical="center"/>
    </xf>
    <xf borderId="0" fillId="0" fontId="1" numFmtId="0" xfId="0" applyAlignment="1" applyFont="1">
      <alignment horizontal="center" readingOrder="0" shrinkToFit="0" vertical="center" wrapText="1"/>
    </xf>
    <xf borderId="6" fillId="0" fontId="2" numFmtId="0" xfId="0" applyAlignment="1" applyBorder="1" applyFont="1">
      <alignment horizontal="center" readingOrder="0" shrinkToFit="0" vertical="center" wrapText="1"/>
    </xf>
    <xf borderId="7" fillId="2" fontId="2" numFmtId="0" xfId="0" applyAlignment="1" applyBorder="1" applyFill="1" applyFont="1">
      <alignment horizontal="center" readingOrder="0" shrinkToFit="0" vertical="center" wrapText="1"/>
    </xf>
    <xf borderId="8" fillId="0" fontId="2" numFmtId="0" xfId="0" applyAlignment="1" applyBorder="1" applyFont="1">
      <alignment horizontal="center" readingOrder="0" shrinkToFit="0" vertical="center" wrapText="1"/>
    </xf>
    <xf borderId="9" fillId="3" fontId="1" numFmtId="0" xfId="0" applyAlignment="1" applyBorder="1" applyFill="1" applyFont="1">
      <alignment readingOrder="0" vertical="center"/>
    </xf>
    <xf borderId="10" fillId="0" fontId="4" numFmtId="0" xfId="0" applyAlignment="1" applyBorder="1" applyFont="1">
      <alignment shrinkToFit="0" wrapText="1"/>
    </xf>
    <xf borderId="11" fillId="0" fontId="3" numFmtId="0" xfId="0" applyBorder="1" applyFont="1"/>
    <xf borderId="12" fillId="0" fontId="3" numFmtId="0" xfId="0" applyBorder="1" applyFont="1"/>
    <xf borderId="13" fillId="0" fontId="3" numFmtId="0" xfId="0" applyBorder="1" applyFont="1"/>
    <xf borderId="14" fillId="3" fontId="1" numFmtId="0" xfId="0" applyAlignment="1" applyBorder="1" applyFont="1">
      <alignment readingOrder="0" vertical="center"/>
    </xf>
    <xf borderId="15" fillId="0" fontId="4" numFmtId="0" xfId="0" applyAlignment="1" applyBorder="1" applyFont="1">
      <alignment shrinkToFit="0" wrapText="1"/>
    </xf>
    <xf borderId="16" fillId="0" fontId="3" numFmtId="0" xfId="0" applyBorder="1" applyFont="1"/>
    <xf borderId="17" fillId="0" fontId="3" numFmtId="0" xfId="0" applyBorder="1" applyFont="1"/>
    <xf borderId="18" fillId="0" fontId="3" numFmtId="0" xfId="0" applyBorder="1" applyFont="1"/>
    <xf borderId="19" fillId="4" fontId="1" numFmtId="0" xfId="0" applyAlignment="1" applyBorder="1" applyFill="1" applyFont="1">
      <alignment readingOrder="0" vertical="center"/>
    </xf>
    <xf borderId="20" fillId="0" fontId="4" numFmtId="0" xfId="0" applyAlignment="1" applyBorder="1" applyFont="1">
      <alignment shrinkToFit="0" wrapText="1"/>
    </xf>
    <xf borderId="0" fillId="0" fontId="5" numFmtId="0" xfId="0" applyAlignment="1" applyFont="1">
      <alignment horizontal="center" readingOrder="0" shrinkToFit="0" vertical="center" wrapText="1"/>
    </xf>
    <xf borderId="21" fillId="2" fontId="1" numFmtId="0" xfId="0" applyAlignment="1" applyBorder="1" applyFont="1">
      <alignment horizontal="center" vertical="center"/>
    </xf>
    <xf borderId="9" fillId="0" fontId="2" numFmtId="0" xfId="0" applyAlignment="1" applyBorder="1" applyFont="1">
      <alignment vertical="center"/>
    </xf>
    <xf borderId="22" fillId="0" fontId="6" numFmtId="0" xfId="0" applyAlignment="1" applyBorder="1" applyFont="1">
      <alignment shrinkToFit="0" vertical="center" wrapText="1"/>
    </xf>
    <xf borderId="23" fillId="0" fontId="3" numFmtId="0" xfId="0" applyBorder="1" applyFont="1"/>
    <xf borderId="24" fillId="2" fontId="1" numFmtId="0" xfId="0" applyAlignment="1" applyBorder="1" applyFont="1">
      <alignment horizontal="center" vertical="center"/>
    </xf>
    <xf borderId="14" fillId="0" fontId="2" numFmtId="0" xfId="0" applyAlignment="1" applyBorder="1" applyFont="1">
      <alignment vertical="center"/>
    </xf>
    <xf borderId="25" fillId="0" fontId="6" numFmtId="0" xfId="0" applyAlignment="1" applyBorder="1" applyFont="1">
      <alignment shrinkToFit="0" vertical="center" wrapText="1"/>
    </xf>
    <xf borderId="26" fillId="0" fontId="3" numFmtId="0" xfId="0" applyBorder="1" applyFont="1"/>
    <xf borderId="27" fillId="2" fontId="1" numFmtId="0" xfId="0" applyAlignment="1" applyBorder="1" applyFont="1">
      <alignment horizontal="center" vertical="center"/>
    </xf>
    <xf borderId="19" fillId="0" fontId="2" numFmtId="0" xfId="0" applyAlignment="1" applyBorder="1" applyFont="1">
      <alignment vertical="center"/>
    </xf>
    <xf borderId="28" fillId="0" fontId="6" numFmtId="0" xfId="0" applyAlignment="1" applyBorder="1" applyFont="1">
      <alignment shrinkToFit="0" vertical="center" wrapText="1"/>
    </xf>
    <xf borderId="29" fillId="0" fontId="3" numFmtId="0" xfId="0" applyBorder="1" applyFont="1"/>
    <xf borderId="0" fillId="5" fontId="7" numFmtId="0" xfId="0" applyFill="1" applyFont="1"/>
    <xf borderId="0" fillId="0" fontId="2" numFmtId="0" xfId="0" applyAlignment="1" applyFont="1">
      <alignment horizontal="center" readingOrder="0" shrinkToFit="0" vertical="center" wrapText="1"/>
    </xf>
    <xf borderId="0" fillId="0" fontId="1" numFmtId="0" xfId="0" applyAlignment="1" applyFont="1">
      <alignment horizontal="right" readingOrder="0" vertical="center"/>
    </xf>
    <xf borderId="0" fillId="0" fontId="4" numFmtId="0" xfId="0" applyAlignment="1" applyFont="1">
      <alignment readingOrder="0" shrinkToFit="0" vertical="center" wrapText="1"/>
    </xf>
    <xf borderId="30" fillId="6" fontId="2" numFmtId="0" xfId="0" applyAlignment="1" applyBorder="1" applyFill="1" applyFont="1">
      <alignment horizontal="center" readingOrder="0" shrinkToFit="0" vertical="center" wrapText="1"/>
    </xf>
    <xf borderId="1" fillId="0" fontId="1" numFmtId="0" xfId="0" applyAlignment="1" applyBorder="1" applyFont="1">
      <alignment horizontal="right" readingOrder="0" vertical="center"/>
    </xf>
    <xf borderId="5" fillId="0" fontId="3" numFmtId="0" xfId="0" applyBorder="1" applyFont="1"/>
    <xf borderId="6" fillId="6" fontId="8" numFmtId="0" xfId="0" applyAlignment="1" applyBorder="1" applyFont="1">
      <alignment readingOrder="0" shrinkToFit="0" vertical="center" wrapText="1"/>
    </xf>
    <xf borderId="8" fillId="7" fontId="8" numFmtId="0" xfId="0" applyAlignment="1" applyBorder="1" applyFill="1" applyFont="1">
      <alignment readingOrder="0" shrinkToFit="0" vertical="center" wrapText="1"/>
    </xf>
    <xf borderId="8" fillId="8" fontId="8" numFmtId="0" xfId="0" applyAlignment="1" applyBorder="1" applyFill="1" applyFont="1">
      <alignment readingOrder="0" shrinkToFit="0" vertical="center" wrapText="1"/>
    </xf>
    <xf borderId="8" fillId="6" fontId="8" numFmtId="0" xfId="0" applyAlignment="1" applyBorder="1" applyFont="1">
      <alignment readingOrder="0" shrinkToFit="0" vertical="center" wrapText="1"/>
    </xf>
    <xf borderId="31" fillId="6" fontId="8" numFmtId="0" xfId="0" applyAlignment="1" applyBorder="1" applyFont="1">
      <alignment readingOrder="0" shrinkToFit="0" vertical="center" wrapText="1"/>
    </xf>
    <xf borderId="32" fillId="0" fontId="9" numFmtId="0" xfId="0" applyAlignment="1" applyBorder="1" applyFont="1">
      <alignment horizontal="center" readingOrder="0" vertical="bottom"/>
    </xf>
    <xf borderId="33" fillId="0" fontId="7" numFmtId="0" xfId="0" applyAlignment="1" applyBorder="1" applyFont="1">
      <alignment vertical="center"/>
    </xf>
    <xf borderId="34" fillId="0" fontId="3" numFmtId="0" xfId="0" applyBorder="1" applyFont="1"/>
    <xf borderId="35" fillId="2" fontId="4" numFmtId="0" xfId="0" applyAlignment="1" applyBorder="1" applyFont="1">
      <alignment horizontal="center" shrinkToFit="0" vertical="center" wrapText="1"/>
    </xf>
    <xf borderId="9" fillId="2" fontId="10" numFmtId="0" xfId="0" applyAlignment="1" applyBorder="1" applyFont="1">
      <alignment horizontal="center" shrinkToFit="0" vertical="center" wrapText="1"/>
    </xf>
    <xf borderId="9" fillId="2" fontId="4" numFmtId="0" xfId="0" applyAlignment="1" applyBorder="1" applyFont="1">
      <alignment horizontal="center" vertical="center"/>
    </xf>
    <xf borderId="10" fillId="2" fontId="4" numFmtId="0" xfId="0" applyAlignment="1" applyBorder="1" applyFont="1">
      <alignment horizontal="center" vertical="center"/>
    </xf>
    <xf borderId="36" fillId="0" fontId="3" numFmtId="0" xfId="0" applyBorder="1" applyFont="1"/>
    <xf borderId="37" fillId="0" fontId="3" numFmtId="0" xfId="0" applyBorder="1" applyFont="1"/>
    <xf borderId="38" fillId="6" fontId="11" numFmtId="0" xfId="0" applyAlignment="1" applyBorder="1" applyFont="1">
      <alignment horizontal="center" readingOrder="0" shrinkToFit="0" vertical="center" wrapText="1"/>
    </xf>
    <xf borderId="19" fillId="7" fontId="11" numFmtId="0" xfId="0" applyAlignment="1" applyBorder="1" applyFont="1">
      <alignment horizontal="center" readingOrder="0" shrinkToFit="0" vertical="center" wrapText="1"/>
    </xf>
    <xf borderId="19" fillId="8" fontId="11" numFmtId="0" xfId="0" applyAlignment="1" applyBorder="1" applyFont="1">
      <alignment horizontal="center" readingOrder="0" shrinkToFit="0" vertical="center" wrapText="1"/>
    </xf>
    <xf borderId="19" fillId="6" fontId="12" numFmtId="0" xfId="0" applyAlignment="1" applyBorder="1" applyFont="1">
      <alignment horizontal="center" readingOrder="0" shrinkToFit="0" vertical="center" wrapText="1"/>
    </xf>
    <xf borderId="19" fillId="6" fontId="11" numFmtId="0" xfId="0" applyAlignment="1" applyBorder="1" applyFont="1">
      <alignment horizontal="center" readingOrder="0" shrinkToFit="0" vertical="center" wrapText="1"/>
    </xf>
    <xf borderId="20" fillId="6" fontId="11" numFmtId="0" xfId="0" applyAlignment="1" applyBorder="1" applyFont="1">
      <alignment horizontal="center" readingOrder="0" shrinkToFit="0" vertical="center" wrapText="1"/>
    </xf>
    <xf borderId="39" fillId="0" fontId="1" numFmtId="0" xfId="0" applyAlignment="1" applyBorder="1" applyFont="1">
      <alignment horizontal="center" readingOrder="0"/>
    </xf>
    <xf borderId="40" fillId="0" fontId="1" numFmtId="0" xfId="0" applyAlignment="1" applyBorder="1" applyFont="1">
      <alignment horizontal="center" readingOrder="0"/>
    </xf>
    <xf borderId="41" fillId="0" fontId="1" numFmtId="0" xfId="0" applyAlignment="1" applyBorder="1" applyFont="1">
      <alignment horizontal="center" readingOrder="0"/>
    </xf>
    <xf borderId="0" fillId="0" fontId="13" numFmtId="0" xfId="0" applyAlignment="1" applyFont="1">
      <alignment readingOrder="0"/>
    </xf>
    <xf borderId="42" fillId="6" fontId="14" numFmtId="0" xfId="0" applyAlignment="1" applyBorder="1" applyFont="1">
      <alignment readingOrder="0" shrinkToFit="0" vertical="center" wrapText="1"/>
    </xf>
    <xf borderId="35" fillId="2" fontId="4" numFmtId="0" xfId="0" applyAlignment="1" applyBorder="1" applyFont="1">
      <alignment horizontal="center" shrinkToFit="0" vertical="center" wrapText="1"/>
    </xf>
    <xf borderId="10" fillId="6" fontId="11" numFmtId="0" xfId="0" applyAlignment="1" applyBorder="1" applyFont="1">
      <alignment readingOrder="0" shrinkToFit="0" vertical="center" wrapText="1"/>
    </xf>
    <xf borderId="35" fillId="0" fontId="15" numFmtId="0" xfId="0" applyAlignment="1" applyBorder="1" applyFont="1">
      <alignment horizontal="center" readingOrder="0" vertical="center"/>
    </xf>
    <xf borderId="9" fillId="0" fontId="15" numFmtId="0" xfId="0" applyAlignment="1" applyBorder="1" applyFont="1">
      <alignment horizontal="center" readingOrder="0" vertical="center"/>
    </xf>
    <xf borderId="10" fillId="0" fontId="15" numFmtId="0" xfId="0" applyAlignment="1" applyBorder="1" applyFont="1">
      <alignment horizontal="center" readingOrder="0" vertical="center"/>
    </xf>
    <xf borderId="43" fillId="0" fontId="16" numFmtId="0" xfId="0" applyAlignment="1" applyBorder="1" applyFont="1">
      <alignment horizontal="center" readingOrder="0" vertical="center"/>
    </xf>
    <xf borderId="44" fillId="0" fontId="17" numFmtId="0" xfId="0" applyAlignment="1" applyBorder="1" applyFont="1">
      <alignment readingOrder="0" shrinkToFit="0" vertical="center" wrapText="1"/>
    </xf>
    <xf borderId="45" fillId="0" fontId="4" numFmtId="0" xfId="0" applyAlignment="1" applyBorder="1" applyFont="1">
      <alignment horizontal="center" vertical="center"/>
    </xf>
    <xf borderId="46" fillId="7" fontId="14" numFmtId="0" xfId="0" applyAlignment="1" applyBorder="1" applyFont="1">
      <alignment readingOrder="0" shrinkToFit="0" vertical="center" wrapText="1"/>
    </xf>
    <xf borderId="47" fillId="2" fontId="10" numFmtId="0" xfId="0" applyAlignment="1" applyBorder="1" applyFont="1">
      <alignment horizontal="center" shrinkToFit="0" vertical="center" wrapText="1"/>
    </xf>
    <xf borderId="15" fillId="7" fontId="18" numFmtId="0" xfId="0" applyAlignment="1" applyBorder="1" applyFont="1">
      <alignment readingOrder="0" shrinkToFit="0" vertical="center" wrapText="1"/>
    </xf>
    <xf borderId="47" fillId="0" fontId="15" numFmtId="0" xfId="0" applyAlignment="1" applyBorder="1" applyFont="1">
      <alignment horizontal="center" readingOrder="0" vertical="center"/>
    </xf>
    <xf borderId="14" fillId="0" fontId="15" numFmtId="0" xfId="0" applyAlignment="1" applyBorder="1" applyFont="1">
      <alignment horizontal="center" readingOrder="0" vertical="center"/>
    </xf>
    <xf borderId="15" fillId="0" fontId="15" numFmtId="0" xfId="0" applyAlignment="1" applyBorder="1" applyFont="1">
      <alignment horizontal="center" readingOrder="0" vertical="center"/>
    </xf>
    <xf borderId="47" fillId="0" fontId="16" numFmtId="0" xfId="0" applyAlignment="1" applyBorder="1" applyFont="1">
      <alignment horizontal="center" readingOrder="0" vertical="center"/>
    </xf>
    <xf borderId="25" fillId="0" fontId="17" numFmtId="0" xfId="0" applyAlignment="1" applyBorder="1" applyFont="1">
      <alignment readingOrder="0" shrinkToFit="0" vertical="center" wrapText="1"/>
    </xf>
    <xf borderId="15" fillId="0" fontId="4" numFmtId="0" xfId="0" applyAlignment="1" applyBorder="1" applyFont="1">
      <alignment horizontal="center" vertical="center"/>
    </xf>
    <xf borderId="46" fillId="8" fontId="14" numFmtId="0" xfId="0" applyAlignment="1" applyBorder="1" applyFont="1">
      <alignment readingOrder="0" shrinkToFit="0" vertical="center" wrapText="1"/>
    </xf>
    <xf borderId="47" fillId="2" fontId="4" numFmtId="0" xfId="0" applyAlignment="1" applyBorder="1" applyFont="1">
      <alignment horizontal="center" vertical="center"/>
    </xf>
    <xf borderId="15" fillId="8" fontId="11" numFmtId="0" xfId="0" applyAlignment="1" applyBorder="1" applyFont="1">
      <alignment readingOrder="0" shrinkToFit="0" vertical="center" wrapText="1"/>
    </xf>
    <xf borderId="46" fillId="6" fontId="14" numFmtId="0" xfId="0" applyAlignment="1" applyBorder="1" applyFont="1">
      <alignment readingOrder="0" shrinkToFit="0" vertical="center" wrapText="1"/>
    </xf>
    <xf borderId="15" fillId="6" fontId="11" numFmtId="0" xfId="0" applyAlignment="1" applyBorder="1" applyFont="1">
      <alignment readingOrder="0" shrinkToFit="0" vertical="center" wrapText="1"/>
    </xf>
    <xf borderId="38" fillId="0" fontId="16" numFmtId="0" xfId="0" applyAlignment="1" applyBorder="1" applyFont="1">
      <alignment horizontal="center" readingOrder="0" vertical="center"/>
    </xf>
    <xf borderId="28" fillId="0" fontId="17" numFmtId="0" xfId="0" applyAlignment="1" applyBorder="1" applyFont="1">
      <alignment readingOrder="0" shrinkToFit="0" vertical="center" wrapText="1"/>
    </xf>
    <xf borderId="20" fillId="0" fontId="4" numFmtId="0" xfId="0" applyAlignment="1" applyBorder="1" applyFont="1">
      <alignment horizontal="center" vertical="center"/>
    </xf>
    <xf borderId="47" fillId="0" fontId="19" numFmtId="0" xfId="0" applyAlignment="1" applyBorder="1" applyFont="1">
      <alignment horizontal="center" readingOrder="0" vertical="center"/>
    </xf>
    <xf borderId="15" fillId="6" fontId="20" numFmtId="0" xfId="0" applyAlignment="1" applyBorder="1" applyFont="1">
      <alignment readingOrder="0" shrinkToFit="0" vertical="center" wrapText="1"/>
    </xf>
    <xf borderId="38" fillId="0" fontId="21" numFmtId="0" xfId="0" applyAlignment="1" applyBorder="1" applyFont="1">
      <alignment horizontal="center" readingOrder="0" vertical="center"/>
    </xf>
    <xf borderId="48" fillId="6" fontId="14" numFmtId="0" xfId="0" applyAlignment="1" applyBorder="1" applyFont="1">
      <alignment readingOrder="0" shrinkToFit="0" vertical="center" wrapText="1"/>
    </xf>
    <xf borderId="38" fillId="2" fontId="4" numFmtId="0" xfId="0" applyAlignment="1" applyBorder="1" applyFont="1">
      <alignment horizontal="center" vertical="center"/>
    </xf>
    <xf borderId="20" fillId="6" fontId="22" numFmtId="0" xfId="0" applyAlignment="1" applyBorder="1" applyFont="1">
      <alignment readingOrder="0" shrinkToFit="0" vertical="center" wrapText="1"/>
    </xf>
    <xf borderId="38" fillId="0" fontId="15" numFmtId="0" xfId="0" applyAlignment="1" applyBorder="1" applyFont="1">
      <alignment horizontal="center" readingOrder="0" vertical="center"/>
    </xf>
    <xf borderId="19" fillId="0" fontId="15" numFmtId="0" xfId="0" applyAlignment="1" applyBorder="1" applyFont="1">
      <alignment horizontal="center" readingOrder="0" vertical="center"/>
    </xf>
    <xf borderId="20" fillId="0" fontId="15" numFmtId="0" xfId="0" applyAlignment="1" applyBorder="1" applyFont="1">
      <alignment horizontal="center" readingOrder="0" vertical="center"/>
    </xf>
    <xf borderId="0" fillId="0" fontId="8" numFmtId="0" xfId="0" applyFont="1"/>
    <xf borderId="0" fillId="0" fontId="4" numFmtId="0" xfId="0" applyAlignment="1" applyFont="1">
      <alignment readingOrder="0"/>
    </xf>
    <xf borderId="33" fillId="6" fontId="1" numFmtId="0" xfId="0" applyAlignment="1" applyBorder="1" applyFont="1">
      <alignment horizontal="center" readingOrder="0"/>
    </xf>
    <xf borderId="49" fillId="0" fontId="3" numFmtId="0" xfId="0" applyBorder="1" applyFont="1"/>
    <xf borderId="34" fillId="0" fontId="3" numFmtId="0" xfId="0" applyBorder="1" applyFont="1"/>
    <xf borderId="0" fillId="0" fontId="1" numFmtId="0" xfId="0" applyAlignment="1" applyFont="1">
      <alignment readingOrder="0"/>
    </xf>
    <xf borderId="1" fillId="0" fontId="11" numFmtId="0" xfId="0" applyAlignment="1" applyBorder="1" applyFont="1">
      <alignment horizontal="center" readingOrder="0"/>
    </xf>
    <xf borderId="4" fillId="0" fontId="3" numFmtId="0" xfId="0" applyBorder="1" applyFont="1"/>
    <xf borderId="2" fillId="0" fontId="3" numFmtId="0" xfId="0" applyBorder="1" applyFont="1"/>
    <xf borderId="5" fillId="0" fontId="3" numFmtId="0" xfId="0" applyBorder="1" applyFont="1"/>
    <xf borderId="30" fillId="0" fontId="1" numFmtId="0" xfId="0" applyAlignment="1" applyBorder="1" applyFont="1">
      <alignment horizontal="center" readingOrder="0"/>
    </xf>
    <xf borderId="1" fillId="0" fontId="1" numFmtId="0" xfId="0" applyAlignment="1" applyBorder="1" applyFont="1">
      <alignment horizontal="center" readingOrder="0"/>
    </xf>
    <xf borderId="0" fillId="5" fontId="23" numFmtId="0" xfId="0" applyAlignment="1" applyFont="1">
      <alignment horizontal="left" readingOrder="0"/>
    </xf>
    <xf borderId="1" fillId="2" fontId="8" numFmtId="0" xfId="0" applyAlignment="1" applyBorder="1" applyFont="1">
      <alignment horizontal="center" shrinkToFit="0" vertical="center" wrapText="1"/>
    </xf>
    <xf borderId="4" fillId="0" fontId="24" numFmtId="0" xfId="0" applyAlignment="1" applyBorder="1" applyFont="1">
      <alignment shrinkToFit="0" vertical="center" wrapText="1"/>
    </xf>
    <xf borderId="4" fillId="2" fontId="25" numFmtId="0" xfId="0" applyAlignment="1" applyBorder="1" applyFont="1">
      <alignment horizontal="center" shrinkToFit="0" vertical="center" wrapText="1"/>
    </xf>
    <xf borderId="30" fillId="0" fontId="26" numFmtId="0" xfId="0" applyAlignment="1" applyBorder="1" applyFont="1">
      <alignment horizontal="center" readingOrder="0" vertical="center"/>
    </xf>
    <xf borderId="4" fillId="0" fontId="4" numFmtId="0" xfId="0" applyAlignment="1" applyBorder="1" applyFont="1">
      <alignment readingOrder="0" vertical="center"/>
    </xf>
    <xf borderId="0" fillId="0" fontId="4" numFmtId="0" xfId="0" applyAlignment="1" applyFont="1">
      <alignment horizontal="center" vertical="center"/>
    </xf>
    <xf borderId="0" fillId="0" fontId="4" numFmtId="0" xfId="0" applyFont="1"/>
    <xf borderId="50" fillId="0" fontId="24" numFmtId="0" xfId="0" applyAlignment="1" applyBorder="1" applyFont="1">
      <alignment shrinkToFit="0" vertical="center" wrapText="1"/>
    </xf>
    <xf borderId="17" fillId="0" fontId="3" numFmtId="0" xfId="0" applyBorder="1" applyFont="1"/>
    <xf borderId="51" fillId="0" fontId="26" numFmtId="0" xfId="0" applyAlignment="1" applyBorder="1" applyFont="1">
      <alignment horizontal="center" vertical="center"/>
    </xf>
    <xf borderId="51" fillId="0" fontId="26" numFmtId="0" xfId="0" applyAlignment="1" applyBorder="1" applyFont="1">
      <alignment readingOrder="0" vertical="center"/>
    </xf>
    <xf borderId="51" fillId="0" fontId="26" numFmtId="0" xfId="0" applyAlignment="1" applyBorder="1" applyFont="1">
      <alignment vertical="center"/>
    </xf>
    <xf borderId="4" fillId="0" fontId="4" numFmtId="0" xfId="0" applyAlignment="1" applyBorder="1" applyFont="1">
      <alignment vertical="center"/>
    </xf>
    <xf borderId="39" fillId="2" fontId="8" numFmtId="0" xfId="0" applyAlignment="1" applyBorder="1" applyFont="1">
      <alignment horizontal="center" shrinkToFit="0" vertical="center" wrapText="1"/>
    </xf>
    <xf borderId="40" fillId="0" fontId="27" numFmtId="0" xfId="0" applyAlignment="1" applyBorder="1" applyFont="1">
      <alignment readingOrder="0" shrinkToFit="0" vertical="center" wrapText="1"/>
    </xf>
    <xf borderId="39" fillId="2" fontId="25" numFmtId="0" xfId="0" applyAlignment="1" applyBorder="1" applyFont="1">
      <alignment horizontal="center" shrinkToFit="0" vertical="center" wrapText="1"/>
    </xf>
    <xf borderId="30" fillId="0" fontId="28" numFmtId="0" xfId="0" applyAlignment="1" applyBorder="1" applyFont="1">
      <alignment horizontal="center" readingOrder="0" vertical="center"/>
    </xf>
    <xf borderId="14" fillId="0" fontId="4" numFmtId="0" xfId="0" applyAlignment="1" applyBorder="1" applyFont="1">
      <alignment vertical="top"/>
    </xf>
    <xf borderId="0" fillId="0" fontId="17" numFmtId="0" xfId="0" applyAlignment="1" applyFont="1">
      <alignment horizontal="right" readingOrder="0" vertical="center"/>
    </xf>
    <xf borderId="30" fillId="7" fontId="2" numFmtId="0" xfId="0" applyAlignment="1" applyBorder="1" applyFont="1">
      <alignment horizontal="center" readingOrder="0" shrinkToFit="0" vertical="center" wrapText="1"/>
    </xf>
    <xf borderId="49" fillId="0" fontId="1" numFmtId="0" xfId="0" applyAlignment="1" applyBorder="1" applyFont="1">
      <alignment horizontal="right" readingOrder="0" vertical="center"/>
    </xf>
    <xf borderId="31" fillId="7" fontId="8" numFmtId="0" xfId="0" applyAlignment="1" applyBorder="1" applyFont="1">
      <alignment readingOrder="0" shrinkToFit="0" vertical="center" wrapText="1"/>
    </xf>
    <xf borderId="33" fillId="0" fontId="10" numFmtId="0" xfId="0" applyAlignment="1" applyBorder="1" applyFont="1">
      <alignment horizontal="center" shrinkToFit="0" vertical="center" wrapText="1"/>
    </xf>
    <xf borderId="21" fillId="2" fontId="4" numFmtId="0" xfId="0" applyAlignment="1" applyBorder="1" applyFont="1">
      <alignment horizontal="center" shrinkToFit="0" vertical="center" wrapText="1"/>
    </xf>
    <xf borderId="0" fillId="0" fontId="25" numFmtId="0" xfId="0" applyFont="1"/>
    <xf borderId="27" fillId="6" fontId="29" numFmtId="0" xfId="0" applyAlignment="1" applyBorder="1" applyFont="1">
      <alignment horizontal="center" readingOrder="0" shrinkToFit="0" vertical="center" wrapText="1"/>
    </xf>
    <xf borderId="19" fillId="7" fontId="29" numFmtId="0" xfId="0" applyAlignment="1" applyBorder="1" applyFont="1">
      <alignment horizontal="center" readingOrder="0" shrinkToFit="0" vertical="center" wrapText="1"/>
    </xf>
    <xf borderId="19" fillId="8" fontId="29" numFmtId="0" xfId="0" applyAlignment="1" applyBorder="1" applyFont="1">
      <alignment horizontal="center" readingOrder="0" shrinkToFit="0" vertical="center" wrapText="1"/>
    </xf>
    <xf borderId="20" fillId="7" fontId="29" numFmtId="0" xfId="0" applyAlignment="1" applyBorder="1" applyFont="1">
      <alignment horizontal="center" readingOrder="0" shrinkToFit="0" vertical="center" wrapText="1"/>
    </xf>
    <xf borderId="39" fillId="0" fontId="9" numFmtId="0" xfId="0" applyAlignment="1" applyBorder="1" applyFont="1">
      <alignment horizontal="center" readingOrder="0"/>
    </xf>
    <xf borderId="40" fillId="0" fontId="9" numFmtId="0" xfId="0" applyAlignment="1" applyBorder="1" applyFont="1">
      <alignment horizontal="center" readingOrder="0"/>
    </xf>
    <xf borderId="41" fillId="0" fontId="9" numFmtId="0" xfId="0" applyAlignment="1" applyBorder="1" applyFont="1">
      <alignment horizontal="center" readingOrder="0"/>
    </xf>
    <xf borderId="43" fillId="2" fontId="4" numFmtId="0" xfId="0" applyAlignment="1" applyBorder="1" applyFont="1">
      <alignment horizontal="center" shrinkToFit="0" vertical="center" wrapText="1"/>
    </xf>
    <xf borderId="45" fillId="6" fontId="30" numFmtId="0" xfId="0" applyAlignment="1" applyBorder="1" applyFont="1">
      <alignment readingOrder="0" shrinkToFit="0" vertical="center" wrapText="1"/>
    </xf>
    <xf borderId="15" fillId="7" fontId="30" numFmtId="0" xfId="0" applyAlignment="1" applyBorder="1" applyFont="1">
      <alignment readingOrder="0" shrinkToFit="0" vertical="center" wrapText="1"/>
    </xf>
    <xf borderId="14" fillId="0" fontId="31" numFmtId="0" xfId="0" applyAlignment="1" applyBorder="1" applyFont="1">
      <alignment horizontal="center" readingOrder="0" vertical="center"/>
    </xf>
    <xf borderId="15" fillId="8" fontId="30" numFmtId="0" xfId="0" applyAlignment="1" applyBorder="1" applyFont="1">
      <alignment readingOrder="0" shrinkToFit="0" vertical="center" wrapText="1"/>
    </xf>
    <xf borderId="46" fillId="7" fontId="32" numFmtId="0" xfId="0" applyAlignment="1" applyBorder="1" applyFont="1">
      <alignment readingOrder="0" shrinkToFit="0" vertical="center" wrapText="1"/>
    </xf>
    <xf borderId="48" fillId="7" fontId="14" numFmtId="0" xfId="0" applyAlignment="1" applyBorder="1" applyFont="1">
      <alignment readingOrder="0" shrinkToFit="0" vertical="center" wrapText="1"/>
    </xf>
    <xf borderId="20" fillId="7" fontId="30" numFmtId="0" xfId="0" applyAlignment="1" applyBorder="1" applyFont="1">
      <alignment readingOrder="0" shrinkToFit="0" vertical="center" wrapText="1"/>
    </xf>
    <xf borderId="33" fillId="7" fontId="1" numFmtId="0" xfId="0" applyAlignment="1" applyBorder="1" applyFont="1">
      <alignment horizontal="center" readingOrder="0"/>
    </xf>
    <xf borderId="4" fillId="0" fontId="33" numFmtId="0" xfId="0" applyAlignment="1" applyBorder="1" applyFont="1">
      <alignment shrinkToFit="0" vertical="center" wrapText="1"/>
    </xf>
    <xf borderId="30" fillId="0" fontId="26" numFmtId="0" xfId="0" applyAlignment="1" applyBorder="1" applyFont="1">
      <alignment horizontal="center" vertical="center"/>
    </xf>
    <xf borderId="50" fillId="0" fontId="33" numFmtId="0" xfId="0" applyAlignment="1" applyBorder="1" applyFont="1">
      <alignment shrinkToFit="0" vertical="center" wrapText="1"/>
    </xf>
    <xf borderId="51" fillId="0" fontId="26" numFmtId="0" xfId="0" applyAlignment="1" applyBorder="1" applyFont="1">
      <alignment horizontal="center" readingOrder="0" vertical="center"/>
    </xf>
    <xf borderId="50" fillId="0" fontId="24" numFmtId="0" xfId="0" applyAlignment="1" applyBorder="1" applyFont="1">
      <alignment readingOrder="0" shrinkToFit="0" vertical="center" wrapText="1"/>
    </xf>
    <xf borderId="40" fillId="0" fontId="33" numFmtId="0" xfId="0" applyAlignment="1" applyBorder="1" applyFont="1">
      <alignment readingOrder="0" shrinkToFit="0" vertical="center" wrapText="1"/>
    </xf>
    <xf borderId="30" fillId="8" fontId="2" numFmtId="0" xfId="0" applyAlignment="1" applyBorder="1" applyFont="1">
      <alignment horizontal="center" readingOrder="0" shrinkToFit="0" vertical="center" wrapText="1"/>
    </xf>
    <xf borderId="6" fillId="6" fontId="4" numFmtId="0" xfId="0" applyAlignment="1" applyBorder="1" applyFont="1">
      <alignment readingOrder="0" shrinkToFit="0" vertical="center" wrapText="1"/>
    </xf>
    <xf borderId="8" fillId="7" fontId="4" numFmtId="0" xfId="0" applyAlignment="1" applyBorder="1" applyFont="1">
      <alignment readingOrder="0" shrinkToFit="0" vertical="center" wrapText="1"/>
    </xf>
    <xf borderId="8" fillId="8" fontId="4" numFmtId="0" xfId="0" applyAlignment="1" applyBorder="1" applyFont="1">
      <alignment readingOrder="0" shrinkToFit="0" vertical="center" wrapText="1"/>
    </xf>
    <xf borderId="31" fillId="8" fontId="4" numFmtId="0" xfId="0" applyAlignment="1" applyBorder="1" applyFont="1">
      <alignment readingOrder="0" shrinkToFit="0" vertical="center" wrapText="1"/>
    </xf>
    <xf borderId="33" fillId="0" fontId="1" numFmtId="0" xfId="0" applyAlignment="1" applyBorder="1" applyFont="1">
      <alignment horizontal="center" readingOrder="0" vertical="center"/>
    </xf>
    <xf borderId="20" fillId="8" fontId="11" numFmtId="0" xfId="0" applyAlignment="1" applyBorder="1" applyFont="1">
      <alignment horizontal="center" readingOrder="0" shrinkToFit="0" vertical="center" wrapText="1"/>
    </xf>
    <xf borderId="0" fillId="0" fontId="1" numFmtId="0" xfId="0" applyAlignment="1" applyFont="1">
      <alignment horizontal="center"/>
    </xf>
    <xf borderId="15" fillId="7" fontId="11" numFmtId="0" xfId="0" applyAlignment="1" applyBorder="1" applyFont="1">
      <alignment readingOrder="0" shrinkToFit="0" vertical="center" wrapText="1"/>
    </xf>
    <xf borderId="0" fillId="0" fontId="4" numFmtId="0" xfId="0" applyAlignment="1" applyFont="1">
      <alignment horizontal="center" readingOrder="0"/>
    </xf>
    <xf borderId="48" fillId="8" fontId="14" numFmtId="0" xfId="0" applyAlignment="1" applyBorder="1" applyFont="1">
      <alignment readingOrder="0" shrinkToFit="0" vertical="center" wrapText="1"/>
    </xf>
    <xf borderId="20" fillId="8" fontId="11" numFmtId="0" xfId="0" applyAlignment="1" applyBorder="1" applyFont="1">
      <alignment readingOrder="0" shrinkToFit="0" vertical="center" wrapText="1"/>
    </xf>
    <xf borderId="33" fillId="9" fontId="1" numFmtId="0" xfId="0" applyAlignment="1" applyBorder="1" applyFill="1" applyFont="1">
      <alignment horizontal="center" readingOrder="0"/>
    </xf>
    <xf borderId="4" fillId="0" fontId="4" numFmtId="0" xfId="0" applyBorder="1" applyFont="1"/>
    <xf borderId="42" fillId="6" fontId="1" numFmtId="0" xfId="0" applyAlignment="1" applyBorder="1" applyFont="1">
      <alignment horizontal="center" readingOrder="0"/>
    </xf>
    <xf borderId="52" fillId="0" fontId="3" numFmtId="0" xfId="0" applyBorder="1" applyFont="1"/>
    <xf borderId="23" fillId="0" fontId="3" numFmtId="0" xfId="0" applyBorder="1" applyFont="1"/>
    <xf borderId="49" fillId="0" fontId="1" numFmtId="0" xfId="0" applyAlignment="1" applyBorder="1" applyFont="1">
      <alignment horizontal="center" readingOrder="0"/>
    </xf>
    <xf borderId="42" fillId="7" fontId="1" numFmtId="0" xfId="0" applyAlignment="1" applyBorder="1" applyFont="1">
      <alignment horizontal="center" readingOrder="0"/>
    </xf>
    <xf borderId="42" fillId="9" fontId="1" numFmtId="0" xfId="0" applyAlignment="1" applyBorder="1" applyFont="1">
      <alignment horizontal="center" readingOrder="0"/>
    </xf>
    <xf borderId="0" fillId="0" fontId="1" numFmtId="0" xfId="0" applyAlignment="1" applyFont="1">
      <alignment horizontal="center" readingOrder="0"/>
    </xf>
    <xf borderId="46" fillId="0" fontId="11" numFmtId="0" xfId="0" applyAlignment="1" applyBorder="1" applyFont="1">
      <alignment horizontal="center" readingOrder="0"/>
    </xf>
    <xf borderId="53" fillId="0" fontId="3" numFmtId="0" xfId="0" applyBorder="1" applyFont="1"/>
    <xf borderId="24" fillId="0" fontId="3" numFmtId="0" xfId="0" applyBorder="1" applyFont="1"/>
    <xf borderId="25" fillId="0" fontId="11" numFmtId="0" xfId="0" applyAlignment="1" applyBorder="1" applyFont="1">
      <alignment horizontal="center" readingOrder="0"/>
    </xf>
    <xf borderId="26" fillId="0" fontId="3" numFmtId="0" xfId="0" applyBorder="1" applyFont="1"/>
    <xf borderId="0" fillId="0" fontId="11" numFmtId="0" xfId="0" applyAlignment="1" applyFont="1">
      <alignment horizontal="center" readingOrder="0"/>
    </xf>
    <xf borderId="43" fillId="2" fontId="4" numFmtId="0" xfId="0" applyAlignment="1" applyBorder="1" applyFont="1">
      <alignment horizontal="center" shrinkToFit="0" vertical="center" wrapText="1"/>
    </xf>
    <xf borderId="14" fillId="6" fontId="11" numFmtId="0" xfId="0" applyAlignment="1" applyBorder="1" applyFont="1">
      <alignment readingOrder="0" shrinkToFit="0" vertical="center" wrapText="1"/>
    </xf>
    <xf borderId="14" fillId="6" fontId="34" numFmtId="0" xfId="0" applyAlignment="1" applyBorder="1" applyFont="1">
      <alignment readingOrder="0" shrinkToFit="0" vertical="center" wrapText="1"/>
    </xf>
    <xf borderId="54" fillId="0" fontId="32" numFmtId="0" xfId="0" applyAlignment="1" applyBorder="1" applyFont="1">
      <alignment readingOrder="0" shrinkToFit="0" vertical="center" wrapText="1"/>
    </xf>
    <xf borderId="14" fillId="2" fontId="4" numFmtId="0" xfId="0" applyAlignment="1" applyBorder="1" applyFont="1">
      <alignment horizontal="center" shrinkToFit="0" vertical="center" wrapText="1"/>
    </xf>
    <xf borderId="25" fillId="6" fontId="4" numFmtId="0" xfId="0" applyAlignment="1" applyBorder="1" applyFont="1">
      <alignment readingOrder="0" shrinkToFit="0" vertical="center" wrapText="1"/>
    </xf>
    <xf borderId="45" fillId="0" fontId="8" numFmtId="0" xfId="0" applyAlignment="1" applyBorder="1" applyFont="1">
      <alignment readingOrder="0" shrinkToFit="0" vertical="center" wrapText="1"/>
    </xf>
    <xf borderId="0" fillId="0" fontId="4" numFmtId="0" xfId="0" applyAlignment="1" applyFont="1">
      <alignment horizontal="center" shrinkToFit="0" vertical="center" wrapText="1"/>
    </xf>
    <xf borderId="25" fillId="6" fontId="1" numFmtId="0" xfId="0" applyAlignment="1" applyBorder="1" applyFont="1">
      <alignment readingOrder="0" shrinkToFit="0" vertical="center" wrapText="1"/>
    </xf>
    <xf borderId="14" fillId="7" fontId="11" numFmtId="0" xfId="0" applyAlignment="1" applyBorder="1" applyFont="1">
      <alignment readingOrder="0" shrinkToFit="0" vertical="center" wrapText="1"/>
    </xf>
    <xf borderId="14" fillId="7" fontId="34" numFmtId="0" xfId="0" applyAlignment="1" applyBorder="1" applyFont="1">
      <alignment readingOrder="0" shrinkToFit="0" vertical="center" wrapText="1"/>
    </xf>
    <xf borderId="53" fillId="0" fontId="32" numFmtId="0" xfId="0" applyAlignment="1" applyBorder="1" applyFont="1">
      <alignment readingOrder="0" shrinkToFit="0" vertical="center" wrapText="1"/>
    </xf>
    <xf borderId="14" fillId="2" fontId="10" numFmtId="0" xfId="0" applyAlignment="1" applyBorder="1" applyFont="1">
      <alignment horizontal="center" shrinkToFit="0" vertical="center" wrapText="1"/>
    </xf>
    <xf borderId="25" fillId="7" fontId="4" numFmtId="0" xfId="0" applyAlignment="1" applyBorder="1" applyFont="1">
      <alignment readingOrder="0" shrinkToFit="0" vertical="center" wrapText="1"/>
    </xf>
    <xf borderId="15" fillId="0" fontId="8" numFmtId="0" xfId="0" applyAlignment="1" applyBorder="1" applyFont="1">
      <alignment readingOrder="0" shrinkToFit="0" vertical="center" wrapText="1"/>
    </xf>
    <xf borderId="0" fillId="0" fontId="10" numFmtId="0" xfId="0" applyAlignment="1" applyFont="1">
      <alignment horizontal="center" shrinkToFit="0" vertical="center" wrapText="1"/>
    </xf>
    <xf borderId="25" fillId="7" fontId="1" numFmtId="0" xfId="0" applyAlignment="1" applyBorder="1" applyFont="1">
      <alignment readingOrder="0" shrinkToFit="0" vertical="center" wrapText="1"/>
    </xf>
    <xf borderId="14" fillId="8" fontId="11" numFmtId="0" xfId="0" applyAlignment="1" applyBorder="1" applyFont="1">
      <alignment readingOrder="0" shrinkToFit="0" vertical="center" wrapText="1"/>
    </xf>
    <xf borderId="14" fillId="8" fontId="10" numFmtId="0" xfId="0" applyAlignment="1" applyBorder="1" applyFont="1">
      <alignment readingOrder="0" shrinkToFit="0" vertical="center" wrapText="1"/>
    </xf>
    <xf borderId="14" fillId="8" fontId="34" numFmtId="0" xfId="0" applyAlignment="1" applyBorder="1" applyFont="1">
      <alignment readingOrder="0" shrinkToFit="0" vertical="center" wrapText="1"/>
    </xf>
    <xf borderId="14" fillId="2" fontId="4" numFmtId="0" xfId="0" applyAlignment="1" applyBorder="1" applyFont="1">
      <alignment horizontal="center" vertical="center"/>
    </xf>
    <xf borderId="25" fillId="8" fontId="4" numFmtId="0" xfId="0" applyAlignment="1" applyBorder="1" applyFont="1">
      <alignment readingOrder="0" shrinkToFit="0" vertical="center" wrapText="1"/>
    </xf>
    <xf borderId="47" fillId="2" fontId="4" numFmtId="0" xfId="0" applyAlignment="1" applyBorder="1" applyFont="1">
      <alignment horizontal="center" shrinkToFit="0" vertical="center" wrapText="1"/>
    </xf>
    <xf borderId="14" fillId="7" fontId="24" numFmtId="0" xfId="0" applyAlignment="1" applyBorder="1" applyFont="1">
      <alignment readingOrder="0" shrinkToFit="0" vertical="center" wrapText="1"/>
    </xf>
    <xf borderId="53" fillId="0" fontId="10" numFmtId="0" xfId="0" applyAlignment="1" applyBorder="1" applyFont="1">
      <alignment readingOrder="0" shrinkToFit="0" vertical="center" wrapText="1"/>
    </xf>
    <xf borderId="15" fillId="0" fontId="4" numFmtId="0" xfId="0" applyAlignment="1" applyBorder="1" applyFont="1">
      <alignment readingOrder="0" shrinkToFit="0" vertical="center" wrapText="1"/>
    </xf>
    <xf borderId="14" fillId="7" fontId="10" numFmtId="0" xfId="0" applyAlignment="1" applyBorder="1" applyFont="1">
      <alignment readingOrder="0" shrinkToFit="0" vertical="center" wrapText="1"/>
    </xf>
    <xf borderId="53" fillId="0" fontId="34" numFmtId="0" xfId="0" applyAlignment="1" applyBorder="1" applyFont="1">
      <alignment readingOrder="0" shrinkToFit="0" vertical="center" wrapText="1"/>
    </xf>
    <xf borderId="25" fillId="8" fontId="1" numFmtId="0" xfId="0" applyAlignment="1" applyBorder="1" applyFont="1">
      <alignment readingOrder="0" shrinkToFit="0" vertical="center" wrapText="1"/>
    </xf>
    <xf borderId="14" fillId="6" fontId="35" numFmtId="0" xfId="0" applyAlignment="1" applyBorder="1" applyFont="1">
      <alignment readingOrder="0" shrinkToFit="0" vertical="center" wrapText="1"/>
    </xf>
    <xf borderId="14" fillId="6" fontId="36" numFmtId="0" xfId="0" applyAlignment="1" applyBorder="1" applyFont="1">
      <alignment readingOrder="0" shrinkToFit="0" vertical="center" wrapText="1"/>
    </xf>
    <xf borderId="25" fillId="6" fontId="37" numFmtId="0" xfId="0" applyAlignment="1" applyBorder="1" applyFont="1">
      <alignment readingOrder="0" shrinkToFit="0" vertical="center" wrapText="1"/>
    </xf>
    <xf borderId="43" fillId="2" fontId="10" numFmtId="0" xfId="0" applyAlignment="1" applyBorder="1" applyFont="1">
      <alignment horizontal="center" shrinkToFit="0" vertical="center" wrapText="1"/>
    </xf>
    <xf borderId="38" fillId="2" fontId="4" numFmtId="0" xfId="0" applyAlignment="1" applyBorder="1" applyFont="1">
      <alignment horizontal="center" shrinkToFit="0" vertical="center" wrapText="1"/>
    </xf>
    <xf borderId="19" fillId="6" fontId="11" numFmtId="0" xfId="0" applyAlignment="1" applyBorder="1" applyFont="1">
      <alignment readingOrder="0" shrinkToFit="0" vertical="center" wrapText="1"/>
    </xf>
    <xf borderId="19" fillId="6" fontId="34" numFmtId="0" xfId="0" applyAlignment="1" applyBorder="1" applyFont="1">
      <alignment readingOrder="0" shrinkToFit="0" vertical="center" wrapText="1"/>
    </xf>
    <xf borderId="55" fillId="0" fontId="32" numFmtId="0" xfId="0" applyAlignment="1" applyBorder="1" applyFont="1">
      <alignment readingOrder="0" shrinkToFit="0" vertical="center" wrapText="1"/>
    </xf>
    <xf borderId="19" fillId="2" fontId="4" numFmtId="0" xfId="0" applyAlignment="1" applyBorder="1" applyFont="1">
      <alignment horizontal="center" shrinkToFit="0" vertical="center" wrapText="1"/>
    </xf>
    <xf borderId="28" fillId="6" fontId="4" numFmtId="0" xfId="0" applyAlignment="1" applyBorder="1" applyFont="1">
      <alignment readingOrder="0" shrinkToFit="0" vertical="center" wrapText="1"/>
    </xf>
    <xf borderId="38" fillId="2" fontId="10" numFmtId="0" xfId="0" applyAlignment="1" applyBorder="1" applyFont="1">
      <alignment horizontal="center" shrinkToFit="0" vertical="center" wrapText="1"/>
    </xf>
    <xf borderId="19" fillId="7" fontId="11" numFmtId="0" xfId="0" applyAlignment="1" applyBorder="1" applyFont="1">
      <alignment readingOrder="0" shrinkToFit="0" vertical="center" wrapText="1"/>
    </xf>
    <xf borderId="19" fillId="7" fontId="32" numFmtId="0" xfId="0" applyAlignment="1" applyBorder="1" applyFont="1">
      <alignment readingOrder="0" shrinkToFit="0" vertical="center" wrapText="1"/>
    </xf>
    <xf borderId="19" fillId="7" fontId="14" numFmtId="0" xfId="0" applyAlignment="1" applyBorder="1" applyFont="1">
      <alignment readingOrder="0" shrinkToFit="0" vertical="center" wrapText="1"/>
    </xf>
    <xf borderId="55" fillId="0" fontId="10" numFmtId="0" xfId="0" applyAlignment="1" applyBorder="1" applyFont="1">
      <alignment readingOrder="0" shrinkToFit="0" vertical="center" wrapText="1"/>
    </xf>
    <xf borderId="19" fillId="2" fontId="10" numFmtId="0" xfId="0" applyAlignment="1" applyBorder="1" applyFont="1">
      <alignment horizontal="center" shrinkToFit="0" vertical="center" wrapText="1"/>
    </xf>
    <xf borderId="28" fillId="7" fontId="4" numFmtId="0" xfId="0" applyAlignment="1" applyBorder="1" applyFont="1">
      <alignment readingOrder="0" shrinkToFit="0" vertical="center" wrapText="1"/>
    </xf>
    <xf borderId="20" fillId="0" fontId="4" numFmtId="0" xfId="0" applyAlignment="1" applyBorder="1" applyFont="1">
      <alignment readingOrder="0" shrinkToFit="0" vertical="center" wrapText="1"/>
    </xf>
    <xf borderId="16" fillId="2" fontId="4" numFmtId="0" xfId="0" applyAlignment="1" applyBorder="1" applyFont="1">
      <alignment horizontal="center" vertical="center"/>
    </xf>
    <xf borderId="19" fillId="8" fontId="11" numFmtId="0" xfId="0" applyAlignment="1" applyBorder="1" applyFont="1">
      <alignment readingOrder="0" shrinkToFit="0" vertical="center" wrapText="1"/>
    </xf>
    <xf borderId="19" fillId="8" fontId="34" numFmtId="0" xfId="0" applyAlignment="1" applyBorder="1" applyFont="1">
      <alignment readingOrder="0" shrinkToFit="0" vertical="center" wrapText="1"/>
    </xf>
    <xf borderId="19" fillId="2" fontId="4" numFmtId="0" xfId="0" applyAlignment="1" applyBorder="1" applyFont="1">
      <alignment horizontal="center" vertical="center"/>
    </xf>
    <xf borderId="28" fillId="8" fontId="4" numFmtId="0" xfId="0" applyAlignment="1" applyBorder="1" applyFont="1">
      <alignment readingOrder="0" shrinkToFit="0" vertical="center" wrapText="1"/>
    </xf>
    <xf borderId="0" fillId="0" fontId="34" numFmtId="0" xfId="0" applyAlignment="1" applyFont="1">
      <alignment readingOrder="0" shrinkToFit="0" vertical="center" wrapText="1"/>
    </xf>
    <xf borderId="0" fillId="0" fontId="4" numFmtId="0" xfId="0" applyAlignment="1" applyFont="1">
      <alignment readingOrder="0" vertical="center"/>
    </xf>
    <xf borderId="54" fillId="0" fontId="11" numFmtId="0" xfId="0" applyAlignment="1" applyBorder="1" applyFont="1">
      <alignment readingOrder="0" shrinkToFit="0" vertical="center" wrapText="1"/>
    </xf>
    <xf borderId="45" fillId="0" fontId="1" numFmtId="0" xfId="0" applyAlignment="1" applyBorder="1" applyFont="1">
      <alignment readingOrder="0" shrinkToFit="0" vertical="center" wrapText="1"/>
    </xf>
    <xf borderId="53" fillId="0" fontId="38" numFmtId="0" xfId="0" applyAlignment="1" applyBorder="1" applyFont="1">
      <alignment readingOrder="0" shrinkToFit="0" vertical="center" wrapText="1"/>
    </xf>
    <xf borderId="15" fillId="0" fontId="1" numFmtId="0" xfId="0" applyAlignment="1" applyBorder="1" applyFont="1">
      <alignment readingOrder="0" shrinkToFit="0" vertical="center" wrapText="1"/>
    </xf>
    <xf borderId="53" fillId="0" fontId="24" numFmtId="0" xfId="0" applyAlignment="1" applyBorder="1" applyFont="1">
      <alignment readingOrder="0" shrinkToFit="0" vertical="center" wrapText="1"/>
    </xf>
    <xf borderId="38" fillId="2" fontId="4" numFmtId="0" xfId="0" applyAlignment="1" applyBorder="1" applyFont="1">
      <alignment horizontal="center" shrinkToFit="0" vertical="center" wrapText="1"/>
    </xf>
    <xf borderId="19" fillId="6" fontId="11" numFmtId="0" xfId="0" applyAlignment="1" applyBorder="1" applyFont="1">
      <alignment readingOrder="0" shrinkToFit="0" vertical="center" wrapText="1"/>
    </xf>
    <xf borderId="19" fillId="6" fontId="34" numFmtId="0" xfId="0" applyAlignment="1" applyBorder="1" applyFont="1">
      <alignment readingOrder="0" shrinkToFit="0" vertical="center" wrapText="1"/>
    </xf>
    <xf borderId="55" fillId="0" fontId="24" numFmtId="0" xfId="0" applyAlignment="1" applyBorder="1" applyFont="1">
      <alignment readingOrder="0" shrinkToFit="0" vertical="center" wrapText="1"/>
    </xf>
    <xf borderId="19" fillId="2" fontId="4" numFmtId="0" xfId="0" applyAlignment="1" applyBorder="1" applyFont="1">
      <alignment horizontal="center" shrinkToFit="0" vertical="center" wrapText="1"/>
    </xf>
    <xf borderId="28" fillId="6" fontId="4" numFmtId="0" xfId="0" applyAlignment="1" applyBorder="1" applyFont="1">
      <alignment readingOrder="0" shrinkToFit="0" vertical="center" wrapText="1"/>
    </xf>
    <xf borderId="20" fillId="0" fontId="1" numFmtId="0" xfId="0" applyAlignment="1" applyBorder="1" applyFont="1">
      <alignment readingOrder="0" shrinkToFit="0" vertical="center" wrapText="1"/>
    </xf>
    <xf borderId="42" fillId="7" fontId="1" numFmtId="0" xfId="0" applyAlignment="1" applyBorder="1" applyFont="1">
      <alignment horizontal="center" readingOrder="0"/>
    </xf>
    <xf borderId="52" fillId="0" fontId="3" numFmtId="0" xfId="0" applyBorder="1" applyFont="1"/>
    <xf borderId="23" fillId="0" fontId="3" numFmtId="0" xfId="0" applyBorder="1" applyFont="1"/>
    <xf borderId="53" fillId="0" fontId="11" numFmtId="0" xfId="0" applyAlignment="1" applyBorder="1" applyFont="1">
      <alignment readingOrder="0" shrinkToFit="0" vertical="center" wrapText="1"/>
    </xf>
    <xf borderId="15" fillId="0" fontId="39" numFmtId="0" xfId="0" applyAlignment="1" applyBorder="1" applyFont="1">
      <alignment readingOrder="0" shrinkToFit="0" vertical="center" wrapText="1"/>
    </xf>
    <xf borderId="25" fillId="7" fontId="37" numFmtId="0" xfId="0" applyAlignment="1" applyBorder="1" applyFont="1">
      <alignment readingOrder="0" shrinkToFit="0" vertical="center" wrapText="1"/>
    </xf>
    <xf borderId="15" fillId="0" fontId="40" numFmtId="0" xfId="0" applyAlignment="1" applyBorder="1" applyFont="1">
      <alignment readingOrder="0" shrinkToFit="0" vertical="center" wrapText="1"/>
    </xf>
    <xf borderId="53" fillId="0" fontId="41" numFmtId="0" xfId="0" applyAlignment="1" applyBorder="1" applyFont="1">
      <alignment readingOrder="0" shrinkToFit="0" vertical="center" wrapText="1"/>
    </xf>
    <xf borderId="15" fillId="10" fontId="40" numFmtId="0" xfId="0" applyAlignment="1" applyBorder="1" applyFill="1" applyFont="1">
      <alignment readingOrder="0" shrinkToFit="0" vertical="center" wrapText="1"/>
    </xf>
    <xf borderId="38" fillId="2" fontId="10" numFmtId="0" xfId="0" applyAlignment="1" applyBorder="1" applyFont="1">
      <alignment horizontal="center" shrinkToFit="0" vertical="center" wrapText="1"/>
    </xf>
    <xf borderId="19" fillId="7" fontId="11" numFmtId="0" xfId="0" applyAlignment="1" applyBorder="1" applyFont="1">
      <alignment readingOrder="0" shrinkToFit="0" vertical="center" wrapText="1"/>
    </xf>
    <xf borderId="19" fillId="7" fontId="34" numFmtId="0" xfId="0" applyAlignment="1" applyBorder="1" applyFont="1">
      <alignment readingOrder="0" shrinkToFit="0" vertical="center" wrapText="1"/>
    </xf>
    <xf borderId="55" fillId="0" fontId="42" numFmtId="0" xfId="0" applyAlignment="1" applyBorder="1" applyFont="1">
      <alignment readingOrder="0" shrinkToFit="0" vertical="center" wrapText="1"/>
    </xf>
    <xf borderId="19" fillId="2" fontId="10" numFmtId="0" xfId="0" applyAlignment="1" applyBorder="1" applyFont="1">
      <alignment horizontal="center" shrinkToFit="0" vertical="center" wrapText="1"/>
    </xf>
    <xf borderId="28" fillId="7" fontId="4" numFmtId="0" xfId="0" applyAlignment="1" applyBorder="1" applyFont="1">
      <alignment readingOrder="0" shrinkToFit="0" vertical="center" wrapText="1"/>
    </xf>
    <xf borderId="42" fillId="9" fontId="1" numFmtId="0" xfId="0" applyAlignment="1" applyBorder="1" applyFont="1">
      <alignment horizontal="center" readingOrder="0"/>
    </xf>
    <xf borderId="53" fillId="0" fontId="43" numFmtId="0" xfId="0" applyAlignment="1" applyBorder="1" applyFont="1">
      <alignment readingOrder="0" shrinkToFit="0" vertical="center" wrapText="1"/>
    </xf>
    <xf borderId="25" fillId="8" fontId="8" numFmtId="0" xfId="0" applyAlignment="1" applyBorder="1" applyFont="1">
      <alignment readingOrder="0" shrinkToFit="0" vertical="center" wrapText="1"/>
    </xf>
    <xf borderId="55" fillId="0" fontId="24" numFmtId="0" xfId="0" applyAlignment="1" applyBorder="1" applyFont="1">
      <alignment readingOrder="0" shrinkToFit="0" vertical="center" wrapText="1"/>
    </xf>
    <xf borderId="20" fillId="0" fontId="1" numFmtId="0" xfId="0" applyAlignment="1" applyBorder="1" applyFont="1">
      <alignment readingOrder="0" shrinkToFit="0" vertical="center" wrapText="1"/>
    </xf>
    <xf borderId="25" fillId="0" fontId="1" numFmtId="0" xfId="0" applyAlignment="1" applyBorder="1" applyFont="1">
      <alignment horizontal="center" readingOrder="0"/>
    </xf>
    <xf borderId="53" fillId="0" fontId="3" numFmtId="0" xfId="0" applyBorder="1" applyFont="1"/>
    <xf borderId="24" fillId="0" fontId="3" numFmtId="0" xfId="0" applyBorder="1" applyFont="1"/>
    <xf borderId="14" fillId="0" fontId="1" numFmtId="0" xfId="0" applyAlignment="1" applyBorder="1" applyFont="1">
      <alignment readingOrder="0"/>
    </xf>
    <xf borderId="14" fillId="0" fontId="4" numFmtId="0" xfId="0" applyAlignment="1" applyBorder="1" applyFont="1">
      <alignment readingOrder="0"/>
    </xf>
    <xf borderId="0" fillId="0" fontId="4" numFmtId="0" xfId="0" applyAlignment="1" applyFont="1">
      <alignment vertical="top"/>
    </xf>
    <xf quotePrefix="1" borderId="0" fillId="0" fontId="1" numFmtId="0" xfId="0" applyAlignment="1" applyFont="1">
      <alignment readingOrder="0" shrinkToFit="0" vertical="top" wrapText="1"/>
    </xf>
    <xf borderId="0" fillId="11" fontId="44" numFmtId="0" xfId="0" applyAlignment="1" applyFill="1" applyFont="1">
      <alignment horizontal="center" readingOrder="0" shrinkToFit="0" textRotation="180" vertical="top" wrapText="0"/>
    </xf>
    <xf borderId="0" fillId="0" fontId="1" numFmtId="164" xfId="0" applyAlignment="1" applyFont="1" applyNumberFormat="1">
      <alignment readingOrder="0"/>
    </xf>
    <xf borderId="0" fillId="0" fontId="2" numFmtId="0" xfId="0" applyAlignment="1" applyFont="1">
      <alignment readingOrder="0"/>
    </xf>
    <xf borderId="0" fillId="11" fontId="4" numFmtId="0" xfId="0" applyFont="1"/>
    <xf borderId="0" fillId="0" fontId="45" numFmtId="0" xfId="0" applyAlignment="1" applyFont="1">
      <alignment readingOrder="0"/>
    </xf>
  </cellXfs>
  <cellStyles count="1">
    <cellStyle xfId="0" name="Normal" builtinId="0"/>
  </cellStyles>
  <dxfs count="4">
    <dxf>
      <font>
        <strike/>
        <color rgb="FF000000"/>
      </font>
      <fill>
        <patternFill patternType="solid">
          <fgColor rgb="FF808080"/>
          <bgColor rgb="FF808080"/>
        </patternFill>
      </fill>
      <border/>
    </dxf>
    <dxf>
      <font>
        <strike/>
        <color rgb="FF999999"/>
      </font>
      <fill>
        <patternFill patternType="none"/>
      </fill>
      <border/>
    </dxf>
    <dxf>
      <font>
        <b/>
        <i/>
        <u/>
        <color rgb="FFFF00FF"/>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12</xdr:row>
      <xdr:rowOff>0</xdr:rowOff>
    </xdr:from>
    <xdr:ext cx="5086350" cy="57816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495300</xdr:colOff>
      <xdr:row>11</xdr:row>
      <xdr:rowOff>476250</xdr:rowOff>
    </xdr:from>
    <xdr:ext cx="3876675" cy="33623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ko-fi.com/engineeeeer"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showGridLines="0" workbookViewId="0"/>
  </sheetViews>
  <sheetFormatPr customHeight="1" defaultColWidth="12.63" defaultRowHeight="15.75"/>
  <cols>
    <col customWidth="1" min="1" max="1" width="6.38"/>
    <col customWidth="1" min="2" max="2" width="17.38"/>
    <col customWidth="1" min="3" max="3" width="6.38"/>
    <col customWidth="1" min="4" max="4" width="18.88"/>
    <col customWidth="1" min="5" max="5" width="12.63"/>
    <col customWidth="1" min="6" max="6" width="37.63"/>
    <col customWidth="1" min="7" max="9" width="6.38"/>
  </cols>
  <sheetData>
    <row r="1">
      <c r="A1" s="1"/>
      <c r="B1" s="1"/>
    </row>
    <row r="2" ht="112.5" customHeight="1">
      <c r="A2" s="2"/>
      <c r="B2" s="3" t="s">
        <v>0</v>
      </c>
      <c r="C2" s="4"/>
      <c r="D2" s="5" t="s">
        <v>1</v>
      </c>
      <c r="E2" s="6" t="str">
        <f>if(D2="Hunter",image("https://www.bungie.net/common/destiny2_content/icons/58ae63b773059e5bd7a4d43298f73a50.jpg"),
if(D2="Titan",image("https://www.bungie.net/common/destiny2_content/icons/9db95c112130c018f823f394668cfb5a.jpg"),
if(D2="Warlock",image("https://www.bungie.net/common/destiny2_content/icons/7b57cd041db1987c3f566b96535daf9f.jpg"),"")))</f>
        <v/>
      </c>
      <c r="F2" s="7" t="str">
        <f>if(D2="Hunter",image("https://images.contentstack.io/v3/assets/blte410e3b15535c144/blt36b92d81bb7bd9af/6613c6176741eb0c36a1d049/2024_TFS_Dev_Preview_Press_Kit_Gear_COMPRESSED_000.jpg"),
if(D2="Titan",image("https://images.contentstack.io/v3/assets/blte410e3b15535c144/blt2fbc7f4931295566/6613c617fffe402c231e2f5a/2024_TFS_Dev_Preview_Press_Kit_Gear_COMPRESSED_001.jpg"),
if(D2="Warlock",image("https://images.contentstack.io/v3/assets/blte410e3b15535c144/blt2c1f2afc2549150b/6613c617470f7173f36155a8/2024_TFS_Dev_Preview_Press_Kit_Gear_COMPRESSED_002.jpg"),"")))</f>
        <v/>
      </c>
      <c r="G2" s="8"/>
      <c r="H2" s="8"/>
      <c r="I2" s="8"/>
    </row>
    <row r="3">
      <c r="A3" s="9"/>
      <c r="B3" s="10" t="s">
        <v>2</v>
      </c>
      <c r="C3" s="11" t="str">
        <f t="array" ref="C3">if(D2=0,"",index(Indirect(D2&amp;"_Primary_Icon"),match(D3,INDIRECT(D2),0)))</f>
        <v/>
      </c>
      <c r="D3" s="12" t="s">
        <v>3</v>
      </c>
      <c r="E3" s="13" t="s">
        <v>4</v>
      </c>
      <c r="F3" s="14" t="str">
        <f t="array" ref="F3">if(D3=0,"",index(Indirect(D2&amp;"_Primary_Desc"),match(D3,INDIRECT(D2),0)))</f>
        <v>When leaving invisibility gain Volatile Rounds.</v>
      </c>
    </row>
    <row r="4">
      <c r="A4" s="9"/>
      <c r="B4" s="15"/>
      <c r="C4" s="16"/>
      <c r="D4" s="17"/>
      <c r="E4" s="18" t="s">
        <v>5</v>
      </c>
      <c r="F4" s="19" t="str">
        <f t="array" ref="F4">if(D3=0,"",index(Indirect(D2&amp;"_Primary_Abilities"),match(D3,INDIRECT(D2),0)))</f>
        <v>Stylish Executioner is required. Gunpowder Gamble or Ascension are great. Melees with verbs are good for proccing Stylish Executioner. Arcbolt or Magnetic Grenade require Facet of Dominance to apply verbs.</v>
      </c>
    </row>
    <row r="5">
      <c r="A5" s="9"/>
      <c r="B5" s="20"/>
      <c r="C5" s="21"/>
      <c r="D5" s="22"/>
      <c r="E5" s="23" t="s">
        <v>6</v>
      </c>
      <c r="F5" s="24" t="str">
        <f t="array" ref="F5">if(D3=0,"",index(Indirect(D2&amp;"_Primary_Fragments"),match(D3,INDIRECT(D2),0)))</f>
        <v>Facet of Dominance if you need it for the above. Facet of Solitude can synergize well. Balance is good for mixing ability spam in.</v>
      </c>
    </row>
    <row r="6">
      <c r="A6" s="25" t="s">
        <v>7</v>
      </c>
      <c r="B6" s="10" t="s">
        <v>8</v>
      </c>
      <c r="C6" s="26" t="str">
        <f t="array" ref="C6:C11">if(D2=0,"",index(Indirect(D2&amp;"_Secondary_Icon"),,match(D3,INDIRECT(D2),0)))</f>
        <v/>
      </c>
      <c r="D6" s="27" t="str">
        <f t="array" ref="D6:D11">if(D3=0,"",index(Indirect(D2&amp;"_SecondaryPerks"),,match(D3,INDIRECT(D2),0)))</f>
        <v>Inmost Light</v>
      </c>
      <c r="E6" s="28" t="str">
        <f t="array" ref="E6:E11">if(D3=0,"",index(Indirect(D2&amp;"_Secondary_Desc"),,match(D3,INDIRECT(D2),0)))</f>
        <v>It's always good and can let you get into invisibility easier.</v>
      </c>
      <c r="F6" s="29"/>
    </row>
    <row r="7">
      <c r="A7" s="25" t="s">
        <v>7</v>
      </c>
      <c r="B7" s="15"/>
      <c r="C7" s="30"/>
      <c r="D7" s="31" t="s">
        <v>9</v>
      </c>
      <c r="E7" s="32" t="s">
        <v>10</v>
      </c>
      <c r="F7" s="33"/>
    </row>
    <row r="8">
      <c r="A8" s="25" t="s">
        <v>7</v>
      </c>
      <c r="B8" s="15"/>
      <c r="C8" s="30"/>
      <c r="D8" s="31" t="s">
        <v>11</v>
      </c>
      <c r="E8" s="32" t="s">
        <v>12</v>
      </c>
      <c r="F8" s="33"/>
    </row>
    <row r="9">
      <c r="A9" s="25" t="s">
        <v>7</v>
      </c>
      <c r="B9" s="15"/>
      <c r="C9" s="30"/>
      <c r="D9" s="31" t="s">
        <v>13</v>
      </c>
      <c r="E9" s="32" t="s">
        <v>14</v>
      </c>
      <c r="F9" s="33"/>
    </row>
    <row r="10">
      <c r="A10" s="25" t="s">
        <v>7</v>
      </c>
      <c r="B10" s="15"/>
      <c r="C10" s="30"/>
      <c r="D10" s="31" t="s">
        <v>15</v>
      </c>
      <c r="E10" s="32" t="s">
        <v>16</v>
      </c>
      <c r="F10" s="33"/>
    </row>
    <row r="11">
      <c r="A11" s="25" t="s">
        <v>7</v>
      </c>
      <c r="B11" s="20"/>
      <c r="C11" s="34"/>
      <c r="D11" s="35" t="s">
        <v>17</v>
      </c>
      <c r="E11" s="36" t="s">
        <v>17</v>
      </c>
      <c r="F11" s="37"/>
    </row>
    <row r="12">
      <c r="A12" s="1"/>
      <c r="B12" s="38"/>
    </row>
    <row r="13">
      <c r="A13" s="1"/>
      <c r="B13" s="38"/>
    </row>
    <row r="14">
      <c r="A14" s="1"/>
      <c r="B14" s="38"/>
    </row>
    <row r="15">
      <c r="A15" s="1"/>
      <c r="B15" s="1"/>
    </row>
    <row r="16">
      <c r="A16" s="1"/>
      <c r="B16" s="1"/>
    </row>
    <row r="17">
      <c r="A17" s="1"/>
      <c r="B17" s="1"/>
    </row>
    <row r="18">
      <c r="A18" s="1"/>
      <c r="B18" s="1"/>
    </row>
    <row r="19">
      <c r="A19" s="1"/>
      <c r="B19" s="1"/>
    </row>
    <row r="20">
      <c r="A20" s="1"/>
      <c r="B20" s="1"/>
    </row>
    <row r="21">
      <c r="A21" s="1"/>
      <c r="B21" s="1"/>
    </row>
    <row r="22">
      <c r="A22" s="1"/>
      <c r="B22" s="1"/>
    </row>
  </sheetData>
  <mergeCells count="11">
    <mergeCell ref="E8:F8"/>
    <mergeCell ref="E9:F9"/>
    <mergeCell ref="E10:F10"/>
    <mergeCell ref="E11:F11"/>
    <mergeCell ref="B2:C2"/>
    <mergeCell ref="B3:B5"/>
    <mergeCell ref="C3:C5"/>
    <mergeCell ref="D3:D5"/>
    <mergeCell ref="B6:B11"/>
    <mergeCell ref="E6:F6"/>
    <mergeCell ref="E7:F7"/>
  </mergeCells>
  <dataValidations>
    <dataValidation type="list" allowBlank="1" sqref="D3">
      <formula1>Primary_Perks</formula1>
    </dataValidation>
    <dataValidation type="list" allowBlank="1" showErrorMessage="1" sqref="D2">
      <formula1>Classes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63"/>
    <col customWidth="1" min="2" max="2" width="34.5"/>
    <col customWidth="1" min="3" max="3" width="6.38"/>
    <col customWidth="1" min="13" max="13" width="3.25"/>
    <col customWidth="1" min="14" max="16" width="12.63"/>
    <col customWidth="1" min="17" max="17" width="48.88"/>
  </cols>
  <sheetData>
    <row r="1">
      <c r="B1" s="39"/>
      <c r="C1" s="40"/>
      <c r="D1" s="40"/>
      <c r="E1" s="41"/>
      <c r="F1" s="41"/>
      <c r="G1" s="41"/>
      <c r="H1" s="41"/>
      <c r="I1" s="41"/>
      <c r="J1" s="41"/>
      <c r="K1" s="41"/>
      <c r="L1" s="41"/>
    </row>
    <row r="2">
      <c r="B2" s="42" t="s">
        <v>18</v>
      </c>
      <c r="C2" s="43" t="s">
        <v>19</v>
      </c>
      <c r="D2" s="44"/>
      <c r="E2" s="45" t="s">
        <v>20</v>
      </c>
      <c r="F2" s="46" t="s">
        <v>21</v>
      </c>
      <c r="G2" s="47" t="s">
        <v>22</v>
      </c>
      <c r="H2" s="48" t="s">
        <v>23</v>
      </c>
      <c r="I2" s="48" t="s">
        <v>24</v>
      </c>
      <c r="J2" s="48" t="s">
        <v>25</v>
      </c>
      <c r="K2" s="48" t="s">
        <v>26</v>
      </c>
      <c r="L2" s="49" t="s">
        <v>27</v>
      </c>
    </row>
    <row r="3" ht="37.5" customHeight="1">
      <c r="B3" s="50" t="s">
        <v>19</v>
      </c>
      <c r="C3" s="51" t="str">
        <f>image("https://images.contentstack.io/v3/assets/blte410e3b15535c144/blt36b92d81bb7bd9af/6613c6176741eb0c36a1d049/2024_TFS_Dev_Preview_Press_Kit_Gear_COMPRESSED_000.jpg")</f>
        <v/>
      </c>
      <c r="D3" s="52"/>
      <c r="E3" s="53" t="str">
        <f>image("https://www.bungie.net/common/destiny2_content/icons/b29ab6e87ec85bac4563f3d3a432c451.png")</f>
        <v/>
      </c>
      <c r="F3" s="54" t="str">
        <f>image("https://www.bungie.net/common/destiny2_content/icons/640d76fb6ab52e290116455379194b07.png")</f>
        <v/>
      </c>
      <c r="G3" s="55" t="str">
        <f>image("https://www.bungie.net/common/destiny2_content/icons/9732f284c71054229671287ab43444b7.png")</f>
        <v/>
      </c>
      <c r="H3" s="55" t="str">
        <f>image("https://www.bungie.net/common/destiny2_content/icons/358bc75bc96bdadc33cc25d864848de4.png")</f>
        <v/>
      </c>
      <c r="I3" s="55" t="str">
        <f>image("https://www.bungie.net/common/destiny2_content/icons/bd7a131851dd9dad2da3e9f198f67f6e.png")</f>
        <v/>
      </c>
      <c r="J3" s="55" t="str">
        <f>image("https://www.bungie.net/common/destiny2_content/icons/71a75146e38ba257b7379af0efacd61f.png")</f>
        <v/>
      </c>
      <c r="K3" s="55" t="str">
        <f>image("https://www.bungie.net/common/destiny2_content/icons/16f43c6fbb972bdc24764a59aacc8161.png")</f>
        <v/>
      </c>
      <c r="L3" s="56" t="str">
        <f>image("https://www.bungie.net/common/destiny2_content/icons/aa2934eb8a1990f6a1e76402ba12f26a.png")</f>
        <v/>
      </c>
    </row>
    <row r="4">
      <c r="B4" s="57"/>
      <c r="C4" s="57"/>
      <c r="D4" s="58"/>
      <c r="E4" s="59" t="s">
        <v>28</v>
      </c>
      <c r="F4" s="60" t="s">
        <v>29</v>
      </c>
      <c r="G4" s="61" t="s">
        <v>30</v>
      </c>
      <c r="H4" s="62" t="s">
        <v>31</v>
      </c>
      <c r="I4" s="62" t="s">
        <v>32</v>
      </c>
      <c r="J4" s="62" t="s">
        <v>33</v>
      </c>
      <c r="K4" s="63" t="s">
        <v>34</v>
      </c>
      <c r="L4" s="64" t="s">
        <v>35</v>
      </c>
      <c r="N4" s="65" t="s">
        <v>36</v>
      </c>
      <c r="O4" s="66" t="s">
        <v>4</v>
      </c>
      <c r="P4" s="67" t="s">
        <v>37</v>
      </c>
    </row>
    <row r="5" ht="37.5" customHeight="1">
      <c r="A5" s="68"/>
      <c r="B5" s="69" t="s">
        <v>38</v>
      </c>
      <c r="C5" s="70" t="str">
        <f>image("https://www.bungie.net/common/destiny2_content/icons/961559205e83e96cd590b34c28efadb7.png")</f>
        <v/>
      </c>
      <c r="D5" s="71" t="s">
        <v>39</v>
      </c>
      <c r="E5" s="72">
        <v>3.0</v>
      </c>
      <c r="F5" s="73">
        <v>5.0</v>
      </c>
      <c r="G5" s="73">
        <v>2.0</v>
      </c>
      <c r="H5" s="73">
        <v>2.0</v>
      </c>
      <c r="I5" s="73">
        <v>4.0</v>
      </c>
      <c r="J5" s="73">
        <v>4.0</v>
      </c>
      <c r="K5" s="73">
        <v>1.0</v>
      </c>
      <c r="L5" s="74">
        <v>3.0</v>
      </c>
      <c r="N5" s="75">
        <v>1.0</v>
      </c>
      <c r="O5" s="76" t="s">
        <v>40</v>
      </c>
      <c r="P5" s="77">
        <f t="shared" ref="P5:P9" si="1">countif($E$5:$L$12,N5)</f>
        <v>7</v>
      </c>
    </row>
    <row r="6" ht="37.5" customHeight="1">
      <c r="B6" s="78" t="s">
        <v>41</v>
      </c>
      <c r="C6" s="79" t="str">
        <f>image("https://www.bungie.net/common/destiny2_content/icons/51756fc7603bd72a83d1859d8c33f0b9.png")</f>
        <v/>
      </c>
      <c r="D6" s="80" t="s">
        <v>42</v>
      </c>
      <c r="E6" s="81">
        <v>4.0</v>
      </c>
      <c r="F6" s="82">
        <v>5.0</v>
      </c>
      <c r="G6" s="82">
        <v>5.0</v>
      </c>
      <c r="H6" s="82">
        <v>5.0</v>
      </c>
      <c r="I6" s="82">
        <v>3.0</v>
      </c>
      <c r="J6" s="82">
        <v>4.0</v>
      </c>
      <c r="K6" s="82">
        <v>2.0</v>
      </c>
      <c r="L6" s="83">
        <v>4.0</v>
      </c>
      <c r="N6" s="84">
        <v>2.0</v>
      </c>
      <c r="O6" s="85" t="s">
        <v>43</v>
      </c>
      <c r="P6" s="86">
        <f t="shared" si="1"/>
        <v>12</v>
      </c>
    </row>
    <row r="7" ht="37.5" customHeight="1">
      <c r="B7" s="87" t="s">
        <v>44</v>
      </c>
      <c r="C7" s="88" t="str">
        <f>image("https://www.bungie.net/common/destiny2_content/icons/3945ff76d8e7ec70991cb0f6601c6797.png")</f>
        <v/>
      </c>
      <c r="D7" s="89" t="s">
        <v>45</v>
      </c>
      <c r="E7" s="81">
        <v>4.0</v>
      </c>
      <c r="F7" s="82">
        <v>1.0</v>
      </c>
      <c r="G7" s="82">
        <v>2.0</v>
      </c>
      <c r="H7" s="82">
        <v>1.0</v>
      </c>
      <c r="I7" s="82">
        <v>2.0</v>
      </c>
      <c r="J7" s="82">
        <v>1.0</v>
      </c>
      <c r="K7" s="82">
        <v>1.0</v>
      </c>
      <c r="L7" s="83">
        <v>1.0</v>
      </c>
      <c r="N7" s="84">
        <v>3.0</v>
      </c>
      <c r="O7" s="85" t="s">
        <v>46</v>
      </c>
      <c r="P7" s="86">
        <f t="shared" si="1"/>
        <v>16</v>
      </c>
    </row>
    <row r="8" ht="37.5" customHeight="1">
      <c r="B8" s="90" t="s">
        <v>47</v>
      </c>
      <c r="C8" s="88" t="str">
        <f>image("https://www.bungie.net/common/destiny2_content/icons/100cd6b35af5fb3f979807d68ad57380.png")</f>
        <v/>
      </c>
      <c r="D8" s="91" t="s">
        <v>48</v>
      </c>
      <c r="E8" s="81">
        <v>4.0</v>
      </c>
      <c r="F8" s="82">
        <v>2.0</v>
      </c>
      <c r="G8" s="82">
        <v>3.0</v>
      </c>
      <c r="H8" s="82">
        <v>2.0</v>
      </c>
      <c r="I8" s="82">
        <v>3.0</v>
      </c>
      <c r="J8" s="82">
        <v>2.0</v>
      </c>
      <c r="K8" s="82">
        <v>3.0</v>
      </c>
      <c r="L8" s="83">
        <v>4.0</v>
      </c>
      <c r="N8" s="84">
        <v>4.0</v>
      </c>
      <c r="O8" s="85" t="s">
        <v>49</v>
      </c>
      <c r="P8" s="86">
        <f t="shared" si="1"/>
        <v>20</v>
      </c>
    </row>
    <row r="9" ht="37.5" customHeight="1">
      <c r="B9" s="90" t="s">
        <v>50</v>
      </c>
      <c r="C9" s="88" t="str">
        <f>image("https://www.bungie.net/common/destiny2_content/icons/467f441de1568bd8c6ad437a76671b5f.png")</f>
        <v/>
      </c>
      <c r="D9" s="91" t="s">
        <v>51</v>
      </c>
      <c r="E9" s="81">
        <v>5.0</v>
      </c>
      <c r="F9" s="82">
        <v>3.0</v>
      </c>
      <c r="G9" s="82">
        <v>4.0</v>
      </c>
      <c r="H9" s="82">
        <v>3.0</v>
      </c>
      <c r="I9" s="82">
        <v>3.0</v>
      </c>
      <c r="J9" s="82">
        <v>3.0</v>
      </c>
      <c r="K9" s="82">
        <v>1.0</v>
      </c>
      <c r="L9" s="83">
        <v>2.0</v>
      </c>
      <c r="N9" s="92">
        <v>5.0</v>
      </c>
      <c r="O9" s="93" t="s">
        <v>52</v>
      </c>
      <c r="P9" s="94">
        <f t="shared" si="1"/>
        <v>9</v>
      </c>
    </row>
    <row r="10" ht="37.5" customHeight="1">
      <c r="B10" s="90" t="s">
        <v>53</v>
      </c>
      <c r="C10" s="88" t="str">
        <f>image("https://www.bungie.net/common/destiny2_content/icons/c156b7906217d8b61e7573f9c9cc2dc7.png")</f>
        <v/>
      </c>
      <c r="D10" s="91" t="s">
        <v>54</v>
      </c>
      <c r="E10" s="81">
        <v>5.0</v>
      </c>
      <c r="F10" s="82">
        <v>4.0</v>
      </c>
      <c r="G10" s="82">
        <v>5.0</v>
      </c>
      <c r="H10" s="82">
        <v>4.0</v>
      </c>
      <c r="I10" s="82">
        <v>4.0</v>
      </c>
      <c r="J10" s="82">
        <v>4.0</v>
      </c>
      <c r="K10" s="82">
        <v>2.0</v>
      </c>
      <c r="L10" s="83">
        <v>3.0</v>
      </c>
      <c r="N10" s="95">
        <v>5.0</v>
      </c>
      <c r="O10" s="85" t="s">
        <v>55</v>
      </c>
      <c r="P10" s="86">
        <f>sumproduct(--($D$17:$D$31&gt;0),--($G$17:$G$31&gt;0),--($I$17:$I$31=0))</f>
        <v>14</v>
      </c>
    </row>
    <row r="11" ht="37.5" customHeight="1">
      <c r="B11" s="90" t="s">
        <v>56</v>
      </c>
      <c r="C11" s="88" t="str">
        <f>image("https://www.bungie.net/common/destiny2_content/icons/cd66bbfb633d559d5c42c6c85e1d6873.png")</f>
        <v/>
      </c>
      <c r="D11" s="96" t="s">
        <v>57</v>
      </c>
      <c r="E11" s="81">
        <v>4.0</v>
      </c>
      <c r="F11" s="82">
        <v>4.0</v>
      </c>
      <c r="G11" s="82">
        <v>3.0</v>
      </c>
      <c r="H11" s="82">
        <v>4.0</v>
      </c>
      <c r="I11" s="82">
        <v>3.0</v>
      </c>
      <c r="J11" s="82">
        <v>5.0</v>
      </c>
      <c r="K11" s="82">
        <v>3.0</v>
      </c>
      <c r="L11" s="83">
        <v>4.0</v>
      </c>
      <c r="N11" s="97">
        <v>5.0</v>
      </c>
      <c r="O11" s="93" t="s">
        <v>58</v>
      </c>
      <c r="P11" s="94">
        <f>sumproduct(--($D$17:$D$31&gt;0),--($G$17:$G$31&gt;0),--($I$17:$I$31&gt;0))</f>
        <v>0</v>
      </c>
    </row>
    <row r="12" ht="37.5" customHeight="1">
      <c r="B12" s="98" t="s">
        <v>59</v>
      </c>
      <c r="C12" s="99" t="str">
        <f>image("https://www.bungie.net/common/destiny2_content/icons/47fd782cc9b993709e25ca66035d13b8.png")</f>
        <v/>
      </c>
      <c r="D12" s="100" t="s">
        <v>60</v>
      </c>
      <c r="E12" s="101">
        <v>5.0</v>
      </c>
      <c r="F12" s="102">
        <v>4.0</v>
      </c>
      <c r="G12" s="102">
        <v>3.0</v>
      </c>
      <c r="H12" s="102">
        <v>4.0</v>
      </c>
      <c r="I12" s="102">
        <v>2.0</v>
      </c>
      <c r="J12" s="102">
        <v>4.0</v>
      </c>
      <c r="K12" s="102">
        <v>2.0</v>
      </c>
      <c r="L12" s="103">
        <v>3.0</v>
      </c>
    </row>
    <row r="13">
      <c r="B13" s="104"/>
    </row>
    <row r="14">
      <c r="B14" s="104"/>
      <c r="O14" s="105"/>
    </row>
    <row r="15">
      <c r="B15" s="104"/>
      <c r="C15" s="106" t="s">
        <v>61</v>
      </c>
      <c r="D15" s="107"/>
      <c r="E15" s="107"/>
      <c r="F15" s="107"/>
      <c r="G15" s="107"/>
      <c r="H15" s="107"/>
      <c r="I15" s="107"/>
      <c r="J15" s="107"/>
      <c r="K15" s="108"/>
      <c r="Q15" s="109" t="s">
        <v>62</v>
      </c>
    </row>
    <row r="16">
      <c r="B16" s="104"/>
      <c r="C16" s="110" t="s">
        <v>63</v>
      </c>
      <c r="D16" s="111"/>
      <c r="E16" s="112"/>
      <c r="F16" s="110" t="s">
        <v>64</v>
      </c>
      <c r="G16" s="111"/>
      <c r="H16" s="113"/>
      <c r="I16" s="114" t="s">
        <v>65</v>
      </c>
      <c r="J16" s="115" t="s">
        <v>66</v>
      </c>
      <c r="K16" s="44"/>
      <c r="N16" s="109" t="s">
        <v>67</v>
      </c>
      <c r="Q16" s="116">
        <v>2.809120022E9</v>
      </c>
    </row>
    <row r="17" ht="37.5" customHeight="1">
      <c r="B17" s="104"/>
      <c r="C17" s="117" t="str">
        <f t="array" ref="C17">index(Hunter_Exotics_Class1_Icon,match(D17,Hunter_Exotics_Class1,0))</f>
        <v/>
      </c>
      <c r="D17" s="118" t="s">
        <v>51</v>
      </c>
      <c r="E17" s="112"/>
      <c r="F17" s="119" t="str">
        <f t="array" ref="F17">index(Hunter_Exotics_Class2_Icon,match(G17,Hunter_Exotics_Class2,0))</f>
        <v/>
      </c>
      <c r="G17" s="118" t="s">
        <v>28</v>
      </c>
      <c r="H17" s="44"/>
      <c r="I17" s="120"/>
      <c r="J17" s="121" t="s">
        <v>68</v>
      </c>
      <c r="K17" s="44"/>
      <c r="N17" s="122" t="str">
        <f t="shared" ref="N17:N31" si="2">concatenate(match(D17,$D$5:$D$12,0),",",match(G17,$E$4:$L$4,0))</f>
        <v>5,1</v>
      </c>
      <c r="O17" s="122"/>
      <c r="P17" s="8"/>
      <c r="Q17" s="123" t="str">
        <f t="array" ref="Q17">if(or(D17=0,G17=0),"", concatenate("dimwishlist:item=",Q$16,"&amp;perks=",index(Hunter_Exotics_Class1_ID,match(D17,Hunter_Exotics_Class1,0)),",",index(Hunter_Exotics_Class2_ID,match(G17,Hunter_Exotics_Class2,0))))</f>
        <v>dimwishlist:item=2809120022&amp;perks=3751917998,1476923955</v>
      </c>
    </row>
    <row r="18" ht="37.5" customHeight="1">
      <c r="B18" s="104"/>
      <c r="C18" s="117" t="str">
        <f t="array" ref="C18">index(Hunter_Exotics_Class1_Icon,match(D18,Hunter_Exotics_Class1,0))</f>
        <v/>
      </c>
      <c r="D18" s="124" t="s">
        <v>60</v>
      </c>
      <c r="E18" s="125"/>
      <c r="F18" s="119" t="str">
        <f t="array" ref="F18">index(Hunter_Exotics_Class2_Icon,match(G18,Hunter_Exotics_Class2,0))</f>
        <v/>
      </c>
      <c r="G18" s="124" t="s">
        <v>31</v>
      </c>
      <c r="H18" s="58"/>
      <c r="I18" s="126"/>
      <c r="J18" s="121" t="s">
        <v>69</v>
      </c>
      <c r="K18" s="44"/>
      <c r="N18" s="122" t="str">
        <f t="shared" si="2"/>
        <v>8,4</v>
      </c>
      <c r="O18" s="122"/>
      <c r="P18" s="8"/>
      <c r="Q18" s="123" t="str">
        <f t="array" ref="Q18">if(or(D18=0,G18=0),"", concatenate("dimwishlist:item=",Q$16,"&amp;perks=",index(Hunter_Exotics_Class1_ID,match(D18,Hunter_Exotics_Class1,0)),",",index(Hunter_Exotics_Class2_ID,match(G18,Hunter_Exotics_Class2,0))))</f>
        <v>dimwishlist:item=2809120022&amp;perks=3751917995,3751917994</v>
      </c>
    </row>
    <row r="19" ht="37.5" customHeight="1">
      <c r="B19" s="104"/>
      <c r="C19" s="117" t="str">
        <f t="array" ref="C19">index(Hunter_Exotics_Class1_Icon,match(D19,Hunter_Exotics_Class1,0))</f>
        <v/>
      </c>
      <c r="D19" s="124" t="s">
        <v>60</v>
      </c>
      <c r="E19" s="125"/>
      <c r="F19" s="119" t="str">
        <f t="array" ref="F19">index(Hunter_Exotics_Class2_Icon,match(G19,Hunter_Exotics_Class2,0))</f>
        <v/>
      </c>
      <c r="G19" s="124" t="s">
        <v>28</v>
      </c>
      <c r="H19" s="58"/>
      <c r="I19" s="126"/>
      <c r="J19" s="121" t="s">
        <v>70</v>
      </c>
      <c r="K19" s="44"/>
      <c r="N19" s="122" t="str">
        <f t="shared" si="2"/>
        <v>8,1</v>
      </c>
      <c r="O19" s="122"/>
      <c r="P19" s="8"/>
      <c r="Q19" s="123" t="str">
        <f t="array" ref="Q19">if(or(D19=0,G19=0),"", concatenate("dimwishlist:item=",Q$16,"&amp;perks=",index(Hunter_Exotics_Class1_ID,match(D19,Hunter_Exotics_Class1,0)),",",index(Hunter_Exotics_Class2_ID,match(G19,Hunter_Exotics_Class2,0))))</f>
        <v>dimwishlist:item=2809120022&amp;perks=3751917995,1476923955</v>
      </c>
    </row>
    <row r="20" ht="37.5" customHeight="1">
      <c r="B20" s="104"/>
      <c r="C20" s="117" t="str">
        <f t="array" ref="C20">index(Hunter_Exotics_Class1_Icon,match(D20,Hunter_Exotics_Class1,0))</f>
        <v/>
      </c>
      <c r="D20" s="124" t="s">
        <v>57</v>
      </c>
      <c r="E20" s="125"/>
      <c r="F20" s="119" t="str">
        <f t="array" ref="F20">index(Hunter_Exotics_Class2_Icon,match(G20,Hunter_Exotics_Class2,0))</f>
        <v/>
      </c>
      <c r="G20" s="124" t="s">
        <v>33</v>
      </c>
      <c r="H20" s="58"/>
      <c r="I20" s="126"/>
      <c r="J20" s="121" t="s">
        <v>71</v>
      </c>
      <c r="K20" s="44"/>
      <c r="N20" s="122" t="str">
        <f t="shared" si="2"/>
        <v>7,6</v>
      </c>
      <c r="O20" s="122"/>
      <c r="P20" s="8"/>
      <c r="Q20" s="123" t="str">
        <f t="array" ref="Q20">if(or(D20=0,G20=0),"", concatenate("dimwishlist:item=",Q$16,"&amp;perks=",index(Hunter_Exotics_Class1_ID,match(D20,Hunter_Exotics_Class1,0)),",",index(Hunter_Exotics_Class2_ID,match(G20,Hunter_Exotics_Class2,0))))</f>
        <v>dimwishlist:item=2809120022&amp;perks=3751917996,3751917992</v>
      </c>
    </row>
    <row r="21" ht="37.5" customHeight="1">
      <c r="B21" s="104"/>
      <c r="C21" s="117" t="str">
        <f t="array" ref="C21">index(Hunter_Exotics_Class1_Icon,match(D21,Hunter_Exotics_Class1,0))</f>
        <v/>
      </c>
      <c r="D21" s="124" t="s">
        <v>57</v>
      </c>
      <c r="E21" s="125"/>
      <c r="F21" s="119" t="str">
        <f t="array" ref="F21">index(Hunter_Exotics_Class2_Icon,match(G21,Hunter_Exotics_Class2,0))</f>
        <v/>
      </c>
      <c r="G21" s="124" t="s">
        <v>29</v>
      </c>
      <c r="H21" s="58"/>
      <c r="I21" s="126"/>
      <c r="J21" s="121" t="s">
        <v>72</v>
      </c>
      <c r="K21" s="44"/>
      <c r="N21" s="122" t="str">
        <f t="shared" si="2"/>
        <v>7,2</v>
      </c>
      <c r="O21" s="122"/>
      <c r="P21" s="8"/>
      <c r="Q21" s="123" t="str">
        <f t="array" ref="Q21">if(or(D21=0,G21=0),"", concatenate("dimwishlist:item=",Q$16,"&amp;perks=",index(Hunter_Exotics_Class1_ID,match(D21,Hunter_Exotics_Class1,0)),",",index(Hunter_Exotics_Class2_ID,match(G21,Hunter_Exotics_Class2,0))))</f>
        <v>dimwishlist:item=2809120022&amp;perks=3751917996,1476923956</v>
      </c>
    </row>
    <row r="22" ht="37.5" customHeight="1">
      <c r="B22" s="104"/>
      <c r="C22" s="117" t="str">
        <f t="array" ref="C22">index(Hunter_Exotics_Class1_Icon,match(D22,Hunter_Exotics_Class1,0))</f>
        <v/>
      </c>
      <c r="D22" s="124" t="s">
        <v>54</v>
      </c>
      <c r="E22" s="125"/>
      <c r="F22" s="119" t="str">
        <f t="array" ref="F22">index(Hunter_Exotics_Class2_Icon,match(G22,Hunter_Exotics_Class2,0))</f>
        <v/>
      </c>
      <c r="G22" s="124" t="s">
        <v>28</v>
      </c>
      <c r="H22" s="58"/>
      <c r="I22" s="126"/>
      <c r="J22" s="121" t="s">
        <v>73</v>
      </c>
      <c r="K22" s="44"/>
      <c r="N22" s="122" t="str">
        <f t="shared" si="2"/>
        <v>6,1</v>
      </c>
      <c r="O22" s="122"/>
      <c r="P22" s="8"/>
      <c r="Q22" s="123" t="str">
        <f t="array" ref="Q22">if(or(D22=0,G22=0),"", concatenate("dimwishlist:item=",Q$16,"&amp;perks=",index(Hunter_Exotics_Class1_ID,match(D22,Hunter_Exotics_Class1,0)),",",index(Hunter_Exotics_Class2_ID,match(G22,Hunter_Exotics_Class2,0))))</f>
        <v>dimwishlist:item=2809120022&amp;perks=3751917997,1476923955</v>
      </c>
    </row>
    <row r="23" ht="37.5" customHeight="1">
      <c r="B23" s="104"/>
      <c r="C23" s="117" t="str">
        <f t="array" ref="C23">index(Hunter_Exotics_Class1_Icon,match(D23,Hunter_Exotics_Class1,0))</f>
        <v/>
      </c>
      <c r="D23" s="124" t="s">
        <v>42</v>
      </c>
      <c r="E23" s="125"/>
      <c r="F23" s="119" t="str">
        <f t="array" ref="F23">index(Hunter_Exotics_Class2_Icon,match(G23,Hunter_Exotics_Class2,0))</f>
        <v/>
      </c>
      <c r="G23" s="124" t="s">
        <v>29</v>
      </c>
      <c r="H23" s="58"/>
      <c r="I23" s="127"/>
      <c r="J23" s="121" t="s">
        <v>74</v>
      </c>
      <c r="K23" s="44"/>
      <c r="N23" s="122" t="str">
        <f t="shared" si="2"/>
        <v>2,2</v>
      </c>
      <c r="O23" s="122"/>
      <c r="P23" s="8"/>
      <c r="Q23" s="123" t="str">
        <f t="array" ref="Q23">if(or(D23=0,G23=0),"", concatenate("dimwishlist:item=",Q$16,"&amp;perks=",index(Hunter_Exotics_Class1_ID,match(D23,Hunter_Exotics_Class1,0)),",",index(Hunter_Exotics_Class2_ID,match(G23,Hunter_Exotics_Class2,0))))</f>
        <v>dimwishlist:item=2809120022&amp;perks=1476923953,1476923956</v>
      </c>
    </row>
    <row r="24" ht="37.5" customHeight="1">
      <c r="B24" s="104"/>
      <c r="C24" s="117" t="str">
        <f t="array" ref="C24">index(Hunter_Exotics_Class1_Icon,match(D24,Hunter_Exotics_Class1,0))</f>
        <v/>
      </c>
      <c r="D24" s="124" t="s">
        <v>42</v>
      </c>
      <c r="E24" s="125"/>
      <c r="F24" s="119" t="str">
        <f t="array" ref="F24">index(Hunter_Exotics_Class2_Icon,match(G24,Hunter_Exotics_Class2,0))</f>
        <v/>
      </c>
      <c r="G24" s="124" t="s">
        <v>28</v>
      </c>
      <c r="H24" s="58"/>
      <c r="I24" s="126"/>
      <c r="J24" s="121" t="s">
        <v>75</v>
      </c>
      <c r="K24" s="44"/>
      <c r="N24" s="122" t="str">
        <f t="shared" si="2"/>
        <v>2,1</v>
      </c>
      <c r="O24" s="122"/>
      <c r="P24" s="8"/>
      <c r="Q24" s="123" t="str">
        <f t="array" ref="Q24">if(or(D24=0,G24=0),"", concatenate("dimwishlist:item=",Q$16,"&amp;perks=",index(Hunter_Exotics_Class1_ID,match(D24,Hunter_Exotics_Class1,0)),",",index(Hunter_Exotics_Class2_ID,match(G24,Hunter_Exotics_Class2,0))))</f>
        <v>dimwishlist:item=2809120022&amp;perks=1476923953,1476923955</v>
      </c>
    </row>
    <row r="25" ht="37.5" customHeight="1">
      <c r="B25" s="104"/>
      <c r="C25" s="117" t="str">
        <f t="array" ref="C25">index(Hunter_Exotics_Class1_Icon,match(D25,Hunter_Exotics_Class1,0))</f>
        <v/>
      </c>
      <c r="D25" s="124" t="s">
        <v>42</v>
      </c>
      <c r="E25" s="125"/>
      <c r="F25" s="119" t="str">
        <f t="array" ref="F25">index(Hunter_Exotics_Class2_Icon,match(G25,Hunter_Exotics_Class2,0))</f>
        <v/>
      </c>
      <c r="G25" s="124" t="s">
        <v>31</v>
      </c>
      <c r="H25" s="58"/>
      <c r="I25" s="128"/>
      <c r="J25" s="129"/>
      <c r="K25" s="44"/>
      <c r="N25" s="122" t="str">
        <f t="shared" si="2"/>
        <v>2,4</v>
      </c>
      <c r="O25" s="122"/>
      <c r="P25" s="8"/>
      <c r="Q25" s="123" t="str">
        <f t="array" ref="Q25">if(or(D25=0,G25=0),"", concatenate("dimwishlist:item=",Q$16,"&amp;perks=",index(Hunter_Exotics_Class1_ID,match(D25,Hunter_Exotics_Class1,0)),",",index(Hunter_Exotics_Class2_ID,match(G25,Hunter_Exotics_Class2,0))))</f>
        <v>dimwishlist:item=2809120022&amp;perks=1476923953,3751917994</v>
      </c>
    </row>
    <row r="26" ht="37.5" customHeight="1">
      <c r="B26" s="104"/>
      <c r="C26" s="117" t="str">
        <f t="array" ref="C26">index(Hunter_Exotics_Class1_Icon,match(D26,Hunter_Exotics_Class1,0))</f>
        <v/>
      </c>
      <c r="D26" s="124" t="s">
        <v>54</v>
      </c>
      <c r="E26" s="125"/>
      <c r="F26" s="119" t="str">
        <f t="array" ref="F26">index(Hunter_Exotics_Class2_Icon,match(G26,Hunter_Exotics_Class2,0))</f>
        <v/>
      </c>
      <c r="G26" s="124" t="s">
        <v>30</v>
      </c>
      <c r="H26" s="58"/>
      <c r="I26" s="126"/>
      <c r="J26" s="129"/>
      <c r="K26" s="44"/>
      <c r="N26" s="122" t="str">
        <f t="shared" si="2"/>
        <v>6,3</v>
      </c>
      <c r="O26" s="122"/>
      <c r="P26" s="8"/>
      <c r="Q26" s="123" t="str">
        <f t="array" ref="Q26">if(or(D26=0,G26=0),"", concatenate("dimwishlist:item=",Q$16,"&amp;perks=",index(Hunter_Exotics_Class1_ID,match(D26,Hunter_Exotics_Class1,0)),",",index(Hunter_Exotics_Class2_ID,match(G26,Hunter_Exotics_Class2,0))))</f>
        <v>dimwishlist:item=2809120022&amp;perks=3751917997,1476923957</v>
      </c>
    </row>
    <row r="27" ht="37.5" customHeight="1">
      <c r="B27" s="104"/>
      <c r="C27" s="117" t="str">
        <f t="array" ref="C27">index(Hunter_Exotics_Class1_Icon,match(D27,Hunter_Exotics_Class1,0))</f>
        <v/>
      </c>
      <c r="D27" s="124" t="s">
        <v>51</v>
      </c>
      <c r="E27" s="125"/>
      <c r="F27" s="119" t="str">
        <f t="array" ref="F27">index(Hunter_Exotics_Class2_Icon,match(G27,Hunter_Exotics_Class2,0))</f>
        <v/>
      </c>
      <c r="G27" s="124" t="s">
        <v>32</v>
      </c>
      <c r="H27" s="58"/>
      <c r="I27" s="126"/>
      <c r="J27" s="129"/>
      <c r="K27" s="44"/>
      <c r="N27" s="122" t="str">
        <f t="shared" si="2"/>
        <v>5,5</v>
      </c>
      <c r="O27" s="122"/>
      <c r="P27" s="8"/>
      <c r="Q27" s="123" t="str">
        <f t="array" ref="Q27">if(or(D27=0,G27=0),"", concatenate("dimwishlist:item=",Q$16,"&amp;perks=",index(Hunter_Exotics_Class1_ID,match(D27,Hunter_Exotics_Class1,0)),",",index(Hunter_Exotics_Class2_ID,match(G27,Hunter_Exotics_Class2,0))))</f>
        <v>dimwishlist:item=2809120022&amp;perks=3751917998,3751917993</v>
      </c>
    </row>
    <row r="28" ht="37.5" customHeight="1">
      <c r="B28" s="104"/>
      <c r="C28" s="117" t="str">
        <f t="array" ref="C28">index(Hunter_Exotics_Class1_Icon,match(D28,Hunter_Exotics_Class1,0))</f>
        <v/>
      </c>
      <c r="D28" s="124" t="s">
        <v>42</v>
      </c>
      <c r="E28" s="125"/>
      <c r="F28" s="119" t="str">
        <f t="array" ref="F28">index(Hunter_Exotics_Class2_Icon,match(G28,Hunter_Exotics_Class2,0))</f>
        <v/>
      </c>
      <c r="G28" s="124" t="s">
        <v>30</v>
      </c>
      <c r="H28" s="58"/>
      <c r="I28" s="126"/>
      <c r="J28" s="129"/>
      <c r="K28" s="44"/>
      <c r="N28" s="122" t="str">
        <f t="shared" si="2"/>
        <v>2,3</v>
      </c>
      <c r="O28" s="122"/>
      <c r="P28" s="8"/>
      <c r="Q28" s="123" t="str">
        <f t="array" ref="Q28">if(or(D28=0,G28=0),"", concatenate("dimwishlist:item=",Q$16,"&amp;perks=",index(Hunter_Exotics_Class1_ID,match(D28,Hunter_Exotics_Class1,0)),",",index(Hunter_Exotics_Class2_ID,match(G28,Hunter_Exotics_Class2,0))))</f>
        <v>dimwishlist:item=2809120022&amp;perks=1476923953,1476923957</v>
      </c>
    </row>
    <row r="29" ht="37.5" customHeight="1">
      <c r="B29" s="104"/>
      <c r="C29" s="117" t="str">
        <f t="array" ref="C29">index(Hunter_Exotics_Class1_Icon,match(D29,Hunter_Exotics_Class1,0))</f>
        <v/>
      </c>
      <c r="D29" s="124" t="s">
        <v>57</v>
      </c>
      <c r="E29" s="125"/>
      <c r="F29" s="119" t="str">
        <f t="array" ref="F29">index(Hunter_Exotics_Class2_Icon,match(G29,Hunter_Exotics_Class2,0))</f>
        <v/>
      </c>
      <c r="G29" s="124" t="s">
        <v>31</v>
      </c>
      <c r="H29" s="58"/>
      <c r="I29" s="126"/>
      <c r="J29" s="129"/>
      <c r="K29" s="44"/>
      <c r="N29" s="122" t="str">
        <f t="shared" si="2"/>
        <v>7,4</v>
      </c>
      <c r="O29" s="122"/>
      <c r="P29" s="8"/>
      <c r="Q29" s="123" t="str">
        <f t="array" ref="Q29">if(or(D29=0,G29=0),"", concatenate("dimwishlist:item=",Q$16,"&amp;perks=",index(Hunter_Exotics_Class1_ID,match(D29,Hunter_Exotics_Class1,0)),",",index(Hunter_Exotics_Class2_ID,match(G29,Hunter_Exotics_Class2,0))))</f>
        <v>dimwishlist:item=2809120022&amp;perks=3751917996,3751917994</v>
      </c>
    </row>
    <row r="30" ht="37.5" customHeight="1">
      <c r="B30" s="104"/>
      <c r="C30" s="117" t="str">
        <f t="array" ref="C30">index(Hunter_Exotics_Class1_Icon,match(D30,Hunter_Exotics_Class1,0))</f>
        <v/>
      </c>
      <c r="D30" s="124" t="s">
        <v>39</v>
      </c>
      <c r="E30" s="125"/>
      <c r="F30" s="119" t="str">
        <f t="array" ref="F30">index(Hunter_Exotics_Class2_Icon,match(G30,Hunter_Exotics_Class2,0))</f>
        <v/>
      </c>
      <c r="G30" s="124" t="s">
        <v>29</v>
      </c>
      <c r="H30" s="58"/>
      <c r="I30" s="126"/>
      <c r="J30" s="129"/>
      <c r="K30" s="44"/>
      <c r="N30" s="122" t="str">
        <f t="shared" si="2"/>
        <v>1,2</v>
      </c>
      <c r="O30" s="122"/>
      <c r="P30" s="8"/>
      <c r="Q30" s="123" t="str">
        <f t="array" ref="Q30">if(or(D30=0,G30=0),"", concatenate("dimwishlist:item=",Q$16,"&amp;perks=",index(Hunter_Exotics_Class1_ID,match(D30,Hunter_Exotics_Class1,0)),",",index(Hunter_Exotics_Class2_ID,match(G30,Hunter_Exotics_Class2,0))))</f>
        <v>dimwishlist:item=2809120022&amp;perks=1476923952,1476923956</v>
      </c>
    </row>
    <row r="31" ht="37.5" customHeight="1">
      <c r="B31" s="104"/>
      <c r="C31" s="130" t="str">
        <f t="array" ref="C31">index(Hunter_Exotics_Class1_Icon,match(D31,Hunter_Exotics_Class1,0))</f>
        <v>#N/A</v>
      </c>
      <c r="D31" s="131"/>
      <c r="E31" s="112"/>
      <c r="F31" s="132" t="str">
        <f t="array" ref="F31">index(Hunter_Exotics_Class2_Icon,match(G31,Hunter_Exotics_Class2,0))</f>
        <v>#N/A</v>
      </c>
      <c r="G31" s="131"/>
      <c r="H31" s="111"/>
      <c r="I31" s="133"/>
      <c r="J31" s="129"/>
      <c r="K31" s="44"/>
      <c r="N31" s="122" t="str">
        <f t="shared" si="2"/>
        <v>#N/A</v>
      </c>
      <c r="O31" s="122"/>
      <c r="P31" s="8"/>
      <c r="Q31" s="123" t="str">
        <f t="array" ref="Q31">if(or(D31=0,G31=0),"", concatenate("dimwishlist:item=",Q$16,"&amp;perks=",index(Hunter_Exotics_Class1_ID,match(D31,Hunter_Exotics_Class1,0)),",",index(Hunter_Exotics_Class2_ID,match(G31,Hunter_Exotics_Class2,0))))</f>
        <v/>
      </c>
    </row>
    <row r="32">
      <c r="B32" s="104"/>
    </row>
    <row r="33" ht="120.0" customHeight="1">
      <c r="B33" s="104"/>
      <c r="Q33" s="134" t="str">
        <f>concatenate(Q17,"
",Q18,"
",Q19,"
",Q20,"
",Q21,"
",Q22,"
",Q23,"
",Q24,"
",Q25,"
",Q26,"
",Q27,"
",Q28,"
",Q29,"
",Q30,"
",Q31)</f>
        <v>dimwishlist:item=2809120022&amp;perks=3751917998,1476923955
dimwishlist:item=2809120022&amp;perks=3751917995,3751917994
dimwishlist:item=2809120022&amp;perks=3751917995,1476923955
dimwishlist:item=2809120022&amp;perks=3751917996,3751917992
dimwishlist:item=2809120022&amp;perks=3751917996,1476923956
dimwishlist:item=2809120022&amp;perks=3751917997,1476923955
dimwishlist:item=2809120022&amp;perks=1476923953,1476923956
dimwishlist:item=2809120022&amp;perks=1476923953,1476923955
dimwishlist:item=2809120022&amp;perks=1476923953,3751917994
dimwishlist:item=2809120022&amp;perks=3751917997,1476923957
dimwishlist:item=2809120022&amp;perks=3751917998,3751917993
dimwishlist:item=2809120022&amp;perks=1476923953,1476923957
dimwishlist:item=2809120022&amp;perks=3751917996,3751917994
dimwishlist:item=2809120022&amp;perks=1476923952,1476923956
</v>
      </c>
    </row>
    <row r="34">
      <c r="B34" s="104"/>
    </row>
    <row r="35">
      <c r="B35" s="104"/>
      <c r="Q35" s="123" t="s">
        <v>76</v>
      </c>
    </row>
    <row r="36">
      <c r="B36" s="104"/>
    </row>
    <row r="37">
      <c r="B37" s="104"/>
    </row>
    <row r="38">
      <c r="B38" s="104"/>
    </row>
    <row r="39">
      <c r="B39" s="104"/>
    </row>
    <row r="40">
      <c r="B40" s="104"/>
    </row>
    <row r="41">
      <c r="B41" s="104"/>
    </row>
    <row r="42">
      <c r="B42" s="104"/>
    </row>
    <row r="43">
      <c r="B43" s="104"/>
    </row>
    <row r="44">
      <c r="B44" s="104"/>
    </row>
    <row r="45">
      <c r="B45" s="104"/>
    </row>
    <row r="46">
      <c r="B46" s="104"/>
    </row>
    <row r="47">
      <c r="B47" s="104"/>
    </row>
    <row r="48">
      <c r="B48" s="104"/>
    </row>
    <row r="49">
      <c r="B49" s="104"/>
    </row>
    <row r="50">
      <c r="B50" s="104"/>
    </row>
    <row r="51">
      <c r="B51" s="104"/>
    </row>
    <row r="52">
      <c r="B52" s="104"/>
    </row>
    <row r="53">
      <c r="B53" s="104"/>
    </row>
    <row r="54">
      <c r="B54" s="104"/>
    </row>
    <row r="55">
      <c r="B55" s="104"/>
    </row>
    <row r="56">
      <c r="B56" s="104"/>
    </row>
    <row r="57">
      <c r="B57" s="104"/>
    </row>
    <row r="58">
      <c r="B58" s="104"/>
    </row>
    <row r="59">
      <c r="B59" s="104"/>
    </row>
    <row r="60">
      <c r="B60" s="104"/>
    </row>
    <row r="61">
      <c r="B61" s="104"/>
    </row>
    <row r="62">
      <c r="B62" s="104"/>
    </row>
    <row r="63">
      <c r="B63" s="104"/>
    </row>
    <row r="64">
      <c r="B64" s="104"/>
    </row>
    <row r="65">
      <c r="B65" s="104"/>
    </row>
    <row r="66">
      <c r="B66" s="104"/>
    </row>
    <row r="67">
      <c r="B67" s="104"/>
    </row>
    <row r="68">
      <c r="B68" s="104"/>
    </row>
    <row r="69">
      <c r="B69" s="104"/>
    </row>
    <row r="70">
      <c r="B70" s="104"/>
    </row>
    <row r="71">
      <c r="B71" s="104"/>
    </row>
    <row r="72">
      <c r="B72" s="104"/>
    </row>
    <row r="73">
      <c r="B73" s="104"/>
    </row>
    <row r="74">
      <c r="B74" s="104"/>
    </row>
    <row r="75">
      <c r="B75" s="104"/>
    </row>
    <row r="76">
      <c r="B76" s="104"/>
    </row>
    <row r="77">
      <c r="B77" s="104"/>
    </row>
    <row r="78">
      <c r="B78" s="104"/>
    </row>
    <row r="79">
      <c r="B79" s="104"/>
    </row>
    <row r="80">
      <c r="B80" s="104"/>
    </row>
    <row r="81">
      <c r="B81" s="104"/>
    </row>
    <row r="82">
      <c r="B82" s="104"/>
    </row>
    <row r="83">
      <c r="B83" s="104"/>
    </row>
    <row r="84">
      <c r="B84" s="104"/>
    </row>
    <row r="85">
      <c r="B85" s="104"/>
    </row>
    <row r="86">
      <c r="B86" s="104"/>
    </row>
    <row r="87">
      <c r="B87" s="104"/>
    </row>
    <row r="88">
      <c r="B88" s="104"/>
    </row>
    <row r="89">
      <c r="B89" s="104"/>
    </row>
    <row r="90">
      <c r="B90" s="104"/>
    </row>
    <row r="91">
      <c r="B91" s="104"/>
    </row>
    <row r="92">
      <c r="B92" s="104"/>
    </row>
    <row r="93">
      <c r="B93" s="104"/>
    </row>
    <row r="94">
      <c r="B94" s="104"/>
    </row>
    <row r="95">
      <c r="B95" s="104"/>
    </row>
    <row r="96">
      <c r="B96" s="104"/>
    </row>
    <row r="97">
      <c r="B97" s="104"/>
    </row>
    <row r="98">
      <c r="B98" s="104"/>
    </row>
    <row r="99">
      <c r="B99" s="104"/>
    </row>
    <row r="100">
      <c r="B100" s="104"/>
    </row>
    <row r="101">
      <c r="B101" s="104"/>
    </row>
    <row r="102">
      <c r="B102" s="104"/>
    </row>
    <row r="103">
      <c r="B103" s="104"/>
    </row>
    <row r="104">
      <c r="B104" s="104"/>
    </row>
    <row r="105">
      <c r="B105" s="104"/>
    </row>
    <row r="106">
      <c r="B106" s="104"/>
    </row>
    <row r="107">
      <c r="B107" s="104"/>
    </row>
    <row r="108">
      <c r="B108" s="104"/>
    </row>
    <row r="109">
      <c r="B109" s="104"/>
    </row>
    <row r="110">
      <c r="B110" s="104"/>
    </row>
    <row r="111">
      <c r="B111" s="104"/>
    </row>
    <row r="112">
      <c r="B112" s="104"/>
    </row>
    <row r="113">
      <c r="B113" s="104"/>
    </row>
    <row r="114">
      <c r="B114" s="104"/>
    </row>
    <row r="115">
      <c r="B115" s="104"/>
    </row>
    <row r="116">
      <c r="B116" s="104"/>
    </row>
    <row r="117">
      <c r="B117" s="104"/>
    </row>
    <row r="118">
      <c r="B118" s="104"/>
    </row>
    <row r="119">
      <c r="B119" s="104"/>
    </row>
    <row r="120">
      <c r="B120" s="104"/>
    </row>
    <row r="121">
      <c r="B121" s="104"/>
    </row>
    <row r="122">
      <c r="B122" s="104"/>
    </row>
    <row r="123">
      <c r="B123" s="104"/>
    </row>
    <row r="124">
      <c r="B124" s="104"/>
    </row>
    <row r="125">
      <c r="B125" s="104"/>
    </row>
    <row r="126">
      <c r="B126" s="104"/>
    </row>
    <row r="127">
      <c r="B127" s="104"/>
    </row>
    <row r="128">
      <c r="B128" s="104"/>
    </row>
    <row r="129">
      <c r="B129" s="104"/>
    </row>
    <row r="130">
      <c r="B130" s="104"/>
    </row>
    <row r="131">
      <c r="B131" s="104"/>
    </row>
    <row r="132">
      <c r="B132" s="104"/>
    </row>
    <row r="133">
      <c r="B133" s="104"/>
    </row>
    <row r="134">
      <c r="B134" s="104"/>
    </row>
    <row r="135">
      <c r="B135" s="104"/>
    </row>
    <row r="136">
      <c r="B136" s="104"/>
    </row>
    <row r="137">
      <c r="B137" s="104"/>
    </row>
    <row r="138">
      <c r="B138" s="104"/>
    </row>
    <row r="139">
      <c r="B139" s="104"/>
    </row>
    <row r="140">
      <c r="B140" s="104"/>
    </row>
    <row r="141">
      <c r="B141" s="104"/>
    </row>
    <row r="142">
      <c r="B142" s="104"/>
    </row>
    <row r="143">
      <c r="B143" s="104"/>
    </row>
    <row r="144">
      <c r="B144" s="104"/>
    </row>
    <row r="145">
      <c r="B145" s="104"/>
    </row>
    <row r="146">
      <c r="B146" s="104"/>
    </row>
    <row r="147">
      <c r="B147" s="104"/>
    </row>
    <row r="148">
      <c r="B148" s="104"/>
    </row>
    <row r="149">
      <c r="B149" s="104"/>
    </row>
    <row r="150">
      <c r="B150" s="104"/>
    </row>
    <row r="151">
      <c r="B151" s="104"/>
    </row>
    <row r="152">
      <c r="B152" s="104"/>
    </row>
    <row r="153">
      <c r="B153" s="104"/>
    </row>
    <row r="154">
      <c r="B154" s="104"/>
    </row>
    <row r="155">
      <c r="B155" s="104"/>
    </row>
    <row r="156">
      <c r="B156" s="104"/>
    </row>
    <row r="157">
      <c r="B157" s="104"/>
    </row>
    <row r="158">
      <c r="B158" s="104"/>
    </row>
    <row r="159">
      <c r="B159" s="104"/>
    </row>
    <row r="160">
      <c r="B160" s="104"/>
    </row>
    <row r="161">
      <c r="B161" s="104"/>
    </row>
    <row r="162">
      <c r="B162" s="104"/>
    </row>
    <row r="163">
      <c r="B163" s="104"/>
    </row>
    <row r="164">
      <c r="B164" s="104"/>
    </row>
    <row r="165">
      <c r="B165" s="104"/>
    </row>
    <row r="166">
      <c r="B166" s="104"/>
    </row>
    <row r="167">
      <c r="B167" s="104"/>
    </row>
    <row r="168">
      <c r="B168" s="104"/>
    </row>
    <row r="169">
      <c r="B169" s="104"/>
    </row>
    <row r="170">
      <c r="B170" s="104"/>
    </row>
    <row r="171">
      <c r="B171" s="104"/>
    </row>
    <row r="172">
      <c r="B172" s="104"/>
    </row>
    <row r="173">
      <c r="B173" s="104"/>
    </row>
    <row r="174">
      <c r="B174" s="104"/>
    </row>
    <row r="175">
      <c r="B175" s="104"/>
    </row>
    <row r="176">
      <c r="B176" s="104"/>
    </row>
    <row r="177">
      <c r="B177" s="104"/>
    </row>
    <row r="178">
      <c r="B178" s="104"/>
    </row>
    <row r="179">
      <c r="B179" s="104"/>
    </row>
    <row r="180">
      <c r="B180" s="104"/>
    </row>
    <row r="181">
      <c r="B181" s="104"/>
    </row>
    <row r="182">
      <c r="B182" s="104"/>
    </row>
    <row r="183">
      <c r="B183" s="104"/>
    </row>
    <row r="184">
      <c r="B184" s="104"/>
    </row>
    <row r="185">
      <c r="B185" s="104"/>
    </row>
    <row r="186">
      <c r="B186" s="104"/>
    </row>
    <row r="187">
      <c r="B187" s="104"/>
    </row>
    <row r="188">
      <c r="B188" s="104"/>
    </row>
    <row r="189">
      <c r="B189" s="104"/>
    </row>
    <row r="190">
      <c r="B190" s="104"/>
    </row>
    <row r="191">
      <c r="B191" s="104"/>
    </row>
    <row r="192">
      <c r="B192" s="104"/>
    </row>
    <row r="193">
      <c r="B193" s="104"/>
    </row>
    <row r="194">
      <c r="B194" s="104"/>
    </row>
    <row r="195">
      <c r="B195" s="104"/>
    </row>
    <row r="196">
      <c r="B196" s="104"/>
    </row>
    <row r="197">
      <c r="B197" s="104"/>
    </row>
    <row r="198">
      <c r="B198" s="104"/>
    </row>
    <row r="199">
      <c r="B199" s="104"/>
    </row>
    <row r="200">
      <c r="B200" s="104"/>
    </row>
    <row r="201">
      <c r="B201" s="104"/>
    </row>
    <row r="202">
      <c r="B202" s="104"/>
    </row>
    <row r="203">
      <c r="B203" s="104"/>
    </row>
    <row r="204">
      <c r="B204" s="104"/>
    </row>
    <row r="205">
      <c r="B205" s="104"/>
    </row>
    <row r="206">
      <c r="B206" s="104"/>
    </row>
    <row r="207">
      <c r="B207" s="104"/>
    </row>
    <row r="208">
      <c r="B208" s="104"/>
    </row>
    <row r="209">
      <c r="B209" s="104"/>
    </row>
    <row r="210">
      <c r="B210" s="104"/>
    </row>
    <row r="211">
      <c r="B211" s="104"/>
    </row>
    <row r="212">
      <c r="B212" s="104"/>
    </row>
    <row r="213">
      <c r="B213" s="104"/>
    </row>
    <row r="214">
      <c r="B214" s="104"/>
    </row>
    <row r="215">
      <c r="B215" s="104"/>
    </row>
    <row r="216">
      <c r="B216" s="104"/>
    </row>
    <row r="217">
      <c r="B217" s="104"/>
    </row>
    <row r="218">
      <c r="B218" s="104"/>
    </row>
    <row r="219">
      <c r="B219" s="104"/>
    </row>
    <row r="220">
      <c r="B220" s="104"/>
    </row>
    <row r="221">
      <c r="B221" s="104"/>
    </row>
    <row r="222">
      <c r="B222" s="104"/>
    </row>
    <row r="223">
      <c r="B223" s="104"/>
    </row>
    <row r="224">
      <c r="B224" s="104"/>
    </row>
    <row r="225">
      <c r="B225" s="104"/>
    </row>
    <row r="226">
      <c r="B226" s="104"/>
    </row>
    <row r="227">
      <c r="B227" s="104"/>
    </row>
    <row r="228">
      <c r="B228" s="104"/>
    </row>
    <row r="229">
      <c r="B229" s="104"/>
    </row>
    <row r="230">
      <c r="B230" s="104"/>
    </row>
    <row r="231">
      <c r="B231" s="104"/>
    </row>
    <row r="232">
      <c r="B232" s="104"/>
    </row>
    <row r="233">
      <c r="B233" s="104"/>
    </row>
    <row r="234">
      <c r="B234" s="104"/>
    </row>
    <row r="235">
      <c r="B235" s="104"/>
    </row>
    <row r="236">
      <c r="B236" s="104"/>
    </row>
    <row r="237">
      <c r="B237" s="104"/>
    </row>
    <row r="238">
      <c r="B238" s="104"/>
    </row>
    <row r="239">
      <c r="B239" s="104"/>
    </row>
    <row r="240">
      <c r="B240" s="104"/>
    </row>
    <row r="241">
      <c r="B241" s="104"/>
    </row>
    <row r="242">
      <c r="B242" s="104"/>
    </row>
    <row r="243">
      <c r="B243" s="104"/>
    </row>
    <row r="244">
      <c r="B244" s="104"/>
    </row>
    <row r="245">
      <c r="B245" s="104"/>
    </row>
    <row r="246">
      <c r="B246" s="104"/>
    </row>
    <row r="247">
      <c r="B247" s="104"/>
    </row>
    <row r="248">
      <c r="B248" s="104"/>
    </row>
    <row r="249">
      <c r="B249" s="104"/>
    </row>
    <row r="250">
      <c r="B250" s="104"/>
    </row>
    <row r="251">
      <c r="B251" s="104"/>
    </row>
    <row r="252">
      <c r="B252" s="104"/>
    </row>
    <row r="253">
      <c r="B253" s="104"/>
    </row>
    <row r="254">
      <c r="B254" s="104"/>
    </row>
    <row r="255">
      <c r="B255" s="104"/>
    </row>
    <row r="256">
      <c r="B256" s="104"/>
    </row>
    <row r="257">
      <c r="B257" s="104"/>
    </row>
    <row r="258">
      <c r="B258" s="104"/>
    </row>
    <row r="259">
      <c r="B259" s="104"/>
    </row>
    <row r="260">
      <c r="B260" s="104"/>
    </row>
    <row r="261">
      <c r="B261" s="104"/>
    </row>
    <row r="262">
      <c r="B262" s="104"/>
    </row>
    <row r="263">
      <c r="B263" s="104"/>
    </row>
    <row r="264">
      <c r="B264" s="104"/>
    </row>
    <row r="265">
      <c r="B265" s="104"/>
    </row>
    <row r="266">
      <c r="B266" s="104"/>
    </row>
    <row r="267">
      <c r="B267" s="104"/>
    </row>
    <row r="268">
      <c r="B268" s="104"/>
    </row>
    <row r="269">
      <c r="B269" s="104"/>
    </row>
    <row r="270">
      <c r="B270" s="104"/>
    </row>
    <row r="271">
      <c r="B271" s="104"/>
    </row>
    <row r="272">
      <c r="B272" s="104"/>
    </row>
    <row r="273">
      <c r="B273" s="104"/>
    </row>
    <row r="274">
      <c r="B274" s="104"/>
    </row>
    <row r="275">
      <c r="B275" s="104"/>
    </row>
    <row r="276">
      <c r="B276" s="104"/>
    </row>
    <row r="277">
      <c r="B277" s="104"/>
    </row>
    <row r="278">
      <c r="B278" s="104"/>
    </row>
    <row r="279">
      <c r="B279" s="104"/>
    </row>
    <row r="280">
      <c r="B280" s="104"/>
    </row>
    <row r="281">
      <c r="B281" s="104"/>
    </row>
    <row r="282">
      <c r="B282" s="104"/>
    </row>
    <row r="283">
      <c r="B283" s="104"/>
    </row>
    <row r="284">
      <c r="B284" s="104"/>
    </row>
    <row r="285">
      <c r="B285" s="104"/>
    </row>
    <row r="286">
      <c r="B286" s="104"/>
    </row>
    <row r="287">
      <c r="B287" s="104"/>
    </row>
    <row r="288">
      <c r="B288" s="104"/>
    </row>
    <row r="289">
      <c r="B289" s="104"/>
    </row>
    <row r="290">
      <c r="B290" s="104"/>
    </row>
    <row r="291">
      <c r="B291" s="104"/>
    </row>
    <row r="292">
      <c r="B292" s="104"/>
    </row>
    <row r="293">
      <c r="B293" s="104"/>
    </row>
    <row r="294">
      <c r="B294" s="104"/>
    </row>
    <row r="295">
      <c r="B295" s="104"/>
    </row>
    <row r="296">
      <c r="B296" s="104"/>
    </row>
    <row r="297">
      <c r="B297" s="104"/>
    </row>
    <row r="298">
      <c r="B298" s="104"/>
    </row>
    <row r="299">
      <c r="B299" s="104"/>
    </row>
    <row r="300">
      <c r="B300" s="104"/>
    </row>
    <row r="301">
      <c r="B301" s="104"/>
    </row>
    <row r="302">
      <c r="B302" s="104"/>
    </row>
    <row r="303">
      <c r="B303" s="104"/>
    </row>
    <row r="304">
      <c r="B304" s="104"/>
    </row>
    <row r="305">
      <c r="B305" s="104"/>
    </row>
    <row r="306">
      <c r="B306" s="104"/>
    </row>
    <row r="307">
      <c r="B307" s="104"/>
    </row>
    <row r="308">
      <c r="B308" s="104"/>
    </row>
    <row r="309">
      <c r="B309" s="104"/>
    </row>
    <row r="310">
      <c r="B310" s="104"/>
    </row>
    <row r="311">
      <c r="B311" s="104"/>
    </row>
    <row r="312">
      <c r="B312" s="104"/>
    </row>
    <row r="313">
      <c r="B313" s="104"/>
    </row>
    <row r="314">
      <c r="B314" s="104"/>
    </row>
    <row r="315">
      <c r="B315" s="104"/>
    </row>
    <row r="316">
      <c r="B316" s="104"/>
    </row>
    <row r="317">
      <c r="B317" s="104"/>
    </row>
    <row r="318">
      <c r="B318" s="104"/>
    </row>
    <row r="319">
      <c r="B319" s="104"/>
    </row>
    <row r="320">
      <c r="B320" s="104"/>
    </row>
    <row r="321">
      <c r="B321" s="104"/>
    </row>
    <row r="322">
      <c r="B322" s="104"/>
    </row>
    <row r="323">
      <c r="B323" s="104"/>
    </row>
    <row r="324">
      <c r="B324" s="104"/>
    </row>
    <row r="325">
      <c r="B325" s="104"/>
    </row>
    <row r="326">
      <c r="B326" s="104"/>
    </row>
    <row r="327">
      <c r="B327" s="104"/>
    </row>
    <row r="328">
      <c r="B328" s="104"/>
    </row>
    <row r="329">
      <c r="B329" s="104"/>
    </row>
    <row r="330">
      <c r="B330" s="104"/>
    </row>
    <row r="331">
      <c r="B331" s="104"/>
    </row>
    <row r="332">
      <c r="B332" s="104"/>
    </row>
    <row r="333">
      <c r="B333" s="104"/>
    </row>
    <row r="334">
      <c r="B334" s="104"/>
    </row>
    <row r="335">
      <c r="B335" s="104"/>
    </row>
    <row r="336">
      <c r="B336" s="104"/>
    </row>
    <row r="337">
      <c r="B337" s="104"/>
    </row>
    <row r="338">
      <c r="B338" s="104"/>
    </row>
    <row r="339">
      <c r="B339" s="104"/>
    </row>
    <row r="340">
      <c r="B340" s="104"/>
    </row>
    <row r="341">
      <c r="B341" s="104"/>
    </row>
    <row r="342">
      <c r="B342" s="104"/>
    </row>
    <row r="343">
      <c r="B343" s="104"/>
    </row>
    <row r="344">
      <c r="B344" s="104"/>
    </row>
    <row r="345">
      <c r="B345" s="104"/>
    </row>
    <row r="346">
      <c r="B346" s="104"/>
    </row>
    <row r="347">
      <c r="B347" s="104"/>
    </row>
    <row r="348">
      <c r="B348" s="104"/>
    </row>
    <row r="349">
      <c r="B349" s="104"/>
    </row>
    <row r="350">
      <c r="B350" s="104"/>
    </row>
    <row r="351">
      <c r="B351" s="104"/>
    </row>
    <row r="352">
      <c r="B352" s="104"/>
    </row>
    <row r="353">
      <c r="B353" s="104"/>
    </row>
    <row r="354">
      <c r="B354" s="104"/>
    </row>
    <row r="355">
      <c r="B355" s="104"/>
    </row>
    <row r="356">
      <c r="B356" s="104"/>
    </row>
    <row r="357">
      <c r="B357" s="104"/>
    </row>
    <row r="358">
      <c r="B358" s="104"/>
    </row>
    <row r="359">
      <c r="B359" s="104"/>
    </row>
    <row r="360">
      <c r="B360" s="104"/>
    </row>
    <row r="361">
      <c r="B361" s="104"/>
    </row>
    <row r="362">
      <c r="B362" s="104"/>
    </row>
    <row r="363">
      <c r="B363" s="104"/>
    </row>
    <row r="364">
      <c r="B364" s="104"/>
    </row>
    <row r="365">
      <c r="B365" s="104"/>
    </row>
    <row r="366">
      <c r="B366" s="104"/>
    </row>
    <row r="367">
      <c r="B367" s="104"/>
    </row>
    <row r="368">
      <c r="B368" s="104"/>
    </row>
    <row r="369">
      <c r="B369" s="104"/>
    </row>
    <row r="370">
      <c r="B370" s="104"/>
    </row>
    <row r="371">
      <c r="B371" s="104"/>
    </row>
    <row r="372">
      <c r="B372" s="104"/>
    </row>
    <row r="373">
      <c r="B373" s="104"/>
    </row>
    <row r="374">
      <c r="B374" s="104"/>
    </row>
    <row r="375">
      <c r="B375" s="104"/>
    </row>
    <row r="376">
      <c r="B376" s="104"/>
    </row>
    <row r="377">
      <c r="B377" s="104"/>
    </row>
    <row r="378">
      <c r="B378" s="104"/>
    </row>
    <row r="379">
      <c r="B379" s="104"/>
    </row>
    <row r="380">
      <c r="B380" s="104"/>
    </row>
    <row r="381">
      <c r="B381" s="104"/>
    </row>
    <row r="382">
      <c r="B382" s="104"/>
    </row>
    <row r="383">
      <c r="B383" s="104"/>
    </row>
    <row r="384">
      <c r="B384" s="104"/>
    </row>
    <row r="385">
      <c r="B385" s="104"/>
    </row>
    <row r="386">
      <c r="B386" s="104"/>
    </row>
    <row r="387">
      <c r="B387" s="104"/>
    </row>
    <row r="388">
      <c r="B388" s="104"/>
    </row>
    <row r="389">
      <c r="B389" s="104"/>
    </row>
    <row r="390">
      <c r="B390" s="104"/>
    </row>
    <row r="391">
      <c r="B391" s="104"/>
    </row>
    <row r="392">
      <c r="B392" s="104"/>
    </row>
    <row r="393">
      <c r="B393" s="104"/>
    </row>
    <row r="394">
      <c r="B394" s="104"/>
    </row>
    <row r="395">
      <c r="B395" s="104"/>
    </row>
    <row r="396">
      <c r="B396" s="104"/>
    </row>
    <row r="397">
      <c r="B397" s="104"/>
    </row>
    <row r="398">
      <c r="B398" s="104"/>
    </row>
    <row r="399">
      <c r="B399" s="104"/>
    </row>
    <row r="400">
      <c r="B400" s="104"/>
    </row>
    <row r="401">
      <c r="B401" s="104"/>
    </row>
    <row r="402">
      <c r="B402" s="104"/>
    </row>
    <row r="403">
      <c r="B403" s="104"/>
    </row>
    <row r="404">
      <c r="B404" s="104"/>
    </row>
    <row r="405">
      <c r="B405" s="104"/>
    </row>
    <row r="406">
      <c r="B406" s="104"/>
    </row>
    <row r="407">
      <c r="B407" s="104"/>
    </row>
    <row r="408">
      <c r="B408" s="104"/>
    </row>
    <row r="409">
      <c r="B409" s="104"/>
    </row>
    <row r="410">
      <c r="B410" s="104"/>
    </row>
    <row r="411">
      <c r="B411" s="104"/>
    </row>
    <row r="412">
      <c r="B412" s="104"/>
    </row>
    <row r="413">
      <c r="B413" s="104"/>
    </row>
    <row r="414">
      <c r="B414" s="104"/>
    </row>
    <row r="415">
      <c r="B415" s="104"/>
    </row>
    <row r="416">
      <c r="B416" s="104"/>
    </row>
    <row r="417">
      <c r="B417" s="104"/>
    </row>
    <row r="418">
      <c r="B418" s="104"/>
    </row>
    <row r="419">
      <c r="B419" s="104"/>
    </row>
    <row r="420">
      <c r="B420" s="104"/>
    </row>
    <row r="421">
      <c r="B421" s="104"/>
    </row>
    <row r="422">
      <c r="B422" s="104"/>
    </row>
    <row r="423">
      <c r="B423" s="104"/>
    </row>
    <row r="424">
      <c r="B424" s="104"/>
    </row>
    <row r="425">
      <c r="B425" s="104"/>
    </row>
    <row r="426">
      <c r="B426" s="104"/>
    </row>
    <row r="427">
      <c r="B427" s="104"/>
    </row>
    <row r="428">
      <c r="B428" s="104"/>
    </row>
    <row r="429">
      <c r="B429" s="104"/>
    </row>
    <row r="430">
      <c r="B430" s="104"/>
    </row>
    <row r="431">
      <c r="B431" s="104"/>
    </row>
    <row r="432">
      <c r="B432" s="104"/>
    </row>
    <row r="433">
      <c r="B433" s="104"/>
    </row>
    <row r="434">
      <c r="B434" s="104"/>
    </row>
    <row r="435">
      <c r="B435" s="104"/>
    </row>
    <row r="436">
      <c r="B436" s="104"/>
    </row>
    <row r="437">
      <c r="B437" s="104"/>
    </row>
    <row r="438">
      <c r="B438" s="104"/>
    </row>
    <row r="439">
      <c r="B439" s="104"/>
    </row>
    <row r="440">
      <c r="B440" s="104"/>
    </row>
    <row r="441">
      <c r="B441" s="104"/>
    </row>
    <row r="442">
      <c r="B442" s="104"/>
    </row>
    <row r="443">
      <c r="B443" s="104"/>
    </row>
    <row r="444">
      <c r="B444" s="104"/>
    </row>
    <row r="445">
      <c r="B445" s="104"/>
    </row>
    <row r="446">
      <c r="B446" s="104"/>
    </row>
    <row r="447">
      <c r="B447" s="104"/>
    </row>
    <row r="448">
      <c r="B448" s="104"/>
    </row>
    <row r="449">
      <c r="B449" s="104"/>
    </row>
    <row r="450">
      <c r="B450" s="104"/>
    </row>
    <row r="451">
      <c r="B451" s="104"/>
    </row>
    <row r="452">
      <c r="B452" s="104"/>
    </row>
    <row r="453">
      <c r="B453" s="104"/>
    </row>
    <row r="454">
      <c r="B454" s="104"/>
    </row>
    <row r="455">
      <c r="B455" s="104"/>
    </row>
    <row r="456">
      <c r="B456" s="104"/>
    </row>
    <row r="457">
      <c r="B457" s="104"/>
    </row>
    <row r="458">
      <c r="B458" s="104"/>
    </row>
    <row r="459">
      <c r="B459" s="104"/>
    </row>
    <row r="460">
      <c r="B460" s="104"/>
    </row>
    <row r="461">
      <c r="B461" s="104"/>
    </row>
    <row r="462">
      <c r="B462" s="104"/>
    </row>
    <row r="463">
      <c r="B463" s="104"/>
    </row>
    <row r="464">
      <c r="B464" s="104"/>
    </row>
    <row r="465">
      <c r="B465" s="104"/>
    </row>
    <row r="466">
      <c r="B466" s="104"/>
    </row>
    <row r="467">
      <c r="B467" s="104"/>
    </row>
    <row r="468">
      <c r="B468" s="104"/>
    </row>
    <row r="469">
      <c r="B469" s="104"/>
    </row>
    <row r="470">
      <c r="B470" s="104"/>
    </row>
    <row r="471">
      <c r="B471" s="104"/>
    </row>
    <row r="472">
      <c r="B472" s="104"/>
    </row>
    <row r="473">
      <c r="B473" s="104"/>
    </row>
    <row r="474">
      <c r="B474" s="104"/>
    </row>
    <row r="475">
      <c r="B475" s="104"/>
    </row>
    <row r="476">
      <c r="B476" s="104"/>
    </row>
    <row r="477">
      <c r="B477" s="104"/>
    </row>
    <row r="478">
      <c r="B478" s="104"/>
    </row>
    <row r="479">
      <c r="B479" s="104"/>
    </row>
    <row r="480">
      <c r="B480" s="104"/>
    </row>
    <row r="481">
      <c r="B481" s="104"/>
    </row>
    <row r="482">
      <c r="B482" s="104"/>
    </row>
    <row r="483">
      <c r="B483" s="104"/>
    </row>
    <row r="484">
      <c r="B484" s="104"/>
    </row>
    <row r="485">
      <c r="B485" s="104"/>
    </row>
    <row r="486">
      <c r="B486" s="104"/>
    </row>
    <row r="487">
      <c r="B487" s="104"/>
    </row>
    <row r="488">
      <c r="B488" s="104"/>
    </row>
    <row r="489">
      <c r="B489" s="104"/>
    </row>
    <row r="490">
      <c r="B490" s="104"/>
    </row>
    <row r="491">
      <c r="B491" s="104"/>
    </row>
    <row r="492">
      <c r="B492" s="104"/>
    </row>
    <row r="493">
      <c r="B493" s="104"/>
    </row>
    <row r="494">
      <c r="B494" s="104"/>
    </row>
    <row r="495">
      <c r="B495" s="104"/>
    </row>
    <row r="496">
      <c r="B496" s="104"/>
    </row>
    <row r="497">
      <c r="B497" s="104"/>
    </row>
    <row r="498">
      <c r="B498" s="104"/>
    </row>
    <row r="499">
      <c r="B499" s="104"/>
    </row>
    <row r="500">
      <c r="B500" s="104"/>
    </row>
    <row r="501">
      <c r="B501" s="104"/>
    </row>
    <row r="502">
      <c r="B502" s="104"/>
    </row>
    <row r="503">
      <c r="B503" s="104"/>
    </row>
    <row r="504">
      <c r="B504" s="104"/>
    </row>
    <row r="505">
      <c r="B505" s="104"/>
    </row>
    <row r="506">
      <c r="B506" s="104"/>
    </row>
    <row r="507">
      <c r="B507" s="104"/>
    </row>
    <row r="508">
      <c r="B508" s="104"/>
    </row>
    <row r="509">
      <c r="B509" s="104"/>
    </row>
    <row r="510">
      <c r="B510" s="104"/>
    </row>
    <row r="511">
      <c r="B511" s="104"/>
    </row>
    <row r="512">
      <c r="B512" s="104"/>
    </row>
    <row r="513">
      <c r="B513" s="104"/>
    </row>
    <row r="514">
      <c r="B514" s="104"/>
    </row>
    <row r="515">
      <c r="B515" s="104"/>
    </row>
    <row r="516">
      <c r="B516" s="104"/>
    </row>
    <row r="517">
      <c r="B517" s="104"/>
    </row>
    <row r="518">
      <c r="B518" s="104"/>
    </row>
    <row r="519">
      <c r="B519" s="104"/>
    </row>
    <row r="520">
      <c r="B520" s="104"/>
    </row>
    <row r="521">
      <c r="B521" s="104"/>
    </row>
    <row r="522">
      <c r="B522" s="104"/>
    </row>
    <row r="523">
      <c r="B523" s="104"/>
    </row>
    <row r="524">
      <c r="B524" s="104"/>
    </row>
    <row r="525">
      <c r="B525" s="104"/>
    </row>
    <row r="526">
      <c r="B526" s="104"/>
    </row>
    <row r="527">
      <c r="B527" s="104"/>
    </row>
    <row r="528">
      <c r="B528" s="104"/>
    </row>
    <row r="529">
      <c r="B529" s="104"/>
    </row>
    <row r="530">
      <c r="B530" s="104"/>
    </row>
    <row r="531">
      <c r="B531" s="104"/>
    </row>
    <row r="532">
      <c r="B532" s="104"/>
    </row>
    <row r="533">
      <c r="B533" s="104"/>
    </row>
    <row r="534">
      <c r="B534" s="104"/>
    </row>
    <row r="535">
      <c r="B535" s="104"/>
    </row>
    <row r="536">
      <c r="B536" s="104"/>
    </row>
    <row r="537">
      <c r="B537" s="104"/>
    </row>
    <row r="538">
      <c r="B538" s="104"/>
    </row>
    <row r="539">
      <c r="B539" s="104"/>
    </row>
    <row r="540">
      <c r="B540" s="104"/>
    </row>
    <row r="541">
      <c r="B541" s="104"/>
    </row>
    <row r="542">
      <c r="B542" s="104"/>
    </row>
    <row r="543">
      <c r="B543" s="104"/>
    </row>
    <row r="544">
      <c r="B544" s="104"/>
    </row>
    <row r="545">
      <c r="B545" s="104"/>
    </row>
    <row r="546">
      <c r="B546" s="104"/>
    </row>
    <row r="547">
      <c r="B547" s="104"/>
    </row>
    <row r="548">
      <c r="B548" s="104"/>
    </row>
    <row r="549">
      <c r="B549" s="104"/>
    </row>
    <row r="550">
      <c r="B550" s="104"/>
    </row>
    <row r="551">
      <c r="B551" s="104"/>
    </row>
    <row r="552">
      <c r="B552" s="104"/>
    </row>
    <row r="553">
      <c r="B553" s="104"/>
    </row>
    <row r="554">
      <c r="B554" s="104"/>
    </row>
    <row r="555">
      <c r="B555" s="104"/>
    </row>
    <row r="556">
      <c r="B556" s="104"/>
    </row>
    <row r="557">
      <c r="B557" s="104"/>
    </row>
    <row r="558">
      <c r="B558" s="104"/>
    </row>
    <row r="559">
      <c r="B559" s="104"/>
    </row>
    <row r="560">
      <c r="B560" s="104"/>
    </row>
    <row r="561">
      <c r="B561" s="104"/>
    </row>
    <row r="562">
      <c r="B562" s="104"/>
    </row>
    <row r="563">
      <c r="B563" s="104"/>
    </row>
    <row r="564">
      <c r="B564" s="104"/>
    </row>
    <row r="565">
      <c r="B565" s="104"/>
    </row>
    <row r="566">
      <c r="B566" s="104"/>
    </row>
    <row r="567">
      <c r="B567" s="104"/>
    </row>
    <row r="568">
      <c r="B568" s="104"/>
    </row>
    <row r="569">
      <c r="B569" s="104"/>
    </row>
    <row r="570">
      <c r="B570" s="104"/>
    </row>
    <row r="571">
      <c r="B571" s="104"/>
    </row>
    <row r="572">
      <c r="B572" s="104"/>
    </row>
    <row r="573">
      <c r="B573" s="104"/>
    </row>
    <row r="574">
      <c r="B574" s="104"/>
    </row>
    <row r="575">
      <c r="B575" s="104"/>
    </row>
    <row r="576">
      <c r="B576" s="104"/>
    </row>
    <row r="577">
      <c r="B577" s="104"/>
    </row>
    <row r="578">
      <c r="B578" s="104"/>
    </row>
    <row r="579">
      <c r="B579" s="104"/>
    </row>
    <row r="580">
      <c r="B580" s="104"/>
    </row>
    <row r="581">
      <c r="B581" s="104"/>
    </row>
    <row r="582">
      <c r="B582" s="104"/>
    </row>
    <row r="583">
      <c r="B583" s="104"/>
    </row>
    <row r="584">
      <c r="B584" s="104"/>
    </row>
    <row r="585">
      <c r="B585" s="104"/>
    </row>
    <row r="586">
      <c r="B586" s="104"/>
    </row>
    <row r="587">
      <c r="B587" s="104"/>
    </row>
    <row r="588">
      <c r="B588" s="104"/>
    </row>
    <row r="589">
      <c r="B589" s="104"/>
    </row>
    <row r="590">
      <c r="B590" s="104"/>
    </row>
    <row r="591">
      <c r="B591" s="104"/>
    </row>
    <row r="592">
      <c r="B592" s="104"/>
    </row>
    <row r="593">
      <c r="B593" s="104"/>
    </row>
    <row r="594">
      <c r="B594" s="104"/>
    </row>
    <row r="595">
      <c r="B595" s="104"/>
    </row>
    <row r="596">
      <c r="B596" s="104"/>
    </row>
    <row r="597">
      <c r="B597" s="104"/>
    </row>
    <row r="598">
      <c r="B598" s="104"/>
    </row>
    <row r="599">
      <c r="B599" s="104"/>
    </row>
    <row r="600">
      <c r="B600" s="104"/>
    </row>
    <row r="601">
      <c r="B601" s="104"/>
    </row>
    <row r="602">
      <c r="B602" s="104"/>
    </row>
    <row r="603">
      <c r="B603" s="104"/>
    </row>
    <row r="604">
      <c r="B604" s="104"/>
    </row>
    <row r="605">
      <c r="B605" s="104"/>
    </row>
    <row r="606">
      <c r="B606" s="104"/>
    </row>
    <row r="607">
      <c r="B607" s="104"/>
    </row>
    <row r="608">
      <c r="B608" s="104"/>
    </row>
    <row r="609">
      <c r="B609" s="104"/>
    </row>
    <row r="610">
      <c r="B610" s="104"/>
    </row>
    <row r="611">
      <c r="B611" s="104"/>
    </row>
    <row r="612">
      <c r="B612" s="104"/>
    </row>
    <row r="613">
      <c r="B613" s="104"/>
    </row>
    <row r="614">
      <c r="B614" s="104"/>
    </row>
    <row r="615">
      <c r="B615" s="104"/>
    </row>
    <row r="616">
      <c r="B616" s="104"/>
    </row>
    <row r="617">
      <c r="B617" s="104"/>
    </row>
    <row r="618">
      <c r="B618" s="104"/>
    </row>
    <row r="619">
      <c r="B619" s="104"/>
    </row>
    <row r="620">
      <c r="B620" s="104"/>
    </row>
    <row r="621">
      <c r="B621" s="104"/>
    </row>
    <row r="622">
      <c r="B622" s="104"/>
    </row>
    <row r="623">
      <c r="B623" s="104"/>
    </row>
    <row r="624">
      <c r="B624" s="104"/>
    </row>
    <row r="625">
      <c r="B625" s="104"/>
    </row>
    <row r="626">
      <c r="B626" s="104"/>
    </row>
    <row r="627">
      <c r="B627" s="104"/>
    </row>
    <row r="628">
      <c r="B628" s="104"/>
    </row>
    <row r="629">
      <c r="B629" s="104"/>
    </row>
    <row r="630">
      <c r="B630" s="104"/>
    </row>
    <row r="631">
      <c r="B631" s="104"/>
    </row>
    <row r="632">
      <c r="B632" s="104"/>
    </row>
    <row r="633">
      <c r="B633" s="104"/>
    </row>
    <row r="634">
      <c r="B634" s="104"/>
    </row>
    <row r="635">
      <c r="B635" s="104"/>
    </row>
    <row r="636">
      <c r="B636" s="104"/>
    </row>
    <row r="637">
      <c r="B637" s="104"/>
    </row>
    <row r="638">
      <c r="B638" s="104"/>
    </row>
    <row r="639">
      <c r="B639" s="104"/>
    </row>
    <row r="640">
      <c r="B640" s="104"/>
    </row>
    <row r="641">
      <c r="B641" s="104"/>
    </row>
    <row r="642">
      <c r="B642" s="104"/>
    </row>
    <row r="643">
      <c r="B643" s="104"/>
    </row>
    <row r="644">
      <c r="B644" s="104"/>
    </row>
    <row r="645">
      <c r="B645" s="104"/>
    </row>
    <row r="646">
      <c r="B646" s="104"/>
    </row>
    <row r="647">
      <c r="B647" s="104"/>
    </row>
    <row r="648">
      <c r="B648" s="104"/>
    </row>
    <row r="649">
      <c r="B649" s="104"/>
    </row>
    <row r="650">
      <c r="B650" s="104"/>
    </row>
    <row r="651">
      <c r="B651" s="104"/>
    </row>
    <row r="652">
      <c r="B652" s="104"/>
    </row>
    <row r="653">
      <c r="B653" s="104"/>
    </row>
    <row r="654">
      <c r="B654" s="104"/>
    </row>
    <row r="655">
      <c r="B655" s="104"/>
    </row>
    <row r="656">
      <c r="B656" s="104"/>
    </row>
    <row r="657">
      <c r="B657" s="104"/>
    </row>
    <row r="658">
      <c r="B658" s="104"/>
    </row>
    <row r="659">
      <c r="B659" s="104"/>
    </row>
    <row r="660">
      <c r="B660" s="104"/>
    </row>
    <row r="661">
      <c r="B661" s="104"/>
    </row>
    <row r="662">
      <c r="B662" s="104"/>
    </row>
    <row r="663">
      <c r="B663" s="104"/>
    </row>
    <row r="664">
      <c r="B664" s="104"/>
    </row>
    <row r="665">
      <c r="B665" s="104"/>
    </row>
    <row r="666">
      <c r="B666" s="104"/>
    </row>
    <row r="667">
      <c r="B667" s="104"/>
    </row>
    <row r="668">
      <c r="B668" s="104"/>
    </row>
    <row r="669">
      <c r="B669" s="104"/>
    </row>
    <row r="670">
      <c r="B670" s="104"/>
    </row>
    <row r="671">
      <c r="B671" s="104"/>
    </row>
    <row r="672">
      <c r="B672" s="104"/>
    </row>
    <row r="673">
      <c r="B673" s="104"/>
    </row>
    <row r="674">
      <c r="B674" s="104"/>
    </row>
    <row r="675">
      <c r="B675" s="104"/>
    </row>
    <row r="676">
      <c r="B676" s="104"/>
    </row>
    <row r="677">
      <c r="B677" s="104"/>
    </row>
    <row r="678">
      <c r="B678" s="104"/>
    </row>
    <row r="679">
      <c r="B679" s="104"/>
    </row>
    <row r="680">
      <c r="B680" s="104"/>
    </row>
    <row r="681">
      <c r="B681" s="104"/>
    </row>
    <row r="682">
      <c r="B682" s="104"/>
    </row>
    <row r="683">
      <c r="B683" s="104"/>
    </row>
    <row r="684">
      <c r="B684" s="104"/>
    </row>
    <row r="685">
      <c r="B685" s="104"/>
    </row>
    <row r="686">
      <c r="B686" s="104"/>
    </row>
    <row r="687">
      <c r="B687" s="104"/>
    </row>
    <row r="688">
      <c r="B688" s="104"/>
    </row>
    <row r="689">
      <c r="B689" s="104"/>
    </row>
    <row r="690">
      <c r="B690" s="104"/>
    </row>
    <row r="691">
      <c r="B691" s="104"/>
    </row>
    <row r="692">
      <c r="B692" s="104"/>
    </row>
    <row r="693">
      <c r="B693" s="104"/>
    </row>
    <row r="694">
      <c r="B694" s="104"/>
    </row>
    <row r="695">
      <c r="B695" s="104"/>
    </row>
    <row r="696">
      <c r="B696" s="104"/>
    </row>
    <row r="697">
      <c r="B697" s="104"/>
    </row>
    <row r="698">
      <c r="B698" s="104"/>
    </row>
    <row r="699">
      <c r="B699" s="104"/>
    </row>
    <row r="700">
      <c r="B700" s="104"/>
    </row>
    <row r="701">
      <c r="B701" s="104"/>
    </row>
    <row r="702">
      <c r="B702" s="104"/>
    </row>
    <row r="703">
      <c r="B703" s="104"/>
    </row>
    <row r="704">
      <c r="B704" s="104"/>
    </row>
    <row r="705">
      <c r="B705" s="104"/>
    </row>
    <row r="706">
      <c r="B706" s="104"/>
    </row>
    <row r="707">
      <c r="B707" s="104"/>
    </row>
    <row r="708">
      <c r="B708" s="104"/>
    </row>
    <row r="709">
      <c r="B709" s="104"/>
    </row>
    <row r="710">
      <c r="B710" s="104"/>
    </row>
    <row r="711">
      <c r="B711" s="104"/>
    </row>
    <row r="712">
      <c r="B712" s="104"/>
    </row>
    <row r="713">
      <c r="B713" s="104"/>
    </row>
    <row r="714">
      <c r="B714" s="104"/>
    </row>
    <row r="715">
      <c r="B715" s="104"/>
    </row>
    <row r="716">
      <c r="B716" s="104"/>
    </row>
    <row r="717">
      <c r="B717" s="104"/>
    </row>
    <row r="718">
      <c r="B718" s="104"/>
    </row>
    <row r="719">
      <c r="B719" s="104"/>
    </row>
    <row r="720">
      <c r="B720" s="104"/>
    </row>
    <row r="721">
      <c r="B721" s="104"/>
    </row>
    <row r="722">
      <c r="B722" s="104"/>
    </row>
    <row r="723">
      <c r="B723" s="104"/>
    </row>
    <row r="724">
      <c r="B724" s="104"/>
    </row>
    <row r="725">
      <c r="B725" s="104"/>
    </row>
    <row r="726">
      <c r="B726" s="104"/>
    </row>
    <row r="727">
      <c r="B727" s="104"/>
    </row>
    <row r="728">
      <c r="B728" s="104"/>
    </row>
    <row r="729">
      <c r="B729" s="104"/>
    </row>
    <row r="730">
      <c r="B730" s="104"/>
    </row>
    <row r="731">
      <c r="B731" s="104"/>
    </row>
    <row r="732">
      <c r="B732" s="104"/>
    </row>
    <row r="733">
      <c r="B733" s="104"/>
    </row>
    <row r="734">
      <c r="B734" s="104"/>
    </row>
    <row r="735">
      <c r="B735" s="104"/>
    </row>
    <row r="736">
      <c r="B736" s="104"/>
    </row>
    <row r="737">
      <c r="B737" s="104"/>
    </row>
    <row r="738">
      <c r="B738" s="104"/>
    </row>
    <row r="739">
      <c r="B739" s="104"/>
    </row>
    <row r="740">
      <c r="B740" s="104"/>
    </row>
    <row r="741">
      <c r="B741" s="104"/>
    </row>
    <row r="742">
      <c r="B742" s="104"/>
    </row>
    <row r="743">
      <c r="B743" s="104"/>
    </row>
    <row r="744">
      <c r="B744" s="104"/>
    </row>
    <row r="745">
      <c r="B745" s="104"/>
    </row>
    <row r="746">
      <c r="B746" s="104"/>
    </row>
    <row r="747">
      <c r="B747" s="104"/>
    </row>
    <row r="748">
      <c r="B748" s="104"/>
    </row>
    <row r="749">
      <c r="B749" s="104"/>
    </row>
    <row r="750">
      <c r="B750" s="104"/>
    </row>
    <row r="751">
      <c r="B751" s="104"/>
    </row>
    <row r="752">
      <c r="B752" s="104"/>
    </row>
    <row r="753">
      <c r="B753" s="104"/>
    </row>
    <row r="754">
      <c r="B754" s="104"/>
    </row>
    <row r="755">
      <c r="B755" s="104"/>
    </row>
    <row r="756">
      <c r="B756" s="104"/>
    </row>
    <row r="757">
      <c r="B757" s="104"/>
    </row>
    <row r="758">
      <c r="B758" s="104"/>
    </row>
    <row r="759">
      <c r="B759" s="104"/>
    </row>
    <row r="760">
      <c r="B760" s="104"/>
    </row>
    <row r="761">
      <c r="B761" s="104"/>
    </row>
    <row r="762">
      <c r="B762" s="104"/>
    </row>
    <row r="763">
      <c r="B763" s="104"/>
    </row>
    <row r="764">
      <c r="B764" s="104"/>
    </row>
    <row r="765">
      <c r="B765" s="104"/>
    </row>
    <row r="766">
      <c r="B766" s="104"/>
    </row>
    <row r="767">
      <c r="B767" s="104"/>
    </row>
    <row r="768">
      <c r="B768" s="104"/>
    </row>
    <row r="769">
      <c r="B769" s="104"/>
    </row>
    <row r="770">
      <c r="B770" s="104"/>
    </row>
    <row r="771">
      <c r="B771" s="104"/>
    </row>
    <row r="772">
      <c r="B772" s="104"/>
    </row>
    <row r="773">
      <c r="B773" s="104"/>
    </row>
    <row r="774">
      <c r="B774" s="104"/>
    </row>
    <row r="775">
      <c r="B775" s="104"/>
    </row>
    <row r="776">
      <c r="B776" s="104"/>
    </row>
    <row r="777">
      <c r="B777" s="104"/>
    </row>
    <row r="778">
      <c r="B778" s="104"/>
    </row>
    <row r="779">
      <c r="B779" s="104"/>
    </row>
    <row r="780">
      <c r="B780" s="104"/>
    </row>
    <row r="781">
      <c r="B781" s="104"/>
    </row>
    <row r="782">
      <c r="B782" s="104"/>
    </row>
    <row r="783">
      <c r="B783" s="104"/>
    </row>
    <row r="784">
      <c r="B784" s="104"/>
    </row>
    <row r="785">
      <c r="B785" s="104"/>
    </row>
    <row r="786">
      <c r="B786" s="104"/>
    </row>
    <row r="787">
      <c r="B787" s="104"/>
    </row>
    <row r="788">
      <c r="B788" s="104"/>
    </row>
    <row r="789">
      <c r="B789" s="104"/>
    </row>
    <row r="790">
      <c r="B790" s="104"/>
    </row>
    <row r="791">
      <c r="B791" s="104"/>
    </row>
    <row r="792">
      <c r="B792" s="104"/>
    </row>
    <row r="793">
      <c r="B793" s="104"/>
    </row>
    <row r="794">
      <c r="B794" s="104"/>
    </row>
    <row r="795">
      <c r="B795" s="104"/>
    </row>
    <row r="796">
      <c r="B796" s="104"/>
    </row>
    <row r="797">
      <c r="B797" s="104"/>
    </row>
    <row r="798">
      <c r="B798" s="104"/>
    </row>
    <row r="799">
      <c r="B799" s="104"/>
    </row>
    <row r="800">
      <c r="B800" s="104"/>
    </row>
    <row r="801">
      <c r="B801" s="104"/>
    </row>
    <row r="802">
      <c r="B802" s="104"/>
    </row>
    <row r="803">
      <c r="B803" s="104"/>
    </row>
    <row r="804">
      <c r="B804" s="104"/>
    </row>
    <row r="805">
      <c r="B805" s="104"/>
    </row>
    <row r="806">
      <c r="B806" s="104"/>
    </row>
    <row r="807">
      <c r="B807" s="104"/>
    </row>
    <row r="808">
      <c r="B808" s="104"/>
    </row>
    <row r="809">
      <c r="B809" s="104"/>
    </row>
    <row r="810">
      <c r="B810" s="104"/>
    </row>
    <row r="811">
      <c r="B811" s="104"/>
    </row>
    <row r="812">
      <c r="B812" s="104"/>
    </row>
    <row r="813">
      <c r="B813" s="104"/>
    </row>
    <row r="814">
      <c r="B814" s="104"/>
    </row>
    <row r="815">
      <c r="B815" s="104"/>
    </row>
    <row r="816">
      <c r="B816" s="104"/>
    </row>
    <row r="817">
      <c r="B817" s="104"/>
    </row>
    <row r="818">
      <c r="B818" s="104"/>
    </row>
    <row r="819">
      <c r="B819" s="104"/>
    </row>
    <row r="820">
      <c r="B820" s="104"/>
    </row>
    <row r="821">
      <c r="B821" s="104"/>
    </row>
    <row r="822">
      <c r="B822" s="104"/>
    </row>
    <row r="823">
      <c r="B823" s="104"/>
    </row>
    <row r="824">
      <c r="B824" s="104"/>
    </row>
    <row r="825">
      <c r="B825" s="104"/>
    </row>
    <row r="826">
      <c r="B826" s="104"/>
    </row>
    <row r="827">
      <c r="B827" s="104"/>
    </row>
    <row r="828">
      <c r="B828" s="104"/>
    </row>
    <row r="829">
      <c r="B829" s="104"/>
    </row>
    <row r="830">
      <c r="B830" s="104"/>
    </row>
    <row r="831">
      <c r="B831" s="104"/>
    </row>
    <row r="832">
      <c r="B832" s="104"/>
    </row>
    <row r="833">
      <c r="B833" s="104"/>
    </row>
    <row r="834">
      <c r="B834" s="104"/>
    </row>
    <row r="835">
      <c r="B835" s="104"/>
    </row>
    <row r="836">
      <c r="B836" s="104"/>
    </row>
    <row r="837">
      <c r="B837" s="104"/>
    </row>
    <row r="838">
      <c r="B838" s="104"/>
    </row>
    <row r="839">
      <c r="B839" s="104"/>
    </row>
    <row r="840">
      <c r="B840" s="104"/>
    </row>
    <row r="841">
      <c r="B841" s="104"/>
    </row>
    <row r="842">
      <c r="B842" s="104"/>
    </row>
    <row r="843">
      <c r="B843" s="104"/>
    </row>
    <row r="844">
      <c r="B844" s="104"/>
    </row>
    <row r="845">
      <c r="B845" s="104"/>
    </row>
    <row r="846">
      <c r="B846" s="104"/>
    </row>
    <row r="847">
      <c r="B847" s="104"/>
    </row>
    <row r="848">
      <c r="B848" s="104"/>
    </row>
    <row r="849">
      <c r="B849" s="104"/>
    </row>
    <row r="850">
      <c r="B850" s="104"/>
    </row>
    <row r="851">
      <c r="B851" s="104"/>
    </row>
    <row r="852">
      <c r="B852" s="104"/>
    </row>
    <row r="853">
      <c r="B853" s="104"/>
    </row>
    <row r="854">
      <c r="B854" s="104"/>
    </row>
    <row r="855">
      <c r="B855" s="104"/>
    </row>
    <row r="856">
      <c r="B856" s="104"/>
    </row>
    <row r="857">
      <c r="B857" s="104"/>
    </row>
    <row r="858">
      <c r="B858" s="104"/>
    </row>
    <row r="859">
      <c r="B859" s="104"/>
    </row>
    <row r="860">
      <c r="B860" s="104"/>
    </row>
    <row r="861">
      <c r="B861" s="104"/>
    </row>
    <row r="862">
      <c r="B862" s="104"/>
    </row>
    <row r="863">
      <c r="B863" s="104"/>
    </row>
    <row r="864">
      <c r="B864" s="104"/>
    </row>
    <row r="865">
      <c r="B865" s="104"/>
    </row>
    <row r="866">
      <c r="B866" s="104"/>
    </row>
    <row r="867">
      <c r="B867" s="104"/>
    </row>
    <row r="868">
      <c r="B868" s="104"/>
    </row>
    <row r="869">
      <c r="B869" s="104"/>
    </row>
    <row r="870">
      <c r="B870" s="104"/>
    </row>
    <row r="871">
      <c r="B871" s="104"/>
    </row>
    <row r="872">
      <c r="B872" s="104"/>
    </row>
    <row r="873">
      <c r="B873" s="104"/>
    </row>
    <row r="874">
      <c r="B874" s="104"/>
    </row>
    <row r="875">
      <c r="B875" s="104"/>
    </row>
    <row r="876">
      <c r="B876" s="104"/>
    </row>
    <row r="877">
      <c r="B877" s="104"/>
    </row>
    <row r="878">
      <c r="B878" s="104"/>
    </row>
    <row r="879">
      <c r="B879" s="104"/>
    </row>
    <row r="880">
      <c r="B880" s="104"/>
    </row>
    <row r="881">
      <c r="B881" s="104"/>
    </row>
    <row r="882">
      <c r="B882" s="104"/>
    </row>
    <row r="883">
      <c r="B883" s="104"/>
    </row>
    <row r="884">
      <c r="B884" s="104"/>
    </row>
    <row r="885">
      <c r="B885" s="104"/>
    </row>
    <row r="886">
      <c r="B886" s="104"/>
    </row>
    <row r="887">
      <c r="B887" s="104"/>
    </row>
    <row r="888">
      <c r="B888" s="104"/>
    </row>
    <row r="889">
      <c r="B889" s="104"/>
    </row>
    <row r="890">
      <c r="B890" s="104"/>
    </row>
    <row r="891">
      <c r="B891" s="104"/>
    </row>
    <row r="892">
      <c r="B892" s="104"/>
    </row>
    <row r="893">
      <c r="B893" s="104"/>
    </row>
    <row r="894">
      <c r="B894" s="104"/>
    </row>
    <row r="895">
      <c r="B895" s="104"/>
    </row>
    <row r="896">
      <c r="B896" s="104"/>
    </row>
    <row r="897">
      <c r="B897" s="104"/>
    </row>
    <row r="898">
      <c r="B898" s="104"/>
    </row>
    <row r="899">
      <c r="B899" s="104"/>
    </row>
    <row r="900">
      <c r="B900" s="104"/>
    </row>
    <row r="901">
      <c r="B901" s="104"/>
    </row>
    <row r="902">
      <c r="B902" s="104"/>
    </row>
    <row r="903">
      <c r="B903" s="104"/>
    </row>
    <row r="904">
      <c r="B904" s="104"/>
    </row>
    <row r="905">
      <c r="B905" s="104"/>
    </row>
    <row r="906">
      <c r="B906" s="104"/>
    </row>
    <row r="907">
      <c r="B907" s="104"/>
    </row>
    <row r="908">
      <c r="B908" s="104"/>
    </row>
    <row r="909">
      <c r="B909" s="104"/>
    </row>
    <row r="910">
      <c r="B910" s="104"/>
    </row>
    <row r="911">
      <c r="B911" s="104"/>
    </row>
    <row r="912">
      <c r="B912" s="104"/>
    </row>
    <row r="913">
      <c r="B913" s="104"/>
    </row>
    <row r="914">
      <c r="B914" s="104"/>
    </row>
    <row r="915">
      <c r="B915" s="104"/>
    </row>
    <row r="916">
      <c r="B916" s="104"/>
    </row>
    <row r="917">
      <c r="B917" s="104"/>
    </row>
    <row r="918">
      <c r="B918" s="104"/>
    </row>
    <row r="919">
      <c r="B919" s="104"/>
    </row>
    <row r="920">
      <c r="B920" s="104"/>
    </row>
    <row r="921">
      <c r="B921" s="104"/>
    </row>
    <row r="922">
      <c r="B922" s="104"/>
    </row>
    <row r="923">
      <c r="B923" s="104"/>
    </row>
    <row r="924">
      <c r="B924" s="104"/>
    </row>
    <row r="925">
      <c r="B925" s="104"/>
    </row>
    <row r="926">
      <c r="B926" s="104"/>
    </row>
    <row r="927">
      <c r="B927" s="104"/>
    </row>
    <row r="928">
      <c r="B928" s="104"/>
    </row>
    <row r="929">
      <c r="B929" s="104"/>
    </row>
    <row r="930">
      <c r="B930" s="104"/>
    </row>
    <row r="931">
      <c r="B931" s="104"/>
    </row>
    <row r="932">
      <c r="B932" s="104"/>
    </row>
    <row r="933">
      <c r="B933" s="104"/>
    </row>
    <row r="934">
      <c r="B934" s="104"/>
    </row>
    <row r="935">
      <c r="B935" s="104"/>
    </row>
    <row r="936">
      <c r="B936" s="104"/>
    </row>
    <row r="937">
      <c r="B937" s="104"/>
    </row>
    <row r="938">
      <c r="B938" s="104"/>
    </row>
    <row r="939">
      <c r="B939" s="104"/>
    </row>
    <row r="940">
      <c r="B940" s="104"/>
    </row>
    <row r="941">
      <c r="B941" s="104"/>
    </row>
    <row r="942">
      <c r="B942" s="104"/>
    </row>
    <row r="943">
      <c r="B943" s="104"/>
    </row>
    <row r="944">
      <c r="B944" s="104"/>
    </row>
    <row r="945">
      <c r="B945" s="104"/>
    </row>
    <row r="946">
      <c r="B946" s="104"/>
    </row>
    <row r="947">
      <c r="B947" s="104"/>
    </row>
    <row r="948">
      <c r="B948" s="104"/>
    </row>
    <row r="949">
      <c r="B949" s="104"/>
    </row>
    <row r="950">
      <c r="B950" s="104"/>
    </row>
    <row r="951">
      <c r="B951" s="104"/>
    </row>
    <row r="952">
      <c r="B952" s="104"/>
    </row>
    <row r="953">
      <c r="B953" s="104"/>
    </row>
    <row r="954">
      <c r="B954" s="104"/>
    </row>
    <row r="955">
      <c r="B955" s="104"/>
    </row>
    <row r="956">
      <c r="B956" s="104"/>
    </row>
    <row r="957">
      <c r="B957" s="104"/>
    </row>
    <row r="958">
      <c r="B958" s="104"/>
    </row>
    <row r="959">
      <c r="B959" s="104"/>
    </row>
    <row r="960">
      <c r="B960" s="104"/>
    </row>
    <row r="961">
      <c r="B961" s="104"/>
    </row>
    <row r="962">
      <c r="B962" s="104"/>
    </row>
    <row r="963">
      <c r="B963" s="104"/>
    </row>
    <row r="964">
      <c r="B964" s="104"/>
    </row>
    <row r="965">
      <c r="B965" s="104"/>
    </row>
    <row r="966">
      <c r="B966" s="104"/>
    </row>
    <row r="967">
      <c r="B967" s="104"/>
    </row>
    <row r="968">
      <c r="B968" s="104"/>
    </row>
    <row r="969">
      <c r="B969" s="104"/>
    </row>
    <row r="970">
      <c r="B970" s="104"/>
    </row>
    <row r="971">
      <c r="B971" s="104"/>
    </row>
    <row r="972">
      <c r="B972" s="104"/>
    </row>
    <row r="973">
      <c r="B973" s="104"/>
    </row>
    <row r="974">
      <c r="B974" s="104"/>
    </row>
    <row r="975">
      <c r="B975" s="104"/>
    </row>
    <row r="976">
      <c r="B976" s="104"/>
    </row>
    <row r="977">
      <c r="B977" s="104"/>
    </row>
  </sheetData>
  <mergeCells count="52">
    <mergeCell ref="C2:D2"/>
    <mergeCell ref="B3:B4"/>
    <mergeCell ref="C3:D4"/>
    <mergeCell ref="C15:K15"/>
    <mergeCell ref="C16:E16"/>
    <mergeCell ref="F16:H16"/>
    <mergeCell ref="J16:K16"/>
    <mergeCell ref="D17:E17"/>
    <mergeCell ref="G17:H17"/>
    <mergeCell ref="J17:K17"/>
    <mergeCell ref="D18:E18"/>
    <mergeCell ref="G18:H18"/>
    <mergeCell ref="D19:E19"/>
    <mergeCell ref="J20:K20"/>
    <mergeCell ref="G26:H26"/>
    <mergeCell ref="G27:H27"/>
    <mergeCell ref="G28:H28"/>
    <mergeCell ref="G29:H29"/>
    <mergeCell ref="G30:H30"/>
    <mergeCell ref="G31:H31"/>
    <mergeCell ref="G19:H19"/>
    <mergeCell ref="G20:H20"/>
    <mergeCell ref="G21:H21"/>
    <mergeCell ref="G22:H22"/>
    <mergeCell ref="G23:H23"/>
    <mergeCell ref="G24:H24"/>
    <mergeCell ref="G25:H25"/>
    <mergeCell ref="J26:K26"/>
    <mergeCell ref="J27:K27"/>
    <mergeCell ref="J28:K28"/>
    <mergeCell ref="J29:K29"/>
    <mergeCell ref="J30:K30"/>
    <mergeCell ref="J31:K31"/>
    <mergeCell ref="J18:K18"/>
    <mergeCell ref="J19:K19"/>
    <mergeCell ref="J21:K21"/>
    <mergeCell ref="J22:K22"/>
    <mergeCell ref="J23:K23"/>
    <mergeCell ref="J24:K24"/>
    <mergeCell ref="J25:K25"/>
    <mergeCell ref="D27:E27"/>
    <mergeCell ref="D28:E28"/>
    <mergeCell ref="D29:E29"/>
    <mergeCell ref="D30:E30"/>
    <mergeCell ref="D31:E31"/>
    <mergeCell ref="D20:E20"/>
    <mergeCell ref="D21:E21"/>
    <mergeCell ref="D22:E22"/>
    <mergeCell ref="D23:E23"/>
    <mergeCell ref="D24:E24"/>
    <mergeCell ref="D25:E25"/>
    <mergeCell ref="D26:E26"/>
  </mergeCells>
  <conditionalFormatting sqref="C17:H31">
    <cfRule type="expression" dxfId="0" priority="1">
      <formula>if($I17="X",1,0)</formula>
    </cfRule>
  </conditionalFormatting>
  <conditionalFormatting sqref="E5:L12 N5:N11">
    <cfRule type="colorScale" priority="2">
      <colorScale>
        <cfvo type="formula" val="1"/>
        <cfvo type="formula" val="2.5"/>
        <cfvo type="formula" val="5"/>
        <color rgb="FFEA9999"/>
        <color rgb="FFFFD666"/>
        <color rgb="FF57BB8A"/>
      </colorScale>
    </cfRule>
  </conditionalFormatting>
  <conditionalFormatting sqref="E5:L12">
    <cfRule type="expression" dxfId="1" priority="3">
      <formula>if(isnumber(match(concatenate(row(E5)-4,",",column(E5)-4),$N$17:$N$31,0)),if(index($I$17:$I$31,match(concatenate(row(E5)-4,",",column(E5)-4),$N$17:$N$31,0))="X",1,0),0)</formula>
    </cfRule>
  </conditionalFormatting>
  <conditionalFormatting sqref="E5:L12">
    <cfRule type="expression" dxfId="2" priority="4">
      <formula>if(isnumber(match(concatenate(row(E5)-4,",",column(E5)-4),$N$17:$N$31,0)),1,0)</formula>
    </cfRule>
  </conditionalFormatting>
  <conditionalFormatting sqref="E5">
    <cfRule type="notContainsBlanks" dxfId="3" priority="5">
      <formula>LEN(TRIM(E5))&gt;0</formula>
    </cfRule>
  </conditionalFormatting>
  <conditionalFormatting sqref="E5">
    <cfRule type="notContainsBlanks" dxfId="3" priority="6">
      <formula>LEN(TRIM(E5))&gt;0</formula>
    </cfRule>
  </conditionalFormatting>
  <dataValidations>
    <dataValidation type="list" allowBlank="1" showErrorMessage="1" sqref="I17:I31">
      <formula1>"X"</formula1>
    </dataValidation>
    <dataValidation type="list" allowBlank="1" showErrorMessage="1" sqref="G17:G31">
      <formula1>Hunter_Exotics_Class2</formula1>
    </dataValidation>
    <dataValidation type="list" allowBlank="1" showErrorMessage="1" sqref="D17:D31">
      <formula1>Hunter_Exotics_Class1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showGridLines="0" workbookViewId="0"/>
  </sheetViews>
  <sheetFormatPr customHeight="1" defaultColWidth="12.63" defaultRowHeight="15.75"/>
  <cols>
    <col customWidth="1" min="1" max="1" width="2.63"/>
    <col customWidth="1" min="2" max="2" width="34.5"/>
    <col customWidth="1" min="3" max="3" width="6.38"/>
    <col customWidth="1" min="13" max="13" width="3.25"/>
    <col customWidth="1" min="14" max="16" width="12.63"/>
    <col customWidth="1" min="17" max="17" width="48.88"/>
  </cols>
  <sheetData>
    <row r="1">
      <c r="B1" s="39"/>
      <c r="C1" s="40"/>
      <c r="D1" s="135"/>
      <c r="E1" s="41"/>
      <c r="F1" s="41"/>
      <c r="G1" s="41"/>
      <c r="H1" s="41"/>
      <c r="I1" s="41"/>
      <c r="J1" s="41"/>
      <c r="K1" s="41"/>
      <c r="L1" s="41"/>
    </row>
    <row r="2">
      <c r="B2" s="136" t="s">
        <v>77</v>
      </c>
      <c r="C2" s="137" t="s">
        <v>19</v>
      </c>
      <c r="D2" s="52"/>
      <c r="E2" s="45" t="s">
        <v>20</v>
      </c>
      <c r="F2" s="46" t="s">
        <v>21</v>
      </c>
      <c r="G2" s="47" t="s">
        <v>22</v>
      </c>
      <c r="H2" s="46" t="s">
        <v>78</v>
      </c>
      <c r="I2" s="46" t="s">
        <v>79</v>
      </c>
      <c r="J2" s="46" t="s">
        <v>80</v>
      </c>
      <c r="K2" s="46" t="s">
        <v>81</v>
      </c>
      <c r="L2" s="138" t="s">
        <v>82</v>
      </c>
    </row>
    <row r="3" ht="37.5" customHeight="1">
      <c r="B3" s="50" t="s">
        <v>19</v>
      </c>
      <c r="C3" s="139" t="str">
        <f>image("https://images.contentstack.io/v3/assets/blte410e3b15535c144/blt2fbc7f4931295566/6613c617fffe402c231e2f5a/2024_TFS_Dev_Preview_Press_Kit_Gear_COMPRESSED_001.jpg")</f>
        <v/>
      </c>
      <c r="D3" s="52"/>
      <c r="E3" s="140" t="str">
        <f>image("https://www.bungie.net/common/destiny2_content/icons/b29ab6e87ec85bac4563f3d3a432c451.png")</f>
        <v/>
      </c>
      <c r="F3" s="54" t="str">
        <f>image("https://www.bungie.net/common/destiny2_content/icons/640d76fb6ab52e290116455379194b07.png")</f>
        <v/>
      </c>
      <c r="G3" s="55" t="str">
        <f>image("https://www.bungie.net/common/destiny2_content/icons/9732f284c71054229671287ab43444b7.png")</f>
        <v/>
      </c>
      <c r="H3" s="55" t="str">
        <f>image("https://www.bungie.net/common/destiny2_content/icons/a4ead8e3316d22dbb9fc48e6c643dde3.png")</f>
        <v/>
      </c>
      <c r="I3" s="55" t="str">
        <f>image("https://www.bungie.net/common/destiny2_content/icons/811e014f935edafdc52042602ca2429d.png")</f>
        <v/>
      </c>
      <c r="J3" s="55" t="str">
        <f>image("https://www.bungie.net/common/destiny2_content/icons/784bd1d46cc9bd60e1d510e915aedb04.png")</f>
        <v/>
      </c>
      <c r="K3" s="55" t="str">
        <f>image("https://www.bungie.net/common/destiny2_content/icons/a5c5979f3630735a03bee7f2d32e9043.png")</f>
        <v/>
      </c>
      <c r="L3" s="56" t="str">
        <f>image("https://www.bungie.net/common/destiny2_content/icons/87ed6eb97c923d6a8d0e14639f4b7791.png")</f>
        <v/>
      </c>
    </row>
    <row r="4">
      <c r="A4" s="141"/>
      <c r="B4" s="57"/>
      <c r="C4" s="57"/>
      <c r="D4" s="58"/>
      <c r="E4" s="142" t="s">
        <v>28</v>
      </c>
      <c r="F4" s="143" t="s">
        <v>29</v>
      </c>
      <c r="G4" s="144" t="s">
        <v>30</v>
      </c>
      <c r="H4" s="143" t="s">
        <v>83</v>
      </c>
      <c r="I4" s="143" t="s">
        <v>84</v>
      </c>
      <c r="J4" s="143" t="s">
        <v>85</v>
      </c>
      <c r="K4" s="143" t="s">
        <v>86</v>
      </c>
      <c r="L4" s="145" t="s">
        <v>87</v>
      </c>
      <c r="M4" s="141"/>
      <c r="N4" s="146" t="s">
        <v>36</v>
      </c>
      <c r="O4" s="147" t="s">
        <v>4</v>
      </c>
      <c r="P4" s="148" t="s">
        <v>37</v>
      </c>
      <c r="Q4" s="141"/>
      <c r="R4" s="141"/>
      <c r="S4" s="141"/>
      <c r="T4" s="141"/>
      <c r="U4" s="141"/>
      <c r="V4" s="141"/>
      <c r="W4" s="141"/>
      <c r="X4" s="141"/>
    </row>
    <row r="5" ht="37.5" customHeight="1">
      <c r="B5" s="69" t="s">
        <v>38</v>
      </c>
      <c r="C5" s="149" t="str">
        <f>image("https://www.bungie.net/common/destiny2_content/icons/961559205e83e96cd590b34c28efadb7.png")</f>
        <v/>
      </c>
      <c r="D5" s="150" t="s">
        <v>39</v>
      </c>
      <c r="E5" s="72">
        <v>3.0</v>
      </c>
      <c r="F5" s="73">
        <v>4.0</v>
      </c>
      <c r="G5" s="73">
        <v>2.0</v>
      </c>
      <c r="H5" s="73">
        <v>4.0</v>
      </c>
      <c r="I5" s="73">
        <v>3.0</v>
      </c>
      <c r="J5" s="73">
        <v>2.0</v>
      </c>
      <c r="K5" s="73">
        <v>3.0</v>
      </c>
      <c r="L5" s="74">
        <v>2.0</v>
      </c>
      <c r="N5" s="75">
        <v>1.0</v>
      </c>
      <c r="O5" s="76" t="s">
        <v>40</v>
      </c>
      <c r="P5" s="77">
        <f t="shared" ref="P5:P9" si="1">countif($E$5:$L$12,N5)</f>
        <v>3</v>
      </c>
    </row>
    <row r="6" ht="37.5" customHeight="1">
      <c r="B6" s="78" t="s">
        <v>41</v>
      </c>
      <c r="C6" s="79" t="str">
        <f>image("https://www.bungie.net/common/destiny2_content/icons/51756fc7603bd72a83d1859d8c33f0b9.png")</f>
        <v/>
      </c>
      <c r="D6" s="151" t="s">
        <v>42</v>
      </c>
      <c r="E6" s="81">
        <v>5.0</v>
      </c>
      <c r="F6" s="82">
        <v>5.0</v>
      </c>
      <c r="G6" s="82">
        <v>5.0</v>
      </c>
      <c r="H6" s="82">
        <v>5.0</v>
      </c>
      <c r="I6" s="82">
        <v>5.0</v>
      </c>
      <c r="J6" s="152">
        <v>5.0</v>
      </c>
      <c r="K6" s="82">
        <v>4.0</v>
      </c>
      <c r="L6" s="83">
        <v>4.0</v>
      </c>
      <c r="N6" s="84">
        <v>2.0</v>
      </c>
      <c r="O6" s="85" t="s">
        <v>43</v>
      </c>
      <c r="P6" s="86">
        <f t="shared" si="1"/>
        <v>10</v>
      </c>
    </row>
    <row r="7" ht="37.5" customHeight="1">
      <c r="B7" s="87" t="s">
        <v>44</v>
      </c>
      <c r="C7" s="88" t="str">
        <f>image("https://www.bungie.net/common/destiny2_content/icons/3945ff76d8e7ec70991cb0f6601c6797.png")</f>
        <v/>
      </c>
      <c r="D7" s="153" t="s">
        <v>45</v>
      </c>
      <c r="E7" s="81">
        <v>3.0</v>
      </c>
      <c r="F7" s="82">
        <v>2.0</v>
      </c>
      <c r="G7" s="82">
        <v>3.0</v>
      </c>
      <c r="H7" s="82">
        <v>3.0</v>
      </c>
      <c r="I7" s="82">
        <v>3.0</v>
      </c>
      <c r="J7" s="82">
        <v>1.0</v>
      </c>
      <c r="K7" s="82">
        <v>1.0</v>
      </c>
      <c r="L7" s="83">
        <v>2.0</v>
      </c>
      <c r="N7" s="84">
        <v>3.0</v>
      </c>
      <c r="O7" s="85" t="s">
        <v>46</v>
      </c>
      <c r="P7" s="86">
        <f t="shared" si="1"/>
        <v>25</v>
      </c>
    </row>
    <row r="8" ht="37.5" customHeight="1">
      <c r="B8" s="78" t="s">
        <v>88</v>
      </c>
      <c r="C8" s="88" t="str">
        <f>image("https://www.bungie.net/common/destiny2_content/icons/baed176aaf20399a3abb8b287790747a.png")</f>
        <v/>
      </c>
      <c r="D8" s="151" t="s">
        <v>89</v>
      </c>
      <c r="E8" s="81">
        <v>4.0</v>
      </c>
      <c r="F8" s="82">
        <v>5.0</v>
      </c>
      <c r="G8" s="82">
        <v>3.0</v>
      </c>
      <c r="H8" s="82">
        <v>5.0</v>
      </c>
      <c r="I8" s="82">
        <v>3.0</v>
      </c>
      <c r="J8" s="82">
        <v>3.0</v>
      </c>
      <c r="K8" s="82">
        <v>3.0</v>
      </c>
      <c r="L8" s="83">
        <v>3.0</v>
      </c>
      <c r="N8" s="84">
        <v>4.0</v>
      </c>
      <c r="O8" s="85" t="s">
        <v>49</v>
      </c>
      <c r="P8" s="86">
        <f t="shared" si="1"/>
        <v>15</v>
      </c>
    </row>
    <row r="9" ht="37.5" customHeight="1">
      <c r="B9" s="154" t="s">
        <v>90</v>
      </c>
      <c r="C9" s="88" t="str">
        <f>image("https://www.bungie.net/common/destiny2_content/icons/f093d552bec2248e94fed1a960d62dde.png")</f>
        <v/>
      </c>
      <c r="D9" s="151" t="s">
        <v>91</v>
      </c>
      <c r="E9" s="81">
        <v>3.0</v>
      </c>
      <c r="F9" s="82">
        <v>3.0</v>
      </c>
      <c r="G9" s="82">
        <v>3.0</v>
      </c>
      <c r="H9" s="82">
        <v>4.0</v>
      </c>
      <c r="I9" s="82">
        <v>3.0</v>
      </c>
      <c r="J9" s="82">
        <v>4.0</v>
      </c>
      <c r="K9" s="82">
        <v>3.0</v>
      </c>
      <c r="L9" s="83">
        <v>3.0</v>
      </c>
      <c r="N9" s="92">
        <v>5.0</v>
      </c>
      <c r="O9" s="93" t="s">
        <v>52</v>
      </c>
      <c r="P9" s="94">
        <f t="shared" si="1"/>
        <v>11</v>
      </c>
    </row>
    <row r="10" ht="37.5" customHeight="1">
      <c r="B10" s="78" t="s">
        <v>92</v>
      </c>
      <c r="C10" s="88" t="str">
        <f>image("https://www.bungie.net/common/destiny2_content/icons/abaff19620ec578f1f379a359de7134c.png")</f>
        <v/>
      </c>
      <c r="D10" s="151" t="s">
        <v>93</v>
      </c>
      <c r="E10" s="81">
        <v>5.0</v>
      </c>
      <c r="F10" s="82">
        <v>4.0</v>
      </c>
      <c r="G10" s="82">
        <v>2.0</v>
      </c>
      <c r="H10" s="82">
        <v>3.0</v>
      </c>
      <c r="I10" s="82">
        <v>4.0</v>
      </c>
      <c r="J10" s="82">
        <v>3.0</v>
      </c>
      <c r="K10" s="82">
        <v>2.0</v>
      </c>
      <c r="L10" s="83">
        <v>2.0</v>
      </c>
      <c r="N10" s="95">
        <v>5.0</v>
      </c>
      <c r="O10" s="85" t="s">
        <v>55</v>
      </c>
      <c r="P10" s="86">
        <f>sumproduct(--($D$17:$D$31&gt;0),--($G$17:$G$31&gt;0),--($I$17:$I$31=0))</f>
        <v>14</v>
      </c>
    </row>
    <row r="11" ht="37.5" customHeight="1">
      <c r="B11" s="78" t="s">
        <v>94</v>
      </c>
      <c r="C11" s="88" t="str">
        <f>image("https://www.bungie.net/common/destiny2_content/icons/245108de9d46cabc0ca3f16c665321dd.png")</f>
        <v/>
      </c>
      <c r="D11" s="151" t="s">
        <v>95</v>
      </c>
      <c r="E11" s="81">
        <v>4.0</v>
      </c>
      <c r="F11" s="82">
        <v>4.0</v>
      </c>
      <c r="G11" s="82">
        <v>3.0</v>
      </c>
      <c r="H11" s="82">
        <v>4.0</v>
      </c>
      <c r="I11" s="82">
        <v>4.0</v>
      </c>
      <c r="J11" s="82">
        <v>4.0</v>
      </c>
      <c r="K11" s="82">
        <v>4.0</v>
      </c>
      <c r="L11" s="83">
        <v>3.0</v>
      </c>
      <c r="N11" s="97">
        <v>5.0</v>
      </c>
      <c r="O11" s="93" t="s">
        <v>58</v>
      </c>
      <c r="P11" s="94">
        <f>sumproduct(--($D$17:$D$31&gt;0),--($G$17:$G$31&gt;0),--($I$17:$I$31&gt;0))</f>
        <v>0</v>
      </c>
    </row>
    <row r="12" ht="37.5" customHeight="1">
      <c r="B12" s="155" t="s">
        <v>96</v>
      </c>
      <c r="C12" s="99" t="str">
        <f>image("https://www.bungie.net/common/destiny2_content/icons/c792f09ce9d03c03064724af10be0349.png")</f>
        <v/>
      </c>
      <c r="D12" s="156" t="s">
        <v>97</v>
      </c>
      <c r="E12" s="101">
        <v>3.0</v>
      </c>
      <c r="F12" s="102">
        <v>1.0</v>
      </c>
      <c r="G12" s="102">
        <v>5.0</v>
      </c>
      <c r="H12" s="102">
        <v>3.0</v>
      </c>
      <c r="I12" s="102">
        <v>3.0</v>
      </c>
      <c r="J12" s="102">
        <v>2.0</v>
      </c>
      <c r="K12" s="102">
        <v>2.0</v>
      </c>
      <c r="L12" s="103">
        <v>5.0</v>
      </c>
    </row>
    <row r="13">
      <c r="B13" s="104"/>
      <c r="D13" s="104"/>
    </row>
    <row r="14">
      <c r="B14" s="104"/>
      <c r="D14" s="104"/>
      <c r="O14" s="105"/>
    </row>
    <row r="15">
      <c r="B15" s="104"/>
      <c r="C15" s="157" t="s">
        <v>98</v>
      </c>
      <c r="D15" s="107"/>
      <c r="E15" s="107"/>
      <c r="F15" s="107"/>
      <c r="G15" s="107"/>
      <c r="H15" s="107"/>
      <c r="I15" s="107"/>
      <c r="J15" s="107"/>
      <c r="K15" s="108"/>
      <c r="Q15" s="109" t="s">
        <v>62</v>
      </c>
    </row>
    <row r="16">
      <c r="B16" s="104"/>
      <c r="C16" s="110" t="s">
        <v>63</v>
      </c>
      <c r="D16" s="111"/>
      <c r="E16" s="112"/>
      <c r="F16" s="110" t="s">
        <v>64</v>
      </c>
      <c r="G16" s="111"/>
      <c r="H16" s="113"/>
      <c r="I16" s="114" t="s">
        <v>65</v>
      </c>
      <c r="J16" s="115" t="s">
        <v>66</v>
      </c>
      <c r="K16" s="44"/>
      <c r="N16" s="109" t="s">
        <v>67</v>
      </c>
      <c r="Q16" s="116">
        <v>2.66021826E8</v>
      </c>
    </row>
    <row r="17" ht="37.5" customHeight="1">
      <c r="B17" s="104"/>
      <c r="C17" s="117" t="str">
        <f t="array" ref="C17">index(Titan_Exotics_Class1_Icon,match(D17,Titan_Exotics_Class1,0))</f>
        <v/>
      </c>
      <c r="D17" s="158" t="s">
        <v>39</v>
      </c>
      <c r="E17" s="112"/>
      <c r="F17" s="119" t="str">
        <f t="array" ref="F17">index(Titan_Exotics_Class2_Icon,match(G17,Titan_Exotics_Class2,0))</f>
        <v/>
      </c>
      <c r="G17" s="118" t="s">
        <v>29</v>
      </c>
      <c r="H17" s="44"/>
      <c r="I17" s="159"/>
      <c r="J17" s="121"/>
      <c r="K17" s="44"/>
      <c r="N17" s="122" t="str">
        <f t="shared" ref="N17:N31" si="2">concatenate(match(D17,$D$5:$D$12,0),",",match(G17,$E$4:$L$4,0))</f>
        <v>1,2</v>
      </c>
      <c r="O17" s="122"/>
      <c r="Q17" s="123" t="str">
        <f t="array" ref="Q17">if(or(D17=0,G17=0),"", concatenate("dimwishlist:item=",Q$16,"&amp;perks=",index(Titan_Exotics_Class1_ID,match(D17,Titan_Exotics_Class1,0)),",",index(Titan_Exotics_Class2_ID,match(G17,Titan_Exotics_Class2,0))))</f>
        <v>dimwishlist:item=266021826&amp;perks=1476923952,1476923956</v>
      </c>
    </row>
    <row r="18" ht="37.5" customHeight="1">
      <c r="B18" s="104"/>
      <c r="C18" s="117" t="str">
        <f t="array" ref="C18">index(Titan_Exotics_Class1_Icon,match(D18,Titan_Exotics_Class1,0))</f>
        <v/>
      </c>
      <c r="D18" s="160" t="s">
        <v>93</v>
      </c>
      <c r="E18" s="125"/>
      <c r="F18" s="119" t="str">
        <f t="array" ref="F18">index(Titan_Exotics_Class2_Icon,match(G18,Titan_Exotics_Class2,0))</f>
        <v/>
      </c>
      <c r="G18" s="124" t="s">
        <v>28</v>
      </c>
      <c r="H18" s="58"/>
      <c r="I18" s="161"/>
      <c r="J18" s="121"/>
      <c r="K18" s="44"/>
      <c r="N18" s="122" t="str">
        <f t="shared" si="2"/>
        <v>6,1</v>
      </c>
      <c r="O18" s="122"/>
      <c r="Q18" s="123" t="str">
        <f t="array" ref="Q18">if(or(D18=0,G18=0),"", concatenate("dimwishlist:item=",Q$16,"&amp;perks=",index(Titan_Exotics_Class1_ID,match(D18,Titan_Exotics_Class1,0)),",",index(Titan_Exotics_Class2_ID,match(G18,Titan_Exotics_Class2,0))))</f>
        <v>dimwishlist:item=266021826&amp;perks=3573490511,1476923955</v>
      </c>
    </row>
    <row r="19" ht="37.5" customHeight="1">
      <c r="B19" s="104"/>
      <c r="C19" s="117" t="str">
        <f t="array" ref="C19">index(Titan_Exotics_Class1_Icon,match(D19,Titan_Exotics_Class1,0))</f>
        <v/>
      </c>
      <c r="D19" s="160" t="s">
        <v>95</v>
      </c>
      <c r="E19" s="125"/>
      <c r="F19" s="119" t="str">
        <f t="array" ref="F19">index(Titan_Exotics_Class2_Icon,match(G19,Titan_Exotics_Class2,0))</f>
        <v/>
      </c>
      <c r="G19" s="124" t="s">
        <v>84</v>
      </c>
      <c r="H19" s="58"/>
      <c r="I19" s="126"/>
      <c r="J19" s="121"/>
      <c r="K19" s="44"/>
      <c r="N19" s="122" t="str">
        <f t="shared" si="2"/>
        <v>7,5</v>
      </c>
      <c r="O19" s="122"/>
      <c r="Q19" s="123" t="str">
        <f t="array" ref="Q19">if(or(D19=0,G19=0),"", concatenate("dimwishlist:item=",Q$16,"&amp;perks=",index(Titan_Exotics_Class1_ID,match(D19,Titan_Exotics_Class1,0)),",",index(Titan_Exotics_Class2_ID,match(G19,Titan_Exotics_Class2,0))))</f>
        <v>dimwishlist:item=266021826&amp;perks=3573490510,3573490503</v>
      </c>
    </row>
    <row r="20" ht="37.5" customHeight="1">
      <c r="B20" s="104"/>
      <c r="C20" s="117" t="str">
        <f t="array" ref="C20">index(Titan_Exotics_Class1_Icon,match(D20,Titan_Exotics_Class1,0))</f>
        <v/>
      </c>
      <c r="D20" s="160" t="s">
        <v>42</v>
      </c>
      <c r="E20" s="125"/>
      <c r="F20" s="119" t="str">
        <f t="array" ref="F20">index(Titan_Exotics_Class2_Icon,match(G20,Titan_Exotics_Class2,0))</f>
        <v/>
      </c>
      <c r="G20" s="124" t="s">
        <v>28</v>
      </c>
      <c r="H20" s="58"/>
      <c r="I20" s="161"/>
      <c r="J20" s="121"/>
      <c r="K20" s="44"/>
      <c r="N20" s="122" t="str">
        <f t="shared" si="2"/>
        <v>2,1</v>
      </c>
      <c r="O20" s="122"/>
      <c r="Q20" s="123" t="str">
        <f t="array" ref="Q20">if(or(D20=0,G20=0),"", concatenate("dimwishlist:item=",Q$16,"&amp;perks=",index(Titan_Exotics_Class1_ID,match(D20,Titan_Exotics_Class1,0)),",",index(Titan_Exotics_Class2_ID,match(G20,Titan_Exotics_Class2,0))))</f>
        <v>dimwishlist:item=266021826&amp;perks=1476923953,1476923955</v>
      </c>
    </row>
    <row r="21" ht="37.5" customHeight="1">
      <c r="B21" s="104"/>
      <c r="C21" s="117" t="str">
        <f t="array" ref="C21">index(Titan_Exotics_Class1_Icon,match(D21,Titan_Exotics_Class1,0))</f>
        <v/>
      </c>
      <c r="D21" s="160" t="s">
        <v>42</v>
      </c>
      <c r="E21" s="125"/>
      <c r="F21" s="119" t="str">
        <f t="array" ref="F21">index(Titan_Exotics_Class2_Icon,match(G21,Titan_Exotics_Class2,0))</f>
        <v/>
      </c>
      <c r="G21" s="124" t="s">
        <v>84</v>
      </c>
      <c r="H21" s="58"/>
      <c r="I21" s="126"/>
      <c r="J21" s="121"/>
      <c r="K21" s="44"/>
      <c r="N21" s="122" t="str">
        <f t="shared" si="2"/>
        <v>2,5</v>
      </c>
      <c r="O21" s="122"/>
      <c r="Q21" s="123" t="str">
        <f t="array" ref="Q21">if(or(D21=0,G21=0),"", concatenate("dimwishlist:item=",Q$16,"&amp;perks=",index(Titan_Exotics_Class1_ID,match(D21,Titan_Exotics_Class1,0)),",",index(Titan_Exotics_Class2_ID,match(G21,Titan_Exotics_Class2,0))))</f>
        <v>dimwishlist:item=266021826&amp;perks=1476923953,3573490503</v>
      </c>
    </row>
    <row r="22" ht="37.5" customHeight="1">
      <c r="B22" s="104"/>
      <c r="C22" s="117" t="str">
        <f t="array" ref="C22">index(Titan_Exotics_Class1_Icon,match(D22,Titan_Exotics_Class1,0))</f>
        <v/>
      </c>
      <c r="D22" s="160" t="s">
        <v>95</v>
      </c>
      <c r="E22" s="125"/>
      <c r="F22" s="119" t="str">
        <f t="array" ref="F22">index(Titan_Exotics_Class2_Icon,match(G22,Titan_Exotics_Class2,0))</f>
        <v/>
      </c>
      <c r="G22" s="124" t="s">
        <v>29</v>
      </c>
      <c r="H22" s="58"/>
      <c r="I22" s="161"/>
      <c r="J22" s="121"/>
      <c r="K22" s="44"/>
      <c r="N22" s="122" t="str">
        <f t="shared" si="2"/>
        <v>7,2</v>
      </c>
      <c r="O22" s="122"/>
      <c r="Q22" s="123" t="str">
        <f t="array" ref="Q22">if(or(D22=0,G22=0),"", concatenate("dimwishlist:item=",Q$16,"&amp;perks=",index(Titan_Exotics_Class1_ID,match(D22,Titan_Exotics_Class1,0)),",",index(Titan_Exotics_Class2_ID,match(G22,Titan_Exotics_Class2,0))))</f>
        <v>dimwishlist:item=266021826&amp;perks=3573490510,1476923956</v>
      </c>
    </row>
    <row r="23" ht="37.5" customHeight="1">
      <c r="B23" s="104"/>
      <c r="C23" s="117" t="str">
        <f t="array" ref="C23">index(Titan_Exotics_Class1_Icon,match(D23,Titan_Exotics_Class1,0))</f>
        <v/>
      </c>
      <c r="D23" s="160" t="s">
        <v>97</v>
      </c>
      <c r="E23" s="125"/>
      <c r="F23" s="119" t="str">
        <f t="array" ref="F23">index(Titan_Exotics_Class2_Icon,match(G23,Titan_Exotics_Class2,0))</f>
        <v/>
      </c>
      <c r="G23" s="162" t="s">
        <v>28</v>
      </c>
      <c r="H23" s="58"/>
      <c r="I23" s="126"/>
      <c r="J23" s="121"/>
      <c r="K23" s="44"/>
      <c r="N23" s="122" t="str">
        <f t="shared" si="2"/>
        <v>8,1</v>
      </c>
      <c r="O23" s="122"/>
      <c r="Q23" s="123" t="str">
        <f t="array" ref="Q23">if(or(D23=0,G23=0),"", concatenate("dimwishlist:item=",Q$16,"&amp;perks=",index(Titan_Exotics_Class1_ID,match(D23,Titan_Exotics_Class1,0)),",",index(Titan_Exotics_Class2_ID,match(G23,Titan_Exotics_Class2,0))))</f>
        <v>dimwishlist:item=266021826&amp;perks=3573490505,1476923955</v>
      </c>
    </row>
    <row r="24" ht="37.5" customHeight="1">
      <c r="B24" s="104"/>
      <c r="C24" s="117" t="str">
        <f t="array" ref="C24">index(Titan_Exotics_Class1_Icon,match(D24,Titan_Exotics_Class1,0))</f>
        <v/>
      </c>
      <c r="D24" s="160" t="s">
        <v>42</v>
      </c>
      <c r="E24" s="125"/>
      <c r="F24" s="119" t="str">
        <f t="array" ref="F24">index(Titan_Exotics_Class2_Icon,match(G24,Titan_Exotics_Class2,0))</f>
        <v/>
      </c>
      <c r="G24" s="124" t="s">
        <v>83</v>
      </c>
      <c r="H24" s="58"/>
      <c r="I24" s="126"/>
      <c r="J24" s="129"/>
      <c r="K24" s="44"/>
      <c r="N24" s="122" t="str">
        <f t="shared" si="2"/>
        <v>2,4</v>
      </c>
      <c r="O24" s="122"/>
      <c r="Q24" s="123" t="str">
        <f t="array" ref="Q24">if(or(D24=0,G24=0),"", concatenate("dimwishlist:item=",Q$16,"&amp;perks=",index(Titan_Exotics_Class1_ID,match(D24,Titan_Exotics_Class1,0)),",",index(Titan_Exotics_Class2_ID,match(G24,Titan_Exotics_Class2,0))))</f>
        <v>dimwishlist:item=266021826&amp;perks=1476923953,3573490504</v>
      </c>
    </row>
    <row r="25" ht="37.5" customHeight="1">
      <c r="B25" s="104"/>
      <c r="C25" s="117" t="str">
        <f t="array" ref="C25">index(Titan_Exotics_Class1_Icon,match(D25,Titan_Exotics_Class1,0))</f>
        <v/>
      </c>
      <c r="D25" s="160" t="s">
        <v>95</v>
      </c>
      <c r="E25" s="125"/>
      <c r="F25" s="119" t="str">
        <f t="array" ref="F25">index(Titan_Exotics_Class2_Icon,match(G25,Titan_Exotics_Class2,0))</f>
        <v/>
      </c>
      <c r="G25" s="124" t="s">
        <v>83</v>
      </c>
      <c r="H25" s="58"/>
      <c r="I25" s="126"/>
      <c r="J25" s="129"/>
      <c r="K25" s="44"/>
      <c r="N25" s="122" t="str">
        <f t="shared" si="2"/>
        <v>7,4</v>
      </c>
      <c r="O25" s="122"/>
      <c r="Q25" s="123" t="str">
        <f t="array" ref="Q25">if(or(D25=0,G25=0),"", concatenate("dimwishlist:item=",Q$16,"&amp;perks=",index(Titan_Exotics_Class1_ID,match(D25,Titan_Exotics_Class1,0)),",",index(Titan_Exotics_Class2_ID,match(G25,Titan_Exotics_Class2,0))))</f>
        <v>dimwishlist:item=266021826&amp;perks=3573490510,3573490504</v>
      </c>
    </row>
    <row r="26" ht="37.5" customHeight="1">
      <c r="B26" s="104"/>
      <c r="C26" s="117" t="str">
        <f t="array" ref="C26">index(Titan_Exotics_Class1_Icon,match(D26,Titan_Exotics_Class1,0))</f>
        <v/>
      </c>
      <c r="D26" s="160" t="s">
        <v>89</v>
      </c>
      <c r="E26" s="125"/>
      <c r="F26" s="119" t="str">
        <f t="array" ref="F26">index(Titan_Exotics_Class2_Icon,match(G26,Titan_Exotics_Class2,0))</f>
        <v/>
      </c>
      <c r="G26" s="124" t="s">
        <v>29</v>
      </c>
      <c r="H26" s="58"/>
      <c r="I26" s="161"/>
      <c r="J26" s="129"/>
      <c r="K26" s="44"/>
      <c r="N26" s="122" t="str">
        <f t="shared" si="2"/>
        <v>4,2</v>
      </c>
      <c r="O26" s="122"/>
      <c r="Q26" s="123" t="str">
        <f t="array" ref="Q26">if(or(D26=0,G26=0),"", concatenate("dimwishlist:item=",Q$16,"&amp;perks=",index(Titan_Exotics_Class1_ID,match(D26,Titan_Exotics_Class1,0)),",",index(Titan_Exotics_Class2_ID,match(G26,Titan_Exotics_Class2,0))))</f>
        <v>dimwishlist:item=266021826&amp;perks=3573490509,1476923956</v>
      </c>
    </row>
    <row r="27" ht="37.5" customHeight="1">
      <c r="B27" s="104"/>
      <c r="C27" s="117" t="str">
        <f t="array" ref="C27">index(Titan_Exotics_Class1_Icon,match(D27,Titan_Exotics_Class1,0))</f>
        <v/>
      </c>
      <c r="D27" s="160" t="s">
        <v>42</v>
      </c>
      <c r="E27" s="125"/>
      <c r="F27" s="119" t="str">
        <f t="array" ref="F27">index(Titan_Exotics_Class2_Icon,match(G27,Titan_Exotics_Class2,0))</f>
        <v/>
      </c>
      <c r="G27" s="124" t="s">
        <v>87</v>
      </c>
      <c r="H27" s="58"/>
      <c r="I27" s="126"/>
      <c r="J27" s="129"/>
      <c r="K27" s="44"/>
      <c r="N27" s="122" t="str">
        <f t="shared" si="2"/>
        <v>2,8</v>
      </c>
      <c r="O27" s="122"/>
      <c r="Q27" s="123" t="str">
        <f t="array" ref="Q27">if(or(D27=0,G27=0),"", concatenate("dimwishlist:item=",Q$16,"&amp;perks=",index(Titan_Exotics_Class1_ID,match(D27,Titan_Exotics_Class1,0)),",",index(Titan_Exotics_Class2_ID,match(G27,Titan_Exotics_Class2,0))))</f>
        <v>dimwishlist:item=266021826&amp;perks=1476923953,3573490504</v>
      </c>
    </row>
    <row r="28" ht="37.5" customHeight="1">
      <c r="B28" s="104"/>
      <c r="C28" s="117" t="str">
        <f t="array" ref="C28">index(Titan_Exotics_Class1_Icon,match(D28,Titan_Exotics_Class1,0))</f>
        <v/>
      </c>
      <c r="D28" s="160" t="s">
        <v>42</v>
      </c>
      <c r="E28" s="125"/>
      <c r="F28" s="119" t="str">
        <f t="array" ref="F28">index(Titan_Exotics_Class2_Icon,match(G28,Titan_Exotics_Class2,0))</f>
        <v/>
      </c>
      <c r="G28" s="124" t="s">
        <v>30</v>
      </c>
      <c r="H28" s="58"/>
      <c r="I28" s="161"/>
      <c r="J28" s="129"/>
      <c r="K28" s="44"/>
      <c r="N28" s="122" t="str">
        <f t="shared" si="2"/>
        <v>2,3</v>
      </c>
      <c r="O28" s="122"/>
      <c r="Q28" s="123" t="str">
        <f t="array" ref="Q28">if(or(D28=0,G28=0),"", concatenate("dimwishlist:item=",Q$16,"&amp;perks=",index(Titan_Exotics_Class1_ID,match(D28,Titan_Exotics_Class1,0)),",",index(Titan_Exotics_Class2_ID,match(G28,Titan_Exotics_Class2,0))))</f>
        <v>dimwishlist:item=266021826&amp;perks=1476923953,1476923957</v>
      </c>
    </row>
    <row r="29" ht="37.5" customHeight="1">
      <c r="B29" s="104"/>
      <c r="C29" s="117" t="str">
        <f t="array" ref="C29">index(Titan_Exotics_Class1_Icon,match(D29,Titan_Exotics_Class1,0))</f>
        <v/>
      </c>
      <c r="D29" s="160" t="s">
        <v>89</v>
      </c>
      <c r="E29" s="125"/>
      <c r="F29" s="119" t="str">
        <f t="array" ref="F29">index(Titan_Exotics_Class2_Icon,match(G29,Titan_Exotics_Class2,0))</f>
        <v/>
      </c>
      <c r="G29" s="124" t="s">
        <v>83</v>
      </c>
      <c r="H29" s="58"/>
      <c r="I29" s="126"/>
      <c r="J29" s="129"/>
      <c r="K29" s="44"/>
      <c r="N29" s="122" t="str">
        <f t="shared" si="2"/>
        <v>4,4</v>
      </c>
      <c r="O29" s="122"/>
      <c r="Q29" s="123" t="str">
        <f t="array" ref="Q29">if(or(D29=0,G29=0),"", concatenate("dimwishlist:item=",Q$16,"&amp;perks=",index(Titan_Exotics_Class1_ID,match(D29,Titan_Exotics_Class1,0)),",",index(Titan_Exotics_Class2_ID,match(G29,Titan_Exotics_Class2,0))))</f>
        <v>dimwishlist:item=266021826&amp;perks=3573490509,3573490504</v>
      </c>
    </row>
    <row r="30" ht="37.5" customHeight="1">
      <c r="B30" s="104"/>
      <c r="C30" s="117" t="str">
        <f t="array" ref="C30">index(Titan_Exotics_Class1_Icon,match(D30,Titan_Exotics_Class1,0))</f>
        <v/>
      </c>
      <c r="D30" s="160" t="s">
        <v>42</v>
      </c>
      <c r="E30" s="125"/>
      <c r="F30" s="119" t="str">
        <f t="array" ref="F30">index(Titan_Exotics_Class2_Icon,match(G30,Titan_Exotics_Class2,0))</f>
        <v/>
      </c>
      <c r="G30" s="124" t="s">
        <v>29</v>
      </c>
      <c r="H30" s="58"/>
      <c r="I30" s="126"/>
      <c r="J30" s="129"/>
      <c r="K30" s="44"/>
      <c r="N30" s="122" t="str">
        <f t="shared" si="2"/>
        <v>2,2</v>
      </c>
      <c r="O30" s="122"/>
      <c r="Q30" s="123" t="str">
        <f t="array" ref="Q30">if(or(D30=0,G30=0),"", concatenate("dimwishlist:item=",Q$16,"&amp;perks=",index(Titan_Exotics_Class1_ID,match(D30,Titan_Exotics_Class1,0)),",",index(Titan_Exotics_Class2_ID,match(G30,Titan_Exotics_Class2,0))))</f>
        <v>dimwishlist:item=266021826&amp;perks=1476923953,1476923956</v>
      </c>
    </row>
    <row r="31" ht="37.5" customHeight="1">
      <c r="B31" s="104"/>
      <c r="C31" s="130" t="str">
        <f t="array" ref="C31">index(Titan_Exotics_Class1_Icon,match(D31,Titan_Exotics_Class1,0))</f>
        <v>#N/A</v>
      </c>
      <c r="D31" s="163"/>
      <c r="E31" s="112"/>
      <c r="F31" s="132" t="str">
        <f t="array" ref="F31">index(Titan_Exotics_Class2_Icon,match(G31,Titan_Exotics_Class2,0))</f>
        <v>#N/A</v>
      </c>
      <c r="G31" s="131"/>
      <c r="H31" s="111"/>
      <c r="I31" s="133"/>
      <c r="J31" s="129"/>
      <c r="K31" s="44"/>
      <c r="N31" s="122" t="str">
        <f t="shared" si="2"/>
        <v>#N/A</v>
      </c>
      <c r="O31" s="122"/>
      <c r="Q31" s="123" t="str">
        <f t="array" ref="Q31">if(or(D31=0,G31=0),"", concatenate("dimwishlist:item=",Q$16,"&amp;perks=",index(Titan_Exotics_Class1_ID,match(D31,Titan_Exotics_Class1,0)),",",index(Titan_Exotics_Class2_ID,match(G31,Titan_Exotics_Class2,0))))</f>
        <v/>
      </c>
    </row>
    <row r="32">
      <c r="B32" s="104"/>
      <c r="D32" s="104"/>
    </row>
    <row r="33">
      <c r="B33" s="104"/>
      <c r="D33" s="104"/>
      <c r="Q33" s="134" t="str">
        <f>concatenate(Q17,"
",Q18,"
",Q19,"
",Q20,"
",Q21,"
",Q22,"
",Q23,"
",Q24,"
",Q25,"
",Q26,"
",Q27,"
",Q28,"
",Q29,"
",Q30,"
",Q31)</f>
        <v>dimwishlist:item=266021826&amp;perks=1476923952,1476923956
dimwishlist:item=266021826&amp;perks=3573490511,1476923955
dimwishlist:item=266021826&amp;perks=3573490510,3573490503
dimwishlist:item=266021826&amp;perks=1476923953,1476923955
dimwishlist:item=266021826&amp;perks=1476923953,3573490503
dimwishlist:item=266021826&amp;perks=3573490510,1476923956
dimwishlist:item=266021826&amp;perks=3573490505,1476923955
dimwishlist:item=266021826&amp;perks=1476923953,3573490504
dimwishlist:item=266021826&amp;perks=3573490510,3573490504
dimwishlist:item=266021826&amp;perks=3573490509,1476923956
dimwishlist:item=266021826&amp;perks=1476923953,3573490504
dimwishlist:item=266021826&amp;perks=1476923953,1476923957
dimwishlist:item=266021826&amp;perks=3573490509,3573490504
dimwishlist:item=266021826&amp;perks=1476923953,1476923956
</v>
      </c>
    </row>
    <row r="34">
      <c r="B34" s="104"/>
      <c r="D34" s="104"/>
    </row>
    <row r="35">
      <c r="B35" s="104"/>
      <c r="D35" s="104"/>
      <c r="Q35" s="123" t="s">
        <v>99</v>
      </c>
    </row>
    <row r="36">
      <c r="B36" s="104"/>
      <c r="D36" s="104"/>
    </row>
    <row r="37">
      <c r="B37" s="104"/>
      <c r="D37" s="104"/>
    </row>
    <row r="38">
      <c r="B38" s="104"/>
      <c r="D38" s="104"/>
    </row>
    <row r="39">
      <c r="B39" s="104"/>
      <c r="D39" s="104"/>
    </row>
    <row r="40">
      <c r="B40" s="104"/>
      <c r="D40" s="104"/>
    </row>
    <row r="41">
      <c r="B41" s="104"/>
      <c r="D41" s="104"/>
    </row>
    <row r="42">
      <c r="B42" s="104"/>
      <c r="D42" s="104"/>
    </row>
    <row r="43">
      <c r="B43" s="104"/>
      <c r="D43" s="104"/>
    </row>
    <row r="44">
      <c r="B44" s="104"/>
      <c r="D44" s="104"/>
    </row>
    <row r="45">
      <c r="B45" s="104"/>
      <c r="D45" s="104"/>
    </row>
    <row r="46">
      <c r="B46" s="104"/>
      <c r="D46" s="104"/>
    </row>
    <row r="47">
      <c r="B47" s="104"/>
      <c r="D47" s="104"/>
    </row>
    <row r="48">
      <c r="B48" s="104"/>
      <c r="D48" s="104"/>
    </row>
    <row r="49">
      <c r="B49" s="104"/>
      <c r="D49" s="104"/>
    </row>
    <row r="50">
      <c r="B50" s="104"/>
      <c r="D50" s="104"/>
    </row>
    <row r="51">
      <c r="B51" s="104"/>
      <c r="D51" s="104"/>
    </row>
    <row r="52">
      <c r="B52" s="104"/>
      <c r="D52" s="104"/>
    </row>
    <row r="53">
      <c r="B53" s="104"/>
      <c r="D53" s="104"/>
    </row>
    <row r="54">
      <c r="B54" s="104"/>
      <c r="D54" s="104"/>
    </row>
    <row r="55">
      <c r="B55" s="104"/>
      <c r="D55" s="104"/>
    </row>
    <row r="56">
      <c r="B56" s="104"/>
      <c r="D56" s="104"/>
    </row>
    <row r="57">
      <c r="B57" s="104"/>
      <c r="D57" s="104"/>
    </row>
    <row r="58">
      <c r="B58" s="104"/>
      <c r="D58" s="104"/>
    </row>
    <row r="59">
      <c r="B59" s="104"/>
      <c r="D59" s="104"/>
    </row>
    <row r="60">
      <c r="B60" s="104"/>
      <c r="D60" s="104"/>
    </row>
    <row r="61">
      <c r="B61" s="104"/>
      <c r="D61" s="104"/>
    </row>
    <row r="62">
      <c r="B62" s="104"/>
      <c r="D62" s="104"/>
    </row>
    <row r="63">
      <c r="B63" s="104"/>
      <c r="D63" s="104"/>
    </row>
    <row r="64">
      <c r="B64" s="104"/>
      <c r="D64" s="104"/>
    </row>
    <row r="65">
      <c r="B65" s="104"/>
      <c r="D65" s="104"/>
    </row>
    <row r="66">
      <c r="B66" s="104"/>
      <c r="D66" s="104"/>
    </row>
    <row r="67">
      <c r="B67" s="104"/>
      <c r="D67" s="104"/>
    </row>
    <row r="68">
      <c r="B68" s="104"/>
      <c r="D68" s="104"/>
    </row>
    <row r="69">
      <c r="B69" s="104"/>
      <c r="D69" s="104"/>
    </row>
    <row r="70">
      <c r="B70" s="104"/>
      <c r="D70" s="104"/>
    </row>
    <row r="71">
      <c r="B71" s="104"/>
      <c r="D71" s="104"/>
    </row>
    <row r="72">
      <c r="B72" s="104"/>
      <c r="D72" s="104"/>
    </row>
    <row r="73">
      <c r="B73" s="104"/>
      <c r="D73" s="104"/>
    </row>
    <row r="74">
      <c r="B74" s="104"/>
      <c r="D74" s="104"/>
    </row>
    <row r="75">
      <c r="B75" s="104"/>
      <c r="D75" s="104"/>
    </row>
    <row r="76">
      <c r="B76" s="104"/>
      <c r="D76" s="104"/>
    </row>
    <row r="77">
      <c r="B77" s="104"/>
      <c r="D77" s="104"/>
    </row>
    <row r="78">
      <c r="B78" s="104"/>
      <c r="D78" s="104"/>
    </row>
    <row r="79">
      <c r="B79" s="104"/>
      <c r="D79" s="104"/>
    </row>
    <row r="80">
      <c r="B80" s="104"/>
      <c r="D80" s="104"/>
    </row>
    <row r="81">
      <c r="B81" s="104"/>
      <c r="D81" s="104"/>
    </row>
    <row r="82">
      <c r="B82" s="104"/>
      <c r="D82" s="104"/>
    </row>
    <row r="83">
      <c r="B83" s="104"/>
      <c r="D83" s="104"/>
    </row>
    <row r="84">
      <c r="B84" s="104"/>
      <c r="D84" s="104"/>
    </row>
    <row r="85">
      <c r="B85" s="104"/>
      <c r="D85" s="104"/>
    </row>
    <row r="86">
      <c r="B86" s="104"/>
      <c r="D86" s="104"/>
    </row>
    <row r="87">
      <c r="B87" s="104"/>
      <c r="D87" s="104"/>
    </row>
    <row r="88">
      <c r="B88" s="104"/>
      <c r="D88" s="104"/>
    </row>
    <row r="89">
      <c r="B89" s="104"/>
      <c r="D89" s="104"/>
    </row>
    <row r="90">
      <c r="B90" s="104"/>
      <c r="D90" s="104"/>
    </row>
    <row r="91">
      <c r="B91" s="104"/>
      <c r="D91" s="104"/>
    </row>
    <row r="92">
      <c r="B92" s="104"/>
      <c r="D92" s="104"/>
    </row>
    <row r="93">
      <c r="B93" s="104"/>
      <c r="D93" s="104"/>
    </row>
    <row r="94">
      <c r="B94" s="104"/>
      <c r="D94" s="104"/>
    </row>
    <row r="95">
      <c r="B95" s="104"/>
      <c r="D95" s="104"/>
    </row>
    <row r="96">
      <c r="B96" s="104"/>
      <c r="D96" s="104"/>
    </row>
    <row r="97">
      <c r="B97" s="104"/>
      <c r="D97" s="104"/>
    </row>
    <row r="98">
      <c r="B98" s="104"/>
      <c r="D98" s="104"/>
    </row>
    <row r="99">
      <c r="B99" s="104"/>
      <c r="D99" s="104"/>
    </row>
    <row r="100">
      <c r="B100" s="104"/>
      <c r="D100" s="104"/>
    </row>
    <row r="101">
      <c r="B101" s="104"/>
      <c r="D101" s="104"/>
    </row>
    <row r="102">
      <c r="B102" s="104"/>
      <c r="D102" s="104"/>
    </row>
    <row r="103">
      <c r="B103" s="104"/>
      <c r="D103" s="104"/>
    </row>
    <row r="104">
      <c r="B104" s="104"/>
      <c r="D104" s="104"/>
    </row>
    <row r="105">
      <c r="B105" s="104"/>
      <c r="D105" s="104"/>
    </row>
    <row r="106">
      <c r="B106" s="104"/>
      <c r="D106" s="104"/>
    </row>
    <row r="107">
      <c r="B107" s="104"/>
      <c r="D107" s="104"/>
    </row>
    <row r="108">
      <c r="B108" s="104"/>
      <c r="D108" s="104"/>
    </row>
    <row r="109">
      <c r="B109" s="104"/>
      <c r="D109" s="104"/>
    </row>
    <row r="110">
      <c r="B110" s="104"/>
      <c r="D110" s="104"/>
    </row>
    <row r="111">
      <c r="B111" s="104"/>
      <c r="D111" s="104"/>
    </row>
    <row r="112">
      <c r="B112" s="104"/>
      <c r="D112" s="104"/>
    </row>
    <row r="113">
      <c r="B113" s="104"/>
      <c r="D113" s="104"/>
    </row>
    <row r="114">
      <c r="B114" s="104"/>
      <c r="D114" s="104"/>
    </row>
    <row r="115">
      <c r="B115" s="104"/>
      <c r="D115" s="104"/>
    </row>
    <row r="116">
      <c r="B116" s="104"/>
      <c r="D116" s="104"/>
    </row>
    <row r="117">
      <c r="B117" s="104"/>
      <c r="D117" s="104"/>
    </row>
    <row r="118">
      <c r="B118" s="104"/>
      <c r="D118" s="104"/>
    </row>
    <row r="119">
      <c r="B119" s="104"/>
      <c r="D119" s="104"/>
    </row>
    <row r="120">
      <c r="B120" s="104"/>
      <c r="D120" s="104"/>
    </row>
    <row r="121">
      <c r="B121" s="104"/>
      <c r="D121" s="104"/>
    </row>
    <row r="122">
      <c r="B122" s="104"/>
      <c r="D122" s="104"/>
    </row>
    <row r="123">
      <c r="B123" s="104"/>
      <c r="D123" s="104"/>
    </row>
    <row r="124">
      <c r="B124" s="104"/>
      <c r="D124" s="104"/>
    </row>
    <row r="125">
      <c r="B125" s="104"/>
      <c r="D125" s="104"/>
    </row>
    <row r="126">
      <c r="B126" s="104"/>
      <c r="D126" s="104"/>
    </row>
    <row r="127">
      <c r="B127" s="104"/>
      <c r="D127" s="104"/>
    </row>
    <row r="128">
      <c r="B128" s="104"/>
      <c r="D128" s="104"/>
    </row>
    <row r="129">
      <c r="B129" s="104"/>
      <c r="D129" s="104"/>
    </row>
    <row r="130">
      <c r="B130" s="104"/>
      <c r="D130" s="104"/>
    </row>
    <row r="131">
      <c r="B131" s="104"/>
      <c r="D131" s="104"/>
    </row>
    <row r="132">
      <c r="B132" s="104"/>
      <c r="D132" s="104"/>
    </row>
    <row r="133">
      <c r="B133" s="104"/>
      <c r="D133" s="104"/>
    </row>
    <row r="134">
      <c r="B134" s="104"/>
      <c r="D134" s="104"/>
    </row>
    <row r="135">
      <c r="B135" s="104"/>
      <c r="D135" s="104"/>
    </row>
    <row r="136">
      <c r="B136" s="104"/>
      <c r="D136" s="104"/>
    </row>
    <row r="137">
      <c r="B137" s="104"/>
      <c r="D137" s="104"/>
    </row>
    <row r="138">
      <c r="B138" s="104"/>
      <c r="D138" s="104"/>
    </row>
    <row r="139">
      <c r="B139" s="104"/>
      <c r="D139" s="104"/>
    </row>
    <row r="140">
      <c r="B140" s="104"/>
      <c r="D140" s="104"/>
    </row>
    <row r="141">
      <c r="B141" s="104"/>
      <c r="D141" s="104"/>
    </row>
    <row r="142">
      <c r="B142" s="104"/>
      <c r="D142" s="104"/>
    </row>
    <row r="143">
      <c r="B143" s="104"/>
      <c r="D143" s="104"/>
    </row>
    <row r="144">
      <c r="B144" s="104"/>
      <c r="D144" s="104"/>
    </row>
    <row r="145">
      <c r="B145" s="104"/>
      <c r="D145" s="104"/>
    </row>
    <row r="146">
      <c r="B146" s="104"/>
      <c r="D146" s="104"/>
    </row>
    <row r="147">
      <c r="B147" s="104"/>
      <c r="D147" s="104"/>
    </row>
    <row r="148">
      <c r="B148" s="104"/>
      <c r="D148" s="104"/>
    </row>
    <row r="149">
      <c r="B149" s="104"/>
      <c r="D149" s="104"/>
    </row>
    <row r="150">
      <c r="B150" s="104"/>
      <c r="D150" s="104"/>
    </row>
    <row r="151">
      <c r="B151" s="104"/>
      <c r="D151" s="104"/>
    </row>
    <row r="152">
      <c r="B152" s="104"/>
      <c r="D152" s="104"/>
    </row>
    <row r="153">
      <c r="B153" s="104"/>
      <c r="D153" s="104"/>
    </row>
    <row r="154">
      <c r="B154" s="104"/>
      <c r="D154" s="104"/>
    </row>
    <row r="155">
      <c r="B155" s="104"/>
      <c r="D155" s="104"/>
    </row>
    <row r="156">
      <c r="B156" s="104"/>
      <c r="D156" s="104"/>
    </row>
    <row r="157">
      <c r="B157" s="104"/>
      <c r="D157" s="104"/>
    </row>
    <row r="158">
      <c r="B158" s="104"/>
      <c r="D158" s="104"/>
    </row>
    <row r="159">
      <c r="B159" s="104"/>
      <c r="D159" s="104"/>
    </row>
    <row r="160">
      <c r="B160" s="104"/>
      <c r="D160" s="104"/>
    </row>
    <row r="161">
      <c r="B161" s="104"/>
      <c r="D161" s="104"/>
    </row>
    <row r="162">
      <c r="B162" s="104"/>
      <c r="D162" s="104"/>
    </row>
    <row r="163">
      <c r="B163" s="104"/>
      <c r="D163" s="104"/>
    </row>
    <row r="164">
      <c r="B164" s="104"/>
      <c r="D164" s="104"/>
    </row>
    <row r="165">
      <c r="B165" s="104"/>
      <c r="D165" s="104"/>
    </row>
    <row r="166">
      <c r="B166" s="104"/>
      <c r="D166" s="104"/>
    </row>
    <row r="167">
      <c r="B167" s="104"/>
      <c r="D167" s="104"/>
    </row>
    <row r="168">
      <c r="B168" s="104"/>
      <c r="D168" s="104"/>
    </row>
    <row r="169">
      <c r="B169" s="104"/>
      <c r="D169" s="104"/>
    </row>
    <row r="170">
      <c r="B170" s="104"/>
      <c r="D170" s="104"/>
    </row>
    <row r="171">
      <c r="B171" s="104"/>
      <c r="D171" s="104"/>
    </row>
    <row r="172">
      <c r="B172" s="104"/>
      <c r="D172" s="104"/>
    </row>
    <row r="173">
      <c r="B173" s="104"/>
      <c r="D173" s="104"/>
    </row>
    <row r="174">
      <c r="B174" s="104"/>
      <c r="D174" s="104"/>
    </row>
    <row r="175">
      <c r="B175" s="104"/>
      <c r="D175" s="104"/>
    </row>
    <row r="176">
      <c r="B176" s="104"/>
      <c r="D176" s="104"/>
    </row>
    <row r="177">
      <c r="B177" s="104"/>
      <c r="D177" s="104"/>
    </row>
    <row r="178">
      <c r="B178" s="104"/>
      <c r="D178" s="104"/>
    </row>
    <row r="179">
      <c r="B179" s="104"/>
      <c r="D179" s="104"/>
    </row>
    <row r="180">
      <c r="B180" s="104"/>
      <c r="D180" s="104"/>
    </row>
    <row r="181">
      <c r="B181" s="104"/>
      <c r="D181" s="104"/>
    </row>
    <row r="182">
      <c r="B182" s="104"/>
      <c r="D182" s="104"/>
    </row>
    <row r="183">
      <c r="B183" s="104"/>
      <c r="D183" s="104"/>
    </row>
    <row r="184">
      <c r="B184" s="104"/>
      <c r="D184" s="104"/>
    </row>
    <row r="185">
      <c r="B185" s="104"/>
      <c r="D185" s="104"/>
    </row>
    <row r="186">
      <c r="B186" s="104"/>
      <c r="D186" s="104"/>
    </row>
    <row r="187">
      <c r="B187" s="104"/>
      <c r="D187" s="104"/>
    </row>
    <row r="188">
      <c r="B188" s="104"/>
      <c r="D188" s="104"/>
    </row>
    <row r="189">
      <c r="B189" s="104"/>
      <c r="D189" s="104"/>
    </row>
    <row r="190">
      <c r="B190" s="104"/>
      <c r="D190" s="104"/>
    </row>
    <row r="191">
      <c r="B191" s="104"/>
      <c r="D191" s="104"/>
    </row>
    <row r="192">
      <c r="B192" s="104"/>
      <c r="D192" s="104"/>
    </row>
    <row r="193">
      <c r="B193" s="104"/>
      <c r="D193" s="104"/>
    </row>
    <row r="194">
      <c r="B194" s="104"/>
      <c r="D194" s="104"/>
    </row>
    <row r="195">
      <c r="B195" s="104"/>
      <c r="D195" s="104"/>
    </row>
    <row r="196">
      <c r="B196" s="104"/>
      <c r="D196" s="104"/>
    </row>
    <row r="197">
      <c r="B197" s="104"/>
      <c r="D197" s="104"/>
    </row>
    <row r="198">
      <c r="B198" s="104"/>
      <c r="D198" s="104"/>
    </row>
    <row r="199">
      <c r="B199" s="104"/>
      <c r="D199" s="104"/>
    </row>
    <row r="200">
      <c r="B200" s="104"/>
      <c r="D200" s="104"/>
    </row>
    <row r="201">
      <c r="B201" s="104"/>
      <c r="D201" s="104"/>
    </row>
    <row r="202">
      <c r="B202" s="104"/>
      <c r="D202" s="104"/>
    </row>
    <row r="203">
      <c r="B203" s="104"/>
      <c r="D203" s="104"/>
    </row>
    <row r="204">
      <c r="B204" s="104"/>
      <c r="D204" s="104"/>
    </row>
    <row r="205">
      <c r="B205" s="104"/>
      <c r="D205" s="104"/>
    </row>
    <row r="206">
      <c r="B206" s="104"/>
      <c r="D206" s="104"/>
    </row>
    <row r="207">
      <c r="B207" s="104"/>
      <c r="D207" s="104"/>
    </row>
    <row r="208">
      <c r="B208" s="104"/>
      <c r="D208" s="104"/>
    </row>
    <row r="209">
      <c r="B209" s="104"/>
      <c r="D209" s="104"/>
    </row>
    <row r="210">
      <c r="B210" s="104"/>
      <c r="D210" s="104"/>
    </row>
    <row r="211">
      <c r="B211" s="104"/>
      <c r="D211" s="104"/>
    </row>
    <row r="212">
      <c r="B212" s="104"/>
      <c r="D212" s="104"/>
    </row>
    <row r="213">
      <c r="B213" s="104"/>
      <c r="D213" s="104"/>
    </row>
    <row r="214">
      <c r="B214" s="104"/>
      <c r="D214" s="104"/>
    </row>
    <row r="215">
      <c r="B215" s="104"/>
      <c r="D215" s="104"/>
    </row>
    <row r="216">
      <c r="B216" s="104"/>
      <c r="D216" s="104"/>
    </row>
    <row r="217">
      <c r="B217" s="104"/>
      <c r="D217" s="104"/>
    </row>
    <row r="218">
      <c r="B218" s="104"/>
      <c r="D218" s="104"/>
    </row>
    <row r="219">
      <c r="B219" s="104"/>
      <c r="D219" s="104"/>
    </row>
    <row r="220">
      <c r="B220" s="104"/>
      <c r="D220" s="104"/>
    </row>
    <row r="221">
      <c r="B221" s="104"/>
      <c r="D221" s="104"/>
    </row>
    <row r="222">
      <c r="B222" s="104"/>
      <c r="D222" s="104"/>
    </row>
    <row r="223">
      <c r="B223" s="104"/>
      <c r="D223" s="104"/>
    </row>
    <row r="224">
      <c r="B224" s="104"/>
      <c r="D224" s="104"/>
    </row>
    <row r="225">
      <c r="B225" s="104"/>
      <c r="D225" s="104"/>
    </row>
    <row r="226">
      <c r="B226" s="104"/>
      <c r="D226" s="104"/>
    </row>
    <row r="227">
      <c r="B227" s="104"/>
      <c r="D227" s="104"/>
    </row>
    <row r="228">
      <c r="B228" s="104"/>
      <c r="D228" s="104"/>
    </row>
    <row r="229">
      <c r="B229" s="104"/>
      <c r="D229" s="104"/>
    </row>
    <row r="230">
      <c r="B230" s="104"/>
      <c r="D230" s="104"/>
    </row>
    <row r="231">
      <c r="B231" s="104"/>
      <c r="D231" s="104"/>
    </row>
    <row r="232">
      <c r="B232" s="104"/>
      <c r="D232" s="104"/>
    </row>
    <row r="233">
      <c r="B233" s="104"/>
      <c r="D233" s="104"/>
    </row>
    <row r="234">
      <c r="B234" s="104"/>
      <c r="D234" s="104"/>
    </row>
    <row r="235">
      <c r="B235" s="104"/>
      <c r="D235" s="104"/>
    </row>
    <row r="236">
      <c r="B236" s="104"/>
      <c r="D236" s="104"/>
    </row>
    <row r="237">
      <c r="B237" s="104"/>
      <c r="D237" s="104"/>
    </row>
    <row r="238">
      <c r="B238" s="104"/>
      <c r="D238" s="104"/>
    </row>
    <row r="239">
      <c r="B239" s="104"/>
      <c r="D239" s="104"/>
    </row>
    <row r="240">
      <c r="B240" s="104"/>
      <c r="D240" s="104"/>
    </row>
    <row r="241">
      <c r="B241" s="104"/>
      <c r="D241" s="104"/>
    </row>
    <row r="242">
      <c r="B242" s="104"/>
      <c r="D242" s="104"/>
    </row>
    <row r="243">
      <c r="B243" s="104"/>
      <c r="D243" s="104"/>
    </row>
    <row r="244">
      <c r="B244" s="104"/>
      <c r="D244" s="104"/>
    </row>
    <row r="245">
      <c r="B245" s="104"/>
      <c r="D245" s="104"/>
    </row>
    <row r="246">
      <c r="B246" s="104"/>
      <c r="D246" s="104"/>
    </row>
    <row r="247">
      <c r="B247" s="104"/>
      <c r="D247" s="104"/>
    </row>
    <row r="248">
      <c r="B248" s="104"/>
      <c r="D248" s="104"/>
    </row>
    <row r="249">
      <c r="B249" s="104"/>
      <c r="D249" s="104"/>
    </row>
    <row r="250">
      <c r="B250" s="104"/>
      <c r="D250" s="104"/>
    </row>
    <row r="251">
      <c r="B251" s="104"/>
      <c r="D251" s="104"/>
    </row>
    <row r="252">
      <c r="B252" s="104"/>
      <c r="D252" s="104"/>
    </row>
    <row r="253">
      <c r="B253" s="104"/>
      <c r="D253" s="104"/>
    </row>
    <row r="254">
      <c r="B254" s="104"/>
      <c r="D254" s="104"/>
    </row>
    <row r="255">
      <c r="B255" s="104"/>
      <c r="D255" s="104"/>
    </row>
    <row r="256">
      <c r="B256" s="104"/>
      <c r="D256" s="104"/>
    </row>
    <row r="257">
      <c r="B257" s="104"/>
      <c r="D257" s="104"/>
    </row>
    <row r="258">
      <c r="B258" s="104"/>
      <c r="D258" s="104"/>
    </row>
    <row r="259">
      <c r="B259" s="104"/>
      <c r="D259" s="104"/>
    </row>
    <row r="260">
      <c r="B260" s="104"/>
      <c r="D260" s="104"/>
    </row>
    <row r="261">
      <c r="B261" s="104"/>
      <c r="D261" s="104"/>
    </row>
    <row r="262">
      <c r="B262" s="104"/>
      <c r="D262" s="104"/>
    </row>
    <row r="263">
      <c r="B263" s="104"/>
      <c r="D263" s="104"/>
    </row>
    <row r="264">
      <c r="B264" s="104"/>
      <c r="D264" s="104"/>
    </row>
    <row r="265">
      <c r="B265" s="104"/>
      <c r="D265" s="104"/>
    </row>
    <row r="266">
      <c r="B266" s="104"/>
      <c r="D266" s="104"/>
    </row>
    <row r="267">
      <c r="B267" s="104"/>
      <c r="D267" s="104"/>
    </row>
    <row r="268">
      <c r="B268" s="104"/>
      <c r="D268" s="104"/>
    </row>
    <row r="269">
      <c r="B269" s="104"/>
      <c r="D269" s="104"/>
    </row>
    <row r="270">
      <c r="B270" s="104"/>
      <c r="D270" s="104"/>
    </row>
    <row r="271">
      <c r="B271" s="104"/>
      <c r="D271" s="104"/>
    </row>
    <row r="272">
      <c r="B272" s="104"/>
      <c r="D272" s="104"/>
    </row>
    <row r="273">
      <c r="B273" s="104"/>
      <c r="D273" s="104"/>
    </row>
    <row r="274">
      <c r="B274" s="104"/>
      <c r="D274" s="104"/>
    </row>
    <row r="275">
      <c r="B275" s="104"/>
      <c r="D275" s="104"/>
    </row>
    <row r="276">
      <c r="B276" s="104"/>
      <c r="D276" s="104"/>
    </row>
    <row r="277">
      <c r="B277" s="104"/>
      <c r="D277" s="104"/>
    </row>
    <row r="278">
      <c r="B278" s="104"/>
      <c r="D278" s="104"/>
    </row>
    <row r="279">
      <c r="B279" s="104"/>
      <c r="D279" s="104"/>
    </row>
    <row r="280">
      <c r="B280" s="104"/>
      <c r="D280" s="104"/>
    </row>
    <row r="281">
      <c r="B281" s="104"/>
      <c r="D281" s="104"/>
    </row>
    <row r="282">
      <c r="B282" s="104"/>
      <c r="D282" s="104"/>
    </row>
    <row r="283">
      <c r="B283" s="104"/>
      <c r="D283" s="104"/>
    </row>
    <row r="284">
      <c r="B284" s="104"/>
      <c r="D284" s="104"/>
    </row>
    <row r="285">
      <c r="B285" s="104"/>
      <c r="D285" s="104"/>
    </row>
    <row r="286">
      <c r="B286" s="104"/>
      <c r="D286" s="104"/>
    </row>
    <row r="287">
      <c r="B287" s="104"/>
      <c r="D287" s="104"/>
    </row>
    <row r="288">
      <c r="B288" s="104"/>
      <c r="D288" s="104"/>
    </row>
    <row r="289">
      <c r="B289" s="104"/>
      <c r="D289" s="104"/>
    </row>
    <row r="290">
      <c r="B290" s="104"/>
      <c r="D290" s="104"/>
    </row>
    <row r="291">
      <c r="B291" s="104"/>
      <c r="D291" s="104"/>
    </row>
    <row r="292">
      <c r="B292" s="104"/>
      <c r="D292" s="104"/>
    </row>
    <row r="293">
      <c r="B293" s="104"/>
      <c r="D293" s="104"/>
    </row>
    <row r="294">
      <c r="B294" s="104"/>
      <c r="D294" s="104"/>
    </row>
    <row r="295">
      <c r="B295" s="104"/>
      <c r="D295" s="104"/>
    </row>
    <row r="296">
      <c r="B296" s="104"/>
      <c r="D296" s="104"/>
    </row>
    <row r="297">
      <c r="B297" s="104"/>
      <c r="D297" s="104"/>
    </row>
    <row r="298">
      <c r="B298" s="104"/>
      <c r="D298" s="104"/>
    </row>
    <row r="299">
      <c r="B299" s="104"/>
      <c r="D299" s="104"/>
    </row>
    <row r="300">
      <c r="B300" s="104"/>
      <c r="D300" s="104"/>
    </row>
    <row r="301">
      <c r="B301" s="104"/>
      <c r="D301" s="104"/>
    </row>
    <row r="302">
      <c r="B302" s="104"/>
      <c r="D302" s="104"/>
    </row>
    <row r="303">
      <c r="B303" s="104"/>
      <c r="D303" s="104"/>
    </row>
    <row r="304">
      <c r="B304" s="104"/>
      <c r="D304" s="104"/>
    </row>
    <row r="305">
      <c r="B305" s="104"/>
      <c r="D305" s="104"/>
    </row>
    <row r="306">
      <c r="B306" s="104"/>
      <c r="D306" s="104"/>
    </row>
    <row r="307">
      <c r="B307" s="104"/>
      <c r="D307" s="104"/>
    </row>
    <row r="308">
      <c r="B308" s="104"/>
      <c r="D308" s="104"/>
    </row>
    <row r="309">
      <c r="B309" s="104"/>
      <c r="D309" s="104"/>
    </row>
    <row r="310">
      <c r="B310" s="104"/>
      <c r="D310" s="104"/>
    </row>
    <row r="311">
      <c r="B311" s="104"/>
      <c r="D311" s="104"/>
    </row>
    <row r="312">
      <c r="B312" s="104"/>
      <c r="D312" s="104"/>
    </row>
    <row r="313">
      <c r="B313" s="104"/>
      <c r="D313" s="104"/>
    </row>
    <row r="314">
      <c r="B314" s="104"/>
      <c r="D314" s="104"/>
    </row>
    <row r="315">
      <c r="B315" s="104"/>
      <c r="D315" s="104"/>
    </row>
    <row r="316">
      <c r="B316" s="104"/>
      <c r="D316" s="104"/>
    </row>
    <row r="317">
      <c r="B317" s="104"/>
      <c r="D317" s="104"/>
    </row>
    <row r="318">
      <c r="B318" s="104"/>
      <c r="D318" s="104"/>
    </row>
    <row r="319">
      <c r="B319" s="104"/>
      <c r="D319" s="104"/>
    </row>
    <row r="320">
      <c r="B320" s="104"/>
      <c r="D320" s="104"/>
    </row>
    <row r="321">
      <c r="B321" s="104"/>
      <c r="D321" s="104"/>
    </row>
    <row r="322">
      <c r="B322" s="104"/>
      <c r="D322" s="104"/>
    </row>
    <row r="323">
      <c r="B323" s="104"/>
      <c r="D323" s="104"/>
    </row>
    <row r="324">
      <c r="B324" s="104"/>
      <c r="D324" s="104"/>
    </row>
    <row r="325">
      <c r="B325" s="104"/>
      <c r="D325" s="104"/>
    </row>
    <row r="326">
      <c r="B326" s="104"/>
      <c r="D326" s="104"/>
    </row>
    <row r="327">
      <c r="B327" s="104"/>
      <c r="D327" s="104"/>
    </row>
    <row r="328">
      <c r="B328" s="104"/>
      <c r="D328" s="104"/>
    </row>
    <row r="329">
      <c r="B329" s="104"/>
      <c r="D329" s="104"/>
    </row>
    <row r="330">
      <c r="B330" s="104"/>
      <c r="D330" s="104"/>
    </row>
    <row r="331">
      <c r="B331" s="104"/>
      <c r="D331" s="104"/>
    </row>
    <row r="332">
      <c r="B332" s="104"/>
      <c r="D332" s="104"/>
    </row>
    <row r="333">
      <c r="B333" s="104"/>
      <c r="D333" s="104"/>
    </row>
    <row r="334">
      <c r="B334" s="104"/>
      <c r="D334" s="104"/>
    </row>
    <row r="335">
      <c r="B335" s="104"/>
      <c r="D335" s="104"/>
    </row>
    <row r="336">
      <c r="B336" s="104"/>
      <c r="D336" s="104"/>
    </row>
    <row r="337">
      <c r="B337" s="104"/>
      <c r="D337" s="104"/>
    </row>
    <row r="338">
      <c r="B338" s="104"/>
      <c r="D338" s="104"/>
    </row>
    <row r="339">
      <c r="B339" s="104"/>
      <c r="D339" s="104"/>
    </row>
    <row r="340">
      <c r="B340" s="104"/>
      <c r="D340" s="104"/>
    </row>
    <row r="341">
      <c r="B341" s="104"/>
      <c r="D341" s="104"/>
    </row>
    <row r="342">
      <c r="B342" s="104"/>
      <c r="D342" s="104"/>
    </row>
    <row r="343">
      <c r="B343" s="104"/>
      <c r="D343" s="104"/>
    </row>
    <row r="344">
      <c r="B344" s="104"/>
      <c r="D344" s="104"/>
    </row>
    <row r="345">
      <c r="B345" s="104"/>
      <c r="D345" s="104"/>
    </row>
    <row r="346">
      <c r="B346" s="104"/>
      <c r="D346" s="104"/>
    </row>
    <row r="347">
      <c r="B347" s="104"/>
      <c r="D347" s="104"/>
    </row>
    <row r="348">
      <c r="B348" s="104"/>
      <c r="D348" s="104"/>
    </row>
    <row r="349">
      <c r="B349" s="104"/>
      <c r="D349" s="104"/>
    </row>
    <row r="350">
      <c r="B350" s="104"/>
      <c r="D350" s="104"/>
    </row>
    <row r="351">
      <c r="B351" s="104"/>
      <c r="D351" s="104"/>
    </row>
    <row r="352">
      <c r="B352" s="104"/>
      <c r="D352" s="104"/>
    </row>
    <row r="353">
      <c r="B353" s="104"/>
      <c r="D353" s="104"/>
    </row>
    <row r="354">
      <c r="B354" s="104"/>
      <c r="D354" s="104"/>
    </row>
    <row r="355">
      <c r="B355" s="104"/>
      <c r="D355" s="104"/>
    </row>
    <row r="356">
      <c r="B356" s="104"/>
      <c r="D356" s="104"/>
    </row>
    <row r="357">
      <c r="B357" s="104"/>
      <c r="D357" s="104"/>
    </row>
    <row r="358">
      <c r="B358" s="104"/>
      <c r="D358" s="104"/>
    </row>
    <row r="359">
      <c r="B359" s="104"/>
      <c r="D359" s="104"/>
    </row>
    <row r="360">
      <c r="B360" s="104"/>
      <c r="D360" s="104"/>
    </row>
    <row r="361">
      <c r="B361" s="104"/>
      <c r="D361" s="104"/>
    </row>
    <row r="362">
      <c r="B362" s="104"/>
      <c r="D362" s="104"/>
    </row>
    <row r="363">
      <c r="B363" s="104"/>
      <c r="D363" s="104"/>
    </row>
    <row r="364">
      <c r="B364" s="104"/>
      <c r="D364" s="104"/>
    </row>
    <row r="365">
      <c r="B365" s="104"/>
      <c r="D365" s="104"/>
    </row>
    <row r="366">
      <c r="B366" s="104"/>
      <c r="D366" s="104"/>
    </row>
    <row r="367">
      <c r="B367" s="104"/>
      <c r="D367" s="104"/>
    </row>
    <row r="368">
      <c r="B368" s="104"/>
      <c r="D368" s="104"/>
    </row>
    <row r="369">
      <c r="B369" s="104"/>
      <c r="D369" s="104"/>
    </row>
    <row r="370">
      <c r="B370" s="104"/>
      <c r="D370" s="104"/>
    </row>
    <row r="371">
      <c r="B371" s="104"/>
      <c r="D371" s="104"/>
    </row>
    <row r="372">
      <c r="B372" s="104"/>
      <c r="D372" s="104"/>
    </row>
    <row r="373">
      <c r="B373" s="104"/>
      <c r="D373" s="104"/>
    </row>
    <row r="374">
      <c r="B374" s="104"/>
      <c r="D374" s="104"/>
    </row>
    <row r="375">
      <c r="B375" s="104"/>
      <c r="D375" s="104"/>
    </row>
    <row r="376">
      <c r="B376" s="104"/>
      <c r="D376" s="104"/>
    </row>
    <row r="377">
      <c r="B377" s="104"/>
      <c r="D377" s="104"/>
    </row>
    <row r="378">
      <c r="B378" s="104"/>
      <c r="D378" s="104"/>
    </row>
    <row r="379">
      <c r="B379" s="104"/>
      <c r="D379" s="104"/>
    </row>
    <row r="380">
      <c r="B380" s="104"/>
      <c r="D380" s="104"/>
    </row>
    <row r="381">
      <c r="B381" s="104"/>
      <c r="D381" s="104"/>
    </row>
    <row r="382">
      <c r="B382" s="104"/>
      <c r="D382" s="104"/>
    </row>
    <row r="383">
      <c r="B383" s="104"/>
      <c r="D383" s="104"/>
    </row>
    <row r="384">
      <c r="B384" s="104"/>
      <c r="D384" s="104"/>
    </row>
    <row r="385">
      <c r="B385" s="104"/>
      <c r="D385" s="104"/>
    </row>
    <row r="386">
      <c r="B386" s="104"/>
      <c r="D386" s="104"/>
    </row>
    <row r="387">
      <c r="B387" s="104"/>
      <c r="D387" s="104"/>
    </row>
    <row r="388">
      <c r="B388" s="104"/>
      <c r="D388" s="104"/>
    </row>
    <row r="389">
      <c r="B389" s="104"/>
      <c r="D389" s="104"/>
    </row>
    <row r="390">
      <c r="B390" s="104"/>
      <c r="D390" s="104"/>
    </row>
    <row r="391">
      <c r="B391" s="104"/>
      <c r="D391" s="104"/>
    </row>
    <row r="392">
      <c r="B392" s="104"/>
      <c r="D392" s="104"/>
    </row>
    <row r="393">
      <c r="B393" s="104"/>
      <c r="D393" s="104"/>
    </row>
    <row r="394">
      <c r="B394" s="104"/>
      <c r="D394" s="104"/>
    </row>
    <row r="395">
      <c r="B395" s="104"/>
      <c r="D395" s="104"/>
    </row>
    <row r="396">
      <c r="B396" s="104"/>
      <c r="D396" s="104"/>
    </row>
    <row r="397">
      <c r="B397" s="104"/>
      <c r="D397" s="104"/>
    </row>
    <row r="398">
      <c r="B398" s="104"/>
      <c r="D398" s="104"/>
    </row>
    <row r="399">
      <c r="B399" s="104"/>
      <c r="D399" s="104"/>
    </row>
    <row r="400">
      <c r="B400" s="104"/>
      <c r="D400" s="104"/>
    </row>
    <row r="401">
      <c r="B401" s="104"/>
      <c r="D401" s="104"/>
    </row>
    <row r="402">
      <c r="B402" s="104"/>
      <c r="D402" s="104"/>
    </row>
    <row r="403">
      <c r="B403" s="104"/>
      <c r="D403" s="104"/>
    </row>
    <row r="404">
      <c r="B404" s="104"/>
      <c r="D404" s="104"/>
    </row>
    <row r="405">
      <c r="B405" s="104"/>
      <c r="D405" s="104"/>
    </row>
    <row r="406">
      <c r="B406" s="104"/>
      <c r="D406" s="104"/>
    </row>
    <row r="407">
      <c r="B407" s="104"/>
      <c r="D407" s="104"/>
    </row>
    <row r="408">
      <c r="B408" s="104"/>
      <c r="D408" s="104"/>
    </row>
    <row r="409">
      <c r="B409" s="104"/>
      <c r="D409" s="104"/>
    </row>
    <row r="410">
      <c r="B410" s="104"/>
      <c r="D410" s="104"/>
    </row>
    <row r="411">
      <c r="B411" s="104"/>
      <c r="D411" s="104"/>
    </row>
    <row r="412">
      <c r="B412" s="104"/>
      <c r="D412" s="104"/>
    </row>
    <row r="413">
      <c r="B413" s="104"/>
      <c r="D413" s="104"/>
    </row>
    <row r="414">
      <c r="B414" s="104"/>
      <c r="D414" s="104"/>
    </row>
    <row r="415">
      <c r="B415" s="104"/>
      <c r="D415" s="104"/>
    </row>
    <row r="416">
      <c r="B416" s="104"/>
      <c r="D416" s="104"/>
    </row>
    <row r="417">
      <c r="B417" s="104"/>
      <c r="D417" s="104"/>
    </row>
    <row r="418">
      <c r="B418" s="104"/>
      <c r="D418" s="104"/>
    </row>
    <row r="419">
      <c r="B419" s="104"/>
      <c r="D419" s="104"/>
    </row>
    <row r="420">
      <c r="B420" s="104"/>
      <c r="D420" s="104"/>
    </row>
    <row r="421">
      <c r="B421" s="104"/>
      <c r="D421" s="104"/>
    </row>
    <row r="422">
      <c r="B422" s="104"/>
      <c r="D422" s="104"/>
    </row>
    <row r="423">
      <c r="B423" s="104"/>
      <c r="D423" s="104"/>
    </row>
    <row r="424">
      <c r="B424" s="104"/>
      <c r="D424" s="104"/>
    </row>
    <row r="425">
      <c r="B425" s="104"/>
      <c r="D425" s="104"/>
    </row>
    <row r="426">
      <c r="B426" s="104"/>
      <c r="D426" s="104"/>
    </row>
    <row r="427">
      <c r="B427" s="104"/>
      <c r="D427" s="104"/>
    </row>
    <row r="428">
      <c r="B428" s="104"/>
      <c r="D428" s="104"/>
    </row>
    <row r="429">
      <c r="B429" s="104"/>
      <c r="D429" s="104"/>
    </row>
    <row r="430">
      <c r="B430" s="104"/>
      <c r="D430" s="104"/>
    </row>
    <row r="431">
      <c r="B431" s="104"/>
      <c r="D431" s="104"/>
    </row>
    <row r="432">
      <c r="B432" s="104"/>
      <c r="D432" s="104"/>
    </row>
    <row r="433">
      <c r="B433" s="104"/>
      <c r="D433" s="104"/>
    </row>
    <row r="434">
      <c r="B434" s="104"/>
      <c r="D434" s="104"/>
    </row>
    <row r="435">
      <c r="B435" s="104"/>
      <c r="D435" s="104"/>
    </row>
    <row r="436">
      <c r="B436" s="104"/>
      <c r="D436" s="104"/>
    </row>
    <row r="437">
      <c r="B437" s="104"/>
      <c r="D437" s="104"/>
    </row>
    <row r="438">
      <c r="B438" s="104"/>
      <c r="D438" s="104"/>
    </row>
    <row r="439">
      <c r="B439" s="104"/>
      <c r="D439" s="104"/>
    </row>
    <row r="440">
      <c r="B440" s="104"/>
      <c r="D440" s="104"/>
    </row>
    <row r="441">
      <c r="B441" s="104"/>
      <c r="D441" s="104"/>
    </row>
    <row r="442">
      <c r="B442" s="104"/>
      <c r="D442" s="104"/>
    </row>
    <row r="443">
      <c r="B443" s="104"/>
      <c r="D443" s="104"/>
    </row>
    <row r="444">
      <c r="B444" s="104"/>
      <c r="D444" s="104"/>
    </row>
    <row r="445">
      <c r="B445" s="104"/>
      <c r="D445" s="104"/>
    </row>
    <row r="446">
      <c r="B446" s="104"/>
      <c r="D446" s="104"/>
    </row>
    <row r="447">
      <c r="B447" s="104"/>
      <c r="D447" s="104"/>
    </row>
    <row r="448">
      <c r="B448" s="104"/>
      <c r="D448" s="104"/>
    </row>
    <row r="449">
      <c r="B449" s="104"/>
      <c r="D449" s="104"/>
    </row>
    <row r="450">
      <c r="B450" s="104"/>
      <c r="D450" s="104"/>
    </row>
    <row r="451">
      <c r="B451" s="104"/>
      <c r="D451" s="104"/>
    </row>
    <row r="452">
      <c r="B452" s="104"/>
      <c r="D452" s="104"/>
    </row>
    <row r="453">
      <c r="B453" s="104"/>
      <c r="D453" s="104"/>
    </row>
    <row r="454">
      <c r="B454" s="104"/>
      <c r="D454" s="104"/>
    </row>
    <row r="455">
      <c r="B455" s="104"/>
      <c r="D455" s="104"/>
    </row>
    <row r="456">
      <c r="B456" s="104"/>
      <c r="D456" s="104"/>
    </row>
    <row r="457">
      <c r="B457" s="104"/>
      <c r="D457" s="104"/>
    </row>
    <row r="458">
      <c r="B458" s="104"/>
      <c r="D458" s="104"/>
    </row>
    <row r="459">
      <c r="B459" s="104"/>
      <c r="D459" s="104"/>
    </row>
    <row r="460">
      <c r="B460" s="104"/>
      <c r="D460" s="104"/>
    </row>
    <row r="461">
      <c r="B461" s="104"/>
      <c r="D461" s="104"/>
    </row>
    <row r="462">
      <c r="B462" s="104"/>
      <c r="D462" s="104"/>
    </row>
    <row r="463">
      <c r="B463" s="104"/>
      <c r="D463" s="104"/>
    </row>
    <row r="464">
      <c r="B464" s="104"/>
      <c r="D464" s="104"/>
    </row>
    <row r="465">
      <c r="B465" s="104"/>
      <c r="D465" s="104"/>
    </row>
    <row r="466">
      <c r="B466" s="104"/>
      <c r="D466" s="104"/>
    </row>
    <row r="467">
      <c r="B467" s="104"/>
      <c r="D467" s="104"/>
    </row>
    <row r="468">
      <c r="B468" s="104"/>
      <c r="D468" s="104"/>
    </row>
    <row r="469">
      <c r="B469" s="104"/>
      <c r="D469" s="104"/>
    </row>
    <row r="470">
      <c r="B470" s="104"/>
      <c r="D470" s="104"/>
    </row>
    <row r="471">
      <c r="B471" s="104"/>
      <c r="D471" s="104"/>
    </row>
    <row r="472">
      <c r="B472" s="104"/>
      <c r="D472" s="104"/>
    </row>
    <row r="473">
      <c r="B473" s="104"/>
      <c r="D473" s="104"/>
    </row>
    <row r="474">
      <c r="B474" s="104"/>
      <c r="D474" s="104"/>
    </row>
    <row r="475">
      <c r="B475" s="104"/>
      <c r="D475" s="104"/>
    </row>
    <row r="476">
      <c r="B476" s="104"/>
      <c r="D476" s="104"/>
    </row>
    <row r="477">
      <c r="B477" s="104"/>
      <c r="D477" s="104"/>
    </row>
    <row r="478">
      <c r="B478" s="104"/>
      <c r="D478" s="104"/>
    </row>
    <row r="479">
      <c r="B479" s="104"/>
      <c r="D479" s="104"/>
    </row>
    <row r="480">
      <c r="B480" s="104"/>
      <c r="D480" s="104"/>
    </row>
    <row r="481">
      <c r="B481" s="104"/>
      <c r="D481" s="104"/>
    </row>
    <row r="482">
      <c r="B482" s="104"/>
      <c r="D482" s="104"/>
    </row>
    <row r="483">
      <c r="B483" s="104"/>
      <c r="D483" s="104"/>
    </row>
    <row r="484">
      <c r="B484" s="104"/>
      <c r="D484" s="104"/>
    </row>
    <row r="485">
      <c r="B485" s="104"/>
      <c r="D485" s="104"/>
    </row>
    <row r="486">
      <c r="B486" s="104"/>
      <c r="D486" s="104"/>
    </row>
    <row r="487">
      <c r="B487" s="104"/>
      <c r="D487" s="104"/>
    </row>
    <row r="488">
      <c r="B488" s="104"/>
      <c r="D488" s="104"/>
    </row>
    <row r="489">
      <c r="B489" s="104"/>
      <c r="D489" s="104"/>
    </row>
    <row r="490">
      <c r="B490" s="104"/>
      <c r="D490" s="104"/>
    </row>
    <row r="491">
      <c r="B491" s="104"/>
      <c r="D491" s="104"/>
    </row>
    <row r="492">
      <c r="B492" s="104"/>
      <c r="D492" s="104"/>
    </row>
    <row r="493">
      <c r="B493" s="104"/>
      <c r="D493" s="104"/>
    </row>
    <row r="494">
      <c r="B494" s="104"/>
      <c r="D494" s="104"/>
    </row>
    <row r="495">
      <c r="B495" s="104"/>
      <c r="D495" s="104"/>
    </row>
    <row r="496">
      <c r="B496" s="104"/>
      <c r="D496" s="104"/>
    </row>
    <row r="497">
      <c r="B497" s="104"/>
      <c r="D497" s="104"/>
    </row>
    <row r="498">
      <c r="B498" s="104"/>
      <c r="D498" s="104"/>
    </row>
    <row r="499">
      <c r="B499" s="104"/>
      <c r="D499" s="104"/>
    </row>
    <row r="500">
      <c r="B500" s="104"/>
      <c r="D500" s="104"/>
    </row>
    <row r="501">
      <c r="B501" s="104"/>
      <c r="D501" s="104"/>
    </row>
    <row r="502">
      <c r="B502" s="104"/>
      <c r="D502" s="104"/>
    </row>
    <row r="503">
      <c r="B503" s="104"/>
      <c r="D503" s="104"/>
    </row>
    <row r="504">
      <c r="B504" s="104"/>
      <c r="D504" s="104"/>
    </row>
    <row r="505">
      <c r="B505" s="104"/>
      <c r="D505" s="104"/>
    </row>
    <row r="506">
      <c r="B506" s="104"/>
      <c r="D506" s="104"/>
    </row>
    <row r="507">
      <c r="B507" s="104"/>
      <c r="D507" s="104"/>
    </row>
    <row r="508">
      <c r="B508" s="104"/>
      <c r="D508" s="104"/>
    </row>
    <row r="509">
      <c r="B509" s="104"/>
      <c r="D509" s="104"/>
    </row>
    <row r="510">
      <c r="B510" s="104"/>
      <c r="D510" s="104"/>
    </row>
    <row r="511">
      <c r="B511" s="104"/>
      <c r="D511" s="104"/>
    </row>
    <row r="512">
      <c r="B512" s="104"/>
      <c r="D512" s="104"/>
    </row>
    <row r="513">
      <c r="B513" s="104"/>
      <c r="D513" s="104"/>
    </row>
    <row r="514">
      <c r="B514" s="104"/>
      <c r="D514" s="104"/>
    </row>
    <row r="515">
      <c r="B515" s="104"/>
      <c r="D515" s="104"/>
    </row>
    <row r="516">
      <c r="B516" s="104"/>
      <c r="D516" s="104"/>
    </row>
    <row r="517">
      <c r="B517" s="104"/>
      <c r="D517" s="104"/>
    </row>
    <row r="518">
      <c r="B518" s="104"/>
      <c r="D518" s="104"/>
    </row>
    <row r="519">
      <c r="B519" s="104"/>
      <c r="D519" s="104"/>
    </row>
    <row r="520">
      <c r="B520" s="104"/>
      <c r="D520" s="104"/>
    </row>
    <row r="521">
      <c r="B521" s="104"/>
      <c r="D521" s="104"/>
    </row>
    <row r="522">
      <c r="B522" s="104"/>
      <c r="D522" s="104"/>
    </row>
    <row r="523">
      <c r="B523" s="104"/>
      <c r="D523" s="104"/>
    </row>
    <row r="524">
      <c r="B524" s="104"/>
      <c r="D524" s="104"/>
    </row>
    <row r="525">
      <c r="B525" s="104"/>
      <c r="D525" s="104"/>
    </row>
    <row r="526">
      <c r="B526" s="104"/>
      <c r="D526" s="104"/>
    </row>
    <row r="527">
      <c r="B527" s="104"/>
      <c r="D527" s="104"/>
    </row>
    <row r="528">
      <c r="B528" s="104"/>
      <c r="D528" s="104"/>
    </row>
    <row r="529">
      <c r="B529" s="104"/>
      <c r="D529" s="104"/>
    </row>
    <row r="530">
      <c r="B530" s="104"/>
      <c r="D530" s="104"/>
    </row>
    <row r="531">
      <c r="B531" s="104"/>
      <c r="D531" s="104"/>
    </row>
    <row r="532">
      <c r="B532" s="104"/>
      <c r="D532" s="104"/>
    </row>
    <row r="533">
      <c r="B533" s="104"/>
      <c r="D533" s="104"/>
    </row>
    <row r="534">
      <c r="B534" s="104"/>
      <c r="D534" s="104"/>
    </row>
    <row r="535">
      <c r="B535" s="104"/>
      <c r="D535" s="104"/>
    </row>
    <row r="536">
      <c r="B536" s="104"/>
      <c r="D536" s="104"/>
    </row>
    <row r="537">
      <c r="B537" s="104"/>
      <c r="D537" s="104"/>
    </row>
    <row r="538">
      <c r="B538" s="104"/>
      <c r="D538" s="104"/>
    </row>
    <row r="539">
      <c r="B539" s="104"/>
      <c r="D539" s="104"/>
    </row>
    <row r="540">
      <c r="B540" s="104"/>
      <c r="D540" s="104"/>
    </row>
    <row r="541">
      <c r="B541" s="104"/>
      <c r="D541" s="104"/>
    </row>
    <row r="542">
      <c r="B542" s="104"/>
      <c r="D542" s="104"/>
    </row>
    <row r="543">
      <c r="B543" s="104"/>
      <c r="D543" s="104"/>
    </row>
    <row r="544">
      <c r="B544" s="104"/>
      <c r="D544" s="104"/>
    </row>
    <row r="545">
      <c r="B545" s="104"/>
      <c r="D545" s="104"/>
    </row>
    <row r="546">
      <c r="B546" s="104"/>
      <c r="D546" s="104"/>
    </row>
    <row r="547">
      <c r="B547" s="104"/>
      <c r="D547" s="104"/>
    </row>
    <row r="548">
      <c r="B548" s="104"/>
      <c r="D548" s="104"/>
    </row>
    <row r="549">
      <c r="B549" s="104"/>
      <c r="D549" s="104"/>
    </row>
    <row r="550">
      <c r="B550" s="104"/>
      <c r="D550" s="104"/>
    </row>
    <row r="551">
      <c r="B551" s="104"/>
      <c r="D551" s="104"/>
    </row>
    <row r="552">
      <c r="B552" s="104"/>
      <c r="D552" s="104"/>
    </row>
    <row r="553">
      <c r="B553" s="104"/>
      <c r="D553" s="104"/>
    </row>
    <row r="554">
      <c r="B554" s="104"/>
      <c r="D554" s="104"/>
    </row>
    <row r="555">
      <c r="B555" s="104"/>
      <c r="D555" s="104"/>
    </row>
    <row r="556">
      <c r="B556" s="104"/>
      <c r="D556" s="104"/>
    </row>
    <row r="557">
      <c r="B557" s="104"/>
      <c r="D557" s="104"/>
    </row>
    <row r="558">
      <c r="B558" s="104"/>
      <c r="D558" s="104"/>
    </row>
    <row r="559">
      <c r="B559" s="104"/>
      <c r="D559" s="104"/>
    </row>
    <row r="560">
      <c r="B560" s="104"/>
      <c r="D560" s="104"/>
    </row>
    <row r="561">
      <c r="B561" s="104"/>
      <c r="D561" s="104"/>
    </row>
    <row r="562">
      <c r="B562" s="104"/>
      <c r="D562" s="104"/>
    </row>
    <row r="563">
      <c r="B563" s="104"/>
      <c r="D563" s="104"/>
    </row>
    <row r="564">
      <c r="B564" s="104"/>
      <c r="D564" s="104"/>
    </row>
    <row r="565">
      <c r="B565" s="104"/>
      <c r="D565" s="104"/>
    </row>
    <row r="566">
      <c r="B566" s="104"/>
      <c r="D566" s="104"/>
    </row>
    <row r="567">
      <c r="B567" s="104"/>
      <c r="D567" s="104"/>
    </row>
    <row r="568">
      <c r="B568" s="104"/>
      <c r="D568" s="104"/>
    </row>
    <row r="569">
      <c r="B569" s="104"/>
      <c r="D569" s="104"/>
    </row>
    <row r="570">
      <c r="B570" s="104"/>
      <c r="D570" s="104"/>
    </row>
    <row r="571">
      <c r="B571" s="104"/>
      <c r="D571" s="104"/>
    </row>
    <row r="572">
      <c r="B572" s="104"/>
      <c r="D572" s="104"/>
    </row>
    <row r="573">
      <c r="B573" s="104"/>
      <c r="D573" s="104"/>
    </row>
    <row r="574">
      <c r="B574" s="104"/>
      <c r="D574" s="104"/>
    </row>
    <row r="575">
      <c r="B575" s="104"/>
      <c r="D575" s="104"/>
    </row>
    <row r="576">
      <c r="B576" s="104"/>
      <c r="D576" s="104"/>
    </row>
    <row r="577">
      <c r="B577" s="104"/>
      <c r="D577" s="104"/>
    </row>
    <row r="578">
      <c r="B578" s="104"/>
      <c r="D578" s="104"/>
    </row>
    <row r="579">
      <c r="B579" s="104"/>
      <c r="D579" s="104"/>
    </row>
    <row r="580">
      <c r="B580" s="104"/>
      <c r="D580" s="104"/>
    </row>
    <row r="581">
      <c r="B581" s="104"/>
      <c r="D581" s="104"/>
    </row>
    <row r="582">
      <c r="B582" s="104"/>
      <c r="D582" s="104"/>
    </row>
    <row r="583">
      <c r="B583" s="104"/>
      <c r="D583" s="104"/>
    </row>
    <row r="584">
      <c r="B584" s="104"/>
      <c r="D584" s="104"/>
    </row>
    <row r="585">
      <c r="B585" s="104"/>
      <c r="D585" s="104"/>
    </row>
    <row r="586">
      <c r="B586" s="104"/>
      <c r="D586" s="104"/>
    </row>
    <row r="587">
      <c r="B587" s="104"/>
      <c r="D587" s="104"/>
    </row>
    <row r="588">
      <c r="B588" s="104"/>
      <c r="D588" s="104"/>
    </row>
    <row r="589">
      <c r="B589" s="104"/>
      <c r="D589" s="104"/>
    </row>
    <row r="590">
      <c r="B590" s="104"/>
      <c r="D590" s="104"/>
    </row>
    <row r="591">
      <c r="B591" s="104"/>
      <c r="D591" s="104"/>
    </row>
    <row r="592">
      <c r="B592" s="104"/>
      <c r="D592" s="104"/>
    </row>
    <row r="593">
      <c r="B593" s="104"/>
      <c r="D593" s="104"/>
    </row>
    <row r="594">
      <c r="B594" s="104"/>
      <c r="D594" s="104"/>
    </row>
    <row r="595">
      <c r="B595" s="104"/>
      <c r="D595" s="104"/>
    </row>
    <row r="596">
      <c r="B596" s="104"/>
      <c r="D596" s="104"/>
    </row>
    <row r="597">
      <c r="B597" s="104"/>
      <c r="D597" s="104"/>
    </row>
    <row r="598">
      <c r="B598" s="104"/>
      <c r="D598" s="104"/>
    </row>
    <row r="599">
      <c r="B599" s="104"/>
      <c r="D599" s="104"/>
    </row>
    <row r="600">
      <c r="B600" s="104"/>
      <c r="D600" s="104"/>
    </row>
    <row r="601">
      <c r="B601" s="104"/>
      <c r="D601" s="104"/>
    </row>
    <row r="602">
      <c r="B602" s="104"/>
      <c r="D602" s="104"/>
    </row>
    <row r="603">
      <c r="B603" s="104"/>
      <c r="D603" s="104"/>
    </row>
    <row r="604">
      <c r="B604" s="104"/>
      <c r="D604" s="104"/>
    </row>
    <row r="605">
      <c r="B605" s="104"/>
      <c r="D605" s="104"/>
    </row>
    <row r="606">
      <c r="B606" s="104"/>
      <c r="D606" s="104"/>
    </row>
    <row r="607">
      <c r="B607" s="104"/>
      <c r="D607" s="104"/>
    </row>
    <row r="608">
      <c r="B608" s="104"/>
      <c r="D608" s="104"/>
    </row>
    <row r="609">
      <c r="B609" s="104"/>
      <c r="D609" s="104"/>
    </row>
    <row r="610">
      <c r="B610" s="104"/>
      <c r="D610" s="104"/>
    </row>
    <row r="611">
      <c r="B611" s="104"/>
      <c r="D611" s="104"/>
    </row>
    <row r="612">
      <c r="B612" s="104"/>
      <c r="D612" s="104"/>
    </row>
    <row r="613">
      <c r="B613" s="104"/>
      <c r="D613" s="104"/>
    </row>
    <row r="614">
      <c r="B614" s="104"/>
      <c r="D614" s="104"/>
    </row>
    <row r="615">
      <c r="B615" s="104"/>
      <c r="D615" s="104"/>
    </row>
    <row r="616">
      <c r="B616" s="104"/>
      <c r="D616" s="104"/>
    </row>
    <row r="617">
      <c r="B617" s="104"/>
      <c r="D617" s="104"/>
    </row>
    <row r="618">
      <c r="B618" s="104"/>
      <c r="D618" s="104"/>
    </row>
    <row r="619">
      <c r="B619" s="104"/>
      <c r="D619" s="104"/>
    </row>
    <row r="620">
      <c r="B620" s="104"/>
      <c r="D620" s="104"/>
    </row>
    <row r="621">
      <c r="B621" s="104"/>
      <c r="D621" s="104"/>
    </row>
    <row r="622">
      <c r="B622" s="104"/>
      <c r="D622" s="104"/>
    </row>
    <row r="623">
      <c r="B623" s="104"/>
      <c r="D623" s="104"/>
    </row>
    <row r="624">
      <c r="B624" s="104"/>
      <c r="D624" s="104"/>
    </row>
    <row r="625">
      <c r="B625" s="104"/>
      <c r="D625" s="104"/>
    </row>
    <row r="626">
      <c r="B626" s="104"/>
      <c r="D626" s="104"/>
    </row>
    <row r="627">
      <c r="B627" s="104"/>
      <c r="D627" s="104"/>
    </row>
    <row r="628">
      <c r="B628" s="104"/>
      <c r="D628" s="104"/>
    </row>
    <row r="629">
      <c r="B629" s="104"/>
      <c r="D629" s="104"/>
    </row>
    <row r="630">
      <c r="B630" s="104"/>
      <c r="D630" s="104"/>
    </row>
    <row r="631">
      <c r="B631" s="104"/>
      <c r="D631" s="104"/>
    </row>
    <row r="632">
      <c r="B632" s="104"/>
      <c r="D632" s="104"/>
    </row>
    <row r="633">
      <c r="B633" s="104"/>
      <c r="D633" s="104"/>
    </row>
    <row r="634">
      <c r="B634" s="104"/>
      <c r="D634" s="104"/>
    </row>
    <row r="635">
      <c r="B635" s="104"/>
      <c r="D635" s="104"/>
    </row>
    <row r="636">
      <c r="B636" s="104"/>
      <c r="D636" s="104"/>
    </row>
    <row r="637">
      <c r="B637" s="104"/>
      <c r="D637" s="104"/>
    </row>
    <row r="638">
      <c r="B638" s="104"/>
      <c r="D638" s="104"/>
    </row>
    <row r="639">
      <c r="B639" s="104"/>
      <c r="D639" s="104"/>
    </row>
    <row r="640">
      <c r="B640" s="104"/>
      <c r="D640" s="104"/>
    </row>
    <row r="641">
      <c r="B641" s="104"/>
      <c r="D641" s="104"/>
    </row>
    <row r="642">
      <c r="B642" s="104"/>
      <c r="D642" s="104"/>
    </row>
    <row r="643">
      <c r="B643" s="104"/>
      <c r="D643" s="104"/>
    </row>
    <row r="644">
      <c r="B644" s="104"/>
      <c r="D644" s="104"/>
    </row>
    <row r="645">
      <c r="B645" s="104"/>
      <c r="D645" s="104"/>
    </row>
    <row r="646">
      <c r="B646" s="104"/>
      <c r="D646" s="104"/>
    </row>
    <row r="647">
      <c r="B647" s="104"/>
      <c r="D647" s="104"/>
    </row>
    <row r="648">
      <c r="B648" s="104"/>
      <c r="D648" s="104"/>
    </row>
    <row r="649">
      <c r="B649" s="104"/>
      <c r="D649" s="104"/>
    </row>
    <row r="650">
      <c r="B650" s="104"/>
      <c r="D650" s="104"/>
    </row>
    <row r="651">
      <c r="B651" s="104"/>
      <c r="D651" s="104"/>
    </row>
    <row r="652">
      <c r="B652" s="104"/>
      <c r="D652" s="104"/>
    </row>
    <row r="653">
      <c r="B653" s="104"/>
      <c r="D653" s="104"/>
    </row>
    <row r="654">
      <c r="B654" s="104"/>
      <c r="D654" s="104"/>
    </row>
    <row r="655">
      <c r="B655" s="104"/>
      <c r="D655" s="104"/>
    </row>
    <row r="656">
      <c r="B656" s="104"/>
      <c r="D656" s="104"/>
    </row>
    <row r="657">
      <c r="B657" s="104"/>
      <c r="D657" s="104"/>
    </row>
    <row r="658">
      <c r="B658" s="104"/>
      <c r="D658" s="104"/>
    </row>
    <row r="659">
      <c r="B659" s="104"/>
      <c r="D659" s="104"/>
    </row>
    <row r="660">
      <c r="B660" s="104"/>
      <c r="D660" s="104"/>
    </row>
    <row r="661">
      <c r="B661" s="104"/>
      <c r="D661" s="104"/>
    </row>
    <row r="662">
      <c r="B662" s="104"/>
      <c r="D662" s="104"/>
    </row>
    <row r="663">
      <c r="B663" s="104"/>
      <c r="D663" s="104"/>
    </row>
    <row r="664">
      <c r="B664" s="104"/>
      <c r="D664" s="104"/>
    </row>
    <row r="665">
      <c r="B665" s="104"/>
      <c r="D665" s="104"/>
    </row>
    <row r="666">
      <c r="B666" s="104"/>
      <c r="D666" s="104"/>
    </row>
    <row r="667">
      <c r="B667" s="104"/>
      <c r="D667" s="104"/>
    </row>
    <row r="668">
      <c r="B668" s="104"/>
      <c r="D668" s="104"/>
    </row>
    <row r="669">
      <c r="B669" s="104"/>
      <c r="D669" s="104"/>
    </row>
    <row r="670">
      <c r="B670" s="104"/>
      <c r="D670" s="104"/>
    </row>
    <row r="671">
      <c r="B671" s="104"/>
      <c r="D671" s="104"/>
    </row>
    <row r="672">
      <c r="B672" s="104"/>
      <c r="D672" s="104"/>
    </row>
    <row r="673">
      <c r="B673" s="104"/>
      <c r="D673" s="104"/>
    </row>
    <row r="674">
      <c r="B674" s="104"/>
      <c r="D674" s="104"/>
    </row>
    <row r="675">
      <c r="B675" s="104"/>
      <c r="D675" s="104"/>
    </row>
    <row r="676">
      <c r="B676" s="104"/>
      <c r="D676" s="104"/>
    </row>
    <row r="677">
      <c r="B677" s="104"/>
      <c r="D677" s="104"/>
    </row>
    <row r="678">
      <c r="B678" s="104"/>
      <c r="D678" s="104"/>
    </row>
    <row r="679">
      <c r="B679" s="104"/>
      <c r="D679" s="104"/>
    </row>
    <row r="680">
      <c r="B680" s="104"/>
      <c r="D680" s="104"/>
    </row>
    <row r="681">
      <c r="B681" s="104"/>
      <c r="D681" s="104"/>
    </row>
    <row r="682">
      <c r="B682" s="104"/>
      <c r="D682" s="104"/>
    </row>
    <row r="683">
      <c r="B683" s="104"/>
      <c r="D683" s="104"/>
    </row>
    <row r="684">
      <c r="B684" s="104"/>
      <c r="D684" s="104"/>
    </row>
    <row r="685">
      <c r="B685" s="104"/>
      <c r="D685" s="104"/>
    </row>
    <row r="686">
      <c r="B686" s="104"/>
      <c r="D686" s="104"/>
    </row>
    <row r="687">
      <c r="B687" s="104"/>
      <c r="D687" s="104"/>
    </row>
    <row r="688">
      <c r="B688" s="104"/>
      <c r="D688" s="104"/>
    </row>
    <row r="689">
      <c r="B689" s="104"/>
      <c r="D689" s="104"/>
    </row>
    <row r="690">
      <c r="B690" s="104"/>
      <c r="D690" s="104"/>
    </row>
    <row r="691">
      <c r="B691" s="104"/>
      <c r="D691" s="104"/>
    </row>
    <row r="692">
      <c r="B692" s="104"/>
      <c r="D692" s="104"/>
    </row>
    <row r="693">
      <c r="B693" s="104"/>
      <c r="D693" s="104"/>
    </row>
    <row r="694">
      <c r="B694" s="104"/>
      <c r="D694" s="104"/>
    </row>
    <row r="695">
      <c r="B695" s="104"/>
      <c r="D695" s="104"/>
    </row>
    <row r="696">
      <c r="B696" s="104"/>
      <c r="D696" s="104"/>
    </row>
    <row r="697">
      <c r="B697" s="104"/>
      <c r="D697" s="104"/>
    </row>
    <row r="698">
      <c r="B698" s="104"/>
      <c r="D698" s="104"/>
    </row>
    <row r="699">
      <c r="B699" s="104"/>
      <c r="D699" s="104"/>
    </row>
    <row r="700">
      <c r="B700" s="104"/>
      <c r="D700" s="104"/>
    </row>
    <row r="701">
      <c r="B701" s="104"/>
      <c r="D701" s="104"/>
    </row>
    <row r="702">
      <c r="B702" s="104"/>
      <c r="D702" s="104"/>
    </row>
    <row r="703">
      <c r="B703" s="104"/>
      <c r="D703" s="104"/>
    </row>
    <row r="704">
      <c r="B704" s="104"/>
      <c r="D704" s="104"/>
    </row>
    <row r="705">
      <c r="B705" s="104"/>
      <c r="D705" s="104"/>
    </row>
    <row r="706">
      <c r="B706" s="104"/>
      <c r="D706" s="104"/>
    </row>
    <row r="707">
      <c r="B707" s="104"/>
      <c r="D707" s="104"/>
    </row>
    <row r="708">
      <c r="B708" s="104"/>
      <c r="D708" s="104"/>
    </row>
    <row r="709">
      <c r="B709" s="104"/>
      <c r="D709" s="104"/>
    </row>
    <row r="710">
      <c r="B710" s="104"/>
      <c r="D710" s="104"/>
    </row>
    <row r="711">
      <c r="B711" s="104"/>
      <c r="D711" s="104"/>
    </row>
    <row r="712">
      <c r="B712" s="104"/>
      <c r="D712" s="104"/>
    </row>
    <row r="713">
      <c r="B713" s="104"/>
      <c r="D713" s="104"/>
    </row>
    <row r="714">
      <c r="B714" s="104"/>
      <c r="D714" s="104"/>
    </row>
    <row r="715">
      <c r="B715" s="104"/>
      <c r="D715" s="104"/>
    </row>
    <row r="716">
      <c r="B716" s="104"/>
      <c r="D716" s="104"/>
    </row>
    <row r="717">
      <c r="B717" s="104"/>
      <c r="D717" s="104"/>
    </row>
    <row r="718">
      <c r="B718" s="104"/>
      <c r="D718" s="104"/>
    </row>
    <row r="719">
      <c r="B719" s="104"/>
      <c r="D719" s="104"/>
    </row>
    <row r="720">
      <c r="B720" s="104"/>
      <c r="D720" s="104"/>
    </row>
    <row r="721">
      <c r="B721" s="104"/>
      <c r="D721" s="104"/>
    </row>
    <row r="722">
      <c r="B722" s="104"/>
      <c r="D722" s="104"/>
    </row>
    <row r="723">
      <c r="B723" s="104"/>
      <c r="D723" s="104"/>
    </row>
    <row r="724">
      <c r="B724" s="104"/>
      <c r="D724" s="104"/>
    </row>
    <row r="725">
      <c r="B725" s="104"/>
      <c r="D725" s="104"/>
    </row>
    <row r="726">
      <c r="B726" s="104"/>
      <c r="D726" s="104"/>
    </row>
    <row r="727">
      <c r="B727" s="104"/>
      <c r="D727" s="104"/>
    </row>
    <row r="728">
      <c r="B728" s="104"/>
      <c r="D728" s="104"/>
    </row>
    <row r="729">
      <c r="B729" s="104"/>
      <c r="D729" s="104"/>
    </row>
    <row r="730">
      <c r="B730" s="104"/>
      <c r="D730" s="104"/>
    </row>
    <row r="731">
      <c r="B731" s="104"/>
      <c r="D731" s="104"/>
    </row>
    <row r="732">
      <c r="B732" s="104"/>
      <c r="D732" s="104"/>
    </row>
    <row r="733">
      <c r="B733" s="104"/>
      <c r="D733" s="104"/>
    </row>
    <row r="734">
      <c r="B734" s="104"/>
      <c r="D734" s="104"/>
    </row>
    <row r="735">
      <c r="B735" s="104"/>
      <c r="D735" s="104"/>
    </row>
    <row r="736">
      <c r="B736" s="104"/>
      <c r="D736" s="104"/>
    </row>
    <row r="737">
      <c r="B737" s="104"/>
      <c r="D737" s="104"/>
    </row>
    <row r="738">
      <c r="B738" s="104"/>
      <c r="D738" s="104"/>
    </row>
    <row r="739">
      <c r="B739" s="104"/>
      <c r="D739" s="104"/>
    </row>
    <row r="740">
      <c r="B740" s="104"/>
      <c r="D740" s="104"/>
    </row>
    <row r="741">
      <c r="B741" s="104"/>
      <c r="D741" s="104"/>
    </row>
    <row r="742">
      <c r="B742" s="104"/>
      <c r="D742" s="104"/>
    </row>
    <row r="743">
      <c r="B743" s="104"/>
      <c r="D743" s="104"/>
    </row>
    <row r="744">
      <c r="B744" s="104"/>
      <c r="D744" s="104"/>
    </row>
    <row r="745">
      <c r="B745" s="104"/>
      <c r="D745" s="104"/>
    </row>
    <row r="746">
      <c r="B746" s="104"/>
      <c r="D746" s="104"/>
    </row>
    <row r="747">
      <c r="B747" s="104"/>
      <c r="D747" s="104"/>
    </row>
    <row r="748">
      <c r="B748" s="104"/>
      <c r="D748" s="104"/>
    </row>
    <row r="749">
      <c r="B749" s="104"/>
      <c r="D749" s="104"/>
    </row>
    <row r="750">
      <c r="B750" s="104"/>
      <c r="D750" s="104"/>
    </row>
    <row r="751">
      <c r="B751" s="104"/>
      <c r="D751" s="104"/>
    </row>
    <row r="752">
      <c r="B752" s="104"/>
      <c r="D752" s="104"/>
    </row>
    <row r="753">
      <c r="B753" s="104"/>
      <c r="D753" s="104"/>
    </row>
    <row r="754">
      <c r="B754" s="104"/>
      <c r="D754" s="104"/>
    </row>
    <row r="755">
      <c r="B755" s="104"/>
      <c r="D755" s="104"/>
    </row>
    <row r="756">
      <c r="B756" s="104"/>
      <c r="D756" s="104"/>
    </row>
    <row r="757">
      <c r="B757" s="104"/>
      <c r="D757" s="104"/>
    </row>
    <row r="758">
      <c r="B758" s="104"/>
      <c r="D758" s="104"/>
    </row>
    <row r="759">
      <c r="B759" s="104"/>
      <c r="D759" s="104"/>
    </row>
    <row r="760">
      <c r="B760" s="104"/>
      <c r="D760" s="104"/>
    </row>
    <row r="761">
      <c r="B761" s="104"/>
      <c r="D761" s="104"/>
    </row>
    <row r="762">
      <c r="B762" s="104"/>
      <c r="D762" s="104"/>
    </row>
    <row r="763">
      <c r="B763" s="104"/>
      <c r="D763" s="104"/>
    </row>
    <row r="764">
      <c r="B764" s="104"/>
      <c r="D764" s="104"/>
    </row>
    <row r="765">
      <c r="B765" s="104"/>
      <c r="D765" s="104"/>
    </row>
    <row r="766">
      <c r="B766" s="104"/>
      <c r="D766" s="104"/>
    </row>
    <row r="767">
      <c r="B767" s="104"/>
      <c r="D767" s="104"/>
    </row>
    <row r="768">
      <c r="B768" s="104"/>
      <c r="D768" s="104"/>
    </row>
    <row r="769">
      <c r="B769" s="104"/>
      <c r="D769" s="104"/>
    </row>
    <row r="770">
      <c r="B770" s="104"/>
      <c r="D770" s="104"/>
    </row>
    <row r="771">
      <c r="B771" s="104"/>
      <c r="D771" s="104"/>
    </row>
    <row r="772">
      <c r="B772" s="104"/>
      <c r="D772" s="104"/>
    </row>
    <row r="773">
      <c r="B773" s="104"/>
      <c r="D773" s="104"/>
    </row>
    <row r="774">
      <c r="B774" s="104"/>
      <c r="D774" s="104"/>
    </row>
    <row r="775">
      <c r="B775" s="104"/>
      <c r="D775" s="104"/>
    </row>
    <row r="776">
      <c r="B776" s="104"/>
      <c r="D776" s="104"/>
    </row>
    <row r="777">
      <c r="B777" s="104"/>
      <c r="D777" s="104"/>
    </row>
    <row r="778">
      <c r="B778" s="104"/>
      <c r="D778" s="104"/>
    </row>
    <row r="779">
      <c r="B779" s="104"/>
      <c r="D779" s="104"/>
    </row>
    <row r="780">
      <c r="B780" s="104"/>
      <c r="D780" s="104"/>
    </row>
    <row r="781">
      <c r="B781" s="104"/>
      <c r="D781" s="104"/>
    </row>
    <row r="782">
      <c r="B782" s="104"/>
      <c r="D782" s="104"/>
    </row>
    <row r="783">
      <c r="B783" s="104"/>
      <c r="D783" s="104"/>
    </row>
    <row r="784">
      <c r="B784" s="104"/>
      <c r="D784" s="104"/>
    </row>
    <row r="785">
      <c r="B785" s="104"/>
      <c r="D785" s="104"/>
    </row>
    <row r="786">
      <c r="B786" s="104"/>
      <c r="D786" s="104"/>
    </row>
    <row r="787">
      <c r="B787" s="104"/>
      <c r="D787" s="104"/>
    </row>
    <row r="788">
      <c r="B788" s="104"/>
      <c r="D788" s="104"/>
    </row>
    <row r="789">
      <c r="B789" s="104"/>
      <c r="D789" s="104"/>
    </row>
    <row r="790">
      <c r="B790" s="104"/>
      <c r="D790" s="104"/>
    </row>
    <row r="791">
      <c r="B791" s="104"/>
      <c r="D791" s="104"/>
    </row>
    <row r="792">
      <c r="B792" s="104"/>
      <c r="D792" s="104"/>
    </row>
    <row r="793">
      <c r="B793" s="104"/>
      <c r="D793" s="104"/>
    </row>
    <row r="794">
      <c r="B794" s="104"/>
      <c r="D794" s="104"/>
    </row>
    <row r="795">
      <c r="B795" s="104"/>
      <c r="D795" s="104"/>
    </row>
    <row r="796">
      <c r="B796" s="104"/>
      <c r="D796" s="104"/>
    </row>
    <row r="797">
      <c r="B797" s="104"/>
      <c r="D797" s="104"/>
    </row>
    <row r="798">
      <c r="B798" s="104"/>
      <c r="D798" s="104"/>
    </row>
    <row r="799">
      <c r="B799" s="104"/>
      <c r="D799" s="104"/>
    </row>
    <row r="800">
      <c r="B800" s="104"/>
      <c r="D800" s="104"/>
    </row>
    <row r="801">
      <c r="B801" s="104"/>
      <c r="D801" s="104"/>
    </row>
    <row r="802">
      <c r="B802" s="104"/>
      <c r="D802" s="104"/>
    </row>
    <row r="803">
      <c r="B803" s="104"/>
      <c r="D803" s="104"/>
    </row>
    <row r="804">
      <c r="B804" s="104"/>
      <c r="D804" s="104"/>
    </row>
    <row r="805">
      <c r="B805" s="104"/>
      <c r="D805" s="104"/>
    </row>
    <row r="806">
      <c r="B806" s="104"/>
      <c r="D806" s="104"/>
    </row>
    <row r="807">
      <c r="B807" s="104"/>
      <c r="D807" s="104"/>
    </row>
    <row r="808">
      <c r="B808" s="104"/>
      <c r="D808" s="104"/>
    </row>
    <row r="809">
      <c r="B809" s="104"/>
      <c r="D809" s="104"/>
    </row>
    <row r="810">
      <c r="B810" s="104"/>
      <c r="D810" s="104"/>
    </row>
    <row r="811">
      <c r="B811" s="104"/>
      <c r="D811" s="104"/>
    </row>
    <row r="812">
      <c r="B812" s="104"/>
      <c r="D812" s="104"/>
    </row>
    <row r="813">
      <c r="B813" s="104"/>
      <c r="D813" s="104"/>
    </row>
    <row r="814">
      <c r="B814" s="104"/>
      <c r="D814" s="104"/>
    </row>
    <row r="815">
      <c r="B815" s="104"/>
      <c r="D815" s="104"/>
    </row>
    <row r="816">
      <c r="B816" s="104"/>
      <c r="D816" s="104"/>
    </row>
    <row r="817">
      <c r="B817" s="104"/>
      <c r="D817" s="104"/>
    </row>
    <row r="818">
      <c r="B818" s="104"/>
      <c r="D818" s="104"/>
    </row>
    <row r="819">
      <c r="B819" s="104"/>
      <c r="D819" s="104"/>
    </row>
    <row r="820">
      <c r="B820" s="104"/>
      <c r="D820" s="104"/>
    </row>
    <row r="821">
      <c r="B821" s="104"/>
      <c r="D821" s="104"/>
    </row>
    <row r="822">
      <c r="B822" s="104"/>
      <c r="D822" s="104"/>
    </row>
    <row r="823">
      <c r="B823" s="104"/>
      <c r="D823" s="104"/>
    </row>
    <row r="824">
      <c r="B824" s="104"/>
      <c r="D824" s="104"/>
    </row>
    <row r="825">
      <c r="B825" s="104"/>
      <c r="D825" s="104"/>
    </row>
    <row r="826">
      <c r="B826" s="104"/>
      <c r="D826" s="104"/>
    </row>
    <row r="827">
      <c r="B827" s="104"/>
      <c r="D827" s="104"/>
    </row>
    <row r="828">
      <c r="B828" s="104"/>
      <c r="D828" s="104"/>
    </row>
    <row r="829">
      <c r="B829" s="104"/>
      <c r="D829" s="104"/>
    </row>
    <row r="830">
      <c r="B830" s="104"/>
      <c r="D830" s="104"/>
    </row>
    <row r="831">
      <c r="B831" s="104"/>
      <c r="D831" s="104"/>
    </row>
    <row r="832">
      <c r="B832" s="104"/>
      <c r="D832" s="104"/>
    </row>
    <row r="833">
      <c r="B833" s="104"/>
      <c r="D833" s="104"/>
    </row>
    <row r="834">
      <c r="B834" s="104"/>
      <c r="D834" s="104"/>
    </row>
    <row r="835">
      <c r="B835" s="104"/>
      <c r="D835" s="104"/>
    </row>
    <row r="836">
      <c r="B836" s="104"/>
      <c r="D836" s="104"/>
    </row>
    <row r="837">
      <c r="B837" s="104"/>
      <c r="D837" s="104"/>
    </row>
    <row r="838">
      <c r="B838" s="104"/>
      <c r="D838" s="104"/>
    </row>
    <row r="839">
      <c r="B839" s="104"/>
      <c r="D839" s="104"/>
    </row>
    <row r="840">
      <c r="B840" s="104"/>
      <c r="D840" s="104"/>
    </row>
    <row r="841">
      <c r="B841" s="104"/>
      <c r="D841" s="104"/>
    </row>
    <row r="842">
      <c r="B842" s="104"/>
      <c r="D842" s="104"/>
    </row>
    <row r="843">
      <c r="B843" s="104"/>
      <c r="D843" s="104"/>
    </row>
    <row r="844">
      <c r="B844" s="104"/>
      <c r="D844" s="104"/>
    </row>
    <row r="845">
      <c r="B845" s="104"/>
      <c r="D845" s="104"/>
    </row>
    <row r="846">
      <c r="B846" s="104"/>
      <c r="D846" s="104"/>
    </row>
    <row r="847">
      <c r="B847" s="104"/>
      <c r="D847" s="104"/>
    </row>
    <row r="848">
      <c r="B848" s="104"/>
      <c r="D848" s="104"/>
    </row>
    <row r="849">
      <c r="B849" s="104"/>
      <c r="D849" s="104"/>
    </row>
    <row r="850">
      <c r="B850" s="104"/>
      <c r="D850" s="104"/>
    </row>
    <row r="851">
      <c r="B851" s="104"/>
      <c r="D851" s="104"/>
    </row>
    <row r="852">
      <c r="B852" s="104"/>
      <c r="D852" s="104"/>
    </row>
    <row r="853">
      <c r="B853" s="104"/>
      <c r="D853" s="104"/>
    </row>
    <row r="854">
      <c r="B854" s="104"/>
      <c r="D854" s="104"/>
    </row>
    <row r="855">
      <c r="B855" s="104"/>
      <c r="D855" s="104"/>
    </row>
    <row r="856">
      <c r="B856" s="104"/>
      <c r="D856" s="104"/>
    </row>
    <row r="857">
      <c r="B857" s="104"/>
      <c r="D857" s="104"/>
    </row>
    <row r="858">
      <c r="B858" s="104"/>
      <c r="D858" s="104"/>
    </row>
    <row r="859">
      <c r="B859" s="104"/>
      <c r="D859" s="104"/>
    </row>
    <row r="860">
      <c r="B860" s="104"/>
      <c r="D860" s="104"/>
    </row>
    <row r="861">
      <c r="B861" s="104"/>
      <c r="D861" s="104"/>
    </row>
    <row r="862">
      <c r="B862" s="104"/>
      <c r="D862" s="104"/>
    </row>
    <row r="863">
      <c r="B863" s="104"/>
      <c r="D863" s="104"/>
    </row>
    <row r="864">
      <c r="B864" s="104"/>
      <c r="D864" s="104"/>
    </row>
    <row r="865">
      <c r="B865" s="104"/>
      <c r="D865" s="104"/>
    </row>
    <row r="866">
      <c r="B866" s="104"/>
      <c r="D866" s="104"/>
    </row>
    <row r="867">
      <c r="B867" s="104"/>
      <c r="D867" s="104"/>
    </row>
    <row r="868">
      <c r="B868" s="104"/>
      <c r="D868" s="104"/>
    </row>
    <row r="869">
      <c r="B869" s="104"/>
      <c r="D869" s="104"/>
    </row>
    <row r="870">
      <c r="B870" s="104"/>
      <c r="D870" s="104"/>
    </row>
    <row r="871">
      <c r="B871" s="104"/>
      <c r="D871" s="104"/>
    </row>
    <row r="872">
      <c r="B872" s="104"/>
      <c r="D872" s="104"/>
    </row>
    <row r="873">
      <c r="B873" s="104"/>
      <c r="D873" s="104"/>
    </row>
    <row r="874">
      <c r="B874" s="104"/>
      <c r="D874" s="104"/>
    </row>
    <row r="875">
      <c r="B875" s="104"/>
      <c r="D875" s="104"/>
    </row>
    <row r="876">
      <c r="B876" s="104"/>
      <c r="D876" s="104"/>
    </row>
    <row r="877">
      <c r="B877" s="104"/>
      <c r="D877" s="104"/>
    </row>
    <row r="878">
      <c r="B878" s="104"/>
      <c r="D878" s="104"/>
    </row>
    <row r="879">
      <c r="B879" s="104"/>
      <c r="D879" s="104"/>
    </row>
    <row r="880">
      <c r="B880" s="104"/>
      <c r="D880" s="104"/>
    </row>
    <row r="881">
      <c r="B881" s="104"/>
      <c r="D881" s="104"/>
    </row>
    <row r="882">
      <c r="B882" s="104"/>
      <c r="D882" s="104"/>
    </row>
    <row r="883">
      <c r="B883" s="104"/>
      <c r="D883" s="104"/>
    </row>
    <row r="884">
      <c r="B884" s="104"/>
      <c r="D884" s="104"/>
    </row>
    <row r="885">
      <c r="B885" s="104"/>
      <c r="D885" s="104"/>
    </row>
    <row r="886">
      <c r="B886" s="104"/>
      <c r="D886" s="104"/>
    </row>
    <row r="887">
      <c r="B887" s="104"/>
      <c r="D887" s="104"/>
    </row>
    <row r="888">
      <c r="B888" s="104"/>
      <c r="D888" s="104"/>
    </row>
    <row r="889">
      <c r="B889" s="104"/>
      <c r="D889" s="104"/>
    </row>
    <row r="890">
      <c r="B890" s="104"/>
      <c r="D890" s="104"/>
    </row>
    <row r="891">
      <c r="B891" s="104"/>
      <c r="D891" s="104"/>
    </row>
    <row r="892">
      <c r="B892" s="104"/>
      <c r="D892" s="104"/>
    </row>
    <row r="893">
      <c r="B893" s="104"/>
      <c r="D893" s="104"/>
    </row>
    <row r="894">
      <c r="B894" s="104"/>
      <c r="D894" s="104"/>
    </row>
    <row r="895">
      <c r="B895" s="104"/>
      <c r="D895" s="104"/>
    </row>
    <row r="896">
      <c r="B896" s="104"/>
      <c r="D896" s="104"/>
    </row>
    <row r="897">
      <c r="B897" s="104"/>
      <c r="D897" s="104"/>
    </row>
    <row r="898">
      <c r="B898" s="104"/>
      <c r="D898" s="104"/>
    </row>
    <row r="899">
      <c r="B899" s="104"/>
      <c r="D899" s="104"/>
    </row>
    <row r="900">
      <c r="B900" s="104"/>
      <c r="D900" s="104"/>
    </row>
    <row r="901">
      <c r="B901" s="104"/>
      <c r="D901" s="104"/>
    </row>
    <row r="902">
      <c r="B902" s="104"/>
      <c r="D902" s="104"/>
    </row>
    <row r="903">
      <c r="B903" s="104"/>
      <c r="D903" s="104"/>
    </row>
    <row r="904">
      <c r="B904" s="104"/>
      <c r="D904" s="104"/>
    </row>
    <row r="905">
      <c r="B905" s="104"/>
      <c r="D905" s="104"/>
    </row>
    <row r="906">
      <c r="B906" s="104"/>
      <c r="D906" s="104"/>
    </row>
    <row r="907">
      <c r="B907" s="104"/>
      <c r="D907" s="104"/>
    </row>
    <row r="908">
      <c r="B908" s="104"/>
      <c r="D908" s="104"/>
    </row>
    <row r="909">
      <c r="B909" s="104"/>
      <c r="D909" s="104"/>
    </row>
    <row r="910">
      <c r="B910" s="104"/>
      <c r="D910" s="104"/>
    </row>
    <row r="911">
      <c r="B911" s="104"/>
      <c r="D911" s="104"/>
    </row>
    <row r="912">
      <c r="B912" s="104"/>
      <c r="D912" s="104"/>
    </row>
    <row r="913">
      <c r="B913" s="104"/>
      <c r="D913" s="104"/>
    </row>
    <row r="914">
      <c r="B914" s="104"/>
      <c r="D914" s="104"/>
    </row>
    <row r="915">
      <c r="B915" s="104"/>
      <c r="D915" s="104"/>
    </row>
    <row r="916">
      <c r="B916" s="104"/>
      <c r="D916" s="104"/>
    </row>
    <row r="917">
      <c r="B917" s="104"/>
      <c r="D917" s="104"/>
    </row>
    <row r="918">
      <c r="B918" s="104"/>
      <c r="D918" s="104"/>
    </row>
    <row r="919">
      <c r="B919" s="104"/>
      <c r="D919" s="104"/>
    </row>
    <row r="920">
      <c r="B920" s="104"/>
      <c r="D920" s="104"/>
    </row>
    <row r="921">
      <c r="B921" s="104"/>
      <c r="D921" s="104"/>
    </row>
    <row r="922">
      <c r="B922" s="104"/>
      <c r="D922" s="104"/>
    </row>
    <row r="923">
      <c r="B923" s="104"/>
      <c r="D923" s="104"/>
    </row>
    <row r="924">
      <c r="B924" s="104"/>
      <c r="D924" s="104"/>
    </row>
    <row r="925">
      <c r="B925" s="104"/>
      <c r="D925" s="104"/>
    </row>
    <row r="926">
      <c r="B926" s="104"/>
      <c r="D926" s="104"/>
    </row>
    <row r="927">
      <c r="B927" s="104"/>
      <c r="D927" s="104"/>
    </row>
    <row r="928">
      <c r="B928" s="104"/>
      <c r="D928" s="104"/>
    </row>
    <row r="929">
      <c r="B929" s="104"/>
      <c r="D929" s="104"/>
    </row>
    <row r="930">
      <c r="B930" s="104"/>
      <c r="D930" s="104"/>
    </row>
    <row r="931">
      <c r="B931" s="104"/>
      <c r="D931" s="104"/>
    </row>
    <row r="932">
      <c r="B932" s="104"/>
      <c r="D932" s="104"/>
    </row>
    <row r="933">
      <c r="B933" s="104"/>
      <c r="D933" s="104"/>
    </row>
    <row r="934">
      <c r="B934" s="104"/>
      <c r="D934" s="104"/>
    </row>
    <row r="935">
      <c r="B935" s="104"/>
      <c r="D935" s="104"/>
    </row>
    <row r="936">
      <c r="B936" s="104"/>
      <c r="D936" s="104"/>
    </row>
    <row r="937">
      <c r="B937" s="104"/>
      <c r="D937" s="104"/>
    </row>
    <row r="938">
      <c r="B938" s="104"/>
      <c r="D938" s="104"/>
    </row>
    <row r="939">
      <c r="B939" s="104"/>
      <c r="D939" s="104"/>
    </row>
    <row r="940">
      <c r="B940" s="104"/>
      <c r="D940" s="104"/>
    </row>
    <row r="941">
      <c r="B941" s="104"/>
      <c r="D941" s="104"/>
    </row>
    <row r="942">
      <c r="B942" s="104"/>
      <c r="D942" s="104"/>
    </row>
    <row r="943">
      <c r="B943" s="104"/>
      <c r="D943" s="104"/>
    </row>
    <row r="944">
      <c r="B944" s="104"/>
      <c r="D944" s="104"/>
    </row>
    <row r="945">
      <c r="B945" s="104"/>
      <c r="D945" s="104"/>
    </row>
    <row r="946">
      <c r="B946" s="104"/>
      <c r="D946" s="104"/>
    </row>
    <row r="947">
      <c r="B947" s="104"/>
      <c r="D947" s="104"/>
    </row>
    <row r="948">
      <c r="B948" s="104"/>
      <c r="D948" s="104"/>
    </row>
    <row r="949">
      <c r="B949" s="104"/>
      <c r="D949" s="104"/>
    </row>
    <row r="950">
      <c r="B950" s="104"/>
      <c r="D950" s="104"/>
    </row>
    <row r="951">
      <c r="B951" s="104"/>
      <c r="D951" s="104"/>
    </row>
    <row r="952">
      <c r="B952" s="104"/>
      <c r="D952" s="104"/>
    </row>
    <row r="953">
      <c r="B953" s="104"/>
      <c r="D953" s="104"/>
    </row>
    <row r="954">
      <c r="B954" s="104"/>
      <c r="D954" s="104"/>
    </row>
    <row r="955">
      <c r="B955" s="104"/>
      <c r="D955" s="104"/>
    </row>
    <row r="956">
      <c r="B956" s="104"/>
      <c r="D956" s="104"/>
    </row>
    <row r="957">
      <c r="B957" s="104"/>
      <c r="D957" s="104"/>
    </row>
    <row r="958">
      <c r="B958" s="104"/>
      <c r="D958" s="104"/>
    </row>
    <row r="959">
      <c r="B959" s="104"/>
      <c r="D959" s="104"/>
    </row>
    <row r="960">
      <c r="B960" s="104"/>
      <c r="D960" s="104"/>
    </row>
    <row r="961">
      <c r="B961" s="104"/>
      <c r="D961" s="104"/>
    </row>
    <row r="962">
      <c r="B962" s="104"/>
      <c r="D962" s="104"/>
    </row>
    <row r="963">
      <c r="B963" s="104"/>
      <c r="D963" s="104"/>
    </row>
    <row r="964">
      <c r="B964" s="104"/>
      <c r="D964" s="104"/>
    </row>
    <row r="965">
      <c r="B965" s="104"/>
      <c r="D965" s="104"/>
    </row>
    <row r="966">
      <c r="B966" s="104"/>
      <c r="D966" s="104"/>
    </row>
    <row r="967">
      <c r="B967" s="104"/>
      <c r="D967" s="104"/>
    </row>
    <row r="968">
      <c r="B968" s="104"/>
      <c r="D968" s="104"/>
    </row>
    <row r="969">
      <c r="B969" s="104"/>
      <c r="D969" s="104"/>
    </row>
    <row r="970">
      <c r="B970" s="104"/>
      <c r="D970" s="104"/>
    </row>
    <row r="971">
      <c r="B971" s="104"/>
      <c r="D971" s="104"/>
    </row>
    <row r="972">
      <c r="B972" s="104"/>
      <c r="D972" s="104"/>
    </row>
    <row r="973">
      <c r="B973" s="104"/>
      <c r="D973" s="104"/>
    </row>
    <row r="974">
      <c r="B974" s="104"/>
      <c r="D974" s="104"/>
    </row>
    <row r="975">
      <c r="B975" s="104"/>
      <c r="D975" s="104"/>
    </row>
    <row r="976">
      <c r="B976" s="104"/>
      <c r="D976" s="104"/>
    </row>
    <row r="977">
      <c r="B977" s="104"/>
      <c r="D977" s="104"/>
    </row>
  </sheetData>
  <mergeCells count="52">
    <mergeCell ref="C2:D2"/>
    <mergeCell ref="B3:B4"/>
    <mergeCell ref="C3:D4"/>
    <mergeCell ref="C15:K15"/>
    <mergeCell ref="C16:E16"/>
    <mergeCell ref="F16:H16"/>
    <mergeCell ref="J16:K16"/>
    <mergeCell ref="D17:E17"/>
    <mergeCell ref="G17:H17"/>
    <mergeCell ref="J17:K17"/>
    <mergeCell ref="D18:E18"/>
    <mergeCell ref="G18:H18"/>
    <mergeCell ref="D19:E19"/>
    <mergeCell ref="J20:K20"/>
    <mergeCell ref="G26:H26"/>
    <mergeCell ref="G27:H27"/>
    <mergeCell ref="G28:H28"/>
    <mergeCell ref="G29:H29"/>
    <mergeCell ref="G30:H30"/>
    <mergeCell ref="G31:H31"/>
    <mergeCell ref="G19:H19"/>
    <mergeCell ref="G20:H20"/>
    <mergeCell ref="G21:H21"/>
    <mergeCell ref="G22:H22"/>
    <mergeCell ref="G23:H23"/>
    <mergeCell ref="G24:H24"/>
    <mergeCell ref="G25:H25"/>
    <mergeCell ref="J26:K26"/>
    <mergeCell ref="J27:K27"/>
    <mergeCell ref="J28:K28"/>
    <mergeCell ref="J29:K29"/>
    <mergeCell ref="J30:K30"/>
    <mergeCell ref="J31:K31"/>
    <mergeCell ref="J18:K18"/>
    <mergeCell ref="J19:K19"/>
    <mergeCell ref="J21:K21"/>
    <mergeCell ref="J22:K22"/>
    <mergeCell ref="J23:K23"/>
    <mergeCell ref="J24:K24"/>
    <mergeCell ref="J25:K25"/>
    <mergeCell ref="D27:E27"/>
    <mergeCell ref="D28:E28"/>
    <mergeCell ref="D29:E29"/>
    <mergeCell ref="D30:E30"/>
    <mergeCell ref="D31:E31"/>
    <mergeCell ref="D20:E20"/>
    <mergeCell ref="D21:E21"/>
    <mergeCell ref="D22:E22"/>
    <mergeCell ref="D23:E23"/>
    <mergeCell ref="D24:E24"/>
    <mergeCell ref="D25:E25"/>
    <mergeCell ref="D26:E26"/>
  </mergeCells>
  <conditionalFormatting sqref="C17:H31">
    <cfRule type="expression" dxfId="0" priority="1">
      <formula>if($I17="X",1,0)</formula>
    </cfRule>
  </conditionalFormatting>
  <conditionalFormatting sqref="E5:L12 N5:N11">
    <cfRule type="colorScale" priority="2">
      <colorScale>
        <cfvo type="formula" val="1"/>
        <cfvo type="formula" val="2.5"/>
        <cfvo type="formula" val="5"/>
        <color rgb="FFEA9999"/>
        <color rgb="FFFFD666"/>
        <color rgb="FF57BB8A"/>
      </colorScale>
    </cfRule>
  </conditionalFormatting>
  <conditionalFormatting sqref="E5:L12">
    <cfRule type="expression" dxfId="1" priority="3">
      <formula>if(isnumber(match(concatenate(row(E5)-4,",",column(E5)-4),$N$17:$N$31,0)),if(index($I$17:$I$31,match(concatenate(row(E5)-4,",",column(E5)-4),$N$17:$N$31,0))="X",1,0),0)</formula>
    </cfRule>
  </conditionalFormatting>
  <conditionalFormatting sqref="E5:L12">
    <cfRule type="expression" dxfId="2" priority="4">
      <formula>if(isnumber(match(concatenate(row(E5)-4,",",column(E5)-4),$N$17:$N$31,0)),1,0)</formula>
    </cfRule>
  </conditionalFormatting>
  <conditionalFormatting sqref="E5">
    <cfRule type="notContainsBlanks" dxfId="3" priority="5">
      <formula>LEN(TRIM(E5))&gt;0</formula>
    </cfRule>
  </conditionalFormatting>
  <conditionalFormatting sqref="E5">
    <cfRule type="notContainsBlanks" dxfId="3" priority="6">
      <formula>LEN(TRIM(E5))&gt;0</formula>
    </cfRule>
  </conditionalFormatting>
  <conditionalFormatting sqref="K10">
    <cfRule type="notContainsBlanks" dxfId="3" priority="7">
      <formula>LEN(TRIM(K10))&gt;0</formula>
    </cfRule>
  </conditionalFormatting>
  <dataValidations>
    <dataValidation type="list" allowBlank="1" showErrorMessage="1" sqref="I17:I31">
      <formula1>"X"</formula1>
    </dataValidation>
    <dataValidation type="list" allowBlank="1" showErrorMessage="1" sqref="G17:G31">
      <formula1>Titan_Exotics_Class2</formula1>
    </dataValidation>
    <dataValidation type="list" allowBlank="1" showErrorMessage="1" sqref="D17:D31">
      <formula1>Titan_Exotics_Class1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showGridLines="0" workbookViewId="0"/>
  </sheetViews>
  <sheetFormatPr customHeight="1" defaultColWidth="12.63" defaultRowHeight="15.75"/>
  <cols>
    <col customWidth="1" min="1" max="1" width="2.63"/>
    <col customWidth="1" min="2" max="2" width="34.5"/>
    <col customWidth="1" min="3" max="3" width="6.38"/>
    <col customWidth="1" min="13" max="13" width="3.25"/>
    <col customWidth="1" min="14" max="16" width="12.63"/>
    <col customWidth="1" min="17" max="17" width="48.88"/>
  </cols>
  <sheetData>
    <row r="1">
      <c r="B1" s="39"/>
      <c r="C1" s="40"/>
      <c r="D1" s="40"/>
      <c r="E1" s="41"/>
      <c r="F1" s="41"/>
      <c r="G1" s="41"/>
      <c r="H1" s="41"/>
      <c r="I1" s="41"/>
      <c r="J1" s="41"/>
      <c r="K1" s="41"/>
      <c r="L1" s="41"/>
    </row>
    <row r="2">
      <c r="B2" s="164" t="s">
        <v>100</v>
      </c>
      <c r="C2" s="137" t="s">
        <v>19</v>
      </c>
      <c r="D2" s="52"/>
      <c r="E2" s="165" t="s">
        <v>20</v>
      </c>
      <c r="F2" s="166" t="s">
        <v>21</v>
      </c>
      <c r="G2" s="167" t="s">
        <v>22</v>
      </c>
      <c r="H2" s="167" t="s">
        <v>101</v>
      </c>
      <c r="I2" s="167" t="s">
        <v>102</v>
      </c>
      <c r="J2" s="167" t="s">
        <v>103</v>
      </c>
      <c r="K2" s="167" t="s">
        <v>104</v>
      </c>
      <c r="L2" s="168" t="s">
        <v>105</v>
      </c>
    </row>
    <row r="3" ht="37.5" customHeight="1">
      <c r="B3" s="50" t="s">
        <v>19</v>
      </c>
      <c r="C3" s="169" t="str">
        <f>image("https://images.contentstack.io/v3/assets/blte410e3b15535c144/blt2c1f2afc2549150b/6613c617470f7173f36155a8/2024_TFS_Dev_Preview_Press_Kit_Gear_COMPRESSED_002.jpg")</f>
        <v/>
      </c>
      <c r="D3" s="52"/>
      <c r="E3" s="53" t="str">
        <f>image("https://www.bungie.net/common/destiny2_content/icons/b29ab6e87ec85bac4563f3d3a432c451.png")</f>
        <v/>
      </c>
      <c r="F3" s="54" t="str">
        <f>image("https://www.bungie.net/common/destiny2_content/icons/640d76fb6ab52e290116455379194b07.png")</f>
        <v/>
      </c>
      <c r="G3" s="55" t="str">
        <f>image("https://www.bungie.net/common/destiny2_content/icons/9732f284c71054229671287ab43444b7.png")</f>
        <v/>
      </c>
      <c r="H3" s="55" t="str">
        <f>image("https://www.bungie.net/common/destiny2_content/icons/ff55cfecf4c70924d0894b1d8a442a18.png")</f>
        <v/>
      </c>
      <c r="I3" s="55" t="str">
        <f>image("https://www.bungie.net/common/destiny2_content/icons/675540240cef9fc9e047d9f9d20a0722.png")</f>
        <v/>
      </c>
      <c r="J3" s="55" t="str">
        <f>image("https://www.bungie.net/common/destiny2_content/icons/18c3e0503b1c9cd823dde3ded3680f8d.png")</f>
        <v/>
      </c>
      <c r="K3" s="55" t="str">
        <f>image("https://www.bungie.net/common/destiny2_content/icons/2c51c7358ab1de58c11edc89b5573e84.png")</f>
        <v/>
      </c>
      <c r="L3" s="56" t="str">
        <f>image("https://www.bungie.net/common/destiny2_content/icons/569a1a4cbdd7a014159ebdf304c8a9b5.png")</f>
        <v/>
      </c>
    </row>
    <row r="4">
      <c r="B4" s="57"/>
      <c r="C4" s="57"/>
      <c r="D4" s="58"/>
      <c r="E4" s="59" t="s">
        <v>28</v>
      </c>
      <c r="F4" s="60" t="s">
        <v>29</v>
      </c>
      <c r="G4" s="61" t="s">
        <v>30</v>
      </c>
      <c r="H4" s="61" t="s">
        <v>106</v>
      </c>
      <c r="I4" s="61" t="s">
        <v>107</v>
      </c>
      <c r="J4" s="61" t="s">
        <v>108</v>
      </c>
      <c r="K4" s="61" t="s">
        <v>109</v>
      </c>
      <c r="L4" s="170" t="s">
        <v>110</v>
      </c>
      <c r="N4" s="65" t="s">
        <v>36</v>
      </c>
      <c r="O4" s="66" t="s">
        <v>4</v>
      </c>
      <c r="P4" s="67" t="s">
        <v>37</v>
      </c>
    </row>
    <row r="5" ht="37.5" customHeight="1">
      <c r="B5" s="69" t="s">
        <v>38</v>
      </c>
      <c r="C5" s="70" t="str">
        <f>image("https://www.bungie.net/common/destiny2_content/icons/961559205e83e96cd590b34c28efadb7.png")</f>
        <v/>
      </c>
      <c r="D5" s="71" t="s">
        <v>39</v>
      </c>
      <c r="E5" s="72">
        <v>3.0</v>
      </c>
      <c r="F5" s="73">
        <v>4.0</v>
      </c>
      <c r="G5" s="73">
        <v>1.0</v>
      </c>
      <c r="H5" s="73">
        <v>1.0</v>
      </c>
      <c r="I5" s="73">
        <v>3.0</v>
      </c>
      <c r="J5" s="73">
        <v>1.0</v>
      </c>
      <c r="K5" s="73">
        <v>3.0</v>
      </c>
      <c r="L5" s="74">
        <v>4.0</v>
      </c>
      <c r="N5" s="75">
        <v>1.0</v>
      </c>
      <c r="O5" s="76" t="s">
        <v>40</v>
      </c>
      <c r="P5" s="77">
        <f t="shared" ref="P5:P9" si="1">countif($E$5:$L$12,N5)</f>
        <v>9</v>
      </c>
      <c r="S5" s="171"/>
      <c r="T5" s="171"/>
    </row>
    <row r="6" ht="37.5" customHeight="1">
      <c r="B6" s="78" t="s">
        <v>41</v>
      </c>
      <c r="C6" s="79" t="str">
        <f>image("https://www.bungie.net/common/destiny2_content/icons/51756fc7603bd72a83d1859d8c33f0b9.png")</f>
        <v/>
      </c>
      <c r="D6" s="172" t="s">
        <v>42</v>
      </c>
      <c r="E6" s="81">
        <v>5.0</v>
      </c>
      <c r="F6" s="82">
        <v>5.0</v>
      </c>
      <c r="G6" s="82">
        <v>5.0</v>
      </c>
      <c r="H6" s="82">
        <v>4.0</v>
      </c>
      <c r="I6" s="82">
        <v>4.0</v>
      </c>
      <c r="J6" s="82">
        <v>3.0</v>
      </c>
      <c r="K6" s="82">
        <v>5.0</v>
      </c>
      <c r="L6" s="83">
        <v>4.0</v>
      </c>
      <c r="N6" s="84">
        <v>2.0</v>
      </c>
      <c r="O6" s="85" t="s">
        <v>43</v>
      </c>
      <c r="P6" s="86">
        <f t="shared" si="1"/>
        <v>12</v>
      </c>
    </row>
    <row r="7" ht="37.5" customHeight="1">
      <c r="B7" s="87" t="s">
        <v>44</v>
      </c>
      <c r="C7" s="88" t="str">
        <f>image("https://www.bungie.net/common/destiny2_content/icons/3945ff76d8e7ec70991cb0f6601c6797.png")</f>
        <v/>
      </c>
      <c r="D7" s="89" t="s">
        <v>45</v>
      </c>
      <c r="E7" s="81">
        <v>4.0</v>
      </c>
      <c r="F7" s="82">
        <v>2.0</v>
      </c>
      <c r="G7" s="82">
        <v>1.0</v>
      </c>
      <c r="H7" s="82">
        <v>1.0</v>
      </c>
      <c r="I7" s="82">
        <v>3.0</v>
      </c>
      <c r="J7" s="82">
        <v>1.0</v>
      </c>
      <c r="K7" s="82">
        <v>1.0</v>
      </c>
      <c r="L7" s="83">
        <v>1.0</v>
      </c>
      <c r="N7" s="84">
        <v>3.0</v>
      </c>
      <c r="O7" s="85" t="s">
        <v>46</v>
      </c>
      <c r="P7" s="86">
        <f t="shared" si="1"/>
        <v>16</v>
      </c>
    </row>
    <row r="8" ht="37.5" customHeight="1">
      <c r="B8" s="87" t="s">
        <v>111</v>
      </c>
      <c r="C8" s="88" t="str">
        <f>image("https://www.bungie.net/common/destiny2_content/icons/c4f95301370c59ab4d7ce34825e83305.png")</f>
        <v/>
      </c>
      <c r="D8" s="89" t="s">
        <v>112</v>
      </c>
      <c r="E8" s="81">
        <v>3.0</v>
      </c>
      <c r="F8" s="82">
        <v>2.0</v>
      </c>
      <c r="G8" s="82">
        <v>2.0</v>
      </c>
      <c r="H8" s="82">
        <v>4.0</v>
      </c>
      <c r="I8" s="82">
        <v>3.0</v>
      </c>
      <c r="J8" s="82">
        <v>3.0</v>
      </c>
      <c r="K8" s="82">
        <v>3.0</v>
      </c>
      <c r="L8" s="83">
        <v>2.0</v>
      </c>
      <c r="N8" s="84">
        <v>4.0</v>
      </c>
      <c r="O8" s="85" t="s">
        <v>49</v>
      </c>
      <c r="P8" s="86">
        <f t="shared" si="1"/>
        <v>19</v>
      </c>
    </row>
    <row r="9" ht="37.5" customHeight="1">
      <c r="B9" s="87" t="s">
        <v>113</v>
      </c>
      <c r="C9" s="88" t="str">
        <f>image("https://www.bungie.net/common/destiny2_content/icons/1d4c0be6150c4ca71bc7add447c5d86c.png")</f>
        <v/>
      </c>
      <c r="D9" s="89" t="s">
        <v>114</v>
      </c>
      <c r="E9" s="81">
        <v>3.0</v>
      </c>
      <c r="F9" s="82">
        <v>2.0</v>
      </c>
      <c r="G9" s="82">
        <v>4.0</v>
      </c>
      <c r="H9" s="82">
        <v>4.0</v>
      </c>
      <c r="I9" s="82">
        <v>4.0</v>
      </c>
      <c r="J9" s="82">
        <v>4.0</v>
      </c>
      <c r="K9" s="82">
        <v>1.0</v>
      </c>
      <c r="L9" s="83">
        <v>2.0</v>
      </c>
      <c r="N9" s="92">
        <v>5.0</v>
      </c>
      <c r="O9" s="93" t="s">
        <v>52</v>
      </c>
      <c r="P9" s="94">
        <f t="shared" si="1"/>
        <v>8</v>
      </c>
    </row>
    <row r="10" ht="37.5" customHeight="1">
      <c r="B10" s="87" t="s">
        <v>115</v>
      </c>
      <c r="C10" s="88" t="str">
        <f>image("https://www.bungie.net/common/destiny2_content/icons/4c1a349c2723d3aa84598da98c7a8805.png")</f>
        <v/>
      </c>
      <c r="D10" s="89" t="s">
        <v>116</v>
      </c>
      <c r="E10" s="81">
        <v>4.0</v>
      </c>
      <c r="F10" s="82">
        <v>4.0</v>
      </c>
      <c r="G10" s="82">
        <v>2.0</v>
      </c>
      <c r="H10" s="82">
        <v>2.0</v>
      </c>
      <c r="I10" s="82">
        <v>3.0</v>
      </c>
      <c r="J10" s="82">
        <v>2.0</v>
      </c>
      <c r="K10" s="82">
        <v>3.0</v>
      </c>
      <c r="L10" s="83">
        <v>5.0</v>
      </c>
      <c r="N10" s="95">
        <v>5.0</v>
      </c>
      <c r="O10" s="85" t="s">
        <v>55</v>
      </c>
      <c r="P10" s="86">
        <f>sumproduct(--($D$17:$D$31&gt;0),--($G$17:$G$31&gt;0),--($I$17:$I$31=0))</f>
        <v>14</v>
      </c>
    </row>
    <row r="11" ht="37.5" customHeight="1">
      <c r="B11" s="87" t="s">
        <v>117</v>
      </c>
      <c r="C11" s="88" t="str">
        <f>image("https://www.bungie.net/common/destiny2_content/icons/81b6412d2d6784891dd7ddad764891cc.png")</f>
        <v/>
      </c>
      <c r="D11" s="89" t="s">
        <v>118</v>
      </c>
      <c r="E11" s="81">
        <v>4.0</v>
      </c>
      <c r="F11" s="82">
        <v>3.0</v>
      </c>
      <c r="G11" s="82">
        <v>5.0</v>
      </c>
      <c r="H11" s="82">
        <v>3.0</v>
      </c>
      <c r="I11" s="82">
        <v>4.0</v>
      </c>
      <c r="J11" s="82">
        <v>4.0</v>
      </c>
      <c r="K11" s="82">
        <v>4.0</v>
      </c>
      <c r="L11" s="83">
        <v>3.0</v>
      </c>
      <c r="N11" s="97">
        <v>5.0</v>
      </c>
      <c r="O11" s="93" t="s">
        <v>58</v>
      </c>
      <c r="P11" s="94">
        <f>sumproduct(--($D$17:$D$31&gt;0),--($G$17:$G$31&gt;0),--($I$17:$I$31&gt;0))</f>
        <v>0</v>
      </c>
      <c r="T11" s="173">
        <v>9.0</v>
      </c>
    </row>
    <row r="12" ht="37.5" customHeight="1">
      <c r="B12" s="174" t="s">
        <v>119</v>
      </c>
      <c r="C12" s="99" t="str">
        <f>image("https://www.bungie.net/common/destiny2_content/icons/5ca9d0fa8f6c97999ac5927c679401af.png")</f>
        <v/>
      </c>
      <c r="D12" s="175" t="s">
        <v>120</v>
      </c>
      <c r="E12" s="101">
        <v>5.0</v>
      </c>
      <c r="F12" s="102">
        <v>4.0</v>
      </c>
      <c r="G12" s="102">
        <v>4.0</v>
      </c>
      <c r="H12" s="102">
        <v>3.0</v>
      </c>
      <c r="I12" s="102">
        <v>5.0</v>
      </c>
      <c r="J12" s="102">
        <v>2.0</v>
      </c>
      <c r="K12" s="102">
        <v>2.0</v>
      </c>
      <c r="L12" s="103">
        <v>2.0</v>
      </c>
      <c r="T12" s="105" t="s">
        <v>121</v>
      </c>
    </row>
    <row r="13">
      <c r="B13" s="104"/>
      <c r="T13" s="105" t="s">
        <v>122</v>
      </c>
    </row>
    <row r="14">
      <c r="B14" s="104"/>
      <c r="O14" s="105"/>
      <c r="T14" s="105" t="s">
        <v>123</v>
      </c>
    </row>
    <row r="15">
      <c r="B15" s="104"/>
      <c r="C15" s="176" t="s">
        <v>124</v>
      </c>
      <c r="D15" s="107"/>
      <c r="E15" s="107"/>
      <c r="F15" s="107"/>
      <c r="G15" s="107"/>
      <c r="H15" s="107"/>
      <c r="I15" s="107"/>
      <c r="J15" s="107"/>
      <c r="K15" s="108"/>
      <c r="Q15" s="109" t="s">
        <v>62</v>
      </c>
      <c r="T15" s="105" t="s">
        <v>125</v>
      </c>
    </row>
    <row r="16">
      <c r="B16" s="104"/>
      <c r="C16" s="110" t="s">
        <v>63</v>
      </c>
      <c r="D16" s="111"/>
      <c r="E16" s="112"/>
      <c r="F16" s="110" t="s">
        <v>64</v>
      </c>
      <c r="G16" s="111"/>
      <c r="H16" s="113"/>
      <c r="I16" s="114" t="s">
        <v>65</v>
      </c>
      <c r="J16" s="115" t="s">
        <v>66</v>
      </c>
      <c r="K16" s="44"/>
      <c r="N16" s="109" t="s">
        <v>67</v>
      </c>
      <c r="Q16" s="116">
        <v>2.273643087E9</v>
      </c>
      <c r="T16" s="105" t="s">
        <v>126</v>
      </c>
    </row>
    <row r="17" ht="37.5" customHeight="1">
      <c r="B17" s="104"/>
      <c r="C17" s="117" t="str">
        <f t="array" ref="C17">index(Warlock_Exotics_Class1_Icon,match(D17,Warlock_Exotics_Class1,0))</f>
        <v/>
      </c>
      <c r="D17" s="118" t="s">
        <v>118</v>
      </c>
      <c r="E17" s="112"/>
      <c r="F17" s="119" t="str">
        <f t="array" ref="F17">index(Warlock_Exotics_Class2_Icon,match(G17,Warlock_Exotics_Class2,0))</f>
        <v/>
      </c>
      <c r="G17" s="118" t="s">
        <v>30</v>
      </c>
      <c r="H17" s="44"/>
      <c r="I17" s="120"/>
      <c r="J17" s="177"/>
      <c r="K17" s="44"/>
      <c r="N17" s="122" t="str">
        <f t="shared" ref="N17:N31" si="2">concatenate(match(D17,$D$5:$D$12,0),",",match(G17,$E$4:$L$4,0))</f>
        <v>7,3</v>
      </c>
      <c r="O17" s="122"/>
      <c r="Q17" s="123" t="str">
        <f t="array" ref="Q17">if(or(D17=0,G17=0),"", concatenate("dimwishlist:item=",Q$16,"&amp;perks=",index(Warlock_Exotics_Class1_ID,match(D17,Warlock_Exotics_Class1,0)),",",index(Warlock_Exotics_Class2_ID,match(G17,Warlock_Exotics_Class2,0))))</f>
        <v>dimwishlist:item=2273643087&amp;perks=183430253,1476923957</v>
      </c>
      <c r="T17" s="105" t="s">
        <v>127</v>
      </c>
    </row>
    <row r="18" ht="37.5" customHeight="1">
      <c r="B18" s="104"/>
      <c r="C18" s="117" t="str">
        <f t="array" ref="C18">index(Warlock_Exotics_Class1_Icon,match(D18,Warlock_Exotics_Class1,0))</f>
        <v/>
      </c>
      <c r="D18" s="124" t="s">
        <v>118</v>
      </c>
      <c r="E18" s="125"/>
      <c r="F18" s="119" t="str">
        <f t="array" ref="F18">index(Warlock_Exotics_Class2_Icon,match(G18,Warlock_Exotics_Class2,0))</f>
        <v/>
      </c>
      <c r="G18" s="124" t="s">
        <v>109</v>
      </c>
      <c r="H18" s="58"/>
      <c r="I18" s="126"/>
      <c r="J18" s="177"/>
      <c r="K18" s="44"/>
      <c r="N18" s="122" t="str">
        <f t="shared" si="2"/>
        <v>7,7</v>
      </c>
      <c r="O18" s="122"/>
      <c r="Q18" s="123" t="str">
        <f t="array" ref="Q18">if(or(D18=0,G18=0),"", concatenate("dimwishlist:item=",Q$16,"&amp;perks=",index(Warlock_Exotics_Class1_ID,match(D18,Warlock_Exotics_Class1,0)),",",index(Warlock_Exotics_Class2_ID,match(G18,Warlock_Exotics_Class2,0))))</f>
        <v>dimwishlist:item=2273643087&amp;perks=183430253,183430246</v>
      </c>
      <c r="T18" s="105" t="s">
        <v>128</v>
      </c>
    </row>
    <row r="19" ht="37.5" customHeight="1">
      <c r="B19" s="104"/>
      <c r="C19" s="117" t="str">
        <f t="array" ref="C19">index(Warlock_Exotics_Class1_Icon,match(D19,Warlock_Exotics_Class1,0))</f>
        <v/>
      </c>
      <c r="D19" s="124" t="s">
        <v>42</v>
      </c>
      <c r="E19" s="125"/>
      <c r="F19" s="119" t="str">
        <f t="array" ref="F19">index(Warlock_Exotics_Class2_Icon,match(G19,Warlock_Exotics_Class2,0))</f>
        <v/>
      </c>
      <c r="G19" s="124" t="s">
        <v>30</v>
      </c>
      <c r="H19" s="58"/>
      <c r="I19" s="126"/>
      <c r="J19" s="177"/>
      <c r="K19" s="44"/>
      <c r="N19" s="122" t="str">
        <f t="shared" si="2"/>
        <v>2,3</v>
      </c>
      <c r="O19" s="122"/>
      <c r="Q19" s="123" t="str">
        <f t="array" ref="Q19">if(or(D19=0,G19=0),"", concatenate("dimwishlist:item=",Q$16,"&amp;perks=",index(Warlock_Exotics_Class1_ID,match(D19,Warlock_Exotics_Class1,0)),",",index(Warlock_Exotics_Class2_ID,match(G19,Warlock_Exotics_Class2,0))))</f>
        <v>dimwishlist:item=2273643087&amp;perks=1476923953,1476923957</v>
      </c>
    </row>
    <row r="20" ht="37.5" customHeight="1">
      <c r="B20" s="104"/>
      <c r="C20" s="117" t="str">
        <f t="array" ref="C20">index(Warlock_Exotics_Class1_Icon,match(D20,Warlock_Exotics_Class1,0))</f>
        <v/>
      </c>
      <c r="D20" s="124" t="s">
        <v>118</v>
      </c>
      <c r="E20" s="125"/>
      <c r="F20" s="119" t="str">
        <f t="array" ref="F20">index(Warlock_Exotics_Class2_Icon,match(G20,Warlock_Exotics_Class2,0))</f>
        <v/>
      </c>
      <c r="G20" s="124" t="s">
        <v>108</v>
      </c>
      <c r="H20" s="58"/>
      <c r="I20" s="126"/>
      <c r="J20" s="177"/>
      <c r="K20" s="44"/>
      <c r="N20" s="122" t="str">
        <f t="shared" si="2"/>
        <v>7,6</v>
      </c>
      <c r="O20" s="122"/>
      <c r="Q20" s="123" t="str">
        <f t="array" ref="Q20">if(or(D20=0,G20=0),"", concatenate("dimwishlist:item=",Q$16,"&amp;perks=",index(Warlock_Exotics_Class1_ID,match(D20,Warlock_Exotics_Class1,0)),",",index(Warlock_Exotics_Class2_ID,match(G20,Warlock_Exotics_Class2,0))))</f>
        <v>dimwishlist:item=2273643087&amp;perks=183430253,183430249</v>
      </c>
    </row>
    <row r="21" ht="37.5" customHeight="1">
      <c r="B21" s="104"/>
      <c r="C21" s="117" t="str">
        <f t="array" ref="C21">index(Warlock_Exotics_Class1_Icon,match(D21,Warlock_Exotics_Class1,0))</f>
        <v/>
      </c>
      <c r="D21" s="124" t="s">
        <v>120</v>
      </c>
      <c r="E21" s="125"/>
      <c r="F21" s="119" t="str">
        <f t="array" ref="F21">index(Warlock_Exotics_Class2_Icon,match(G21,Warlock_Exotics_Class2,0))</f>
        <v/>
      </c>
      <c r="G21" s="124" t="s">
        <v>28</v>
      </c>
      <c r="H21" s="58"/>
      <c r="I21" s="161"/>
      <c r="J21" s="177"/>
      <c r="K21" s="44"/>
      <c r="N21" s="122" t="str">
        <f t="shared" si="2"/>
        <v>8,1</v>
      </c>
      <c r="O21" s="122"/>
      <c r="Q21" s="123" t="str">
        <f t="array" ref="Q21">if(or(D21=0,G21=0),"", concatenate("dimwishlist:item=",Q$16,"&amp;perks=",index(Warlock_Exotics_Class1_ID,match(D21,Warlock_Exotics_Class1,0)),",",index(Warlock_Exotics_Class2_ID,match(G21,Warlock_Exotics_Class2,0))))</f>
        <v>dimwishlist:item=2273643087&amp;perks=183430250,1476923955</v>
      </c>
    </row>
    <row r="22" ht="37.5" customHeight="1">
      <c r="B22" s="104"/>
      <c r="C22" s="117" t="str">
        <f t="array" ref="C22">index(Warlock_Exotics_Class1_Icon,match(D22,Warlock_Exotics_Class1,0))</f>
        <v/>
      </c>
      <c r="D22" s="124" t="s">
        <v>118</v>
      </c>
      <c r="E22" s="125"/>
      <c r="F22" s="119" t="str">
        <f t="array" ref="F22">index(Warlock_Exotics_Class2_Icon,match(G22,Warlock_Exotics_Class2,0))</f>
        <v/>
      </c>
      <c r="G22" s="124" t="s">
        <v>28</v>
      </c>
      <c r="H22" s="58"/>
      <c r="I22" s="126"/>
      <c r="J22" s="177"/>
      <c r="K22" s="44"/>
      <c r="N22" s="122" t="str">
        <f t="shared" si="2"/>
        <v>7,1</v>
      </c>
      <c r="O22" s="122"/>
      <c r="Q22" s="123" t="str">
        <f t="array" ref="Q22">if(or(D22=0,G22=0),"", concatenate("dimwishlist:item=",Q$16,"&amp;perks=",index(Warlock_Exotics_Class1_ID,match(D22,Warlock_Exotics_Class1,0)),",",index(Warlock_Exotics_Class2_ID,match(G22,Warlock_Exotics_Class2,0))))</f>
        <v>dimwishlist:item=2273643087&amp;perks=183430253,1476923955</v>
      </c>
    </row>
    <row r="23" ht="37.5" customHeight="1">
      <c r="B23" s="104"/>
      <c r="C23" s="117" t="str">
        <f t="array" ref="C23">index(Warlock_Exotics_Class1_Icon,match(D23,Warlock_Exotics_Class1,0))</f>
        <v/>
      </c>
      <c r="D23" s="124" t="s">
        <v>114</v>
      </c>
      <c r="E23" s="125"/>
      <c r="F23" s="119" t="str">
        <f t="array" ref="F23">index(Warlock_Exotics_Class2_Icon,match(G23,Warlock_Exotics_Class2,0))</f>
        <v/>
      </c>
      <c r="G23" s="124" t="s">
        <v>108</v>
      </c>
      <c r="H23" s="58"/>
      <c r="I23" s="126"/>
      <c r="J23" s="177"/>
      <c r="K23" s="44"/>
      <c r="N23" s="122" t="str">
        <f t="shared" si="2"/>
        <v>5,6</v>
      </c>
      <c r="O23" s="122"/>
      <c r="Q23" s="123" t="str">
        <f t="array" ref="Q23">if(or(D23=0,G23=0),"", concatenate("dimwishlist:item=",Q$16,"&amp;perks=",index(Warlock_Exotics_Class1_ID,match(D23,Warlock_Exotics_Class1,0)),",",index(Warlock_Exotics_Class2_ID,match(G23,Warlock_Exotics_Class2,0))))</f>
        <v>dimwishlist:item=2273643087&amp;perks=183430255,183430249</v>
      </c>
    </row>
    <row r="24" ht="37.5" customHeight="1">
      <c r="B24" s="104"/>
      <c r="C24" s="117" t="str">
        <f t="array" ref="C24">index(Warlock_Exotics_Class1_Icon,match(D24,Warlock_Exotics_Class1,0))</f>
        <v/>
      </c>
      <c r="D24" s="124" t="s">
        <v>116</v>
      </c>
      <c r="E24" s="125"/>
      <c r="F24" s="119" t="str">
        <f t="array" ref="F24">index(Warlock_Exotics_Class2_Icon,match(G24,Warlock_Exotics_Class2,0))</f>
        <v/>
      </c>
      <c r="G24" s="124" t="s">
        <v>110</v>
      </c>
      <c r="H24" s="58"/>
      <c r="I24" s="126"/>
      <c r="J24" s="177"/>
      <c r="K24" s="44"/>
      <c r="N24" s="122" t="str">
        <f t="shared" si="2"/>
        <v>6,8</v>
      </c>
      <c r="O24" s="122"/>
      <c r="Q24" s="123" t="str">
        <f t="array" ref="Q24">if(or(D24=0,G24=0),"", concatenate("dimwishlist:item=",Q$16,"&amp;perks=",index(Warlock_Exotics_Class1_ID,match(D24,Warlock_Exotics_Class1,0)),",",index(Warlock_Exotics_Class2_ID,match(G24,Warlock_Exotics_Class2,0))))</f>
        <v>dimwishlist:item=2273643087&amp;perks=183430252,183430247</v>
      </c>
    </row>
    <row r="25" ht="37.5" customHeight="1">
      <c r="B25" s="104"/>
      <c r="C25" s="117" t="str">
        <f t="array" ref="C25">index(Warlock_Exotics_Class1_Icon,match(D25,Warlock_Exotics_Class1,0))</f>
        <v/>
      </c>
      <c r="D25" s="124" t="s">
        <v>120</v>
      </c>
      <c r="E25" s="125"/>
      <c r="F25" s="119" t="str">
        <f t="array" ref="F25">index(Warlock_Exotics_Class2_Icon,match(G25,Warlock_Exotics_Class2,0))</f>
        <v/>
      </c>
      <c r="G25" s="124" t="s">
        <v>109</v>
      </c>
      <c r="H25" s="58"/>
      <c r="I25" s="126"/>
      <c r="J25" s="177"/>
      <c r="K25" s="44"/>
      <c r="N25" s="122" t="str">
        <f t="shared" si="2"/>
        <v>8,7</v>
      </c>
      <c r="O25" s="122"/>
      <c r="Q25" s="123" t="str">
        <f t="array" ref="Q25">if(or(D25=0,G25=0),"", concatenate("dimwishlist:item=",Q$16,"&amp;perks=",index(Warlock_Exotics_Class1_ID,match(D25,Warlock_Exotics_Class1,0)),",",index(Warlock_Exotics_Class2_ID,match(G25,Warlock_Exotics_Class2,0))))</f>
        <v>dimwishlist:item=2273643087&amp;perks=183430250,183430246</v>
      </c>
    </row>
    <row r="26" ht="37.5" customHeight="1">
      <c r="B26" s="104"/>
      <c r="C26" s="117" t="str">
        <f t="array" ref="C26">index(Warlock_Exotics_Class1_Icon,match(D26,Warlock_Exotics_Class1,0))</f>
        <v/>
      </c>
      <c r="D26" s="124" t="s">
        <v>116</v>
      </c>
      <c r="E26" s="125"/>
      <c r="F26" s="119" t="str">
        <f t="array" ref="F26">index(Warlock_Exotics_Class2_Icon,match(G26,Warlock_Exotics_Class2,0))</f>
        <v/>
      </c>
      <c r="G26" s="124" t="s">
        <v>28</v>
      </c>
      <c r="H26" s="58"/>
      <c r="I26" s="126"/>
      <c r="J26" s="177"/>
      <c r="K26" s="44"/>
      <c r="N26" s="122" t="str">
        <f t="shared" si="2"/>
        <v>6,1</v>
      </c>
      <c r="O26" s="122"/>
      <c r="Q26" s="123" t="str">
        <f t="array" ref="Q26">if(or(D26=0,G26=0),"", concatenate("dimwishlist:item=",Q$16,"&amp;perks=",index(Warlock_Exotics_Class1_ID,match(D26,Warlock_Exotics_Class1,0)),",",index(Warlock_Exotics_Class2_ID,match(G26,Warlock_Exotics_Class2,0))))</f>
        <v>dimwishlist:item=2273643087&amp;perks=183430252,1476923955</v>
      </c>
    </row>
    <row r="27" ht="37.5" customHeight="1">
      <c r="B27" s="104"/>
      <c r="C27" s="117" t="str">
        <f t="array" ref="C27">index(Warlock_Exotics_Class1_Icon,match(D27,Warlock_Exotics_Class1,0))</f>
        <v/>
      </c>
      <c r="D27" s="124" t="s">
        <v>118</v>
      </c>
      <c r="E27" s="125"/>
      <c r="F27" s="119" t="str">
        <f t="array" ref="F27">index(Warlock_Exotics_Class2_Icon,match(G27,Warlock_Exotics_Class2,0))</f>
        <v/>
      </c>
      <c r="G27" s="124" t="s">
        <v>107</v>
      </c>
      <c r="H27" s="58"/>
      <c r="I27" s="126"/>
      <c r="J27" s="177"/>
      <c r="K27" s="44"/>
      <c r="N27" s="122" t="str">
        <f t="shared" si="2"/>
        <v>7,5</v>
      </c>
      <c r="O27" s="122"/>
      <c r="Q27" s="123" t="str">
        <f t="array" ref="Q27">if(or(D27=0,G27=0),"", concatenate("dimwishlist:item=",Q$16,"&amp;perks=",index(Warlock_Exotics_Class1_ID,match(D27,Warlock_Exotics_Class1,0)),",",index(Warlock_Exotics_Class2_ID,match(G27,Warlock_Exotics_Class2,0))))</f>
        <v>dimwishlist:item=2273643087&amp;perks=183430253,183430254</v>
      </c>
    </row>
    <row r="28" ht="37.5" customHeight="1">
      <c r="B28" s="104"/>
      <c r="C28" s="117" t="str">
        <f t="array" ref="C28">index(Warlock_Exotics_Class1_Icon,match(D28,Warlock_Exotics_Class1,0))</f>
        <v/>
      </c>
      <c r="D28" s="124" t="s">
        <v>120</v>
      </c>
      <c r="E28" s="125"/>
      <c r="F28" s="119" t="str">
        <f t="array" ref="F28">index(Warlock_Exotics_Class2_Icon,match(G28,Warlock_Exotics_Class2,0))</f>
        <v/>
      </c>
      <c r="G28" s="124" t="s">
        <v>107</v>
      </c>
      <c r="H28" s="58"/>
      <c r="I28" s="126"/>
      <c r="J28" s="177"/>
      <c r="K28" s="44"/>
      <c r="N28" s="122" t="str">
        <f t="shared" si="2"/>
        <v>8,5</v>
      </c>
      <c r="O28" s="122"/>
      <c r="Q28" s="123" t="str">
        <f t="array" ref="Q28">if(or(D28=0,G28=0),"", concatenate("dimwishlist:item=",Q$16,"&amp;perks=",index(Warlock_Exotics_Class1_ID,match(D28,Warlock_Exotics_Class1,0)),",",index(Warlock_Exotics_Class2_ID,match(G28,Warlock_Exotics_Class2,0))))</f>
        <v>dimwishlist:item=2273643087&amp;perks=183430250,183430254</v>
      </c>
    </row>
    <row r="29" ht="37.5" customHeight="1">
      <c r="B29" s="104"/>
      <c r="C29" s="117" t="str">
        <f t="array" ref="C29">index(Warlock_Exotics_Class1_Icon,match(D29,Warlock_Exotics_Class1,0))</f>
        <v/>
      </c>
      <c r="D29" s="124" t="s">
        <v>116</v>
      </c>
      <c r="E29" s="125"/>
      <c r="F29" s="119" t="str">
        <f t="array" ref="F29">index(Warlock_Exotics_Class2_Icon,match(G29,Warlock_Exotics_Class2,0))</f>
        <v/>
      </c>
      <c r="G29" s="124" t="s">
        <v>29</v>
      </c>
      <c r="H29" s="58"/>
      <c r="I29" s="126"/>
      <c r="J29" s="177"/>
      <c r="K29" s="44"/>
      <c r="N29" s="122" t="str">
        <f t="shared" si="2"/>
        <v>6,2</v>
      </c>
      <c r="O29" s="122"/>
      <c r="Q29" s="123" t="str">
        <f t="array" ref="Q29">if(or(D29=0,G29=0),"", concatenate("dimwishlist:item=",Q$16,"&amp;perks=",index(Warlock_Exotics_Class1_ID,match(D29,Warlock_Exotics_Class1,0)),",",index(Warlock_Exotics_Class2_ID,match(G29,Warlock_Exotics_Class2,0))))</f>
        <v>dimwishlist:item=2273643087&amp;perks=183430252,1476923956</v>
      </c>
    </row>
    <row r="30" ht="37.5" customHeight="1">
      <c r="B30" s="104"/>
      <c r="C30" s="117" t="str">
        <f t="array" ref="C30">index(Warlock_Exotics_Class1_Icon,match(D30,Warlock_Exotics_Class1,0))</f>
        <v/>
      </c>
      <c r="D30" s="124" t="s">
        <v>42</v>
      </c>
      <c r="E30" s="125"/>
      <c r="F30" s="119" t="str">
        <f t="array" ref="F30">index(Warlock_Exotics_Class2_Icon,match(G30,Warlock_Exotics_Class2,0))</f>
        <v/>
      </c>
      <c r="G30" s="124" t="s">
        <v>30</v>
      </c>
      <c r="H30" s="58"/>
      <c r="I30" s="126"/>
      <c r="J30" s="177"/>
      <c r="K30" s="44"/>
      <c r="N30" s="122" t="str">
        <f t="shared" si="2"/>
        <v>2,3</v>
      </c>
      <c r="O30" s="122"/>
      <c r="Q30" s="123" t="str">
        <f t="array" ref="Q30">if(or(D30=0,G30=0),"", concatenate("dimwishlist:item=",Q$16,"&amp;perks=",index(Warlock_Exotics_Class1_ID,match(D30,Warlock_Exotics_Class1,0)),",",index(Warlock_Exotics_Class2_ID,match(G30,Warlock_Exotics_Class2,0))))</f>
        <v>dimwishlist:item=2273643087&amp;perks=1476923953,1476923957</v>
      </c>
    </row>
    <row r="31" ht="37.5" customHeight="1">
      <c r="B31" s="104"/>
      <c r="C31" s="130" t="str">
        <f t="array" ref="C31">index(Warlock_Exotics_Class1_Icon,match(D31,Warlock_Exotics_Class1,0))</f>
        <v>#N/A</v>
      </c>
      <c r="D31" s="131"/>
      <c r="E31" s="112"/>
      <c r="F31" s="132" t="str">
        <f t="array" ref="F31">index(Warlock_Exotics_Class2_Icon,match(G31,Warlock_Exotics_Class2,0))</f>
        <v>#N/A</v>
      </c>
      <c r="G31" s="131"/>
      <c r="H31" s="111"/>
      <c r="I31" s="133"/>
      <c r="J31" s="177"/>
      <c r="K31" s="44"/>
      <c r="N31" s="122" t="str">
        <f t="shared" si="2"/>
        <v>#N/A</v>
      </c>
      <c r="O31" s="122"/>
      <c r="Q31" s="123" t="str">
        <f t="array" ref="Q31">if(or(D31=0,G31=0),"", concatenate("dimwishlist:item=",Q$16,"&amp;perks=",index(Warlock_Exotics_Class1_ID,match(D31,Warlock_Exotics_Class1,0)),",",index(Warlock_Exotics_Class2_ID,match(G31,Warlock_Exotics_Class2,0))))</f>
        <v/>
      </c>
    </row>
    <row r="32">
      <c r="B32" s="104"/>
    </row>
    <row r="33">
      <c r="B33" s="104"/>
      <c r="Q33" s="134" t="str">
        <f>concatenate(Q17,"
",Q18,"
",Q19,"
",Q20,"
",Q21,"
",Q22,"
",Q23,"
",Q24,"
",Q25,"
",Q26,"
",Q27,"
",Q28,"
",Q29,"
",Q30,"
",Q31)</f>
        <v>dimwishlist:item=2273643087&amp;perks=183430253,1476923957
dimwishlist:item=2273643087&amp;perks=183430253,183430246
dimwishlist:item=2273643087&amp;perks=1476923953,1476923957
dimwishlist:item=2273643087&amp;perks=183430253,183430249
dimwishlist:item=2273643087&amp;perks=183430250,1476923955
dimwishlist:item=2273643087&amp;perks=183430253,1476923955
dimwishlist:item=2273643087&amp;perks=183430255,183430249
dimwishlist:item=2273643087&amp;perks=183430252,183430247
dimwishlist:item=2273643087&amp;perks=183430250,183430246
dimwishlist:item=2273643087&amp;perks=183430252,1476923955
dimwishlist:item=2273643087&amp;perks=183430253,183430254
dimwishlist:item=2273643087&amp;perks=183430250,183430254
dimwishlist:item=2273643087&amp;perks=183430252,1476923956
dimwishlist:item=2273643087&amp;perks=1476923953,1476923957
</v>
      </c>
    </row>
    <row r="34">
      <c r="B34" s="104"/>
    </row>
    <row r="35">
      <c r="B35" s="104"/>
    </row>
    <row r="36">
      <c r="B36" s="104"/>
      <c r="Q36" s="123" t="s">
        <v>129</v>
      </c>
    </row>
    <row r="37">
      <c r="B37" s="104"/>
    </row>
    <row r="38">
      <c r="B38" s="104"/>
    </row>
    <row r="39">
      <c r="B39" s="104"/>
    </row>
    <row r="40">
      <c r="B40" s="104"/>
    </row>
    <row r="41">
      <c r="B41" s="104"/>
    </row>
    <row r="42">
      <c r="B42" s="104"/>
    </row>
    <row r="43">
      <c r="B43" s="104"/>
    </row>
    <row r="44">
      <c r="B44" s="104"/>
    </row>
    <row r="45">
      <c r="B45" s="104"/>
    </row>
    <row r="46">
      <c r="B46" s="104"/>
    </row>
    <row r="47">
      <c r="B47" s="104"/>
    </row>
    <row r="48">
      <c r="B48" s="104"/>
    </row>
    <row r="49">
      <c r="B49" s="104"/>
    </row>
    <row r="50">
      <c r="B50" s="104"/>
    </row>
    <row r="51">
      <c r="B51" s="104"/>
    </row>
    <row r="52">
      <c r="B52" s="104"/>
    </row>
    <row r="53">
      <c r="B53" s="104"/>
    </row>
    <row r="54">
      <c r="B54" s="104"/>
    </row>
    <row r="55">
      <c r="B55" s="104"/>
    </row>
    <row r="56">
      <c r="B56" s="104"/>
    </row>
    <row r="57">
      <c r="B57" s="104"/>
    </row>
    <row r="58">
      <c r="B58" s="104"/>
    </row>
    <row r="59">
      <c r="B59" s="104"/>
    </row>
    <row r="60">
      <c r="B60" s="104"/>
    </row>
    <row r="61">
      <c r="B61" s="104"/>
    </row>
    <row r="62">
      <c r="B62" s="104"/>
    </row>
    <row r="63">
      <c r="B63" s="104"/>
    </row>
    <row r="64">
      <c r="B64" s="104"/>
    </row>
    <row r="65">
      <c r="B65" s="104"/>
    </row>
    <row r="66">
      <c r="B66" s="104"/>
    </row>
    <row r="67">
      <c r="B67" s="104"/>
    </row>
    <row r="68">
      <c r="B68" s="104"/>
    </row>
    <row r="69">
      <c r="B69" s="104"/>
    </row>
    <row r="70">
      <c r="B70" s="104"/>
    </row>
    <row r="71">
      <c r="B71" s="104"/>
    </row>
    <row r="72">
      <c r="B72" s="104"/>
    </row>
    <row r="73">
      <c r="B73" s="104"/>
    </row>
    <row r="74">
      <c r="B74" s="104"/>
    </row>
    <row r="75">
      <c r="B75" s="104"/>
    </row>
    <row r="76">
      <c r="B76" s="104"/>
    </row>
    <row r="77">
      <c r="B77" s="104"/>
    </row>
    <row r="78">
      <c r="B78" s="104"/>
    </row>
    <row r="79">
      <c r="B79" s="104"/>
    </row>
    <row r="80">
      <c r="B80" s="104"/>
    </row>
    <row r="81">
      <c r="B81" s="104"/>
    </row>
    <row r="82">
      <c r="B82" s="104"/>
    </row>
    <row r="83">
      <c r="B83" s="104"/>
    </row>
    <row r="84">
      <c r="B84" s="104"/>
    </row>
    <row r="85">
      <c r="B85" s="104"/>
    </row>
    <row r="86">
      <c r="B86" s="104"/>
    </row>
    <row r="87">
      <c r="B87" s="104"/>
    </row>
    <row r="88">
      <c r="B88" s="104"/>
    </row>
    <row r="89">
      <c r="B89" s="104"/>
    </row>
    <row r="90">
      <c r="B90" s="104"/>
    </row>
    <row r="91">
      <c r="B91" s="104"/>
    </row>
    <row r="92">
      <c r="B92" s="104"/>
    </row>
    <row r="93">
      <c r="B93" s="104"/>
    </row>
    <row r="94">
      <c r="B94" s="104"/>
    </row>
    <row r="95">
      <c r="B95" s="104"/>
    </row>
    <row r="96">
      <c r="B96" s="104"/>
    </row>
    <row r="97">
      <c r="B97" s="104"/>
    </row>
    <row r="98">
      <c r="B98" s="104"/>
    </row>
    <row r="99">
      <c r="B99" s="104"/>
    </row>
    <row r="100">
      <c r="B100" s="104"/>
    </row>
    <row r="101">
      <c r="B101" s="104"/>
    </row>
    <row r="102">
      <c r="B102" s="104"/>
    </row>
    <row r="103">
      <c r="B103" s="104"/>
    </row>
    <row r="104">
      <c r="B104" s="104"/>
    </row>
    <row r="105">
      <c r="B105" s="104"/>
    </row>
    <row r="106">
      <c r="B106" s="104"/>
    </row>
    <row r="107">
      <c r="B107" s="104"/>
    </row>
    <row r="108">
      <c r="B108" s="104"/>
    </row>
    <row r="109">
      <c r="B109" s="104"/>
    </row>
    <row r="110">
      <c r="B110" s="104"/>
    </row>
    <row r="111">
      <c r="B111" s="104"/>
    </row>
    <row r="112">
      <c r="B112" s="104"/>
    </row>
    <row r="113">
      <c r="B113" s="104"/>
    </row>
    <row r="114">
      <c r="B114" s="104"/>
    </row>
    <row r="115">
      <c r="B115" s="104"/>
    </row>
    <row r="116">
      <c r="B116" s="104"/>
    </row>
    <row r="117">
      <c r="B117" s="104"/>
    </row>
    <row r="118">
      <c r="B118" s="104"/>
    </row>
    <row r="119">
      <c r="B119" s="104"/>
    </row>
    <row r="120">
      <c r="B120" s="104"/>
    </row>
    <row r="121">
      <c r="B121" s="104"/>
    </row>
    <row r="122">
      <c r="B122" s="104"/>
    </row>
    <row r="123">
      <c r="B123" s="104"/>
    </row>
    <row r="124">
      <c r="B124" s="104"/>
    </row>
    <row r="125">
      <c r="B125" s="104"/>
    </row>
    <row r="126">
      <c r="B126" s="104"/>
    </row>
    <row r="127">
      <c r="B127" s="104"/>
    </row>
    <row r="128">
      <c r="B128" s="104"/>
    </row>
    <row r="129">
      <c r="B129" s="104"/>
    </row>
    <row r="130">
      <c r="B130" s="104"/>
    </row>
    <row r="131">
      <c r="B131" s="104"/>
    </row>
    <row r="132">
      <c r="B132" s="104"/>
    </row>
    <row r="133">
      <c r="B133" s="104"/>
    </row>
    <row r="134">
      <c r="B134" s="104"/>
    </row>
    <row r="135">
      <c r="B135" s="104"/>
    </row>
    <row r="136">
      <c r="B136" s="104"/>
    </row>
    <row r="137">
      <c r="B137" s="104"/>
    </row>
    <row r="138">
      <c r="B138" s="104"/>
    </row>
    <row r="139">
      <c r="B139" s="104"/>
    </row>
    <row r="140">
      <c r="B140" s="104"/>
    </row>
    <row r="141">
      <c r="B141" s="104"/>
    </row>
    <row r="142">
      <c r="B142" s="104"/>
    </row>
    <row r="143">
      <c r="B143" s="104"/>
    </row>
    <row r="144">
      <c r="B144" s="104"/>
    </row>
    <row r="145">
      <c r="B145" s="104"/>
    </row>
    <row r="146">
      <c r="B146" s="104"/>
    </row>
    <row r="147">
      <c r="B147" s="104"/>
    </row>
    <row r="148">
      <c r="B148" s="104"/>
    </row>
    <row r="149">
      <c r="B149" s="104"/>
    </row>
    <row r="150">
      <c r="B150" s="104"/>
    </row>
    <row r="151">
      <c r="B151" s="104"/>
    </row>
    <row r="152">
      <c r="B152" s="104"/>
    </row>
    <row r="153">
      <c r="B153" s="104"/>
    </row>
    <row r="154">
      <c r="B154" s="104"/>
    </row>
    <row r="155">
      <c r="B155" s="104"/>
    </row>
    <row r="156">
      <c r="B156" s="104"/>
    </row>
    <row r="157">
      <c r="B157" s="104"/>
    </row>
    <row r="158">
      <c r="B158" s="104"/>
    </row>
    <row r="159">
      <c r="B159" s="104"/>
    </row>
    <row r="160">
      <c r="B160" s="104"/>
    </row>
    <row r="161">
      <c r="B161" s="104"/>
    </row>
    <row r="162">
      <c r="B162" s="104"/>
    </row>
    <row r="163">
      <c r="B163" s="104"/>
    </row>
    <row r="164">
      <c r="B164" s="104"/>
    </row>
    <row r="165">
      <c r="B165" s="104"/>
    </row>
    <row r="166">
      <c r="B166" s="104"/>
    </row>
    <row r="167">
      <c r="B167" s="104"/>
    </row>
    <row r="168">
      <c r="B168" s="104"/>
    </row>
    <row r="169">
      <c r="B169" s="104"/>
    </row>
    <row r="170">
      <c r="B170" s="104"/>
    </row>
    <row r="171">
      <c r="B171" s="104"/>
    </row>
    <row r="172">
      <c r="B172" s="104"/>
    </row>
    <row r="173">
      <c r="B173" s="104"/>
    </row>
    <row r="174">
      <c r="B174" s="104"/>
    </row>
    <row r="175">
      <c r="B175" s="104"/>
    </row>
    <row r="176">
      <c r="B176" s="104"/>
    </row>
    <row r="177">
      <c r="B177" s="104"/>
    </row>
    <row r="178">
      <c r="B178" s="104"/>
    </row>
    <row r="179">
      <c r="B179" s="104"/>
    </row>
    <row r="180">
      <c r="B180" s="104"/>
    </row>
    <row r="181">
      <c r="B181" s="104"/>
    </row>
    <row r="182">
      <c r="B182" s="104"/>
    </row>
    <row r="183">
      <c r="B183" s="104"/>
    </row>
    <row r="184">
      <c r="B184" s="104"/>
    </row>
    <row r="185">
      <c r="B185" s="104"/>
    </row>
    <row r="186">
      <c r="B186" s="104"/>
    </row>
    <row r="187">
      <c r="B187" s="104"/>
    </row>
    <row r="188">
      <c r="B188" s="104"/>
    </row>
    <row r="189">
      <c r="B189" s="104"/>
    </row>
    <row r="190">
      <c r="B190" s="104"/>
    </row>
    <row r="191">
      <c r="B191" s="104"/>
    </row>
    <row r="192">
      <c r="B192" s="104"/>
    </row>
    <row r="193">
      <c r="B193" s="104"/>
    </row>
    <row r="194">
      <c r="B194" s="104"/>
    </row>
    <row r="195">
      <c r="B195" s="104"/>
    </row>
    <row r="196">
      <c r="B196" s="104"/>
    </row>
    <row r="197">
      <c r="B197" s="104"/>
    </row>
    <row r="198">
      <c r="B198" s="104"/>
    </row>
    <row r="199">
      <c r="B199" s="104"/>
    </row>
    <row r="200">
      <c r="B200" s="104"/>
    </row>
    <row r="201">
      <c r="B201" s="104"/>
    </row>
    <row r="202">
      <c r="B202" s="104"/>
    </row>
    <row r="203">
      <c r="B203" s="104"/>
    </row>
    <row r="204">
      <c r="B204" s="104"/>
    </row>
    <row r="205">
      <c r="B205" s="104"/>
    </row>
    <row r="206">
      <c r="B206" s="104"/>
    </row>
    <row r="207">
      <c r="B207" s="104"/>
    </row>
    <row r="208">
      <c r="B208" s="104"/>
    </row>
    <row r="209">
      <c r="B209" s="104"/>
    </row>
    <row r="210">
      <c r="B210" s="104"/>
    </row>
    <row r="211">
      <c r="B211" s="104"/>
    </row>
    <row r="212">
      <c r="B212" s="104"/>
    </row>
    <row r="213">
      <c r="B213" s="104"/>
    </row>
    <row r="214">
      <c r="B214" s="104"/>
    </row>
    <row r="215">
      <c r="B215" s="104"/>
    </row>
    <row r="216">
      <c r="B216" s="104"/>
    </row>
    <row r="217">
      <c r="B217" s="104"/>
    </row>
    <row r="218">
      <c r="B218" s="104"/>
    </row>
    <row r="219">
      <c r="B219" s="104"/>
    </row>
    <row r="220">
      <c r="B220" s="104"/>
    </row>
    <row r="221">
      <c r="B221" s="104"/>
    </row>
    <row r="222">
      <c r="B222" s="104"/>
    </row>
    <row r="223">
      <c r="B223" s="104"/>
    </row>
    <row r="224">
      <c r="B224" s="104"/>
    </row>
    <row r="225">
      <c r="B225" s="104"/>
    </row>
    <row r="226">
      <c r="B226" s="104"/>
    </row>
    <row r="227">
      <c r="B227" s="104"/>
    </row>
    <row r="228">
      <c r="B228" s="104"/>
    </row>
    <row r="229">
      <c r="B229" s="104"/>
    </row>
    <row r="230">
      <c r="B230" s="104"/>
    </row>
    <row r="231">
      <c r="B231" s="104"/>
    </row>
    <row r="232">
      <c r="B232" s="104"/>
    </row>
    <row r="233">
      <c r="B233" s="104"/>
    </row>
    <row r="234">
      <c r="B234" s="104"/>
    </row>
    <row r="235">
      <c r="B235" s="104"/>
    </row>
    <row r="236">
      <c r="B236" s="104"/>
    </row>
    <row r="237">
      <c r="B237" s="104"/>
    </row>
    <row r="238">
      <c r="B238" s="104"/>
    </row>
    <row r="239">
      <c r="B239" s="104"/>
    </row>
    <row r="240">
      <c r="B240" s="104"/>
    </row>
    <row r="241">
      <c r="B241" s="104"/>
    </row>
    <row r="242">
      <c r="B242" s="104"/>
    </row>
    <row r="243">
      <c r="B243" s="104"/>
    </row>
    <row r="244">
      <c r="B244" s="104"/>
    </row>
    <row r="245">
      <c r="B245" s="104"/>
    </row>
    <row r="246">
      <c r="B246" s="104"/>
    </row>
    <row r="247">
      <c r="B247" s="104"/>
    </row>
    <row r="248">
      <c r="B248" s="104"/>
    </row>
    <row r="249">
      <c r="B249" s="104"/>
    </row>
    <row r="250">
      <c r="B250" s="104"/>
    </row>
    <row r="251">
      <c r="B251" s="104"/>
    </row>
    <row r="252">
      <c r="B252" s="104"/>
    </row>
    <row r="253">
      <c r="B253" s="104"/>
    </row>
    <row r="254">
      <c r="B254" s="104"/>
    </row>
    <row r="255">
      <c r="B255" s="104"/>
    </row>
    <row r="256">
      <c r="B256" s="104"/>
    </row>
    <row r="257">
      <c r="B257" s="104"/>
    </row>
    <row r="258">
      <c r="B258" s="104"/>
    </row>
    <row r="259">
      <c r="B259" s="104"/>
    </row>
    <row r="260">
      <c r="B260" s="104"/>
    </row>
    <row r="261">
      <c r="B261" s="104"/>
    </row>
    <row r="262">
      <c r="B262" s="104"/>
    </row>
    <row r="263">
      <c r="B263" s="104"/>
    </row>
    <row r="264">
      <c r="B264" s="104"/>
    </row>
    <row r="265">
      <c r="B265" s="104"/>
    </row>
    <row r="266">
      <c r="B266" s="104"/>
    </row>
    <row r="267">
      <c r="B267" s="104"/>
    </row>
    <row r="268">
      <c r="B268" s="104"/>
    </row>
    <row r="269">
      <c r="B269" s="104"/>
    </row>
    <row r="270">
      <c r="B270" s="104"/>
    </row>
    <row r="271">
      <c r="B271" s="104"/>
    </row>
    <row r="272">
      <c r="B272" s="104"/>
    </row>
    <row r="273">
      <c r="B273" s="104"/>
    </row>
    <row r="274">
      <c r="B274" s="104"/>
    </row>
    <row r="275">
      <c r="B275" s="104"/>
    </row>
    <row r="276">
      <c r="B276" s="104"/>
    </row>
    <row r="277">
      <c r="B277" s="104"/>
    </row>
    <row r="278">
      <c r="B278" s="104"/>
    </row>
    <row r="279">
      <c r="B279" s="104"/>
    </row>
    <row r="280">
      <c r="B280" s="104"/>
    </row>
    <row r="281">
      <c r="B281" s="104"/>
    </row>
    <row r="282">
      <c r="B282" s="104"/>
    </row>
    <row r="283">
      <c r="B283" s="104"/>
    </row>
    <row r="284">
      <c r="B284" s="104"/>
    </row>
    <row r="285">
      <c r="B285" s="104"/>
    </row>
    <row r="286">
      <c r="B286" s="104"/>
    </row>
    <row r="287">
      <c r="B287" s="104"/>
    </row>
    <row r="288">
      <c r="B288" s="104"/>
    </row>
    <row r="289">
      <c r="B289" s="104"/>
    </row>
    <row r="290">
      <c r="B290" s="104"/>
    </row>
    <row r="291">
      <c r="B291" s="104"/>
    </row>
    <row r="292">
      <c r="B292" s="104"/>
    </row>
    <row r="293">
      <c r="B293" s="104"/>
    </row>
    <row r="294">
      <c r="B294" s="104"/>
    </row>
    <row r="295">
      <c r="B295" s="104"/>
    </row>
    <row r="296">
      <c r="B296" s="104"/>
    </row>
    <row r="297">
      <c r="B297" s="104"/>
    </row>
    <row r="298">
      <c r="B298" s="104"/>
    </row>
    <row r="299">
      <c r="B299" s="104"/>
    </row>
    <row r="300">
      <c r="B300" s="104"/>
    </row>
    <row r="301">
      <c r="B301" s="104"/>
    </row>
    <row r="302">
      <c r="B302" s="104"/>
    </row>
    <row r="303">
      <c r="B303" s="104"/>
    </row>
    <row r="304">
      <c r="B304" s="104"/>
    </row>
    <row r="305">
      <c r="B305" s="104"/>
    </row>
    <row r="306">
      <c r="B306" s="104"/>
    </row>
    <row r="307">
      <c r="B307" s="104"/>
    </row>
    <row r="308">
      <c r="B308" s="104"/>
    </row>
    <row r="309">
      <c r="B309" s="104"/>
    </row>
    <row r="310">
      <c r="B310" s="104"/>
    </row>
    <row r="311">
      <c r="B311" s="104"/>
    </row>
    <row r="312">
      <c r="B312" s="104"/>
    </row>
    <row r="313">
      <c r="B313" s="104"/>
    </row>
    <row r="314">
      <c r="B314" s="104"/>
    </row>
    <row r="315">
      <c r="B315" s="104"/>
    </row>
    <row r="316">
      <c r="B316" s="104"/>
    </row>
    <row r="317">
      <c r="B317" s="104"/>
    </row>
    <row r="318">
      <c r="B318" s="104"/>
    </row>
    <row r="319">
      <c r="B319" s="104"/>
    </row>
    <row r="320">
      <c r="B320" s="104"/>
    </row>
    <row r="321">
      <c r="B321" s="104"/>
    </row>
    <row r="322">
      <c r="B322" s="104"/>
    </row>
    <row r="323">
      <c r="B323" s="104"/>
    </row>
    <row r="324">
      <c r="B324" s="104"/>
    </row>
    <row r="325">
      <c r="B325" s="104"/>
    </row>
    <row r="326">
      <c r="B326" s="104"/>
    </row>
    <row r="327">
      <c r="B327" s="104"/>
    </row>
    <row r="328">
      <c r="B328" s="104"/>
    </row>
    <row r="329">
      <c r="B329" s="104"/>
    </row>
    <row r="330">
      <c r="B330" s="104"/>
    </row>
    <row r="331">
      <c r="B331" s="104"/>
    </row>
    <row r="332">
      <c r="B332" s="104"/>
    </row>
    <row r="333">
      <c r="B333" s="104"/>
    </row>
    <row r="334">
      <c r="B334" s="104"/>
    </row>
    <row r="335">
      <c r="B335" s="104"/>
    </row>
    <row r="336">
      <c r="B336" s="104"/>
    </row>
    <row r="337">
      <c r="B337" s="104"/>
    </row>
    <row r="338">
      <c r="B338" s="104"/>
    </row>
    <row r="339">
      <c r="B339" s="104"/>
    </row>
    <row r="340">
      <c r="B340" s="104"/>
    </row>
    <row r="341">
      <c r="B341" s="104"/>
    </row>
    <row r="342">
      <c r="B342" s="104"/>
    </row>
    <row r="343">
      <c r="B343" s="104"/>
    </row>
    <row r="344">
      <c r="B344" s="104"/>
    </row>
    <row r="345">
      <c r="B345" s="104"/>
    </row>
    <row r="346">
      <c r="B346" s="104"/>
    </row>
    <row r="347">
      <c r="B347" s="104"/>
    </row>
    <row r="348">
      <c r="B348" s="104"/>
    </row>
    <row r="349">
      <c r="B349" s="104"/>
    </row>
    <row r="350">
      <c r="B350" s="104"/>
    </row>
    <row r="351">
      <c r="B351" s="104"/>
    </row>
    <row r="352">
      <c r="B352" s="104"/>
    </row>
    <row r="353">
      <c r="B353" s="104"/>
    </row>
    <row r="354">
      <c r="B354" s="104"/>
    </row>
    <row r="355">
      <c r="B355" s="104"/>
    </row>
    <row r="356">
      <c r="B356" s="104"/>
    </row>
    <row r="357">
      <c r="B357" s="104"/>
    </row>
    <row r="358">
      <c r="B358" s="104"/>
    </row>
    <row r="359">
      <c r="B359" s="104"/>
    </row>
    <row r="360">
      <c r="B360" s="104"/>
    </row>
    <row r="361">
      <c r="B361" s="104"/>
    </row>
    <row r="362">
      <c r="B362" s="104"/>
    </row>
    <row r="363">
      <c r="B363" s="104"/>
    </row>
    <row r="364">
      <c r="B364" s="104"/>
    </row>
    <row r="365">
      <c r="B365" s="104"/>
    </row>
    <row r="366">
      <c r="B366" s="104"/>
    </row>
    <row r="367">
      <c r="B367" s="104"/>
    </row>
    <row r="368">
      <c r="B368" s="104"/>
    </row>
    <row r="369">
      <c r="B369" s="104"/>
    </row>
    <row r="370">
      <c r="B370" s="104"/>
    </row>
    <row r="371">
      <c r="B371" s="104"/>
    </row>
    <row r="372">
      <c r="B372" s="104"/>
    </row>
    <row r="373">
      <c r="B373" s="104"/>
    </row>
    <row r="374">
      <c r="B374" s="104"/>
    </row>
    <row r="375">
      <c r="B375" s="104"/>
    </row>
    <row r="376">
      <c r="B376" s="104"/>
    </row>
    <row r="377">
      <c r="B377" s="104"/>
    </row>
    <row r="378">
      <c r="B378" s="104"/>
    </row>
    <row r="379">
      <c r="B379" s="104"/>
    </row>
    <row r="380">
      <c r="B380" s="104"/>
    </row>
    <row r="381">
      <c r="B381" s="104"/>
    </row>
    <row r="382">
      <c r="B382" s="104"/>
    </row>
    <row r="383">
      <c r="B383" s="104"/>
    </row>
    <row r="384">
      <c r="B384" s="104"/>
    </row>
    <row r="385">
      <c r="B385" s="104"/>
    </row>
    <row r="386">
      <c r="B386" s="104"/>
    </row>
    <row r="387">
      <c r="B387" s="104"/>
    </row>
    <row r="388">
      <c r="B388" s="104"/>
    </row>
    <row r="389">
      <c r="B389" s="104"/>
    </row>
    <row r="390">
      <c r="B390" s="104"/>
    </row>
    <row r="391">
      <c r="B391" s="104"/>
    </row>
    <row r="392">
      <c r="B392" s="104"/>
    </row>
    <row r="393">
      <c r="B393" s="104"/>
    </row>
    <row r="394">
      <c r="B394" s="104"/>
    </row>
    <row r="395">
      <c r="B395" s="104"/>
    </row>
    <row r="396">
      <c r="B396" s="104"/>
    </row>
    <row r="397">
      <c r="B397" s="104"/>
    </row>
    <row r="398">
      <c r="B398" s="104"/>
    </row>
    <row r="399">
      <c r="B399" s="104"/>
    </row>
    <row r="400">
      <c r="B400" s="104"/>
    </row>
    <row r="401">
      <c r="B401" s="104"/>
    </row>
    <row r="402">
      <c r="B402" s="104"/>
    </row>
    <row r="403">
      <c r="B403" s="104"/>
    </row>
    <row r="404">
      <c r="B404" s="104"/>
    </row>
    <row r="405">
      <c r="B405" s="104"/>
    </row>
    <row r="406">
      <c r="B406" s="104"/>
    </row>
    <row r="407">
      <c r="B407" s="104"/>
    </row>
    <row r="408">
      <c r="B408" s="104"/>
    </row>
    <row r="409">
      <c r="B409" s="104"/>
    </row>
    <row r="410">
      <c r="B410" s="104"/>
    </row>
    <row r="411">
      <c r="B411" s="104"/>
    </row>
    <row r="412">
      <c r="B412" s="104"/>
    </row>
    <row r="413">
      <c r="B413" s="104"/>
    </row>
    <row r="414">
      <c r="B414" s="104"/>
    </row>
    <row r="415">
      <c r="B415" s="104"/>
    </row>
    <row r="416">
      <c r="B416" s="104"/>
    </row>
    <row r="417">
      <c r="B417" s="104"/>
    </row>
    <row r="418">
      <c r="B418" s="104"/>
    </row>
    <row r="419">
      <c r="B419" s="104"/>
    </row>
    <row r="420">
      <c r="B420" s="104"/>
    </row>
    <row r="421">
      <c r="B421" s="104"/>
    </row>
    <row r="422">
      <c r="B422" s="104"/>
    </row>
    <row r="423">
      <c r="B423" s="104"/>
    </row>
    <row r="424">
      <c r="B424" s="104"/>
    </row>
    <row r="425">
      <c r="B425" s="104"/>
    </row>
    <row r="426">
      <c r="B426" s="104"/>
    </row>
    <row r="427">
      <c r="B427" s="104"/>
    </row>
    <row r="428">
      <c r="B428" s="104"/>
    </row>
    <row r="429">
      <c r="B429" s="104"/>
    </row>
    <row r="430">
      <c r="B430" s="104"/>
    </row>
    <row r="431">
      <c r="B431" s="104"/>
    </row>
    <row r="432">
      <c r="B432" s="104"/>
    </row>
    <row r="433">
      <c r="B433" s="104"/>
    </row>
    <row r="434">
      <c r="B434" s="104"/>
    </row>
    <row r="435">
      <c r="B435" s="104"/>
    </row>
    <row r="436">
      <c r="B436" s="104"/>
    </row>
    <row r="437">
      <c r="B437" s="104"/>
    </row>
    <row r="438">
      <c r="B438" s="104"/>
    </row>
    <row r="439">
      <c r="B439" s="104"/>
    </row>
    <row r="440">
      <c r="B440" s="104"/>
    </row>
    <row r="441">
      <c r="B441" s="104"/>
    </row>
    <row r="442">
      <c r="B442" s="104"/>
    </row>
    <row r="443">
      <c r="B443" s="104"/>
    </row>
    <row r="444">
      <c r="B444" s="104"/>
    </row>
    <row r="445">
      <c r="B445" s="104"/>
    </row>
    <row r="446">
      <c r="B446" s="104"/>
    </row>
    <row r="447">
      <c r="B447" s="104"/>
    </row>
    <row r="448">
      <c r="B448" s="104"/>
    </row>
    <row r="449">
      <c r="B449" s="104"/>
    </row>
    <row r="450">
      <c r="B450" s="104"/>
    </row>
    <row r="451">
      <c r="B451" s="104"/>
    </row>
    <row r="452">
      <c r="B452" s="104"/>
    </row>
    <row r="453">
      <c r="B453" s="104"/>
    </row>
    <row r="454">
      <c r="B454" s="104"/>
    </row>
    <row r="455">
      <c r="B455" s="104"/>
    </row>
    <row r="456">
      <c r="B456" s="104"/>
    </row>
    <row r="457">
      <c r="B457" s="104"/>
    </row>
    <row r="458">
      <c r="B458" s="104"/>
    </row>
    <row r="459">
      <c r="B459" s="104"/>
    </row>
    <row r="460">
      <c r="B460" s="104"/>
    </row>
    <row r="461">
      <c r="B461" s="104"/>
    </row>
    <row r="462">
      <c r="B462" s="104"/>
    </row>
    <row r="463">
      <c r="B463" s="104"/>
    </row>
    <row r="464">
      <c r="B464" s="104"/>
    </row>
    <row r="465">
      <c r="B465" s="104"/>
    </row>
    <row r="466">
      <c r="B466" s="104"/>
    </row>
    <row r="467">
      <c r="B467" s="104"/>
    </row>
    <row r="468">
      <c r="B468" s="104"/>
    </row>
    <row r="469">
      <c r="B469" s="104"/>
    </row>
    <row r="470">
      <c r="B470" s="104"/>
    </row>
    <row r="471">
      <c r="B471" s="104"/>
    </row>
    <row r="472">
      <c r="B472" s="104"/>
    </row>
    <row r="473">
      <c r="B473" s="104"/>
    </row>
    <row r="474">
      <c r="B474" s="104"/>
    </row>
    <row r="475">
      <c r="B475" s="104"/>
    </row>
    <row r="476">
      <c r="B476" s="104"/>
    </row>
    <row r="477">
      <c r="B477" s="104"/>
    </row>
    <row r="478">
      <c r="B478" s="104"/>
    </row>
    <row r="479">
      <c r="B479" s="104"/>
    </row>
    <row r="480">
      <c r="B480" s="104"/>
    </row>
    <row r="481">
      <c r="B481" s="104"/>
    </row>
    <row r="482">
      <c r="B482" s="104"/>
    </row>
    <row r="483">
      <c r="B483" s="104"/>
    </row>
    <row r="484">
      <c r="B484" s="104"/>
    </row>
    <row r="485">
      <c r="B485" s="104"/>
    </row>
    <row r="486">
      <c r="B486" s="104"/>
    </row>
    <row r="487">
      <c r="B487" s="104"/>
    </row>
    <row r="488">
      <c r="B488" s="104"/>
    </row>
    <row r="489">
      <c r="B489" s="104"/>
    </row>
    <row r="490">
      <c r="B490" s="104"/>
    </row>
    <row r="491">
      <c r="B491" s="104"/>
    </row>
    <row r="492">
      <c r="B492" s="104"/>
    </row>
    <row r="493">
      <c r="B493" s="104"/>
    </row>
    <row r="494">
      <c r="B494" s="104"/>
    </row>
    <row r="495">
      <c r="B495" s="104"/>
    </row>
    <row r="496">
      <c r="B496" s="104"/>
    </row>
    <row r="497">
      <c r="B497" s="104"/>
    </row>
    <row r="498">
      <c r="B498" s="104"/>
    </row>
    <row r="499">
      <c r="B499" s="104"/>
    </row>
    <row r="500">
      <c r="B500" s="104"/>
    </row>
    <row r="501">
      <c r="B501" s="104"/>
    </row>
    <row r="502">
      <c r="B502" s="104"/>
    </row>
    <row r="503">
      <c r="B503" s="104"/>
    </row>
    <row r="504">
      <c r="B504" s="104"/>
    </row>
    <row r="505">
      <c r="B505" s="104"/>
    </row>
    <row r="506">
      <c r="B506" s="104"/>
    </row>
    <row r="507">
      <c r="B507" s="104"/>
    </row>
    <row r="508">
      <c r="B508" s="104"/>
    </row>
    <row r="509">
      <c r="B509" s="104"/>
    </row>
    <row r="510">
      <c r="B510" s="104"/>
    </row>
    <row r="511">
      <c r="B511" s="104"/>
    </row>
    <row r="512">
      <c r="B512" s="104"/>
    </row>
    <row r="513">
      <c r="B513" s="104"/>
    </row>
    <row r="514">
      <c r="B514" s="104"/>
    </row>
    <row r="515">
      <c r="B515" s="104"/>
    </row>
    <row r="516">
      <c r="B516" s="104"/>
    </row>
    <row r="517">
      <c r="B517" s="104"/>
    </row>
    <row r="518">
      <c r="B518" s="104"/>
    </row>
    <row r="519">
      <c r="B519" s="104"/>
    </row>
    <row r="520">
      <c r="B520" s="104"/>
    </row>
    <row r="521">
      <c r="B521" s="104"/>
    </row>
    <row r="522">
      <c r="B522" s="104"/>
    </row>
    <row r="523">
      <c r="B523" s="104"/>
    </row>
    <row r="524">
      <c r="B524" s="104"/>
    </row>
    <row r="525">
      <c r="B525" s="104"/>
    </row>
    <row r="526">
      <c r="B526" s="104"/>
    </row>
    <row r="527">
      <c r="B527" s="104"/>
    </row>
    <row r="528">
      <c r="B528" s="104"/>
    </row>
    <row r="529">
      <c r="B529" s="104"/>
    </row>
    <row r="530">
      <c r="B530" s="104"/>
    </row>
    <row r="531">
      <c r="B531" s="104"/>
    </row>
    <row r="532">
      <c r="B532" s="104"/>
    </row>
    <row r="533">
      <c r="B533" s="104"/>
    </row>
    <row r="534">
      <c r="B534" s="104"/>
    </row>
    <row r="535">
      <c r="B535" s="104"/>
    </row>
    <row r="536">
      <c r="B536" s="104"/>
    </row>
    <row r="537">
      <c r="B537" s="104"/>
    </row>
    <row r="538">
      <c r="B538" s="104"/>
    </row>
    <row r="539">
      <c r="B539" s="104"/>
    </row>
    <row r="540">
      <c r="B540" s="104"/>
    </row>
    <row r="541">
      <c r="B541" s="104"/>
    </row>
    <row r="542">
      <c r="B542" s="104"/>
    </row>
    <row r="543">
      <c r="B543" s="104"/>
    </row>
    <row r="544">
      <c r="B544" s="104"/>
    </row>
    <row r="545">
      <c r="B545" s="104"/>
    </row>
    <row r="546">
      <c r="B546" s="104"/>
    </row>
    <row r="547">
      <c r="B547" s="104"/>
    </row>
    <row r="548">
      <c r="B548" s="104"/>
    </row>
    <row r="549">
      <c r="B549" s="104"/>
    </row>
    <row r="550">
      <c r="B550" s="104"/>
    </row>
    <row r="551">
      <c r="B551" s="104"/>
    </row>
    <row r="552">
      <c r="B552" s="104"/>
    </row>
    <row r="553">
      <c r="B553" s="104"/>
    </row>
    <row r="554">
      <c r="B554" s="104"/>
    </row>
    <row r="555">
      <c r="B555" s="104"/>
    </row>
    <row r="556">
      <c r="B556" s="104"/>
    </row>
    <row r="557">
      <c r="B557" s="104"/>
    </row>
    <row r="558">
      <c r="B558" s="104"/>
    </row>
    <row r="559">
      <c r="B559" s="104"/>
    </row>
    <row r="560">
      <c r="B560" s="104"/>
    </row>
    <row r="561">
      <c r="B561" s="104"/>
    </row>
    <row r="562">
      <c r="B562" s="104"/>
    </row>
    <row r="563">
      <c r="B563" s="104"/>
    </row>
    <row r="564">
      <c r="B564" s="104"/>
    </row>
    <row r="565">
      <c r="B565" s="104"/>
    </row>
    <row r="566">
      <c r="B566" s="104"/>
    </row>
    <row r="567">
      <c r="B567" s="104"/>
    </row>
    <row r="568">
      <c r="B568" s="104"/>
    </row>
    <row r="569">
      <c r="B569" s="104"/>
    </row>
    <row r="570">
      <c r="B570" s="104"/>
    </row>
    <row r="571">
      <c r="B571" s="104"/>
    </row>
    <row r="572">
      <c r="B572" s="104"/>
    </row>
    <row r="573">
      <c r="B573" s="104"/>
    </row>
    <row r="574">
      <c r="B574" s="104"/>
    </row>
    <row r="575">
      <c r="B575" s="104"/>
    </row>
    <row r="576">
      <c r="B576" s="104"/>
    </row>
    <row r="577">
      <c r="B577" s="104"/>
    </row>
    <row r="578">
      <c r="B578" s="104"/>
    </row>
    <row r="579">
      <c r="B579" s="104"/>
    </row>
    <row r="580">
      <c r="B580" s="104"/>
    </row>
    <row r="581">
      <c r="B581" s="104"/>
    </row>
    <row r="582">
      <c r="B582" s="104"/>
    </row>
    <row r="583">
      <c r="B583" s="104"/>
    </row>
    <row r="584">
      <c r="B584" s="104"/>
    </row>
    <row r="585">
      <c r="B585" s="104"/>
    </row>
    <row r="586">
      <c r="B586" s="104"/>
    </row>
    <row r="587">
      <c r="B587" s="104"/>
    </row>
    <row r="588">
      <c r="B588" s="104"/>
    </row>
    <row r="589">
      <c r="B589" s="104"/>
    </row>
    <row r="590">
      <c r="B590" s="104"/>
    </row>
    <row r="591">
      <c r="B591" s="104"/>
    </row>
    <row r="592">
      <c r="B592" s="104"/>
    </row>
    <row r="593">
      <c r="B593" s="104"/>
    </row>
    <row r="594">
      <c r="B594" s="104"/>
    </row>
    <row r="595">
      <c r="B595" s="104"/>
    </row>
    <row r="596">
      <c r="B596" s="104"/>
    </row>
    <row r="597">
      <c r="B597" s="104"/>
    </row>
    <row r="598">
      <c r="B598" s="104"/>
    </row>
    <row r="599">
      <c r="B599" s="104"/>
    </row>
    <row r="600">
      <c r="B600" s="104"/>
    </row>
    <row r="601">
      <c r="B601" s="104"/>
    </row>
    <row r="602">
      <c r="B602" s="104"/>
    </row>
    <row r="603">
      <c r="B603" s="104"/>
    </row>
    <row r="604">
      <c r="B604" s="104"/>
    </row>
    <row r="605">
      <c r="B605" s="104"/>
    </row>
    <row r="606">
      <c r="B606" s="104"/>
    </row>
    <row r="607">
      <c r="B607" s="104"/>
    </row>
    <row r="608">
      <c r="B608" s="104"/>
    </row>
    <row r="609">
      <c r="B609" s="104"/>
    </row>
    <row r="610">
      <c r="B610" s="104"/>
    </row>
    <row r="611">
      <c r="B611" s="104"/>
    </row>
    <row r="612">
      <c r="B612" s="104"/>
    </row>
    <row r="613">
      <c r="B613" s="104"/>
    </row>
    <row r="614">
      <c r="B614" s="104"/>
    </row>
    <row r="615">
      <c r="B615" s="104"/>
    </row>
    <row r="616">
      <c r="B616" s="104"/>
    </row>
    <row r="617">
      <c r="B617" s="104"/>
    </row>
    <row r="618">
      <c r="B618" s="104"/>
    </row>
    <row r="619">
      <c r="B619" s="104"/>
    </row>
    <row r="620">
      <c r="B620" s="104"/>
    </row>
    <row r="621">
      <c r="B621" s="104"/>
    </row>
    <row r="622">
      <c r="B622" s="104"/>
    </row>
    <row r="623">
      <c r="B623" s="104"/>
    </row>
    <row r="624">
      <c r="B624" s="104"/>
    </row>
    <row r="625">
      <c r="B625" s="104"/>
    </row>
    <row r="626">
      <c r="B626" s="104"/>
    </row>
    <row r="627">
      <c r="B627" s="104"/>
    </row>
    <row r="628">
      <c r="B628" s="104"/>
    </row>
    <row r="629">
      <c r="B629" s="104"/>
    </row>
    <row r="630">
      <c r="B630" s="104"/>
    </row>
    <row r="631">
      <c r="B631" s="104"/>
    </row>
    <row r="632">
      <c r="B632" s="104"/>
    </row>
    <row r="633">
      <c r="B633" s="104"/>
    </row>
    <row r="634">
      <c r="B634" s="104"/>
    </row>
    <row r="635">
      <c r="B635" s="104"/>
    </row>
    <row r="636">
      <c r="B636" s="104"/>
    </row>
    <row r="637">
      <c r="B637" s="104"/>
    </row>
    <row r="638">
      <c r="B638" s="104"/>
    </row>
    <row r="639">
      <c r="B639" s="104"/>
    </row>
    <row r="640">
      <c r="B640" s="104"/>
    </row>
    <row r="641">
      <c r="B641" s="104"/>
    </row>
    <row r="642">
      <c r="B642" s="104"/>
    </row>
    <row r="643">
      <c r="B643" s="104"/>
    </row>
    <row r="644">
      <c r="B644" s="104"/>
    </row>
    <row r="645">
      <c r="B645" s="104"/>
    </row>
    <row r="646">
      <c r="B646" s="104"/>
    </row>
    <row r="647">
      <c r="B647" s="104"/>
    </row>
    <row r="648">
      <c r="B648" s="104"/>
    </row>
    <row r="649">
      <c r="B649" s="104"/>
    </row>
    <row r="650">
      <c r="B650" s="104"/>
    </row>
    <row r="651">
      <c r="B651" s="104"/>
    </row>
    <row r="652">
      <c r="B652" s="104"/>
    </row>
    <row r="653">
      <c r="B653" s="104"/>
    </row>
    <row r="654">
      <c r="B654" s="104"/>
    </row>
    <row r="655">
      <c r="B655" s="104"/>
    </row>
    <row r="656">
      <c r="B656" s="104"/>
    </row>
    <row r="657">
      <c r="B657" s="104"/>
    </row>
    <row r="658">
      <c r="B658" s="104"/>
    </row>
    <row r="659">
      <c r="B659" s="104"/>
    </row>
    <row r="660">
      <c r="B660" s="104"/>
    </row>
    <row r="661">
      <c r="B661" s="104"/>
    </row>
    <row r="662">
      <c r="B662" s="104"/>
    </row>
    <row r="663">
      <c r="B663" s="104"/>
    </row>
    <row r="664">
      <c r="B664" s="104"/>
    </row>
    <row r="665">
      <c r="B665" s="104"/>
    </row>
    <row r="666">
      <c r="B666" s="104"/>
    </row>
    <row r="667">
      <c r="B667" s="104"/>
    </row>
    <row r="668">
      <c r="B668" s="104"/>
    </row>
    <row r="669">
      <c r="B669" s="104"/>
    </row>
    <row r="670">
      <c r="B670" s="104"/>
    </row>
    <row r="671">
      <c r="B671" s="104"/>
    </row>
    <row r="672">
      <c r="B672" s="104"/>
    </row>
    <row r="673">
      <c r="B673" s="104"/>
    </row>
    <row r="674">
      <c r="B674" s="104"/>
    </row>
    <row r="675">
      <c r="B675" s="104"/>
    </row>
    <row r="676">
      <c r="B676" s="104"/>
    </row>
    <row r="677">
      <c r="B677" s="104"/>
    </row>
    <row r="678">
      <c r="B678" s="104"/>
    </row>
    <row r="679">
      <c r="B679" s="104"/>
    </row>
    <row r="680">
      <c r="B680" s="104"/>
    </row>
    <row r="681">
      <c r="B681" s="104"/>
    </row>
    <row r="682">
      <c r="B682" s="104"/>
    </row>
    <row r="683">
      <c r="B683" s="104"/>
    </row>
    <row r="684">
      <c r="B684" s="104"/>
    </row>
    <row r="685">
      <c r="B685" s="104"/>
    </row>
    <row r="686">
      <c r="B686" s="104"/>
    </row>
    <row r="687">
      <c r="B687" s="104"/>
    </row>
    <row r="688">
      <c r="B688" s="104"/>
    </row>
    <row r="689">
      <c r="B689" s="104"/>
    </row>
    <row r="690">
      <c r="B690" s="104"/>
    </row>
    <row r="691">
      <c r="B691" s="104"/>
    </row>
    <row r="692">
      <c r="B692" s="104"/>
    </row>
    <row r="693">
      <c r="B693" s="104"/>
    </row>
    <row r="694">
      <c r="B694" s="104"/>
    </row>
    <row r="695">
      <c r="B695" s="104"/>
    </row>
    <row r="696">
      <c r="B696" s="104"/>
    </row>
    <row r="697">
      <c r="B697" s="104"/>
    </row>
    <row r="698">
      <c r="B698" s="104"/>
    </row>
    <row r="699">
      <c r="B699" s="104"/>
    </row>
    <row r="700">
      <c r="B700" s="104"/>
    </row>
    <row r="701">
      <c r="B701" s="104"/>
    </row>
    <row r="702">
      <c r="B702" s="104"/>
    </row>
    <row r="703">
      <c r="B703" s="104"/>
    </row>
    <row r="704">
      <c r="B704" s="104"/>
    </row>
    <row r="705">
      <c r="B705" s="104"/>
    </row>
    <row r="706">
      <c r="B706" s="104"/>
    </row>
    <row r="707">
      <c r="B707" s="104"/>
    </row>
    <row r="708">
      <c r="B708" s="104"/>
    </row>
    <row r="709">
      <c r="B709" s="104"/>
    </row>
    <row r="710">
      <c r="B710" s="104"/>
    </row>
    <row r="711">
      <c r="B711" s="104"/>
    </row>
    <row r="712">
      <c r="B712" s="104"/>
    </row>
    <row r="713">
      <c r="B713" s="104"/>
    </row>
    <row r="714">
      <c r="B714" s="104"/>
    </row>
    <row r="715">
      <c r="B715" s="104"/>
    </row>
    <row r="716">
      <c r="B716" s="104"/>
    </row>
    <row r="717">
      <c r="B717" s="104"/>
    </row>
    <row r="718">
      <c r="B718" s="104"/>
    </row>
    <row r="719">
      <c r="B719" s="104"/>
    </row>
    <row r="720">
      <c r="B720" s="104"/>
    </row>
    <row r="721">
      <c r="B721" s="104"/>
    </row>
    <row r="722">
      <c r="B722" s="104"/>
    </row>
    <row r="723">
      <c r="B723" s="104"/>
    </row>
    <row r="724">
      <c r="B724" s="104"/>
    </row>
    <row r="725">
      <c r="B725" s="104"/>
    </row>
    <row r="726">
      <c r="B726" s="104"/>
    </row>
    <row r="727">
      <c r="B727" s="104"/>
    </row>
    <row r="728">
      <c r="B728" s="104"/>
    </row>
    <row r="729">
      <c r="B729" s="104"/>
    </row>
    <row r="730">
      <c r="B730" s="104"/>
    </row>
    <row r="731">
      <c r="B731" s="104"/>
    </row>
    <row r="732">
      <c r="B732" s="104"/>
    </row>
    <row r="733">
      <c r="B733" s="104"/>
    </row>
    <row r="734">
      <c r="B734" s="104"/>
    </row>
    <row r="735">
      <c r="B735" s="104"/>
    </row>
    <row r="736">
      <c r="B736" s="104"/>
    </row>
    <row r="737">
      <c r="B737" s="104"/>
    </row>
    <row r="738">
      <c r="B738" s="104"/>
    </row>
    <row r="739">
      <c r="B739" s="104"/>
    </row>
    <row r="740">
      <c r="B740" s="104"/>
    </row>
    <row r="741">
      <c r="B741" s="104"/>
    </row>
    <row r="742">
      <c r="B742" s="104"/>
    </row>
    <row r="743">
      <c r="B743" s="104"/>
    </row>
    <row r="744">
      <c r="B744" s="104"/>
    </row>
    <row r="745">
      <c r="B745" s="104"/>
    </row>
    <row r="746">
      <c r="B746" s="104"/>
    </row>
    <row r="747">
      <c r="B747" s="104"/>
    </row>
    <row r="748">
      <c r="B748" s="104"/>
    </row>
    <row r="749">
      <c r="B749" s="104"/>
    </row>
    <row r="750">
      <c r="B750" s="104"/>
    </row>
    <row r="751">
      <c r="B751" s="104"/>
    </row>
    <row r="752">
      <c r="B752" s="104"/>
    </row>
    <row r="753">
      <c r="B753" s="104"/>
    </row>
    <row r="754">
      <c r="B754" s="104"/>
    </row>
    <row r="755">
      <c r="B755" s="104"/>
    </row>
    <row r="756">
      <c r="B756" s="104"/>
    </row>
    <row r="757">
      <c r="B757" s="104"/>
    </row>
    <row r="758">
      <c r="B758" s="104"/>
    </row>
    <row r="759">
      <c r="B759" s="104"/>
    </row>
    <row r="760">
      <c r="B760" s="104"/>
    </row>
    <row r="761">
      <c r="B761" s="104"/>
    </row>
    <row r="762">
      <c r="B762" s="104"/>
    </row>
    <row r="763">
      <c r="B763" s="104"/>
    </row>
    <row r="764">
      <c r="B764" s="104"/>
    </row>
    <row r="765">
      <c r="B765" s="104"/>
    </row>
    <row r="766">
      <c r="B766" s="104"/>
    </row>
    <row r="767">
      <c r="B767" s="104"/>
    </row>
    <row r="768">
      <c r="B768" s="104"/>
    </row>
    <row r="769">
      <c r="B769" s="104"/>
    </row>
    <row r="770">
      <c r="B770" s="104"/>
    </row>
    <row r="771">
      <c r="B771" s="104"/>
    </row>
    <row r="772">
      <c r="B772" s="104"/>
    </row>
    <row r="773">
      <c r="B773" s="104"/>
    </row>
    <row r="774">
      <c r="B774" s="104"/>
    </row>
    <row r="775">
      <c r="B775" s="104"/>
    </row>
    <row r="776">
      <c r="B776" s="104"/>
    </row>
    <row r="777">
      <c r="B777" s="104"/>
    </row>
    <row r="778">
      <c r="B778" s="104"/>
    </row>
    <row r="779">
      <c r="B779" s="104"/>
    </row>
    <row r="780">
      <c r="B780" s="104"/>
    </row>
    <row r="781">
      <c r="B781" s="104"/>
    </row>
    <row r="782">
      <c r="B782" s="104"/>
    </row>
    <row r="783">
      <c r="B783" s="104"/>
    </row>
    <row r="784">
      <c r="B784" s="104"/>
    </row>
    <row r="785">
      <c r="B785" s="104"/>
    </row>
    <row r="786">
      <c r="B786" s="104"/>
    </row>
    <row r="787">
      <c r="B787" s="104"/>
    </row>
    <row r="788">
      <c r="B788" s="104"/>
    </row>
    <row r="789">
      <c r="B789" s="104"/>
    </row>
    <row r="790">
      <c r="B790" s="104"/>
    </row>
    <row r="791">
      <c r="B791" s="104"/>
    </row>
    <row r="792">
      <c r="B792" s="104"/>
    </row>
    <row r="793">
      <c r="B793" s="104"/>
    </row>
    <row r="794">
      <c r="B794" s="104"/>
    </row>
    <row r="795">
      <c r="B795" s="104"/>
    </row>
    <row r="796">
      <c r="B796" s="104"/>
    </row>
    <row r="797">
      <c r="B797" s="104"/>
    </row>
    <row r="798">
      <c r="B798" s="104"/>
    </row>
    <row r="799">
      <c r="B799" s="104"/>
    </row>
    <row r="800">
      <c r="B800" s="104"/>
    </row>
    <row r="801">
      <c r="B801" s="104"/>
    </row>
    <row r="802">
      <c r="B802" s="104"/>
    </row>
    <row r="803">
      <c r="B803" s="104"/>
    </row>
    <row r="804">
      <c r="B804" s="104"/>
    </row>
    <row r="805">
      <c r="B805" s="104"/>
    </row>
    <row r="806">
      <c r="B806" s="104"/>
    </row>
    <row r="807">
      <c r="B807" s="104"/>
    </row>
    <row r="808">
      <c r="B808" s="104"/>
    </row>
    <row r="809">
      <c r="B809" s="104"/>
    </row>
    <row r="810">
      <c r="B810" s="104"/>
    </row>
    <row r="811">
      <c r="B811" s="104"/>
    </row>
    <row r="812">
      <c r="B812" s="104"/>
    </row>
    <row r="813">
      <c r="B813" s="104"/>
    </row>
    <row r="814">
      <c r="B814" s="104"/>
    </row>
    <row r="815">
      <c r="B815" s="104"/>
    </row>
    <row r="816">
      <c r="B816" s="104"/>
    </row>
    <row r="817">
      <c r="B817" s="104"/>
    </row>
    <row r="818">
      <c r="B818" s="104"/>
    </row>
    <row r="819">
      <c r="B819" s="104"/>
    </row>
    <row r="820">
      <c r="B820" s="104"/>
    </row>
    <row r="821">
      <c r="B821" s="104"/>
    </row>
    <row r="822">
      <c r="B822" s="104"/>
    </row>
    <row r="823">
      <c r="B823" s="104"/>
    </row>
    <row r="824">
      <c r="B824" s="104"/>
    </row>
    <row r="825">
      <c r="B825" s="104"/>
    </row>
    <row r="826">
      <c r="B826" s="104"/>
    </row>
    <row r="827">
      <c r="B827" s="104"/>
    </row>
    <row r="828">
      <c r="B828" s="104"/>
    </row>
    <row r="829">
      <c r="B829" s="104"/>
    </row>
    <row r="830">
      <c r="B830" s="104"/>
    </row>
    <row r="831">
      <c r="B831" s="104"/>
    </row>
    <row r="832">
      <c r="B832" s="104"/>
    </row>
    <row r="833">
      <c r="B833" s="104"/>
    </row>
    <row r="834">
      <c r="B834" s="104"/>
    </row>
    <row r="835">
      <c r="B835" s="104"/>
    </row>
    <row r="836">
      <c r="B836" s="104"/>
    </row>
    <row r="837">
      <c r="B837" s="104"/>
    </row>
    <row r="838">
      <c r="B838" s="104"/>
    </row>
    <row r="839">
      <c r="B839" s="104"/>
    </row>
    <row r="840">
      <c r="B840" s="104"/>
    </row>
    <row r="841">
      <c r="B841" s="104"/>
    </row>
    <row r="842">
      <c r="B842" s="104"/>
    </row>
    <row r="843">
      <c r="B843" s="104"/>
    </row>
    <row r="844">
      <c r="B844" s="104"/>
    </row>
    <row r="845">
      <c r="B845" s="104"/>
    </row>
    <row r="846">
      <c r="B846" s="104"/>
    </row>
    <row r="847">
      <c r="B847" s="104"/>
    </row>
    <row r="848">
      <c r="B848" s="104"/>
    </row>
    <row r="849">
      <c r="B849" s="104"/>
    </row>
    <row r="850">
      <c r="B850" s="104"/>
    </row>
    <row r="851">
      <c r="B851" s="104"/>
    </row>
    <row r="852">
      <c r="B852" s="104"/>
    </row>
    <row r="853">
      <c r="B853" s="104"/>
    </row>
    <row r="854">
      <c r="B854" s="104"/>
    </row>
    <row r="855">
      <c r="B855" s="104"/>
    </row>
    <row r="856">
      <c r="B856" s="104"/>
    </row>
    <row r="857">
      <c r="B857" s="104"/>
    </row>
    <row r="858">
      <c r="B858" s="104"/>
    </row>
    <row r="859">
      <c r="B859" s="104"/>
    </row>
    <row r="860">
      <c r="B860" s="104"/>
    </row>
    <row r="861">
      <c r="B861" s="104"/>
    </row>
    <row r="862">
      <c r="B862" s="104"/>
    </row>
    <row r="863">
      <c r="B863" s="104"/>
    </row>
    <row r="864">
      <c r="B864" s="104"/>
    </row>
    <row r="865">
      <c r="B865" s="104"/>
    </row>
    <row r="866">
      <c r="B866" s="104"/>
    </row>
    <row r="867">
      <c r="B867" s="104"/>
    </row>
    <row r="868">
      <c r="B868" s="104"/>
    </row>
    <row r="869">
      <c r="B869" s="104"/>
    </row>
    <row r="870">
      <c r="B870" s="104"/>
    </row>
    <row r="871">
      <c r="B871" s="104"/>
    </row>
    <row r="872">
      <c r="B872" s="104"/>
    </row>
    <row r="873">
      <c r="B873" s="104"/>
    </row>
    <row r="874">
      <c r="B874" s="104"/>
    </row>
    <row r="875">
      <c r="B875" s="104"/>
    </row>
    <row r="876">
      <c r="B876" s="104"/>
    </row>
    <row r="877">
      <c r="B877" s="104"/>
    </row>
    <row r="878">
      <c r="B878" s="104"/>
    </row>
    <row r="879">
      <c r="B879" s="104"/>
    </row>
    <row r="880">
      <c r="B880" s="104"/>
    </row>
    <row r="881">
      <c r="B881" s="104"/>
    </row>
    <row r="882">
      <c r="B882" s="104"/>
    </row>
    <row r="883">
      <c r="B883" s="104"/>
    </row>
    <row r="884">
      <c r="B884" s="104"/>
    </row>
    <row r="885">
      <c r="B885" s="104"/>
    </row>
    <row r="886">
      <c r="B886" s="104"/>
    </row>
    <row r="887">
      <c r="B887" s="104"/>
    </row>
    <row r="888">
      <c r="B888" s="104"/>
    </row>
    <row r="889">
      <c r="B889" s="104"/>
    </row>
    <row r="890">
      <c r="B890" s="104"/>
    </row>
    <row r="891">
      <c r="B891" s="104"/>
    </row>
    <row r="892">
      <c r="B892" s="104"/>
    </row>
    <row r="893">
      <c r="B893" s="104"/>
    </row>
    <row r="894">
      <c r="B894" s="104"/>
    </row>
    <row r="895">
      <c r="B895" s="104"/>
    </row>
    <row r="896">
      <c r="B896" s="104"/>
    </row>
    <row r="897">
      <c r="B897" s="104"/>
    </row>
    <row r="898">
      <c r="B898" s="104"/>
    </row>
    <row r="899">
      <c r="B899" s="104"/>
    </row>
    <row r="900">
      <c r="B900" s="104"/>
    </row>
    <row r="901">
      <c r="B901" s="104"/>
    </row>
    <row r="902">
      <c r="B902" s="104"/>
    </row>
    <row r="903">
      <c r="B903" s="104"/>
    </row>
    <row r="904">
      <c r="B904" s="104"/>
    </row>
    <row r="905">
      <c r="B905" s="104"/>
    </row>
    <row r="906">
      <c r="B906" s="104"/>
    </row>
    <row r="907">
      <c r="B907" s="104"/>
    </row>
    <row r="908">
      <c r="B908" s="104"/>
    </row>
    <row r="909">
      <c r="B909" s="104"/>
    </row>
    <row r="910">
      <c r="B910" s="104"/>
    </row>
    <row r="911">
      <c r="B911" s="104"/>
    </row>
    <row r="912">
      <c r="B912" s="104"/>
    </row>
    <row r="913">
      <c r="B913" s="104"/>
    </row>
    <row r="914">
      <c r="B914" s="104"/>
    </row>
    <row r="915">
      <c r="B915" s="104"/>
    </row>
    <row r="916">
      <c r="B916" s="104"/>
    </row>
    <row r="917">
      <c r="B917" s="104"/>
    </row>
    <row r="918">
      <c r="B918" s="104"/>
    </row>
    <row r="919">
      <c r="B919" s="104"/>
    </row>
    <row r="920">
      <c r="B920" s="104"/>
    </row>
    <row r="921">
      <c r="B921" s="104"/>
    </row>
    <row r="922">
      <c r="B922" s="104"/>
    </row>
    <row r="923">
      <c r="B923" s="104"/>
    </row>
    <row r="924">
      <c r="B924" s="104"/>
    </row>
    <row r="925">
      <c r="B925" s="104"/>
    </row>
    <row r="926">
      <c r="B926" s="104"/>
    </row>
    <row r="927">
      <c r="B927" s="104"/>
    </row>
    <row r="928">
      <c r="B928" s="104"/>
    </row>
    <row r="929">
      <c r="B929" s="104"/>
    </row>
    <row r="930">
      <c r="B930" s="104"/>
    </row>
    <row r="931">
      <c r="B931" s="104"/>
    </row>
    <row r="932">
      <c r="B932" s="104"/>
    </row>
    <row r="933">
      <c r="B933" s="104"/>
    </row>
    <row r="934">
      <c r="B934" s="104"/>
    </row>
    <row r="935">
      <c r="B935" s="104"/>
    </row>
    <row r="936">
      <c r="B936" s="104"/>
    </row>
    <row r="937">
      <c r="B937" s="104"/>
    </row>
    <row r="938">
      <c r="B938" s="104"/>
    </row>
    <row r="939">
      <c r="B939" s="104"/>
    </row>
    <row r="940">
      <c r="B940" s="104"/>
    </row>
    <row r="941">
      <c r="B941" s="104"/>
    </row>
    <row r="942">
      <c r="B942" s="104"/>
    </row>
    <row r="943">
      <c r="B943" s="104"/>
    </row>
    <row r="944">
      <c r="B944" s="104"/>
    </row>
    <row r="945">
      <c r="B945" s="104"/>
    </row>
    <row r="946">
      <c r="B946" s="104"/>
    </row>
    <row r="947">
      <c r="B947" s="104"/>
    </row>
    <row r="948">
      <c r="B948" s="104"/>
    </row>
    <row r="949">
      <c r="B949" s="104"/>
    </row>
    <row r="950">
      <c r="B950" s="104"/>
    </row>
    <row r="951">
      <c r="B951" s="104"/>
    </row>
    <row r="952">
      <c r="B952" s="104"/>
    </row>
    <row r="953">
      <c r="B953" s="104"/>
    </row>
    <row r="954">
      <c r="B954" s="104"/>
    </row>
    <row r="955">
      <c r="B955" s="104"/>
    </row>
    <row r="956">
      <c r="B956" s="104"/>
    </row>
    <row r="957">
      <c r="B957" s="104"/>
    </row>
    <row r="958">
      <c r="B958" s="104"/>
    </row>
    <row r="959">
      <c r="B959" s="104"/>
    </row>
    <row r="960">
      <c r="B960" s="104"/>
    </row>
    <row r="961">
      <c r="B961" s="104"/>
    </row>
    <row r="962">
      <c r="B962" s="104"/>
    </row>
    <row r="963">
      <c r="B963" s="104"/>
    </row>
    <row r="964">
      <c r="B964" s="104"/>
    </row>
    <row r="965">
      <c r="B965" s="104"/>
    </row>
    <row r="966">
      <c r="B966" s="104"/>
    </row>
    <row r="967">
      <c r="B967" s="104"/>
    </row>
    <row r="968">
      <c r="B968" s="104"/>
    </row>
    <row r="969">
      <c r="B969" s="104"/>
    </row>
    <row r="970">
      <c r="B970" s="104"/>
    </row>
    <row r="971">
      <c r="B971" s="104"/>
    </row>
    <row r="972">
      <c r="B972" s="104"/>
    </row>
    <row r="973">
      <c r="B973" s="104"/>
    </row>
    <row r="974">
      <c r="B974" s="104"/>
    </row>
    <row r="975">
      <c r="B975" s="104"/>
    </row>
    <row r="976">
      <c r="B976" s="104"/>
    </row>
    <row r="977">
      <c r="B977" s="104"/>
    </row>
  </sheetData>
  <mergeCells count="52">
    <mergeCell ref="C2:D2"/>
    <mergeCell ref="B3:B4"/>
    <mergeCell ref="C3:D4"/>
    <mergeCell ref="C15:K15"/>
    <mergeCell ref="C16:E16"/>
    <mergeCell ref="F16:H16"/>
    <mergeCell ref="J16:K16"/>
    <mergeCell ref="D17:E17"/>
    <mergeCell ref="G17:H17"/>
    <mergeCell ref="J17:K17"/>
    <mergeCell ref="D18:E18"/>
    <mergeCell ref="G18:H18"/>
    <mergeCell ref="D19:E19"/>
    <mergeCell ref="J20:K20"/>
    <mergeCell ref="G26:H26"/>
    <mergeCell ref="G27:H27"/>
    <mergeCell ref="G28:H28"/>
    <mergeCell ref="G29:H29"/>
    <mergeCell ref="G30:H30"/>
    <mergeCell ref="G31:H31"/>
    <mergeCell ref="G19:H19"/>
    <mergeCell ref="G20:H20"/>
    <mergeCell ref="G21:H21"/>
    <mergeCell ref="G22:H22"/>
    <mergeCell ref="G23:H23"/>
    <mergeCell ref="G24:H24"/>
    <mergeCell ref="G25:H25"/>
    <mergeCell ref="J26:K26"/>
    <mergeCell ref="J27:K27"/>
    <mergeCell ref="J28:K28"/>
    <mergeCell ref="J29:K29"/>
    <mergeCell ref="J30:K30"/>
    <mergeCell ref="J31:K31"/>
    <mergeCell ref="J18:K18"/>
    <mergeCell ref="J19:K19"/>
    <mergeCell ref="J21:K21"/>
    <mergeCell ref="J22:K22"/>
    <mergeCell ref="J23:K23"/>
    <mergeCell ref="J24:K24"/>
    <mergeCell ref="J25:K25"/>
    <mergeCell ref="D27:E27"/>
    <mergeCell ref="D28:E28"/>
    <mergeCell ref="D29:E29"/>
    <mergeCell ref="D30:E30"/>
    <mergeCell ref="D31:E31"/>
    <mergeCell ref="D20:E20"/>
    <mergeCell ref="D21:E21"/>
    <mergeCell ref="D22:E22"/>
    <mergeCell ref="D23:E23"/>
    <mergeCell ref="D24:E24"/>
    <mergeCell ref="D25:E25"/>
    <mergeCell ref="D26:E26"/>
  </mergeCells>
  <conditionalFormatting sqref="C17:H31">
    <cfRule type="expression" dxfId="0" priority="1">
      <formula>if($I17="X",1,0)</formula>
    </cfRule>
  </conditionalFormatting>
  <conditionalFormatting sqref="E5:L12 N5:N11">
    <cfRule type="colorScale" priority="2">
      <colorScale>
        <cfvo type="formula" val="1"/>
        <cfvo type="formula" val="2.5"/>
        <cfvo type="formula" val="5"/>
        <color rgb="FFEA9999"/>
        <color rgb="FFFFD666"/>
        <color rgb="FF57BB8A"/>
      </colorScale>
    </cfRule>
  </conditionalFormatting>
  <conditionalFormatting sqref="E5:L12">
    <cfRule type="expression" dxfId="1" priority="3">
      <formula>if(isnumber(match(concatenate(row(E5)-4,",",column(E5)-4),$N$17:$N$31,0)),if(index($I$17:$I$31,match(concatenate(row(E5)-4,",",column(E5)-4),$N$17:$N$31,0))="X",1,0),0)</formula>
    </cfRule>
  </conditionalFormatting>
  <conditionalFormatting sqref="E5:L12">
    <cfRule type="expression" dxfId="2" priority="4">
      <formula>if(isnumber(match(concatenate(row(E5)-4,",",column(E5)-4),$N$17:$N$31,0)),1,0)</formula>
    </cfRule>
  </conditionalFormatting>
  <conditionalFormatting sqref="E5">
    <cfRule type="notContainsBlanks" dxfId="3" priority="5">
      <formula>LEN(TRIM(E5))&gt;0</formula>
    </cfRule>
  </conditionalFormatting>
  <conditionalFormatting sqref="E5">
    <cfRule type="notContainsBlanks" dxfId="3" priority="6">
      <formula>LEN(TRIM(E5))&gt;0</formula>
    </cfRule>
  </conditionalFormatting>
  <dataValidations>
    <dataValidation type="list" allowBlank="1" showErrorMessage="1" sqref="D17:D31">
      <formula1>Warlock_Exotics_Class1</formula1>
    </dataValidation>
    <dataValidation type="list" allowBlank="1" showErrorMessage="1" sqref="G17:G31">
      <formula1>Warlock_Exotics_Class2</formula1>
    </dataValidation>
    <dataValidation type="list" allowBlank="1" showErrorMessage="1" sqref="I17:I31">
      <formula1>"X,_"</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AF33"/>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25"/>
    <col customWidth="1" min="2" max="2" width="6.38"/>
    <col customWidth="1" min="3" max="3" width="15.75"/>
    <col customWidth="1" min="4" max="4" width="9.5"/>
    <col customWidth="1" min="5" max="5" width="31.38"/>
    <col customWidth="1" min="6" max="6" width="9.5"/>
    <col customWidth="1" min="7" max="7" width="6.38"/>
    <col customWidth="1" min="8" max="8" width="15.75"/>
    <col customWidth="1" min="9" max="9" width="9.5"/>
    <col customWidth="1" min="10" max="10" width="31.38"/>
    <col customWidth="1" min="11" max="11" width="9.5"/>
    <col customWidth="1" min="12" max="13" width="6.38"/>
    <col customWidth="1" min="14" max="14" width="15.75"/>
    <col customWidth="1" min="15" max="15" width="9.5"/>
    <col customWidth="1" min="16" max="16" width="31.38"/>
    <col customWidth="1" min="17" max="17" width="9.5"/>
    <col customWidth="1" min="18" max="18" width="6.38"/>
    <col customWidth="1" min="19" max="19" width="15.75"/>
    <col customWidth="1" min="20" max="20" width="9.5"/>
    <col customWidth="1" min="21" max="21" width="31.38"/>
    <col customWidth="1" min="22" max="22" width="9.5"/>
    <col customWidth="1" min="23" max="24" width="6.38"/>
    <col customWidth="1" min="25" max="25" width="15.75"/>
    <col customWidth="1" min="26" max="26" width="9.5"/>
    <col customWidth="1" min="27" max="27" width="31.38"/>
    <col customWidth="1" min="28" max="28" width="9.5"/>
    <col customWidth="1" min="29" max="29" width="6.38"/>
    <col customWidth="1" min="30" max="30" width="15.75"/>
    <col customWidth="1" min="31" max="31" width="9.5"/>
    <col customWidth="1" min="32" max="32" width="31.38"/>
    <col customWidth="1" min="33" max="35" width="9.5"/>
  </cols>
  <sheetData>
    <row r="1">
      <c r="B1" s="178" t="s">
        <v>130</v>
      </c>
      <c r="C1" s="179"/>
      <c r="D1" s="179"/>
      <c r="E1" s="179"/>
      <c r="F1" s="179"/>
      <c r="G1" s="179"/>
      <c r="H1" s="179"/>
      <c r="I1" s="179"/>
      <c r="J1" s="179"/>
      <c r="K1" s="180"/>
      <c r="L1" s="181"/>
      <c r="M1" s="182" t="s">
        <v>131</v>
      </c>
      <c r="N1" s="179"/>
      <c r="O1" s="179"/>
      <c r="P1" s="179"/>
      <c r="Q1" s="179"/>
      <c r="R1" s="179"/>
      <c r="S1" s="179"/>
      <c r="T1" s="179"/>
      <c r="U1" s="179"/>
      <c r="V1" s="180"/>
      <c r="W1" s="181"/>
      <c r="X1" s="183" t="s">
        <v>132</v>
      </c>
      <c r="Y1" s="179"/>
      <c r="Z1" s="179"/>
      <c r="AA1" s="179"/>
      <c r="AB1" s="179"/>
      <c r="AC1" s="179"/>
      <c r="AD1" s="179"/>
      <c r="AE1" s="179"/>
      <c r="AF1" s="179"/>
      <c r="AG1" s="180"/>
      <c r="AH1" s="184"/>
      <c r="AI1" s="184"/>
    </row>
    <row r="2">
      <c r="B2" s="185" t="s">
        <v>63</v>
      </c>
      <c r="C2" s="186"/>
      <c r="D2" s="186"/>
      <c r="E2" s="186"/>
      <c r="F2" s="187"/>
      <c r="G2" s="188" t="s">
        <v>64</v>
      </c>
      <c r="H2" s="186"/>
      <c r="I2" s="186"/>
      <c r="J2" s="186"/>
      <c r="K2" s="189"/>
      <c r="L2" s="190"/>
      <c r="M2" s="185" t="s">
        <v>63</v>
      </c>
      <c r="N2" s="186"/>
      <c r="O2" s="186"/>
      <c r="P2" s="186"/>
      <c r="Q2" s="187"/>
      <c r="R2" s="188" t="s">
        <v>64</v>
      </c>
      <c r="S2" s="186"/>
      <c r="T2" s="186"/>
      <c r="U2" s="186"/>
      <c r="V2" s="189"/>
      <c r="W2" s="190"/>
      <c r="X2" s="185" t="s">
        <v>63</v>
      </c>
      <c r="Y2" s="186"/>
      <c r="Z2" s="186"/>
      <c r="AA2" s="186"/>
      <c r="AB2" s="187"/>
      <c r="AC2" s="188" t="s">
        <v>64</v>
      </c>
      <c r="AD2" s="186"/>
      <c r="AE2" s="186"/>
      <c r="AF2" s="186"/>
      <c r="AG2" s="189"/>
      <c r="AH2" s="190"/>
      <c r="AI2" s="190"/>
    </row>
    <row r="3" ht="37.5" customHeight="1">
      <c r="B3" s="191" t="str">
        <f>image("https://www.bungie.net/common/destiny2_content/icons/961559205e83e96cd590b34c28efadb7.png")</f>
        <v/>
      </c>
      <c r="C3" s="192" t="s">
        <v>39</v>
      </c>
      <c r="D3" s="193" t="s">
        <v>133</v>
      </c>
      <c r="E3" s="193" t="s">
        <v>38</v>
      </c>
      <c r="F3" s="194">
        <v>1.476923952E9</v>
      </c>
      <c r="G3" s="195" t="str">
        <f>image("https://www.bungie.net/common/destiny2_content/icons/b29ab6e87ec85bac4563f3d3a432c451.png")</f>
        <v/>
      </c>
      <c r="H3" s="192" t="s">
        <v>28</v>
      </c>
      <c r="I3" s="196" t="s">
        <v>133</v>
      </c>
      <c r="J3" s="196" t="s">
        <v>20</v>
      </c>
      <c r="K3" s="197">
        <v>1.476923955E9</v>
      </c>
      <c r="L3" s="198"/>
      <c r="M3" s="149" t="str">
        <f>image("https://www.bungie.net/common/destiny2_content/icons/961559205e83e96cd590b34c28efadb7.png")</f>
        <v/>
      </c>
      <c r="N3" s="192" t="s">
        <v>39</v>
      </c>
      <c r="O3" s="193" t="s">
        <v>134</v>
      </c>
      <c r="P3" s="193" t="s">
        <v>38</v>
      </c>
      <c r="Q3" s="194">
        <v>1.476923952E9</v>
      </c>
      <c r="R3" s="195" t="str">
        <f>image("https://www.bungie.net/common/destiny2_content/icons/b29ab6e87ec85bac4563f3d3a432c451.png")</f>
        <v/>
      </c>
      <c r="S3" s="192" t="s">
        <v>28</v>
      </c>
      <c r="T3" s="199" t="s">
        <v>135</v>
      </c>
      <c r="U3" s="196" t="s">
        <v>20</v>
      </c>
      <c r="V3" s="197">
        <v>1.476923955E9</v>
      </c>
      <c r="W3" s="198"/>
      <c r="X3" s="149" t="str">
        <f>image("https://www.bungie.net/common/destiny2_content/icons/961559205e83e96cd590b34c28efadb7.png")</f>
        <v/>
      </c>
      <c r="Y3" s="192" t="s">
        <v>39</v>
      </c>
      <c r="Z3" s="193" t="s">
        <v>134</v>
      </c>
      <c r="AA3" s="193" t="s">
        <v>38</v>
      </c>
      <c r="AB3" s="194">
        <v>1.476923952E9</v>
      </c>
      <c r="AC3" s="195" t="str">
        <f>image("https://www.bungie.net/common/destiny2_content/icons/b29ab6e87ec85bac4563f3d3a432c451.png")</f>
        <v/>
      </c>
      <c r="AD3" s="192" t="s">
        <v>28</v>
      </c>
      <c r="AE3" s="199" t="s">
        <v>135</v>
      </c>
      <c r="AF3" s="196" t="s">
        <v>20</v>
      </c>
      <c r="AG3" s="197">
        <v>1.476923955E9</v>
      </c>
      <c r="AH3" s="41"/>
      <c r="AI3" s="41"/>
    </row>
    <row r="4" ht="37.5" customHeight="1">
      <c r="B4" s="79" t="str">
        <f>image("https://www.bungie.net/common/destiny2_content/icons/51756fc7603bd72a83d1859d8c33f0b9.png")</f>
        <v/>
      </c>
      <c r="C4" s="200" t="s">
        <v>42</v>
      </c>
      <c r="D4" s="200" t="s">
        <v>136</v>
      </c>
      <c r="E4" s="201" t="s">
        <v>41</v>
      </c>
      <c r="F4" s="202">
        <v>1.476923953E9</v>
      </c>
      <c r="G4" s="203" t="str">
        <f>image("https://www.bungie.net/common/destiny2_content/icons/640d76fb6ab52e290116455379194b07.png")</f>
        <v/>
      </c>
      <c r="H4" s="200" t="s">
        <v>29</v>
      </c>
      <c r="I4" s="204" t="s">
        <v>134</v>
      </c>
      <c r="J4" s="204" t="s">
        <v>21</v>
      </c>
      <c r="K4" s="205">
        <v>1.476923956E9</v>
      </c>
      <c r="L4" s="206"/>
      <c r="M4" s="79" t="str">
        <f>image("https://www.bungie.net/common/destiny2_content/icons/51756fc7603bd72a83d1859d8c33f0b9.png")</f>
        <v/>
      </c>
      <c r="N4" s="200" t="s">
        <v>42</v>
      </c>
      <c r="O4" s="200" t="s">
        <v>135</v>
      </c>
      <c r="P4" s="201" t="s">
        <v>41</v>
      </c>
      <c r="Q4" s="202">
        <v>1.476923953E9</v>
      </c>
      <c r="R4" s="203" t="str">
        <f>image("https://www.bungie.net/common/destiny2_content/icons/640d76fb6ab52e290116455379194b07.png")</f>
        <v/>
      </c>
      <c r="S4" s="200" t="s">
        <v>29</v>
      </c>
      <c r="T4" s="207" t="s">
        <v>135</v>
      </c>
      <c r="U4" s="204" t="s">
        <v>21</v>
      </c>
      <c r="V4" s="205">
        <v>1.476923956E9</v>
      </c>
      <c r="W4" s="206"/>
      <c r="X4" s="79" t="str">
        <f>image("https://www.bungie.net/common/destiny2_content/icons/51756fc7603bd72a83d1859d8c33f0b9.png")</f>
        <v/>
      </c>
      <c r="Y4" s="200" t="s">
        <v>42</v>
      </c>
      <c r="Z4" s="200" t="s">
        <v>135</v>
      </c>
      <c r="AA4" s="201" t="s">
        <v>41</v>
      </c>
      <c r="AB4" s="202">
        <v>1.476923953E9</v>
      </c>
      <c r="AC4" s="203" t="str">
        <f>image("https://www.bungie.net/common/destiny2_content/icons/640d76fb6ab52e290116455379194b07.png")</f>
        <v/>
      </c>
      <c r="AD4" s="200" t="s">
        <v>29</v>
      </c>
      <c r="AE4" s="207" t="s">
        <v>135</v>
      </c>
      <c r="AF4" s="204" t="s">
        <v>21</v>
      </c>
      <c r="AG4" s="205">
        <v>1.476923956E9</v>
      </c>
      <c r="AH4" s="41"/>
      <c r="AI4" s="41"/>
    </row>
    <row r="5" ht="37.5" customHeight="1">
      <c r="B5" s="88" t="str">
        <f>image("https://www.bungie.net/common/destiny2_content/icons/3945ff76d8e7ec70991cb0f6601c6797.png")</f>
        <v/>
      </c>
      <c r="C5" s="208" t="s">
        <v>45</v>
      </c>
      <c r="D5" s="209" t="s">
        <v>40</v>
      </c>
      <c r="E5" s="210" t="s">
        <v>44</v>
      </c>
      <c r="F5" s="202">
        <v>1.476923954E9</v>
      </c>
      <c r="G5" s="211" t="str">
        <f>image("https://www.bungie.net/common/destiny2_content/icons/9732f284c71054229671287ab43444b7.png")</f>
        <v/>
      </c>
      <c r="H5" s="208" t="s">
        <v>30</v>
      </c>
      <c r="I5" s="212" t="s">
        <v>134</v>
      </c>
      <c r="J5" s="212" t="s">
        <v>22</v>
      </c>
      <c r="K5" s="205">
        <v>1.476923957E9</v>
      </c>
      <c r="L5" s="122"/>
      <c r="M5" s="88" t="str">
        <f>image("https://www.bungie.net/common/destiny2_content/icons/3945ff76d8e7ec70991cb0f6601c6797.png")</f>
        <v/>
      </c>
      <c r="N5" s="208" t="s">
        <v>45</v>
      </c>
      <c r="O5" s="210" t="s">
        <v>40</v>
      </c>
      <c r="P5" s="210" t="s">
        <v>44</v>
      </c>
      <c r="Q5" s="202">
        <v>1.476923954E9</v>
      </c>
      <c r="R5" s="211" t="str">
        <f>image("https://www.bungie.net/common/destiny2_content/icons/9732f284c71054229671287ab43444b7.png")</f>
        <v/>
      </c>
      <c r="S5" s="208" t="s">
        <v>30</v>
      </c>
      <c r="T5" s="212" t="s">
        <v>134</v>
      </c>
      <c r="U5" s="212" t="s">
        <v>22</v>
      </c>
      <c r="V5" s="205">
        <v>1.476923957E9</v>
      </c>
      <c r="W5" s="122"/>
      <c r="X5" s="88" t="str">
        <f>image("https://www.bungie.net/common/destiny2_content/icons/3945ff76d8e7ec70991cb0f6601c6797.png")</f>
        <v/>
      </c>
      <c r="Y5" s="208" t="s">
        <v>45</v>
      </c>
      <c r="Z5" s="210" t="s">
        <v>137</v>
      </c>
      <c r="AA5" s="210" t="s">
        <v>44</v>
      </c>
      <c r="AB5" s="202">
        <v>1.476923954E9</v>
      </c>
      <c r="AC5" s="211" t="str">
        <f>image("https://www.bungie.net/common/destiny2_content/icons/9732f284c71054229671287ab43444b7.png")</f>
        <v/>
      </c>
      <c r="AD5" s="208" t="s">
        <v>30</v>
      </c>
      <c r="AE5" s="212" t="s">
        <v>134</v>
      </c>
      <c r="AF5" s="212" t="s">
        <v>22</v>
      </c>
      <c r="AG5" s="205">
        <v>1.476923957E9</v>
      </c>
      <c r="AH5" s="41"/>
      <c r="AI5" s="41"/>
    </row>
    <row r="6" ht="37.5" customHeight="1">
      <c r="B6" s="213" t="str">
        <f>image("https://www.bungie.net/common/destiny2_content/icons/100cd6b35af5fb3f979807d68ad57380.png")</f>
        <v/>
      </c>
      <c r="C6" s="192" t="s">
        <v>48</v>
      </c>
      <c r="D6" s="193" t="s">
        <v>133</v>
      </c>
      <c r="E6" s="193" t="s">
        <v>47</v>
      </c>
      <c r="F6" s="202">
        <v>3.751917999E9</v>
      </c>
      <c r="G6" s="195" t="str">
        <f>image("https://www.bungie.net/common/destiny2_content/icons/358bc75bc96bdadc33cc25d864848de4.png")</f>
        <v/>
      </c>
      <c r="H6" s="192" t="s">
        <v>31</v>
      </c>
      <c r="I6" s="199" t="s">
        <v>135</v>
      </c>
      <c r="J6" s="196" t="s">
        <v>23</v>
      </c>
      <c r="K6" s="205">
        <v>3.751917994E9</v>
      </c>
      <c r="L6" s="206"/>
      <c r="M6" s="79" t="str">
        <f>image("https://www.bungie.net/common/destiny2_content/icons/baed176aaf20399a3abb8b287790747a.png")</f>
        <v/>
      </c>
      <c r="N6" s="200" t="s">
        <v>89</v>
      </c>
      <c r="O6" s="214" t="s">
        <v>135</v>
      </c>
      <c r="P6" s="201" t="s">
        <v>88</v>
      </c>
      <c r="Q6" s="215">
        <v>3.573490509E9</v>
      </c>
      <c r="R6" s="203" t="str">
        <f>image("https://www.bungie.net/common/destiny2_content/icons/a4ead8e3316d22dbb9fc48e6c643dde3.png")</f>
        <v/>
      </c>
      <c r="S6" s="200" t="s">
        <v>83</v>
      </c>
      <c r="T6" s="207" t="s">
        <v>135</v>
      </c>
      <c r="U6" s="204" t="s">
        <v>78</v>
      </c>
      <c r="V6" s="216">
        <f>Q10-1</f>
        <v>3573490504</v>
      </c>
      <c r="W6" s="122"/>
      <c r="X6" s="88" t="str">
        <f>image("https://www.bungie.net/common/destiny2_content/icons/c4f95301370c59ab4d7ce34825e83305.png")</f>
        <v/>
      </c>
      <c r="Y6" s="208" t="s">
        <v>112</v>
      </c>
      <c r="Z6" s="210" t="s">
        <v>134</v>
      </c>
      <c r="AA6" s="210" t="s">
        <v>111</v>
      </c>
      <c r="AB6" s="215">
        <v>1.83430248E8</v>
      </c>
      <c r="AC6" s="211" t="str">
        <f>image("https://www.bungie.net/common/destiny2_content/icons/ff55cfecf4c70924d0894b1d8a442a18.png")</f>
        <v/>
      </c>
      <c r="AD6" s="208" t="s">
        <v>106</v>
      </c>
      <c r="AE6" s="212" t="s">
        <v>134</v>
      </c>
      <c r="AF6" s="212" t="s">
        <v>101</v>
      </c>
      <c r="AG6" s="216">
        <v>1.83430251E8</v>
      </c>
      <c r="AH6" s="41"/>
      <c r="AI6" s="41"/>
    </row>
    <row r="7" ht="37.5" customHeight="1">
      <c r="B7" s="213" t="str">
        <f>image("https://www.bungie.net/common/destiny2_content/icons/467f441de1568bd8c6ad437a76671b5f.png")</f>
        <v/>
      </c>
      <c r="C7" s="192" t="s">
        <v>51</v>
      </c>
      <c r="D7" s="193" t="s">
        <v>133</v>
      </c>
      <c r="E7" s="193" t="s">
        <v>50</v>
      </c>
      <c r="F7" s="202">
        <v>3.751917998E9</v>
      </c>
      <c r="G7" s="195" t="str">
        <f>image("https://www.bungie.net/common/destiny2_content/icons/bd7a131851dd9dad2da3e9f198f67f6e.png")</f>
        <v/>
      </c>
      <c r="H7" s="192" t="s">
        <v>32</v>
      </c>
      <c r="I7" s="199" t="s">
        <v>135</v>
      </c>
      <c r="J7" s="196" t="s">
        <v>24</v>
      </c>
      <c r="K7" s="205">
        <f t="shared" ref="K7:K10" si="1">K6-1</f>
        <v>3751917993</v>
      </c>
      <c r="L7" s="206"/>
      <c r="M7" s="79" t="str">
        <f>image("https://www.bungie.net/common/destiny2_content/icons/f093d552bec2248e94fed1a960d62dde.png")</f>
        <v/>
      </c>
      <c r="N7" s="200" t="s">
        <v>91</v>
      </c>
      <c r="O7" s="217" t="s">
        <v>134</v>
      </c>
      <c r="P7" s="217" t="s">
        <v>90</v>
      </c>
      <c r="Q7" s="218">
        <f>Q6-1</f>
        <v>3573490508</v>
      </c>
      <c r="R7" s="203" t="str">
        <f>image("https://www.bungie.net/common/destiny2_content/icons/811e014f935edafdc52042602ca2429d.png")</f>
        <v/>
      </c>
      <c r="S7" s="200" t="s">
        <v>84</v>
      </c>
      <c r="T7" s="204" t="s">
        <v>134</v>
      </c>
      <c r="U7" s="204" t="s">
        <v>79</v>
      </c>
      <c r="V7" s="216">
        <f>V6-1</f>
        <v>3573490503</v>
      </c>
      <c r="W7" s="122"/>
      <c r="X7" s="88" t="str">
        <f>image("https://www.bungie.net/common/destiny2_content/icons/1d4c0be6150c4ca71bc7add447c5d86c.png")</f>
        <v/>
      </c>
      <c r="Y7" s="208" t="s">
        <v>114</v>
      </c>
      <c r="Z7" s="210" t="s">
        <v>134</v>
      </c>
      <c r="AA7" s="210" t="s">
        <v>113</v>
      </c>
      <c r="AB7" s="215">
        <v>1.83430255E8</v>
      </c>
      <c r="AC7" s="211" t="str">
        <f>image("https://www.bungie.net/common/destiny2_content/icons/675540240cef9fc9e047d9f9d20a0722.png")</f>
        <v/>
      </c>
      <c r="AD7" s="208" t="s">
        <v>107</v>
      </c>
      <c r="AE7" s="219" t="s">
        <v>136</v>
      </c>
      <c r="AF7" s="212" t="s">
        <v>102</v>
      </c>
      <c r="AG7" s="216">
        <v>1.83430254E8</v>
      </c>
      <c r="AH7" s="41"/>
      <c r="AI7" s="41"/>
    </row>
    <row r="8" ht="37.5" customHeight="1">
      <c r="B8" s="213" t="str">
        <f>image("https://www.bungie.net/common/destiny2_content/icons/c156b7906217d8b61e7573f9c9cc2dc7.png")</f>
        <v/>
      </c>
      <c r="C8" s="192" t="s">
        <v>54</v>
      </c>
      <c r="D8" s="220" t="s">
        <v>133</v>
      </c>
      <c r="E8" s="221" t="s">
        <v>53</v>
      </c>
      <c r="F8" s="202">
        <v>3.751917997E9</v>
      </c>
      <c r="G8" s="195" t="str">
        <f>image("https://www.bungie.net/common/destiny2_content/icons/71a75146e38ba257b7379af0efacd61f.png")</f>
        <v/>
      </c>
      <c r="H8" s="192" t="s">
        <v>33</v>
      </c>
      <c r="I8" s="199" t="s">
        <v>135</v>
      </c>
      <c r="J8" s="222" t="s">
        <v>25</v>
      </c>
      <c r="K8" s="205">
        <f t="shared" si="1"/>
        <v>3751917992</v>
      </c>
      <c r="L8" s="206"/>
      <c r="M8" s="79" t="str">
        <f>image("https://www.bungie.net/common/destiny2_content/icons/abaff19620ec578f1f379a359de7134c.png")</f>
        <v/>
      </c>
      <c r="N8" s="200" t="s">
        <v>93</v>
      </c>
      <c r="O8" s="201" t="s">
        <v>134</v>
      </c>
      <c r="P8" s="201" t="s">
        <v>138</v>
      </c>
      <c r="Q8" s="215">
        <v>3.573490511E9</v>
      </c>
      <c r="R8" s="203" t="str">
        <f>image("https://www.bungie.net/common/destiny2_content/icons/784bd1d46cc9bd60e1d510e915aedb04.png")</f>
        <v/>
      </c>
      <c r="S8" s="200" t="s">
        <v>85</v>
      </c>
      <c r="T8" s="204" t="s">
        <v>134</v>
      </c>
      <c r="U8" s="204" t="s">
        <v>80</v>
      </c>
      <c r="V8" s="216">
        <v>3.573490506E9</v>
      </c>
      <c r="W8" s="122"/>
      <c r="X8" s="88" t="str">
        <f>image("https://www.bungie.net/common/destiny2_content/icons/4c1a349c2723d3aa84598da98c7a8805.png")</f>
        <v/>
      </c>
      <c r="Y8" s="208" t="s">
        <v>116</v>
      </c>
      <c r="Z8" s="210" t="s">
        <v>134</v>
      </c>
      <c r="AA8" s="210" t="s">
        <v>115</v>
      </c>
      <c r="AB8" s="215">
        <v>1.83430252E8</v>
      </c>
      <c r="AC8" s="211" t="str">
        <f>image("https://www.bungie.net/common/destiny2_content/icons/18c3e0503b1c9cd823dde3ded3680f8d.png")</f>
        <v/>
      </c>
      <c r="AD8" s="208" t="s">
        <v>108</v>
      </c>
      <c r="AE8" s="212" t="s">
        <v>134</v>
      </c>
      <c r="AF8" s="212" t="s">
        <v>103</v>
      </c>
      <c r="AG8" s="216">
        <v>1.83430249E8</v>
      </c>
      <c r="AH8" s="41"/>
      <c r="AI8" s="41"/>
    </row>
    <row r="9" ht="37.5" customHeight="1">
      <c r="B9" s="213" t="str">
        <f>image("https://www.bungie.net/common/destiny2_content/icons/cd66bbfb633d559d5c42c6c85e1d6873.png")</f>
        <v/>
      </c>
      <c r="C9" s="192" t="s">
        <v>57</v>
      </c>
      <c r="D9" s="192" t="s">
        <v>135</v>
      </c>
      <c r="E9" s="193" t="s">
        <v>56</v>
      </c>
      <c r="F9" s="202">
        <v>3.751917996E9</v>
      </c>
      <c r="G9" s="195" t="str">
        <f>image("https://www.bungie.net/common/destiny2_content/icons/16f43c6fbb972bdc24764a59aacc8161.png")</f>
        <v/>
      </c>
      <c r="H9" s="192" t="s">
        <v>34</v>
      </c>
      <c r="I9" s="196" t="s">
        <v>40</v>
      </c>
      <c r="J9" s="196" t="s">
        <v>26</v>
      </c>
      <c r="K9" s="205">
        <f t="shared" si="1"/>
        <v>3751917991</v>
      </c>
      <c r="L9" s="206"/>
      <c r="M9" s="223" t="str">
        <f>image("https://www.bungie.net/common/destiny2_content/icons/245108de9d46cabc0ca3f16c665321dd.png")</f>
        <v/>
      </c>
      <c r="N9" s="200" t="s">
        <v>95</v>
      </c>
      <c r="O9" s="200" t="s">
        <v>135</v>
      </c>
      <c r="P9" s="201" t="s">
        <v>94</v>
      </c>
      <c r="Q9" s="215">
        <v>3.57349051E9</v>
      </c>
      <c r="R9" s="203" t="str">
        <f>image("https://www.bungie.net/common/destiny2_content/icons/a5c5979f3630735a03bee7f2d32e9043.png")</f>
        <v/>
      </c>
      <c r="S9" s="200" t="s">
        <v>86</v>
      </c>
      <c r="T9" s="204" t="s">
        <v>134</v>
      </c>
      <c r="U9" s="204" t="s">
        <v>139</v>
      </c>
      <c r="V9" s="216">
        <f t="shared" ref="V9:V10" si="2">V8-1</f>
        <v>3573490505</v>
      </c>
      <c r="W9" s="122"/>
      <c r="X9" s="88" t="str">
        <f>image("https://www.bungie.net/common/destiny2_content/icons/81b6412d2d6784891dd7ddad764891cc.png")</f>
        <v/>
      </c>
      <c r="Y9" s="208" t="s">
        <v>118</v>
      </c>
      <c r="Z9" s="208" t="s">
        <v>135</v>
      </c>
      <c r="AA9" s="210" t="s">
        <v>117</v>
      </c>
      <c r="AB9" s="215">
        <v>1.83430253E8</v>
      </c>
      <c r="AC9" s="211" t="str">
        <f>image("https://www.bungie.net/common/destiny2_content/icons/2c51c7358ab1de58c11edc89b5573e84.png")</f>
        <v/>
      </c>
      <c r="AD9" s="208" t="s">
        <v>109</v>
      </c>
      <c r="AE9" s="212" t="s">
        <v>134</v>
      </c>
      <c r="AF9" s="212" t="s">
        <v>104</v>
      </c>
      <c r="AG9" s="216">
        <v>1.83430246E8</v>
      </c>
      <c r="AH9" s="41"/>
      <c r="AI9" s="41"/>
    </row>
    <row r="10" ht="37.5" customHeight="1">
      <c r="B10" s="224" t="str">
        <f>image("https://www.bungie.net/common/destiny2_content/icons/47fd782cc9b993709e25ca66035d13b8.png")</f>
        <v/>
      </c>
      <c r="C10" s="225" t="s">
        <v>60</v>
      </c>
      <c r="D10" s="225" t="s">
        <v>136</v>
      </c>
      <c r="E10" s="226" t="s">
        <v>59</v>
      </c>
      <c r="F10" s="227">
        <v>3.751917995E9</v>
      </c>
      <c r="G10" s="228" t="str">
        <f>image("https://www.bungie.net/common/destiny2_content/icons/aa2934eb8a1990f6a1e76402ba12f26a.png")</f>
        <v/>
      </c>
      <c r="H10" s="225" t="s">
        <v>35</v>
      </c>
      <c r="I10" s="229" t="s">
        <v>133</v>
      </c>
      <c r="J10" s="229" t="s">
        <v>27</v>
      </c>
      <c r="K10" s="205">
        <f t="shared" si="1"/>
        <v>3751917990</v>
      </c>
      <c r="L10" s="206"/>
      <c r="M10" s="230" t="str">
        <f>image("https://www.bungie.net/common/destiny2_content/icons/c792f09ce9d03c03064724af10be0349.png")</f>
        <v/>
      </c>
      <c r="N10" s="231" t="s">
        <v>97</v>
      </c>
      <c r="O10" s="232" t="s">
        <v>134</v>
      </c>
      <c r="P10" s="233" t="s">
        <v>96</v>
      </c>
      <c r="Q10" s="234">
        <v>3.573490505E9</v>
      </c>
      <c r="R10" s="235" t="str">
        <f>image("https://www.bungie.net/common/destiny2_content/icons/87ed6eb97c923d6a8d0e14639f4b7791.png")</f>
        <v/>
      </c>
      <c r="S10" s="231" t="s">
        <v>87</v>
      </c>
      <c r="T10" s="236" t="s">
        <v>134</v>
      </c>
      <c r="U10" s="236" t="s">
        <v>82</v>
      </c>
      <c r="V10" s="237">
        <f t="shared" si="2"/>
        <v>3573490504</v>
      </c>
      <c r="W10" s="122"/>
      <c r="X10" s="238" t="str">
        <f>image("https://www.bungie.net/common/destiny2_content/icons/5ca9d0fa8f6c97999ac5927c679401af.png")</f>
        <v/>
      </c>
      <c r="Y10" s="239" t="s">
        <v>120</v>
      </c>
      <c r="Z10" s="239" t="s">
        <v>135</v>
      </c>
      <c r="AA10" s="240" t="s">
        <v>119</v>
      </c>
      <c r="AB10" s="234">
        <v>1.8343025E8</v>
      </c>
      <c r="AC10" s="241" t="str">
        <f>image("https://www.bungie.net/common/destiny2_content/icons/569a1a4cbdd7a014159ebdf304c8a9b5.png")</f>
        <v/>
      </c>
      <c r="AD10" s="239" t="s">
        <v>110</v>
      </c>
      <c r="AE10" s="242" t="s">
        <v>134</v>
      </c>
      <c r="AF10" s="242" t="s">
        <v>105</v>
      </c>
      <c r="AG10" s="237">
        <v>1.83430247E8</v>
      </c>
      <c r="AH10" s="41"/>
      <c r="AI10" s="41"/>
    </row>
    <row r="11" ht="37.5" customHeight="1"/>
    <row r="12" ht="37.5" customHeight="1">
      <c r="C12" s="109" t="s">
        <v>140</v>
      </c>
      <c r="AH12" s="184"/>
      <c r="AI12" s="184"/>
    </row>
    <row r="13" ht="37.5" customHeight="1">
      <c r="AH13" s="190"/>
      <c r="AI13" s="190"/>
    </row>
    <row r="14" ht="37.5" customHeight="1">
      <c r="AH14" s="243"/>
      <c r="AI14" s="243"/>
    </row>
    <row r="15" ht="37.5" customHeight="1">
      <c r="AH15" s="244"/>
      <c r="AI15" s="244"/>
    </row>
    <row r="16" ht="37.5" customHeight="1"/>
    <row r="17" ht="37.5" customHeight="1"/>
    <row r="18" ht="37.5" customHeight="1"/>
    <row r="19" ht="37.5" customHeight="1"/>
    <row r="20" ht="37.5" customHeight="1"/>
    <row r="21" ht="37.5" customHeight="1"/>
    <row r="22" ht="37.5" customHeight="1"/>
    <row r="23" ht="37.5" customHeight="1"/>
    <row r="24" ht="37.5" customHeight="1"/>
    <row r="25" ht="37.5" customHeight="1"/>
    <row r="26" ht="37.5" customHeight="1"/>
    <row r="27" ht="37.5" customHeight="1"/>
    <row r="28" ht="37.5" customHeight="1"/>
    <row r="29" ht="37.5" customHeight="1"/>
    <row r="30" ht="37.5" customHeight="1"/>
    <row r="31" ht="37.5" customHeight="1"/>
    <row r="32" ht="37.5" customHeight="1"/>
    <row r="33" ht="37.5" customHeight="1"/>
    <row r="34" ht="37.5" customHeight="1"/>
    <row r="35" ht="37.5" customHeight="1"/>
    <row r="36" ht="37.5" customHeight="1"/>
    <row r="37" ht="37.5" customHeight="1"/>
    <row r="38" ht="37.5" customHeight="1"/>
    <row r="39" ht="37.5" customHeight="1"/>
    <row r="40" ht="37.5" customHeight="1"/>
    <row r="41" ht="37.5" customHeight="1"/>
    <row r="42" ht="37.5" customHeight="1"/>
    <row r="43" ht="37.5" customHeight="1"/>
    <row r="44" ht="37.5" customHeight="1"/>
  </sheetData>
  <mergeCells count="9">
    <mergeCell ref="X2:AB2"/>
    <mergeCell ref="AC2:AG2"/>
    <mergeCell ref="B1:K1"/>
    <mergeCell ref="M1:V1"/>
    <mergeCell ref="X1:AG1"/>
    <mergeCell ref="B2:F2"/>
    <mergeCell ref="G2:K2"/>
    <mergeCell ref="M2:Q2"/>
    <mergeCell ref="R2:V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workbookViewId="0"/>
  </sheetViews>
  <sheetFormatPr customHeight="1" defaultColWidth="12.63" defaultRowHeight="15.75"/>
  <cols>
    <col customWidth="1" min="1" max="1" width="2.63"/>
    <col customWidth="1" min="2" max="2" width="6.38"/>
    <col customWidth="1" min="3" max="3" width="15.75"/>
    <col customWidth="1" min="4" max="4" width="31.38"/>
    <col customWidth="1" min="5" max="5" width="17.5"/>
    <col customWidth="1" min="6" max="6" width="6.38"/>
    <col customWidth="1" min="7" max="7" width="15.75"/>
    <col customWidth="1" min="8" max="8" width="31.38"/>
    <col customWidth="1" min="9" max="9" width="18.13"/>
    <col customWidth="1" min="10" max="10" width="6.38"/>
    <col customWidth="1" min="11" max="11" width="15.75"/>
    <col customWidth="1" min="12" max="12" width="31.38"/>
    <col customWidth="1" min="13" max="13" width="9.5"/>
    <col customWidth="1" min="14" max="14" width="6.38"/>
    <col customWidth="1" min="15" max="15" width="15.75"/>
    <col customWidth="1" min="16" max="16" width="31.38"/>
    <col customWidth="1" min="17" max="17" width="9.5"/>
    <col customWidth="1" min="18" max="18" width="6.38"/>
    <col customWidth="1" min="19" max="19" width="15.75"/>
    <col customWidth="1" min="20" max="20" width="31.38"/>
    <col customWidth="1" min="21" max="21" width="9.5"/>
    <col customWidth="1" min="22" max="22" width="6.38"/>
    <col customWidth="1" min="23" max="23" width="15.75"/>
    <col customWidth="1" min="24" max="24" width="31.38"/>
    <col customWidth="1" min="25" max="25" width="9.5"/>
  </cols>
  <sheetData>
    <row r="1">
      <c r="B1" s="178" t="s">
        <v>130</v>
      </c>
      <c r="C1" s="179"/>
      <c r="D1" s="179"/>
      <c r="E1" s="179"/>
      <c r="F1" s="179"/>
      <c r="G1" s="179"/>
      <c r="H1" s="179"/>
      <c r="I1" s="180"/>
    </row>
    <row r="2">
      <c r="B2" s="185" t="s">
        <v>63</v>
      </c>
      <c r="C2" s="186"/>
      <c r="D2" s="186"/>
      <c r="E2" s="187"/>
      <c r="F2" s="188" t="s">
        <v>64</v>
      </c>
      <c r="G2" s="186"/>
      <c r="H2" s="186"/>
      <c r="I2" s="189"/>
    </row>
    <row r="3" ht="37.5" customHeight="1">
      <c r="B3" s="191" t="str">
        <f>image("https://www.bungie.net/common/destiny2_content/icons/961559205e83e96cd590b34c28efadb7.png")</f>
        <v/>
      </c>
      <c r="C3" s="192" t="s">
        <v>39</v>
      </c>
      <c r="D3" s="193" t="s">
        <v>38</v>
      </c>
      <c r="E3" s="245" t="s">
        <v>141</v>
      </c>
      <c r="F3" s="195" t="str">
        <f>image("https://www.bungie.net/common/destiny2_content/icons/b29ab6e87ec85bac4563f3d3a432c451.png")</f>
        <v/>
      </c>
      <c r="G3" s="192" t="s">
        <v>28</v>
      </c>
      <c r="H3" s="196" t="s">
        <v>20</v>
      </c>
      <c r="I3" s="246" t="s">
        <v>142</v>
      </c>
    </row>
    <row r="4" ht="37.5" customHeight="1">
      <c r="B4" s="79" t="str">
        <f>image("https://www.bungie.net/common/destiny2_content/icons/51756fc7603bd72a83d1859d8c33f0b9.png")</f>
        <v/>
      </c>
      <c r="C4" s="200" t="s">
        <v>42</v>
      </c>
      <c r="D4" s="217" t="s">
        <v>41</v>
      </c>
      <c r="E4" s="247" t="s">
        <v>143</v>
      </c>
      <c r="F4" s="203" t="str">
        <f>image("https://www.bungie.net/common/destiny2_content/icons/640d76fb6ab52e290116455379194b07.png")</f>
        <v/>
      </c>
      <c r="G4" s="200" t="s">
        <v>29</v>
      </c>
      <c r="H4" s="204" t="s">
        <v>21</v>
      </c>
      <c r="I4" s="248" t="s">
        <v>144</v>
      </c>
    </row>
    <row r="5" ht="37.5" customHeight="1">
      <c r="B5" s="88" t="str">
        <f>image("https://www.bungie.net/common/destiny2_content/icons/3945ff76d8e7ec70991cb0f6601c6797.png")</f>
        <v/>
      </c>
      <c r="C5" s="208" t="s">
        <v>45</v>
      </c>
      <c r="D5" s="210" t="s">
        <v>44</v>
      </c>
      <c r="E5" s="249" t="s">
        <v>145</v>
      </c>
      <c r="F5" s="211" t="str">
        <f>image("https://www.bungie.net/common/destiny2_content/icons/9732f284c71054229671287ab43444b7.png")</f>
        <v/>
      </c>
      <c r="G5" s="208" t="s">
        <v>30</v>
      </c>
      <c r="H5" s="212" t="s">
        <v>22</v>
      </c>
      <c r="I5" s="248" t="s">
        <v>146</v>
      </c>
    </row>
    <row r="6" ht="37.5" customHeight="1">
      <c r="B6" s="213" t="str">
        <f>image("https://www.bungie.net/common/destiny2_content/icons/100cd6b35af5fb3f979807d68ad57380.png")</f>
        <v/>
      </c>
      <c r="C6" s="192" t="s">
        <v>48</v>
      </c>
      <c r="D6" s="193" t="s">
        <v>47</v>
      </c>
      <c r="E6" s="249" t="s">
        <v>147</v>
      </c>
      <c r="F6" s="195" t="str">
        <f>image("https://www.bungie.net/common/destiny2_content/icons/358bc75bc96bdadc33cc25d864848de4.png")</f>
        <v/>
      </c>
      <c r="G6" s="192" t="s">
        <v>31</v>
      </c>
      <c r="H6" s="196" t="s">
        <v>23</v>
      </c>
      <c r="I6" s="248" t="s">
        <v>148</v>
      </c>
    </row>
    <row r="7" ht="37.5" customHeight="1">
      <c r="B7" s="213" t="str">
        <f>image("https://www.bungie.net/common/destiny2_content/icons/467f441de1568bd8c6ad437a76671b5f.png")</f>
        <v/>
      </c>
      <c r="C7" s="192" t="s">
        <v>51</v>
      </c>
      <c r="D7" s="193" t="s">
        <v>50</v>
      </c>
      <c r="E7" s="249" t="s">
        <v>149</v>
      </c>
      <c r="F7" s="195" t="str">
        <f>image("https://www.bungie.net/common/destiny2_content/icons/bd7a131851dd9dad2da3e9f198f67f6e.png")</f>
        <v/>
      </c>
      <c r="G7" s="192" t="s">
        <v>32</v>
      </c>
      <c r="H7" s="196" t="s">
        <v>150</v>
      </c>
      <c r="I7" s="248" t="s">
        <v>151</v>
      </c>
    </row>
    <row r="8" ht="37.5" customHeight="1">
      <c r="B8" s="213" t="str">
        <f>image("https://www.bungie.net/common/destiny2_content/icons/c156b7906217d8b61e7573f9c9cc2dc7.png")</f>
        <v/>
      </c>
      <c r="C8" s="192" t="s">
        <v>54</v>
      </c>
      <c r="D8" s="221" t="s">
        <v>53</v>
      </c>
      <c r="E8" s="249" t="s">
        <v>152</v>
      </c>
      <c r="F8" s="195" t="str">
        <f>image("https://www.bungie.net/common/destiny2_content/icons/71a75146e38ba257b7379af0efacd61f.png")</f>
        <v/>
      </c>
      <c r="G8" s="192" t="s">
        <v>33</v>
      </c>
      <c r="H8" s="222" t="s">
        <v>25</v>
      </c>
      <c r="I8" s="248" t="s">
        <v>153</v>
      </c>
    </row>
    <row r="9" ht="37.5" customHeight="1">
      <c r="B9" s="213" t="str">
        <f>image("https://www.bungie.net/common/destiny2_content/icons/cd66bbfb633d559d5c42c6c85e1d6873.png")</f>
        <v/>
      </c>
      <c r="C9" s="192" t="s">
        <v>57</v>
      </c>
      <c r="D9" s="193" t="s">
        <v>56</v>
      </c>
      <c r="E9" s="247" t="s">
        <v>154</v>
      </c>
      <c r="F9" s="195" t="str">
        <f>image("https://www.bungie.net/common/destiny2_content/icons/16f43c6fbb972bdc24764a59aacc8161.png")</f>
        <v/>
      </c>
      <c r="G9" s="192" t="s">
        <v>34</v>
      </c>
      <c r="H9" s="196" t="s">
        <v>26</v>
      </c>
      <c r="I9" s="248" t="s">
        <v>155</v>
      </c>
    </row>
    <row r="10" ht="37.5" customHeight="1">
      <c r="B10" s="250" t="str">
        <f>image("https://www.bungie.net/common/destiny2_content/icons/47fd782cc9b993709e25ca66035d13b8.png")</f>
        <v/>
      </c>
      <c r="C10" s="251" t="s">
        <v>60</v>
      </c>
      <c r="D10" s="252" t="s">
        <v>59</v>
      </c>
      <c r="E10" s="253" t="s">
        <v>156</v>
      </c>
      <c r="F10" s="254" t="str">
        <f>image("https://www.bungie.net/common/destiny2_content/icons/aa2934eb8a1990f6a1e76402ba12f26a.png")</f>
        <v/>
      </c>
      <c r="G10" s="251" t="s">
        <v>35</v>
      </c>
      <c r="H10" s="255" t="s">
        <v>27</v>
      </c>
      <c r="I10" s="256" t="s">
        <v>157</v>
      </c>
    </row>
    <row r="11">
      <c r="B11" s="257" t="s">
        <v>131</v>
      </c>
      <c r="C11" s="258"/>
      <c r="D11" s="258"/>
      <c r="E11" s="258"/>
      <c r="F11" s="258"/>
      <c r="G11" s="258"/>
      <c r="H11" s="258"/>
      <c r="I11" s="259"/>
    </row>
    <row r="12">
      <c r="B12" s="185" t="s">
        <v>63</v>
      </c>
      <c r="C12" s="186"/>
      <c r="D12" s="186"/>
      <c r="E12" s="187"/>
      <c r="F12" s="188" t="s">
        <v>64</v>
      </c>
      <c r="G12" s="186"/>
      <c r="H12" s="186"/>
      <c r="I12" s="189"/>
    </row>
    <row r="13" ht="37.5" customHeight="1">
      <c r="B13" s="149" t="str">
        <f>image("https://www.bungie.net/common/destiny2_content/icons/961559205e83e96cd590b34c28efadb7.png")</f>
        <v/>
      </c>
      <c r="C13" s="192" t="s">
        <v>39</v>
      </c>
      <c r="D13" s="193" t="s">
        <v>38</v>
      </c>
      <c r="E13" s="245" t="s">
        <v>141</v>
      </c>
      <c r="F13" s="195" t="str">
        <f>image("https://www.bungie.net/common/destiny2_content/icons/b29ab6e87ec85bac4563f3d3a432c451.png")</f>
        <v/>
      </c>
      <c r="G13" s="192" t="s">
        <v>28</v>
      </c>
      <c r="H13" s="196" t="s">
        <v>20</v>
      </c>
      <c r="I13" s="246" t="s">
        <v>142</v>
      </c>
    </row>
    <row r="14" ht="37.5" customHeight="1">
      <c r="B14" s="79" t="str">
        <f>image("https://www.bungie.net/common/destiny2_content/icons/51756fc7603bd72a83d1859d8c33f0b9.png")</f>
        <v/>
      </c>
      <c r="C14" s="200" t="s">
        <v>42</v>
      </c>
      <c r="D14" s="201" t="s">
        <v>41</v>
      </c>
      <c r="E14" s="247" t="s">
        <v>143</v>
      </c>
      <c r="F14" s="203" t="str">
        <f>image("https://www.bungie.net/common/destiny2_content/icons/640d76fb6ab52e290116455379194b07.png")</f>
        <v/>
      </c>
      <c r="G14" s="200" t="s">
        <v>29</v>
      </c>
      <c r="H14" s="204" t="s">
        <v>21</v>
      </c>
      <c r="I14" s="248" t="s">
        <v>144</v>
      </c>
    </row>
    <row r="15" ht="37.5" customHeight="1">
      <c r="B15" s="88" t="str">
        <f>image("https://www.bungie.net/common/destiny2_content/icons/3945ff76d8e7ec70991cb0f6601c6797.png")</f>
        <v/>
      </c>
      <c r="C15" s="208" t="s">
        <v>45</v>
      </c>
      <c r="D15" s="210" t="s">
        <v>44</v>
      </c>
      <c r="E15" s="249" t="s">
        <v>145</v>
      </c>
      <c r="F15" s="211" t="str">
        <f>image("https://www.bungie.net/common/destiny2_content/icons/9732f284c71054229671287ab43444b7.png")</f>
        <v/>
      </c>
      <c r="G15" s="208" t="s">
        <v>30</v>
      </c>
      <c r="H15" s="212" t="s">
        <v>22</v>
      </c>
      <c r="I15" s="248" t="s">
        <v>158</v>
      </c>
    </row>
    <row r="16" ht="37.5" customHeight="1">
      <c r="B16" s="79" t="str">
        <f>image("https://www.bungie.net/common/destiny2_content/icons/baed176aaf20399a3abb8b287790747a.png")</f>
        <v/>
      </c>
      <c r="C16" s="200" t="s">
        <v>89</v>
      </c>
      <c r="D16" s="201" t="s">
        <v>88</v>
      </c>
      <c r="E16" s="260" t="s">
        <v>159</v>
      </c>
      <c r="F16" s="203" t="str">
        <f>image("https://www.bungie.net/common/destiny2_content/icons/a4ead8e3316d22dbb9fc48e6c643dde3.png")</f>
        <v/>
      </c>
      <c r="G16" s="200" t="s">
        <v>83</v>
      </c>
      <c r="H16" s="204" t="s">
        <v>78</v>
      </c>
      <c r="I16" s="261" t="s">
        <v>160</v>
      </c>
    </row>
    <row r="17" ht="37.5" customHeight="1">
      <c r="B17" s="79" t="str">
        <f>image("https://www.bungie.net/common/destiny2_content/icons/f093d552bec2248e94fed1a960d62dde.png")</f>
        <v/>
      </c>
      <c r="C17" s="200" t="s">
        <v>91</v>
      </c>
      <c r="D17" s="201" t="s">
        <v>161</v>
      </c>
      <c r="E17" s="249" t="s">
        <v>162</v>
      </c>
      <c r="F17" s="203" t="str">
        <f>image("https://www.bungie.net/common/destiny2_content/icons/811e014f935edafdc52042602ca2429d.png")</f>
        <v/>
      </c>
      <c r="G17" s="200" t="s">
        <v>84</v>
      </c>
      <c r="H17" s="262" t="s">
        <v>79</v>
      </c>
      <c r="I17" s="263" t="s">
        <v>163</v>
      </c>
    </row>
    <row r="18" ht="37.5" customHeight="1">
      <c r="B18" s="79" t="str">
        <f>image("https://www.bungie.net/common/destiny2_content/icons/abaff19620ec578f1f379a359de7134c.png")</f>
        <v/>
      </c>
      <c r="C18" s="200" t="s">
        <v>93</v>
      </c>
      <c r="D18" s="201" t="s">
        <v>92</v>
      </c>
      <c r="E18" s="264" t="s">
        <v>164</v>
      </c>
      <c r="F18" s="203" t="str">
        <f>image("https://www.bungie.net/common/destiny2_content/icons/784bd1d46cc9bd60e1d510e915aedb04.png")</f>
        <v/>
      </c>
      <c r="G18" s="200" t="s">
        <v>85</v>
      </c>
      <c r="H18" s="204" t="s">
        <v>165</v>
      </c>
      <c r="I18" s="248" t="s">
        <v>166</v>
      </c>
    </row>
    <row r="19" ht="37.5" customHeight="1">
      <c r="B19" s="223" t="str">
        <f>image("https://www.bungie.net/common/destiny2_content/icons/245108de9d46cabc0ca3f16c665321dd.png")</f>
        <v/>
      </c>
      <c r="C19" s="200" t="s">
        <v>95</v>
      </c>
      <c r="D19" s="201" t="s">
        <v>94</v>
      </c>
      <c r="E19" s="249" t="s">
        <v>167</v>
      </c>
      <c r="F19" s="203" t="str">
        <f>image("https://www.bungie.net/common/destiny2_content/icons/a5c5979f3630735a03bee7f2d32e9043.png")</f>
        <v/>
      </c>
      <c r="G19" s="200" t="s">
        <v>86</v>
      </c>
      <c r="H19" s="204" t="s">
        <v>168</v>
      </c>
      <c r="I19" s="265" t="s">
        <v>169</v>
      </c>
    </row>
    <row r="20" ht="37.5" customHeight="1">
      <c r="B20" s="266" t="str">
        <f>image("https://www.bungie.net/common/destiny2_content/icons/c792f09ce9d03c03064724af10be0349.png")</f>
        <v/>
      </c>
      <c r="C20" s="267" t="s">
        <v>97</v>
      </c>
      <c r="D20" s="268" t="s">
        <v>96</v>
      </c>
      <c r="E20" s="269" t="s">
        <v>170</v>
      </c>
      <c r="F20" s="270" t="str">
        <f>image("https://www.bungie.net/common/destiny2_content/icons/87ed6eb97c923d6a8d0e14639f4b7791.png")</f>
        <v/>
      </c>
      <c r="G20" s="267" t="s">
        <v>87</v>
      </c>
      <c r="H20" s="271" t="s">
        <v>82</v>
      </c>
      <c r="I20" s="256" t="s">
        <v>171</v>
      </c>
    </row>
    <row r="21">
      <c r="B21" s="272" t="s">
        <v>132</v>
      </c>
      <c r="C21" s="258"/>
      <c r="D21" s="258"/>
      <c r="E21" s="258"/>
      <c r="F21" s="258"/>
      <c r="G21" s="258"/>
      <c r="H21" s="258"/>
      <c r="I21" s="259"/>
    </row>
    <row r="22">
      <c r="B22" s="185" t="s">
        <v>63</v>
      </c>
      <c r="C22" s="186"/>
      <c r="D22" s="186"/>
      <c r="E22" s="187"/>
      <c r="F22" s="188" t="s">
        <v>64</v>
      </c>
      <c r="G22" s="186"/>
      <c r="H22" s="186"/>
      <c r="I22" s="189"/>
    </row>
    <row r="23" ht="37.5" customHeight="1">
      <c r="B23" s="149" t="str">
        <f>image("https://www.bungie.net/common/destiny2_content/icons/961559205e83e96cd590b34c28efadb7.png")</f>
        <v/>
      </c>
      <c r="C23" s="192" t="s">
        <v>39</v>
      </c>
      <c r="D23" s="193" t="s">
        <v>38</v>
      </c>
      <c r="E23" s="245" t="s">
        <v>141</v>
      </c>
      <c r="F23" s="195" t="str">
        <f>image("https://www.bungie.net/common/destiny2_content/icons/b29ab6e87ec85bac4563f3d3a432c451.png")</f>
        <v/>
      </c>
      <c r="G23" s="192" t="s">
        <v>28</v>
      </c>
      <c r="H23" s="196" t="s">
        <v>20</v>
      </c>
      <c r="I23" s="246" t="s">
        <v>142</v>
      </c>
    </row>
    <row r="24" ht="37.5" customHeight="1">
      <c r="B24" s="79" t="str">
        <f>image("https://www.bungie.net/common/destiny2_content/icons/51756fc7603bd72a83d1859d8c33f0b9.png")</f>
        <v/>
      </c>
      <c r="C24" s="200" t="s">
        <v>42</v>
      </c>
      <c r="D24" s="201" t="s">
        <v>41</v>
      </c>
      <c r="E24" s="247" t="s">
        <v>143</v>
      </c>
      <c r="F24" s="203" t="str">
        <f>image("https://www.bungie.net/common/destiny2_content/icons/640d76fb6ab52e290116455379194b07.png")</f>
        <v/>
      </c>
      <c r="G24" s="200" t="s">
        <v>29</v>
      </c>
      <c r="H24" s="204" t="s">
        <v>21</v>
      </c>
      <c r="I24" s="248" t="s">
        <v>144</v>
      </c>
    </row>
    <row r="25" ht="37.5" customHeight="1">
      <c r="B25" s="88" t="str">
        <f>image("https://www.bungie.net/common/destiny2_content/icons/3945ff76d8e7ec70991cb0f6601c6797.png")</f>
        <v/>
      </c>
      <c r="C25" s="208" t="s">
        <v>45</v>
      </c>
      <c r="D25" s="210" t="s">
        <v>44</v>
      </c>
      <c r="E25" s="249" t="s">
        <v>145</v>
      </c>
      <c r="F25" s="211" t="str">
        <f>image("https://www.bungie.net/common/destiny2_content/icons/9732f284c71054229671287ab43444b7.png")</f>
        <v/>
      </c>
      <c r="G25" s="208" t="s">
        <v>30</v>
      </c>
      <c r="H25" s="212" t="s">
        <v>22</v>
      </c>
      <c r="I25" s="248" t="s">
        <v>158</v>
      </c>
    </row>
    <row r="26" ht="37.5" customHeight="1">
      <c r="B26" s="88" t="str">
        <f>image("https://www.bungie.net/common/destiny2_content/icons/c4f95301370c59ab4d7ce34825e83305.png")</f>
        <v/>
      </c>
      <c r="C26" s="208" t="s">
        <v>112</v>
      </c>
      <c r="D26" s="210" t="s">
        <v>111</v>
      </c>
      <c r="E26" s="249" t="s">
        <v>172</v>
      </c>
      <c r="F26" s="211" t="str">
        <f>image("https://www.bungie.net/common/destiny2_content/icons/ff55cfecf4c70924d0894b1d8a442a18.png")</f>
        <v/>
      </c>
      <c r="G26" s="208" t="s">
        <v>106</v>
      </c>
      <c r="H26" s="212" t="s">
        <v>101</v>
      </c>
      <c r="I26" s="248" t="s">
        <v>173</v>
      </c>
    </row>
    <row r="27" ht="37.5" customHeight="1">
      <c r="B27" s="88" t="str">
        <f>image("https://www.bungie.net/common/destiny2_content/icons/1d4c0be6150c4ca71bc7add447c5d86c.png")</f>
        <v/>
      </c>
      <c r="C27" s="208" t="s">
        <v>114</v>
      </c>
      <c r="D27" s="210" t="s">
        <v>113</v>
      </c>
      <c r="E27" s="249" t="s">
        <v>174</v>
      </c>
      <c r="F27" s="211" t="str">
        <f>image("https://www.bungie.net/common/destiny2_content/icons/675540240cef9fc9e047d9f9d20a0722.png")</f>
        <v/>
      </c>
      <c r="G27" s="208" t="s">
        <v>107</v>
      </c>
      <c r="H27" s="212" t="s">
        <v>102</v>
      </c>
      <c r="I27" s="248" t="s">
        <v>175</v>
      </c>
    </row>
    <row r="28" ht="37.5" customHeight="1">
      <c r="B28" s="88" t="str">
        <f>image("https://www.bungie.net/common/destiny2_content/icons/4c1a349c2723d3aa84598da98c7a8805.png")</f>
        <v/>
      </c>
      <c r="C28" s="208" t="s">
        <v>116</v>
      </c>
      <c r="D28" s="210" t="s">
        <v>115</v>
      </c>
      <c r="E28" s="273" t="s">
        <v>176</v>
      </c>
      <c r="F28" s="211" t="str">
        <f>image("https://www.bungie.net/common/destiny2_content/icons/18c3e0503b1c9cd823dde3ded3680f8d.png")</f>
        <v/>
      </c>
      <c r="G28" s="208" t="s">
        <v>108</v>
      </c>
      <c r="H28" s="274" t="s">
        <v>103</v>
      </c>
      <c r="I28" s="248" t="s">
        <v>177</v>
      </c>
    </row>
    <row r="29" ht="37.5" customHeight="1">
      <c r="B29" s="88" t="str">
        <f>image("https://www.bungie.net/common/destiny2_content/icons/81b6412d2d6784891dd7ddad764891cc.png")</f>
        <v/>
      </c>
      <c r="C29" s="208" t="s">
        <v>118</v>
      </c>
      <c r="D29" s="210" t="s">
        <v>117</v>
      </c>
      <c r="E29" s="249" t="s">
        <v>178</v>
      </c>
      <c r="F29" s="211" t="str">
        <f>image("https://www.bungie.net/common/destiny2_content/icons/2c51c7358ab1de58c11edc89b5573e84.png")</f>
        <v/>
      </c>
      <c r="G29" s="208" t="s">
        <v>109</v>
      </c>
      <c r="H29" s="212" t="s">
        <v>104</v>
      </c>
      <c r="I29" s="248" t="s">
        <v>179</v>
      </c>
    </row>
    <row r="30" ht="37.5" customHeight="1">
      <c r="B30" s="238" t="str">
        <f>image("https://www.bungie.net/common/destiny2_content/icons/5ca9d0fa8f6c97999ac5927c679401af.png")</f>
        <v/>
      </c>
      <c r="C30" s="239" t="s">
        <v>120</v>
      </c>
      <c r="D30" s="240" t="s">
        <v>119</v>
      </c>
      <c r="E30" s="275" t="s">
        <v>180</v>
      </c>
      <c r="F30" s="241" t="str">
        <f>image("https://www.bungie.net/common/destiny2_content/icons/569a1a4cbdd7a014159ebdf304c8a9b5.png")</f>
        <v/>
      </c>
      <c r="G30" s="239" t="s">
        <v>110</v>
      </c>
      <c r="H30" s="242" t="s">
        <v>105</v>
      </c>
      <c r="I30" s="276" t="s">
        <v>181</v>
      </c>
    </row>
  </sheetData>
  <mergeCells count="9">
    <mergeCell ref="B22:E22"/>
    <mergeCell ref="F22:I22"/>
    <mergeCell ref="B1:I1"/>
    <mergeCell ref="B2:E2"/>
    <mergeCell ref="F2:I2"/>
    <mergeCell ref="B11:I11"/>
    <mergeCell ref="B12:E12"/>
    <mergeCell ref="F12:I12"/>
    <mergeCell ref="B21:I2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2" max="2" width="10.25"/>
    <col customWidth="1" min="9" max="9" width="6.38"/>
    <col customWidth="1" min="17" max="17" width="6.38"/>
  </cols>
  <sheetData>
    <row r="2">
      <c r="B2" s="109"/>
      <c r="C2" s="109" t="s">
        <v>1</v>
      </c>
      <c r="D2" s="109" t="s">
        <v>182</v>
      </c>
      <c r="E2" s="109" t="s">
        <v>183</v>
      </c>
      <c r="F2" s="105" t="s">
        <v>184</v>
      </c>
    </row>
    <row r="3">
      <c r="B3" s="105"/>
      <c r="C3" s="105" t="s">
        <v>121</v>
      </c>
      <c r="D3" s="105" t="s">
        <v>121</v>
      </c>
      <c r="E3" s="105" t="s">
        <v>121</v>
      </c>
      <c r="F3" s="123" t="str">
        <f t="array" ref="F3:F8">indirect('Class Combo Finder'!D2)</f>
        <v>Inmost Light</v>
      </c>
    </row>
    <row r="4">
      <c r="B4" s="105"/>
      <c r="C4" s="105" t="s">
        <v>11</v>
      </c>
      <c r="D4" s="105" t="s">
        <v>185</v>
      </c>
      <c r="E4" s="105" t="s">
        <v>122</v>
      </c>
      <c r="F4" s="123" t="s">
        <v>11</v>
      </c>
    </row>
    <row r="5">
      <c r="B5" s="105"/>
      <c r="C5" s="105" t="s">
        <v>186</v>
      </c>
      <c r="D5" s="105" t="s">
        <v>187</v>
      </c>
      <c r="E5" s="105" t="s">
        <v>123</v>
      </c>
      <c r="F5" s="123" t="s">
        <v>186</v>
      </c>
    </row>
    <row r="6">
      <c r="B6" s="105"/>
      <c r="C6" s="105" t="s">
        <v>188</v>
      </c>
      <c r="D6" s="105" t="s">
        <v>189</v>
      </c>
      <c r="E6" s="105" t="s">
        <v>189</v>
      </c>
      <c r="F6" s="123" t="s">
        <v>188</v>
      </c>
    </row>
    <row r="7">
      <c r="B7" s="105"/>
      <c r="C7" s="105" t="s">
        <v>3</v>
      </c>
      <c r="D7" s="105" t="s">
        <v>190</v>
      </c>
      <c r="E7" s="105" t="s">
        <v>190</v>
      </c>
      <c r="F7" s="123" t="s">
        <v>3</v>
      </c>
    </row>
    <row r="8">
      <c r="B8" s="105"/>
      <c r="C8" s="105" t="s">
        <v>191</v>
      </c>
      <c r="D8" s="105" t="s">
        <v>192</v>
      </c>
      <c r="E8" s="105" t="s">
        <v>126</v>
      </c>
      <c r="F8" s="123" t="s">
        <v>191</v>
      </c>
    </row>
    <row r="12">
      <c r="B12" s="277" t="s">
        <v>1</v>
      </c>
      <c r="C12" s="278"/>
      <c r="D12" s="278"/>
      <c r="E12" s="278"/>
      <c r="F12" s="278"/>
      <c r="G12" s="278"/>
      <c r="H12" s="279"/>
      <c r="J12" s="277" t="s">
        <v>1</v>
      </c>
      <c r="K12" s="278"/>
      <c r="L12" s="278"/>
      <c r="M12" s="278"/>
      <c r="N12" s="278"/>
      <c r="O12" s="278"/>
      <c r="P12" s="279"/>
      <c r="R12" s="277" t="s">
        <v>1</v>
      </c>
      <c r="S12" s="278"/>
      <c r="T12" s="278"/>
      <c r="U12" s="278"/>
      <c r="V12" s="278"/>
      <c r="W12" s="278"/>
      <c r="X12" s="279"/>
    </row>
    <row r="13">
      <c r="B13" s="280"/>
      <c r="C13" s="280" t="s">
        <v>121</v>
      </c>
      <c r="D13" s="280" t="s">
        <v>11</v>
      </c>
      <c r="E13" s="280" t="s">
        <v>186</v>
      </c>
      <c r="F13" s="280" t="s">
        <v>188</v>
      </c>
      <c r="G13" s="280" t="s">
        <v>3</v>
      </c>
      <c r="H13" s="280" t="s">
        <v>191</v>
      </c>
      <c r="J13" s="280"/>
      <c r="K13" s="79" t="str">
        <f>image("https://www.bungie.net/common/destiny2_content/icons/51756fc7603bd72a83d1859d8c33f0b9.png")</f>
        <v/>
      </c>
      <c r="L13" s="213" t="str">
        <f>image("https://www.bungie.net/common/destiny2_content/icons/cd66bbfb633d559d5c42c6c85e1d6873.png")</f>
        <v/>
      </c>
      <c r="M13" s="250" t="str">
        <f>image("https://www.bungie.net/common/destiny2_content/icons/47fd782cc9b993709e25ca66035d13b8.png")</f>
        <v/>
      </c>
      <c r="N13" s="195" t="str">
        <f>image("https://www.bungie.net/common/destiny2_content/icons/358bc75bc96bdadc33cc25d864848de4.png")</f>
        <v/>
      </c>
      <c r="O13" s="195" t="str">
        <f>image("https://www.bungie.net/common/destiny2_content/icons/bd7a131851dd9dad2da3e9f198f67f6e.png")</f>
        <v/>
      </c>
      <c r="P13" s="195" t="str">
        <f>image("https://www.bungie.net/common/destiny2_content/icons/71a75146e38ba257b7379af0efacd61f.png")</f>
        <v/>
      </c>
      <c r="R13" s="280"/>
      <c r="S13" s="79" t="str">
        <f>image("https://www.bungie.net/common/destiny2_content/icons/51756fc7603bd72a83d1859d8c33f0b9.png")</f>
        <v/>
      </c>
      <c r="T13" s="213" t="str">
        <f>image("https://www.bungie.net/common/destiny2_content/icons/cd66bbfb633d559d5c42c6c85e1d6873.png")</f>
        <v/>
      </c>
      <c r="U13" s="250" t="str">
        <f>image("https://www.bungie.net/common/destiny2_content/icons/47fd782cc9b993709e25ca66035d13b8.png")</f>
        <v/>
      </c>
      <c r="V13" s="195" t="str">
        <f>image("https://www.bungie.net/common/destiny2_content/icons/358bc75bc96bdadc33cc25d864848de4.png")</f>
        <v/>
      </c>
      <c r="W13" s="195" t="str">
        <f>image("https://www.bungie.net/common/destiny2_content/icons/bd7a131851dd9dad2da3e9f198f67f6e.png")</f>
        <v/>
      </c>
      <c r="X13" s="195" t="str">
        <f>image("https://www.bungie.net/common/destiny2_content/icons/71a75146e38ba257b7379af0efacd61f.png")</f>
        <v/>
      </c>
    </row>
    <row r="14">
      <c r="B14" s="281"/>
      <c r="C14" s="281" t="s">
        <v>191</v>
      </c>
      <c r="D14" s="281" t="s">
        <v>191</v>
      </c>
      <c r="E14" s="281" t="s">
        <v>188</v>
      </c>
      <c r="F14" s="281" t="s">
        <v>121</v>
      </c>
      <c r="G14" s="281" t="s">
        <v>121</v>
      </c>
      <c r="H14" s="281" t="s">
        <v>11</v>
      </c>
      <c r="J14" s="281"/>
      <c r="K14" s="105" t="s">
        <v>193</v>
      </c>
      <c r="L14" s="281" t="s">
        <v>194</v>
      </c>
      <c r="M14" s="281" t="s">
        <v>195</v>
      </c>
      <c r="N14" s="281" t="s">
        <v>196</v>
      </c>
      <c r="O14" s="281" t="s">
        <v>197</v>
      </c>
      <c r="P14" s="281" t="s">
        <v>198</v>
      </c>
      <c r="Q14" s="105" t="s">
        <v>17</v>
      </c>
      <c r="R14" s="281"/>
      <c r="S14" s="195" t="str">
        <f t="shared" ref="S14:T14" si="1">image("https://www.bungie.net/common/destiny2_content/icons/71a75146e38ba257b7379af0efacd61f.png")</f>
        <v/>
      </c>
      <c r="T14" s="195" t="str">
        <f t="shared" si="1"/>
        <v/>
      </c>
      <c r="U14" s="195" t="str">
        <f>image("https://www.bungie.net/common/destiny2_content/icons/358bc75bc96bdadc33cc25d864848de4.png")</f>
        <v/>
      </c>
      <c r="V14" s="79" t="str">
        <f t="shared" ref="V14:W14" si="2">image("https://www.bungie.net/common/destiny2_content/icons/51756fc7603bd72a83d1859d8c33f0b9.png")</f>
        <v/>
      </c>
      <c r="W14" s="79" t="str">
        <f t="shared" si="2"/>
        <v/>
      </c>
      <c r="X14" s="213" t="str">
        <f>image("https://www.bungie.net/common/destiny2_content/icons/cd66bbfb633d559d5c42c6c85e1d6873.png")</f>
        <v/>
      </c>
    </row>
    <row r="15">
      <c r="B15" s="281"/>
      <c r="C15" s="281" t="s">
        <v>188</v>
      </c>
      <c r="D15" s="281" t="s">
        <v>190</v>
      </c>
      <c r="E15" s="281" t="s">
        <v>191</v>
      </c>
      <c r="F15" s="281" t="s">
        <v>11</v>
      </c>
      <c r="G15" s="281" t="s">
        <v>9</v>
      </c>
      <c r="H15" s="281" t="s">
        <v>121</v>
      </c>
      <c r="J15" s="281"/>
      <c r="K15" s="281" t="s">
        <v>199</v>
      </c>
      <c r="L15" s="281" t="s">
        <v>200</v>
      </c>
      <c r="M15" s="281" t="s">
        <v>201</v>
      </c>
      <c r="N15" s="281" t="s">
        <v>202</v>
      </c>
      <c r="O15" s="281" t="s">
        <v>10</v>
      </c>
      <c r="P15" s="281" t="s">
        <v>203</v>
      </c>
      <c r="Q15" s="105" t="s">
        <v>17</v>
      </c>
      <c r="R15" s="281"/>
      <c r="S15" s="195" t="str">
        <f>image("https://www.bungie.net/common/destiny2_content/icons/358bc75bc96bdadc33cc25d864848de4.png")</f>
        <v/>
      </c>
      <c r="T15" s="203" t="str">
        <f>image("https://www.bungie.net/common/destiny2_content/icons/640d76fb6ab52e290116455379194b07.png")</f>
        <v/>
      </c>
      <c r="U15" s="195" t="str">
        <f>image("https://www.bungie.net/common/destiny2_content/icons/71a75146e38ba257b7379af0efacd61f.png")</f>
        <v/>
      </c>
      <c r="V15" s="213" t="str">
        <f>image("https://www.bungie.net/common/destiny2_content/icons/cd66bbfb633d559d5c42c6c85e1d6873.png")</f>
        <v/>
      </c>
      <c r="W15" s="213" t="str">
        <f>image("https://www.bungie.net/common/destiny2_content/icons/467f441de1568bd8c6ad437a76671b5f.png")</f>
        <v/>
      </c>
      <c r="X15" s="79" t="str">
        <f>image("https://www.bungie.net/common/destiny2_content/icons/51756fc7603bd72a83d1859d8c33f0b9.png")</f>
        <v/>
      </c>
    </row>
    <row r="16">
      <c r="B16" s="281"/>
      <c r="C16" s="281" t="s">
        <v>190</v>
      </c>
      <c r="D16" s="281" t="s">
        <v>188</v>
      </c>
      <c r="E16" s="281" t="s">
        <v>190</v>
      </c>
      <c r="F16" s="281" t="s">
        <v>186</v>
      </c>
      <c r="G16" s="281" t="s">
        <v>11</v>
      </c>
      <c r="H16" s="281" t="s">
        <v>186</v>
      </c>
      <c r="J16" s="281"/>
      <c r="K16" s="281" t="s">
        <v>204</v>
      </c>
      <c r="L16" s="281" t="s">
        <v>205</v>
      </c>
      <c r="M16" s="281" t="s">
        <v>206</v>
      </c>
      <c r="N16" s="281" t="s">
        <v>207</v>
      </c>
      <c r="O16" s="281" t="s">
        <v>12</v>
      </c>
      <c r="P16" s="281" t="s">
        <v>208</v>
      </c>
      <c r="Q16" s="105" t="s">
        <v>17</v>
      </c>
      <c r="R16" s="281"/>
      <c r="S16" s="203" t="str">
        <f>image("https://www.bungie.net/common/destiny2_content/icons/640d76fb6ab52e290116455379194b07.png")</f>
        <v/>
      </c>
      <c r="T16" s="195" t="str">
        <f>image("https://www.bungie.net/common/destiny2_content/icons/358bc75bc96bdadc33cc25d864848de4.png")</f>
        <v/>
      </c>
      <c r="U16" s="203" t="str">
        <f>image("https://www.bungie.net/common/destiny2_content/icons/640d76fb6ab52e290116455379194b07.png")</f>
        <v/>
      </c>
      <c r="V16" s="250" t="str">
        <f>image("https://www.bungie.net/common/destiny2_content/icons/47fd782cc9b993709e25ca66035d13b8.png")</f>
        <v/>
      </c>
      <c r="W16" s="213" t="str">
        <f>image("https://www.bungie.net/common/destiny2_content/icons/cd66bbfb633d559d5c42c6c85e1d6873.png")</f>
        <v/>
      </c>
      <c r="X16" s="250" t="str">
        <f>image("https://www.bungie.net/common/destiny2_content/icons/47fd782cc9b993709e25ca66035d13b8.png")</f>
        <v/>
      </c>
    </row>
    <row r="17">
      <c r="B17" s="281"/>
      <c r="C17" s="281" t="s">
        <v>209</v>
      </c>
      <c r="D17" s="281" t="s">
        <v>189</v>
      </c>
      <c r="E17" s="281" t="s">
        <v>189</v>
      </c>
      <c r="F17" s="281" t="s">
        <v>9</v>
      </c>
      <c r="G17" s="281" t="s">
        <v>13</v>
      </c>
      <c r="H17" s="281" t="s">
        <v>9</v>
      </c>
      <c r="J17" s="281"/>
      <c r="K17" s="281" t="s">
        <v>210</v>
      </c>
      <c r="L17" s="281" t="s">
        <v>211</v>
      </c>
      <c r="M17" s="281" t="s">
        <v>212</v>
      </c>
      <c r="N17" s="281" t="s">
        <v>213</v>
      </c>
      <c r="O17" s="281" t="s">
        <v>14</v>
      </c>
      <c r="P17" s="281" t="s">
        <v>214</v>
      </c>
      <c r="Q17" s="105" t="s">
        <v>17</v>
      </c>
      <c r="R17" s="281"/>
      <c r="S17" s="211" t="str">
        <f>image("https://www.bungie.net/common/destiny2_content/icons/9732f284c71054229671287ab43444b7.png")</f>
        <v/>
      </c>
      <c r="T17" s="195" t="str">
        <f t="shared" ref="T17:U17" si="3">image("https://www.bungie.net/common/destiny2_content/icons/b29ab6e87ec85bac4563f3d3a432c451.png")</f>
        <v/>
      </c>
      <c r="U17" s="195" t="str">
        <f t="shared" si="3"/>
        <v/>
      </c>
      <c r="V17" s="213" t="str">
        <f>image("https://www.bungie.net/common/destiny2_content/icons/467f441de1568bd8c6ad437a76671b5f.png")</f>
        <v/>
      </c>
      <c r="W17" s="191" t="str">
        <f>image("https://www.bungie.net/common/destiny2_content/icons/961559205e83e96cd590b34c28efadb7.png")</f>
        <v/>
      </c>
      <c r="X17" s="213" t="str">
        <f>image("https://www.bungie.net/common/destiny2_content/icons/467f441de1568bd8c6ad437a76671b5f.png")</f>
        <v/>
      </c>
    </row>
    <row r="18">
      <c r="B18" s="281"/>
      <c r="C18" s="281" t="s">
        <v>189</v>
      </c>
      <c r="D18" s="281" t="s">
        <v>215</v>
      </c>
      <c r="E18" s="281" t="s">
        <v>17</v>
      </c>
      <c r="F18" s="281" t="s">
        <v>17</v>
      </c>
      <c r="G18" s="281" t="s">
        <v>15</v>
      </c>
      <c r="H18" s="281" t="s">
        <v>216</v>
      </c>
      <c r="J18" s="281"/>
      <c r="K18" s="281" t="s">
        <v>217</v>
      </c>
      <c r="L18" s="281" t="s">
        <v>218</v>
      </c>
      <c r="M18" s="281" t="s">
        <v>17</v>
      </c>
      <c r="N18" s="281" t="s">
        <v>17</v>
      </c>
      <c r="O18" s="281" t="s">
        <v>16</v>
      </c>
      <c r="P18" s="281" t="s">
        <v>219</v>
      </c>
      <c r="Q18" s="105" t="s">
        <v>17</v>
      </c>
      <c r="R18" s="281"/>
      <c r="S18" s="195" t="str">
        <f>image("https://www.bungie.net/common/destiny2_content/icons/b29ab6e87ec85bac4563f3d3a432c451.png")</f>
        <v/>
      </c>
      <c r="T18" s="254" t="str">
        <f>image("https://www.bungie.net/common/destiny2_content/icons/aa2934eb8a1990f6a1e76402ba12f26a.png")</f>
        <v/>
      </c>
      <c r="U18" s="281"/>
      <c r="V18" s="281"/>
      <c r="W18" s="213" t="str">
        <f>image("https://www.bungie.net/common/destiny2_content/icons/c156b7906217d8b61e7573f9c9cc2dc7.png")</f>
        <v/>
      </c>
      <c r="X18" s="213" t="str">
        <f>image("https://www.bungie.net/common/destiny2_content/icons/100cd6b35af5fb3f979807d68ad57380.png")</f>
        <v/>
      </c>
    </row>
    <row r="19">
      <c r="B19" s="281"/>
      <c r="C19" s="281" t="s">
        <v>215</v>
      </c>
      <c r="D19" s="281" t="s">
        <v>17</v>
      </c>
      <c r="E19" s="281" t="s">
        <v>17</v>
      </c>
      <c r="F19" s="281" t="s">
        <v>17</v>
      </c>
      <c r="G19" s="281" t="s">
        <v>17</v>
      </c>
      <c r="H19" s="281" t="s">
        <v>17</v>
      </c>
      <c r="J19" s="281"/>
      <c r="K19" s="281" t="s">
        <v>220</v>
      </c>
      <c r="L19" s="281" t="s">
        <v>17</v>
      </c>
      <c r="M19" s="281" t="s">
        <v>17</v>
      </c>
      <c r="N19" s="281" t="s">
        <v>17</v>
      </c>
      <c r="O19" s="281" t="s">
        <v>17</v>
      </c>
      <c r="P19" s="281" t="s">
        <v>17</v>
      </c>
      <c r="Q19" s="105" t="s">
        <v>17</v>
      </c>
      <c r="R19" s="281"/>
      <c r="S19" s="254" t="str">
        <f>image("https://www.bungie.net/common/destiny2_content/icons/aa2934eb8a1990f6a1e76402ba12f26a.png")</f>
        <v/>
      </c>
      <c r="T19" s="281"/>
      <c r="U19" s="281"/>
      <c r="V19" s="281"/>
      <c r="W19" s="281"/>
      <c r="X19" s="281"/>
    </row>
    <row r="20">
      <c r="B20" s="281" t="s">
        <v>4</v>
      </c>
      <c r="C20" s="281" t="s">
        <v>221</v>
      </c>
      <c r="D20" s="281" t="s">
        <v>222</v>
      </c>
      <c r="E20" s="281" t="s">
        <v>223</v>
      </c>
      <c r="F20" s="281" t="s">
        <v>224</v>
      </c>
      <c r="G20" s="281" t="s">
        <v>225</v>
      </c>
      <c r="H20" s="281" t="s">
        <v>226</v>
      </c>
    </row>
    <row r="21">
      <c r="B21" s="281" t="s">
        <v>5</v>
      </c>
      <c r="C21" s="281" t="s">
        <v>227</v>
      </c>
      <c r="D21" s="281" t="s">
        <v>228</v>
      </c>
      <c r="E21" s="281" t="s">
        <v>229</v>
      </c>
      <c r="F21" s="281" t="s">
        <v>230</v>
      </c>
      <c r="G21" s="281" t="s">
        <v>231</v>
      </c>
      <c r="H21" s="281" t="s">
        <v>232</v>
      </c>
    </row>
    <row r="22">
      <c r="B22" s="281" t="s">
        <v>6</v>
      </c>
      <c r="C22" s="281" t="s">
        <v>233</v>
      </c>
      <c r="D22" s="281" t="s">
        <v>234</v>
      </c>
      <c r="E22" s="281" t="s">
        <v>235</v>
      </c>
      <c r="F22" s="281" t="s">
        <v>236</v>
      </c>
      <c r="G22" s="281" t="s">
        <v>237</v>
      </c>
      <c r="H22" s="281" t="s">
        <v>238</v>
      </c>
    </row>
    <row r="24">
      <c r="B24" s="277" t="s">
        <v>182</v>
      </c>
      <c r="C24" s="278"/>
      <c r="D24" s="278"/>
      <c r="E24" s="278"/>
      <c r="F24" s="278"/>
      <c r="G24" s="278"/>
      <c r="H24" s="279"/>
      <c r="J24" s="277" t="s">
        <v>182</v>
      </c>
      <c r="K24" s="278"/>
      <c r="L24" s="278"/>
      <c r="M24" s="278"/>
      <c r="N24" s="278"/>
      <c r="O24" s="278"/>
      <c r="P24" s="279"/>
      <c r="R24" s="277" t="s">
        <v>182</v>
      </c>
      <c r="S24" s="278"/>
      <c r="T24" s="278"/>
      <c r="U24" s="278"/>
      <c r="V24" s="278"/>
      <c r="W24" s="278"/>
      <c r="X24" s="279"/>
    </row>
    <row r="25">
      <c r="B25" s="280"/>
      <c r="C25" s="280" t="s">
        <v>121</v>
      </c>
      <c r="D25" s="280" t="s">
        <v>185</v>
      </c>
      <c r="E25" s="280" t="s">
        <v>187</v>
      </c>
      <c r="F25" s="280" t="s">
        <v>189</v>
      </c>
      <c r="G25" s="280" t="s">
        <v>190</v>
      </c>
      <c r="H25" s="280" t="s">
        <v>192</v>
      </c>
      <c r="J25" s="280"/>
      <c r="K25" s="79" t="str">
        <f>image("https://www.bungie.net/common/destiny2_content/icons/51756fc7603bd72a83d1859d8c33f0b9.png")</f>
        <v/>
      </c>
      <c r="L25" s="79" t="str">
        <f>image("https://www.bungie.net/common/destiny2_content/icons/baed176aaf20399a3abb8b287790747a.png")</f>
        <v/>
      </c>
      <c r="M25" s="223" t="str">
        <f>image("https://www.bungie.net/common/destiny2_content/icons/245108de9d46cabc0ca3f16c665321dd.png")</f>
        <v/>
      </c>
      <c r="N25" s="195" t="str">
        <f>image("https://www.bungie.net/common/destiny2_content/icons/b29ab6e87ec85bac4563f3d3a432c451.png")</f>
        <v/>
      </c>
      <c r="O25" s="203" t="str">
        <f>image("https://www.bungie.net/common/destiny2_content/icons/640d76fb6ab52e290116455379194b07.png")</f>
        <v/>
      </c>
      <c r="P25" s="203" t="str">
        <f>image("https://www.bungie.net/common/destiny2_content/icons/a4ead8e3316d22dbb9fc48e6c643dde3.png")</f>
        <v/>
      </c>
      <c r="R25" s="280"/>
      <c r="S25" s="79" t="str">
        <f>image("https://www.bungie.net/common/destiny2_content/icons/51756fc7603bd72a83d1859d8c33f0b9.png")</f>
        <v/>
      </c>
      <c r="T25" s="79" t="str">
        <f>image("https://www.bungie.net/common/destiny2_content/icons/baed176aaf20399a3abb8b287790747a.png")</f>
        <v/>
      </c>
      <c r="U25" s="223" t="str">
        <f>image("https://www.bungie.net/common/destiny2_content/icons/245108de9d46cabc0ca3f16c665321dd.png")</f>
        <v/>
      </c>
      <c r="V25" s="195" t="str">
        <f>image("https://www.bungie.net/common/destiny2_content/icons/b29ab6e87ec85bac4563f3d3a432c451.png")</f>
        <v/>
      </c>
      <c r="W25" s="203" t="str">
        <f>image("https://www.bungie.net/common/destiny2_content/icons/640d76fb6ab52e290116455379194b07.png")</f>
        <v/>
      </c>
      <c r="X25" s="203" t="str">
        <f>image("https://www.bungie.net/common/destiny2_content/icons/a4ead8e3316d22dbb9fc48e6c643dde3.png")</f>
        <v/>
      </c>
    </row>
    <row r="26">
      <c r="B26" s="281"/>
      <c r="C26" s="281" t="s">
        <v>192</v>
      </c>
      <c r="D26" s="281" t="s">
        <v>192</v>
      </c>
      <c r="E26" s="281" t="s">
        <v>192</v>
      </c>
      <c r="F26" s="281" t="s">
        <v>239</v>
      </c>
      <c r="G26" s="281" t="s">
        <v>121</v>
      </c>
      <c r="H26" s="281" t="s">
        <v>121</v>
      </c>
      <c r="J26" s="281"/>
      <c r="K26" s="281" t="s">
        <v>240</v>
      </c>
      <c r="L26" s="281" t="s">
        <v>241</v>
      </c>
      <c r="M26" s="281" t="s">
        <v>240</v>
      </c>
      <c r="N26" s="281" t="s">
        <v>242</v>
      </c>
      <c r="O26" s="281" t="s">
        <v>243</v>
      </c>
      <c r="P26" s="281" t="s">
        <v>243</v>
      </c>
      <c r="Q26" s="105" t="s">
        <v>17</v>
      </c>
      <c r="R26" s="281"/>
      <c r="S26" s="203" t="str">
        <f t="shared" ref="S26:U26" si="4">image("https://www.bungie.net/common/destiny2_content/icons/a4ead8e3316d22dbb9fc48e6c643dde3.png")</f>
        <v/>
      </c>
      <c r="T26" s="203" t="str">
        <f t="shared" si="4"/>
        <v/>
      </c>
      <c r="U26" s="203" t="str">
        <f t="shared" si="4"/>
        <v/>
      </c>
      <c r="V26" s="79" t="str">
        <f>image("https://www.bungie.net/common/destiny2_content/icons/abaff19620ec578f1f379a359de7134c.png")</f>
        <v/>
      </c>
      <c r="W26" s="79" t="str">
        <f t="shared" ref="W26:X26" si="5">image("https://www.bungie.net/common/destiny2_content/icons/51756fc7603bd72a83d1859d8c33f0b9.png")</f>
        <v/>
      </c>
      <c r="X26" s="79" t="str">
        <f t="shared" si="5"/>
        <v/>
      </c>
    </row>
    <row r="27">
      <c r="B27" s="281"/>
      <c r="C27" s="281" t="s">
        <v>190</v>
      </c>
      <c r="D27" s="281" t="s">
        <v>190</v>
      </c>
      <c r="E27" s="281" t="s">
        <v>190</v>
      </c>
      <c r="F27" s="281" t="s">
        <v>121</v>
      </c>
      <c r="G27" s="281" t="s">
        <v>185</v>
      </c>
      <c r="H27" s="281" t="s">
        <v>185</v>
      </c>
      <c r="J27" s="281"/>
      <c r="K27" s="281" t="s">
        <v>244</v>
      </c>
      <c r="L27" s="281" t="s">
        <v>245</v>
      </c>
      <c r="M27" s="281" t="s">
        <v>244</v>
      </c>
      <c r="N27" s="281" t="s">
        <v>246</v>
      </c>
      <c r="O27" s="281" t="s">
        <v>247</v>
      </c>
      <c r="P27" s="281" t="s">
        <v>248</v>
      </c>
      <c r="Q27" s="105" t="s">
        <v>17</v>
      </c>
      <c r="R27" s="281"/>
      <c r="S27" s="203" t="str">
        <f t="shared" ref="S27:U27" si="6">image("https://www.bungie.net/common/destiny2_content/icons/640d76fb6ab52e290116455379194b07.png")</f>
        <v/>
      </c>
      <c r="T27" s="203" t="str">
        <f t="shared" si="6"/>
        <v/>
      </c>
      <c r="U27" s="203" t="str">
        <f t="shared" si="6"/>
        <v/>
      </c>
      <c r="V27" s="79" t="str">
        <f>image("https://www.bungie.net/common/destiny2_content/icons/51756fc7603bd72a83d1859d8c33f0b9.png")</f>
        <v/>
      </c>
      <c r="W27" s="79" t="str">
        <f t="shared" ref="W27:X27" si="7">image("https://www.bungie.net/common/destiny2_content/icons/baed176aaf20399a3abb8b287790747a.png")</f>
        <v/>
      </c>
      <c r="X27" s="79" t="str">
        <f t="shared" si="7"/>
        <v/>
      </c>
    </row>
    <row r="28">
      <c r="B28" s="281"/>
      <c r="C28" s="281" t="s">
        <v>189</v>
      </c>
      <c r="D28" s="281" t="s">
        <v>189</v>
      </c>
      <c r="E28" s="281" t="s">
        <v>209</v>
      </c>
      <c r="F28" s="281" t="s">
        <v>249</v>
      </c>
      <c r="G28" s="281" t="s">
        <v>13</v>
      </c>
      <c r="H28" s="281" t="s">
        <v>13</v>
      </c>
      <c r="J28" s="281"/>
      <c r="K28" s="281" t="s">
        <v>250</v>
      </c>
      <c r="L28" s="281" t="s">
        <v>251</v>
      </c>
      <c r="M28" s="281" t="s">
        <v>252</v>
      </c>
      <c r="N28" s="281" t="s">
        <v>253</v>
      </c>
      <c r="O28" s="281" t="s">
        <v>254</v>
      </c>
      <c r="P28" s="281" t="s">
        <v>254</v>
      </c>
      <c r="Q28" s="105" t="s">
        <v>17</v>
      </c>
      <c r="R28" s="281"/>
      <c r="S28" s="195" t="str">
        <f t="shared" ref="S28:T28" si="8">image("https://www.bungie.net/common/destiny2_content/icons/b29ab6e87ec85bac4563f3d3a432c451.png")</f>
        <v/>
      </c>
      <c r="T28" s="195" t="str">
        <f t="shared" si="8"/>
        <v/>
      </c>
      <c r="U28" s="211" t="str">
        <f>image("https://www.bungie.net/common/destiny2_content/icons/9732f284c71054229671287ab43444b7.png")</f>
        <v/>
      </c>
      <c r="V28" s="266" t="str">
        <f>image("https://www.bungie.net/common/destiny2_content/icons/c792f09ce9d03c03064724af10be0349.png")</f>
        <v/>
      </c>
      <c r="W28" s="191" t="str">
        <f t="shared" ref="W28:X28" si="9">image("https://www.bungie.net/common/destiny2_content/icons/961559205e83e96cd590b34c28efadb7.png")</f>
        <v/>
      </c>
      <c r="X28" s="191" t="str">
        <f t="shared" si="9"/>
        <v/>
      </c>
    </row>
    <row r="29">
      <c r="B29" s="281"/>
      <c r="C29" s="281" t="s">
        <v>209</v>
      </c>
      <c r="D29" s="281" t="s">
        <v>255</v>
      </c>
      <c r="E29" s="281" t="s">
        <v>256</v>
      </c>
      <c r="F29" s="281" t="s">
        <v>187</v>
      </c>
      <c r="G29" s="281" t="s">
        <v>187</v>
      </c>
      <c r="H29" s="281" t="s">
        <v>187</v>
      </c>
      <c r="J29" s="281"/>
      <c r="K29" s="281" t="s">
        <v>257</v>
      </c>
      <c r="L29" s="281" t="s">
        <v>258</v>
      </c>
      <c r="M29" s="281" t="s">
        <v>259</v>
      </c>
      <c r="N29" s="281" t="s">
        <v>260</v>
      </c>
      <c r="O29" s="281" t="s">
        <v>261</v>
      </c>
      <c r="P29" s="281" t="s">
        <v>261</v>
      </c>
      <c r="Q29" s="105" t="s">
        <v>17</v>
      </c>
      <c r="R29" s="281"/>
      <c r="S29" s="211" t="str">
        <f>image("https://www.bungie.net/common/destiny2_content/icons/9732f284c71054229671287ab43444b7.png")</f>
        <v/>
      </c>
      <c r="T29" s="203" t="str">
        <f>image("https://www.bungie.net/common/destiny2_content/icons/811e014f935edafdc52042602ca2429d.png")</f>
        <v/>
      </c>
      <c r="U29" s="203" t="str">
        <f>image("https://www.bungie.net/common/destiny2_content/icons/784bd1d46cc9bd60e1d510e915aedb04.png")</f>
        <v/>
      </c>
      <c r="V29" s="223" t="str">
        <f t="shared" ref="V29:X29" si="10">image("https://www.bungie.net/common/destiny2_content/icons/245108de9d46cabc0ca3f16c665321dd.png")</f>
        <v/>
      </c>
      <c r="W29" s="223" t="str">
        <f t="shared" si="10"/>
        <v/>
      </c>
      <c r="X29" s="223" t="str">
        <f t="shared" si="10"/>
        <v/>
      </c>
    </row>
    <row r="30">
      <c r="B30" s="281"/>
      <c r="C30" s="281" t="s">
        <v>255</v>
      </c>
      <c r="D30" s="281" t="s">
        <v>17</v>
      </c>
      <c r="E30" s="281" t="s">
        <v>189</v>
      </c>
      <c r="F30" s="281" t="s">
        <v>185</v>
      </c>
      <c r="G30" s="281" t="s">
        <v>17</v>
      </c>
      <c r="H30" s="281" t="s">
        <v>17</v>
      </c>
      <c r="J30" s="281"/>
      <c r="K30" s="281" t="s">
        <v>258</v>
      </c>
      <c r="L30" s="281" t="s">
        <v>17</v>
      </c>
      <c r="M30" s="281" t="s">
        <v>251</v>
      </c>
      <c r="N30" s="281" t="s">
        <v>262</v>
      </c>
      <c r="O30" s="281" t="s">
        <v>17</v>
      </c>
      <c r="P30" s="281" t="s">
        <v>17</v>
      </c>
      <c r="Q30" s="105" t="s">
        <v>17</v>
      </c>
      <c r="R30" s="281"/>
      <c r="S30" s="203" t="str">
        <f>image("https://www.bungie.net/common/destiny2_content/icons/811e014f935edafdc52042602ca2429d.png")</f>
        <v/>
      </c>
      <c r="T30" s="281"/>
      <c r="U30" s="195" t="str">
        <f>image("https://www.bungie.net/common/destiny2_content/icons/b29ab6e87ec85bac4563f3d3a432c451.png")</f>
        <v/>
      </c>
      <c r="V30" s="79" t="str">
        <f>image("https://www.bungie.net/common/destiny2_content/icons/baed176aaf20399a3abb8b287790747a.png")</f>
        <v/>
      </c>
      <c r="W30" s="281"/>
      <c r="X30" s="281"/>
    </row>
    <row r="31">
      <c r="B31" s="281"/>
      <c r="C31" s="281" t="s">
        <v>256</v>
      </c>
      <c r="D31" s="281" t="s">
        <v>17</v>
      </c>
      <c r="E31" s="281" t="s">
        <v>255</v>
      </c>
      <c r="F31" s="281" t="s">
        <v>263</v>
      </c>
      <c r="G31" s="281" t="s">
        <v>17</v>
      </c>
      <c r="H31" s="281" t="s">
        <v>17</v>
      </c>
      <c r="J31" s="281"/>
      <c r="K31" s="281" t="s">
        <v>264</v>
      </c>
      <c r="L31" s="281" t="s">
        <v>17</v>
      </c>
      <c r="M31" s="281" t="s">
        <v>258</v>
      </c>
      <c r="N31" s="281" t="s">
        <v>265</v>
      </c>
      <c r="O31" s="281" t="s">
        <v>17</v>
      </c>
      <c r="P31" s="281" t="s">
        <v>17</v>
      </c>
      <c r="Q31" s="105" t="s">
        <v>17</v>
      </c>
      <c r="R31" s="281"/>
      <c r="S31" s="203" t="str">
        <f>image("https://www.bungie.net/common/destiny2_content/icons/784bd1d46cc9bd60e1d510e915aedb04.png")</f>
        <v/>
      </c>
      <c r="T31" s="281"/>
      <c r="U31" s="203" t="str">
        <f>image("https://www.bungie.net/common/destiny2_content/icons/811e014f935edafdc52042602ca2429d.png")</f>
        <v/>
      </c>
      <c r="V31" s="88" t="str">
        <f>image("https://www.bungie.net/common/destiny2_content/icons/3945ff76d8e7ec70991cb0f6601c6797.png")</f>
        <v/>
      </c>
      <c r="W31" s="281"/>
      <c r="X31" s="281"/>
    </row>
    <row r="32">
      <c r="B32" s="280" t="s">
        <v>4</v>
      </c>
      <c r="C32" s="281" t="s">
        <v>221</v>
      </c>
      <c r="D32" s="281" t="s">
        <v>266</v>
      </c>
      <c r="E32" s="281" t="s">
        <v>267</v>
      </c>
      <c r="F32" s="281" t="s">
        <v>268</v>
      </c>
      <c r="G32" s="281" t="s">
        <v>269</v>
      </c>
      <c r="H32" s="281" t="s">
        <v>270</v>
      </c>
    </row>
    <row r="33">
      <c r="B33" s="280" t="s">
        <v>5</v>
      </c>
      <c r="C33" s="281" t="s">
        <v>271</v>
      </c>
      <c r="D33" s="281" t="s">
        <v>272</v>
      </c>
      <c r="E33" s="281" t="s">
        <v>273</v>
      </c>
      <c r="F33" s="281" t="s">
        <v>274</v>
      </c>
      <c r="G33" s="281" t="s">
        <v>275</v>
      </c>
      <c r="H33" s="281" t="s">
        <v>276</v>
      </c>
    </row>
    <row r="34">
      <c r="B34" s="280" t="s">
        <v>6</v>
      </c>
      <c r="C34" s="281" t="s">
        <v>277</v>
      </c>
      <c r="D34" s="281" t="s">
        <v>278</v>
      </c>
      <c r="E34" s="281" t="s">
        <v>279</v>
      </c>
      <c r="F34" s="281" t="s">
        <v>280</v>
      </c>
      <c r="G34" s="281" t="s">
        <v>278</v>
      </c>
      <c r="H34" s="281" t="s">
        <v>278</v>
      </c>
    </row>
    <row r="36">
      <c r="B36" s="277" t="s">
        <v>183</v>
      </c>
      <c r="C36" s="278"/>
      <c r="D36" s="278"/>
      <c r="E36" s="278"/>
      <c r="F36" s="278"/>
      <c r="G36" s="278"/>
      <c r="H36" s="279"/>
      <c r="J36" s="277" t="s">
        <v>183</v>
      </c>
      <c r="K36" s="278"/>
      <c r="L36" s="278"/>
      <c r="M36" s="278"/>
      <c r="N36" s="278"/>
      <c r="O36" s="278"/>
      <c r="P36" s="279"/>
      <c r="R36" s="277" t="s">
        <v>183</v>
      </c>
      <c r="S36" s="278"/>
      <c r="T36" s="278"/>
      <c r="U36" s="278"/>
      <c r="V36" s="278"/>
      <c r="W36" s="278"/>
      <c r="X36" s="279"/>
    </row>
    <row r="37">
      <c r="B37" s="280"/>
      <c r="C37" s="280" t="s">
        <v>121</v>
      </c>
      <c r="D37" s="280" t="s">
        <v>122</v>
      </c>
      <c r="E37" s="280" t="s">
        <v>123</v>
      </c>
      <c r="F37" s="280" t="s">
        <v>189</v>
      </c>
      <c r="G37" s="280" t="s">
        <v>190</v>
      </c>
      <c r="H37" s="280" t="s">
        <v>126</v>
      </c>
      <c r="J37" s="280"/>
      <c r="K37" s="79" t="str">
        <f>image("https://www.bungie.net/common/destiny2_content/icons/51756fc7603bd72a83d1859d8c33f0b9.png")</f>
        <v/>
      </c>
      <c r="L37" s="88" t="str">
        <f>image("https://www.bungie.net/common/destiny2_content/icons/81b6412d2d6784891dd7ddad764891cc.png")</f>
        <v/>
      </c>
      <c r="M37" s="238" t="str">
        <f>image("https://www.bungie.net/common/destiny2_content/icons/5ca9d0fa8f6c97999ac5927c679401af.png")</f>
        <v/>
      </c>
      <c r="N37" s="195" t="str">
        <f>image("https://www.bungie.net/common/destiny2_content/icons/b29ab6e87ec85bac4563f3d3a432c451.png")</f>
        <v/>
      </c>
      <c r="O37" s="203" t="str">
        <f>image("https://www.bungie.net/common/destiny2_content/icons/640d76fb6ab52e290116455379194b07.png")</f>
        <v/>
      </c>
      <c r="P37" s="211" t="str">
        <f>image("https://www.bungie.net/common/destiny2_content/icons/675540240cef9fc9e047d9f9d20a0722.png")</f>
        <v/>
      </c>
      <c r="R37" s="280"/>
      <c r="S37" s="79" t="str">
        <f>image("https://www.bungie.net/common/destiny2_content/icons/51756fc7603bd72a83d1859d8c33f0b9.png")</f>
        <v/>
      </c>
      <c r="T37" s="88" t="str">
        <f>image("https://www.bungie.net/common/destiny2_content/icons/81b6412d2d6784891dd7ddad764891cc.png")</f>
        <v/>
      </c>
      <c r="U37" s="238" t="str">
        <f>image("https://www.bungie.net/common/destiny2_content/icons/5ca9d0fa8f6c97999ac5927c679401af.png")</f>
        <v/>
      </c>
      <c r="V37" s="195" t="str">
        <f>image("https://www.bungie.net/common/destiny2_content/icons/b29ab6e87ec85bac4563f3d3a432c451.png")</f>
        <v/>
      </c>
      <c r="W37" s="203" t="str">
        <f>image("https://www.bungie.net/common/destiny2_content/icons/640d76fb6ab52e290116455379194b07.png")</f>
        <v/>
      </c>
      <c r="X37" s="211" t="str">
        <f>image("https://www.bungie.net/common/destiny2_content/icons/675540240cef9fc9e047d9f9d20a0722.png")</f>
        <v/>
      </c>
    </row>
    <row r="38">
      <c r="B38" s="281"/>
      <c r="C38" s="281" t="s">
        <v>190</v>
      </c>
      <c r="D38" s="281" t="s">
        <v>209</v>
      </c>
      <c r="E38" s="281" t="s">
        <v>126</v>
      </c>
      <c r="F38" s="281" t="s">
        <v>123</v>
      </c>
      <c r="G38" s="281" t="s">
        <v>121</v>
      </c>
      <c r="H38" s="281" t="s">
        <v>123</v>
      </c>
      <c r="J38" s="281"/>
      <c r="K38" s="281" t="s">
        <v>281</v>
      </c>
      <c r="L38" s="281" t="s">
        <v>282</v>
      </c>
      <c r="M38" s="281" t="s">
        <v>283</v>
      </c>
      <c r="N38" s="281" t="s">
        <v>284</v>
      </c>
      <c r="O38" s="281" t="s">
        <v>285</v>
      </c>
      <c r="P38" s="281" t="s">
        <v>286</v>
      </c>
      <c r="Q38" s="105" t="s">
        <v>17</v>
      </c>
      <c r="R38" s="281"/>
      <c r="S38" s="203" t="str">
        <f>image("https://www.bungie.net/common/destiny2_content/icons/640d76fb6ab52e290116455379194b07.png")</f>
        <v/>
      </c>
      <c r="T38" s="211" t="str">
        <f>image("https://www.bungie.net/common/destiny2_content/icons/9732f284c71054229671287ab43444b7.png")</f>
        <v/>
      </c>
      <c r="U38" s="211" t="str">
        <f>image("https://www.bungie.net/common/destiny2_content/icons/675540240cef9fc9e047d9f9d20a0722.png")</f>
        <v/>
      </c>
      <c r="V38" s="238" t="str">
        <f>image("https://www.bungie.net/common/destiny2_content/icons/5ca9d0fa8f6c97999ac5927c679401af.png")</f>
        <v/>
      </c>
      <c r="W38" s="79" t="str">
        <f>image("https://www.bungie.net/common/destiny2_content/icons/51756fc7603bd72a83d1859d8c33f0b9.png")</f>
        <v/>
      </c>
      <c r="X38" s="238" t="str">
        <f>image("https://www.bungie.net/common/destiny2_content/icons/5ca9d0fa8f6c97999ac5927c679401af.png")</f>
        <v/>
      </c>
    </row>
    <row r="39">
      <c r="B39" s="281"/>
      <c r="C39" s="281" t="s">
        <v>209</v>
      </c>
      <c r="D39" s="281" t="s">
        <v>189</v>
      </c>
      <c r="E39" s="281" t="s">
        <v>189</v>
      </c>
      <c r="F39" s="281" t="s">
        <v>287</v>
      </c>
      <c r="G39" s="281" t="s">
        <v>287</v>
      </c>
      <c r="H39" s="281" t="s">
        <v>121</v>
      </c>
      <c r="J39" s="281"/>
      <c r="K39" s="281" t="s">
        <v>288</v>
      </c>
      <c r="L39" s="281" t="s">
        <v>250</v>
      </c>
      <c r="M39" s="281" t="s">
        <v>289</v>
      </c>
      <c r="N39" s="281" t="s">
        <v>290</v>
      </c>
      <c r="O39" s="281" t="s">
        <v>291</v>
      </c>
      <c r="P39" s="281" t="s">
        <v>292</v>
      </c>
      <c r="Q39" s="105" t="s">
        <v>17</v>
      </c>
      <c r="R39" s="281"/>
      <c r="S39" s="211" t="str">
        <f>image("https://www.bungie.net/common/destiny2_content/icons/9732f284c71054229671287ab43444b7.png")</f>
        <v/>
      </c>
      <c r="T39" s="195" t="str">
        <f t="shared" ref="T39:U39" si="11">image("https://www.bungie.net/common/destiny2_content/icons/b29ab6e87ec85bac4563f3d3a432c451.png")</f>
        <v/>
      </c>
      <c r="U39" s="195" t="str">
        <f t="shared" si="11"/>
        <v/>
      </c>
      <c r="V39" s="88" t="str">
        <f t="shared" ref="V39:W39" si="12">image("https://www.bungie.net/common/destiny2_content/icons/4c1a349c2723d3aa84598da98c7a8805.png")</f>
        <v/>
      </c>
      <c r="W39" s="88" t="str">
        <f t="shared" si="12"/>
        <v/>
      </c>
      <c r="X39" s="79" t="str">
        <f>image("https://www.bungie.net/common/destiny2_content/icons/51756fc7603bd72a83d1859d8c33f0b9.png")</f>
        <v/>
      </c>
    </row>
    <row r="40">
      <c r="B40" s="281"/>
      <c r="C40" s="281" t="s">
        <v>189</v>
      </c>
      <c r="D40" s="281" t="s">
        <v>293</v>
      </c>
      <c r="E40" s="281" t="s">
        <v>190</v>
      </c>
      <c r="F40" s="281" t="s">
        <v>122</v>
      </c>
      <c r="G40" s="281" t="s">
        <v>123</v>
      </c>
      <c r="H40" s="281" t="s">
        <v>122</v>
      </c>
      <c r="J40" s="281"/>
      <c r="K40" s="281" t="s">
        <v>250</v>
      </c>
      <c r="L40" s="281" t="s">
        <v>294</v>
      </c>
      <c r="M40" s="281" t="s">
        <v>295</v>
      </c>
      <c r="N40" s="281" t="s">
        <v>296</v>
      </c>
      <c r="O40" s="105" t="s">
        <v>297</v>
      </c>
      <c r="P40" s="281" t="s">
        <v>298</v>
      </c>
      <c r="Q40" s="105" t="s">
        <v>17</v>
      </c>
      <c r="R40" s="281"/>
      <c r="S40" s="195" t="str">
        <f>image("https://www.bungie.net/common/destiny2_content/icons/b29ab6e87ec85bac4563f3d3a432c451.png")</f>
        <v/>
      </c>
      <c r="T40" s="211" t="str">
        <f>image("https://www.bungie.net/common/destiny2_content/icons/18c3e0503b1c9cd823dde3ded3680f8d.png")</f>
        <v/>
      </c>
      <c r="U40" s="203" t="str">
        <f>image("https://www.bungie.net/common/destiny2_content/icons/640d76fb6ab52e290116455379194b07.png")</f>
        <v/>
      </c>
      <c r="V40" s="88" t="str">
        <f>image("https://www.bungie.net/common/destiny2_content/icons/81b6412d2d6784891dd7ddad764891cc.png")</f>
        <v/>
      </c>
      <c r="W40" s="238" t="str">
        <f>image("https://www.bungie.net/common/destiny2_content/icons/5ca9d0fa8f6c97999ac5927c679401af.png")</f>
        <v/>
      </c>
      <c r="X40" s="88" t="str">
        <f>image("https://www.bungie.net/common/destiny2_content/icons/81b6412d2d6784891dd7ddad764891cc.png")</f>
        <v/>
      </c>
    </row>
    <row r="41">
      <c r="B41" s="281"/>
      <c r="C41" s="281" t="s">
        <v>299</v>
      </c>
      <c r="D41" s="281" t="s">
        <v>300</v>
      </c>
      <c r="E41" s="281" t="s">
        <v>300</v>
      </c>
      <c r="F41" s="281" t="s">
        <v>121</v>
      </c>
      <c r="G41" s="281" t="s">
        <v>122</v>
      </c>
      <c r="H41" s="281" t="s">
        <v>17</v>
      </c>
      <c r="J41" s="281"/>
      <c r="K41" s="281" t="s">
        <v>301</v>
      </c>
      <c r="L41" s="281" t="s">
        <v>302</v>
      </c>
      <c r="M41" s="281" t="s">
        <v>303</v>
      </c>
      <c r="N41" s="281" t="s">
        <v>304</v>
      </c>
      <c r="O41" s="281" t="s">
        <v>305</v>
      </c>
      <c r="P41" s="281" t="s">
        <v>17</v>
      </c>
      <c r="Q41" s="105" t="s">
        <v>17</v>
      </c>
      <c r="R41" s="281"/>
      <c r="S41" s="241" t="str">
        <f>image("https://www.bungie.net/common/destiny2_content/icons/569a1a4cbdd7a014159ebdf304c8a9b5.png")</f>
        <v/>
      </c>
      <c r="T41" s="211" t="str">
        <f t="shared" ref="T41:U41" si="13">image("https://www.bungie.net/common/destiny2_content/icons/2c51c7358ab1de58c11edc89b5573e84.png")</f>
        <v/>
      </c>
      <c r="U41" s="211" t="str">
        <f t="shared" si="13"/>
        <v/>
      </c>
      <c r="V41" s="79" t="str">
        <f>image("https://www.bungie.net/common/destiny2_content/icons/51756fc7603bd72a83d1859d8c33f0b9.png")</f>
        <v/>
      </c>
      <c r="W41" s="88" t="str">
        <f>image("https://www.bungie.net/common/destiny2_content/icons/81b6412d2d6784891dd7ddad764891cc.png")</f>
        <v/>
      </c>
      <c r="X41" s="281"/>
    </row>
    <row r="42">
      <c r="B42" s="281"/>
      <c r="C42" s="281" t="s">
        <v>306</v>
      </c>
      <c r="D42" s="281" t="s">
        <v>17</v>
      </c>
      <c r="E42" s="281" t="s">
        <v>17</v>
      </c>
      <c r="F42" s="281" t="s">
        <v>307</v>
      </c>
      <c r="G42" s="281" t="s">
        <v>17</v>
      </c>
      <c r="H42" s="281" t="s">
        <v>17</v>
      </c>
      <c r="J42" s="281"/>
      <c r="K42" s="281" t="s">
        <v>308</v>
      </c>
      <c r="L42" s="281" t="s">
        <v>17</v>
      </c>
      <c r="M42" s="105" t="s">
        <v>17</v>
      </c>
      <c r="N42" s="281" t="s">
        <v>309</v>
      </c>
      <c r="O42" s="281" t="s">
        <v>17</v>
      </c>
      <c r="P42" s="281" t="s">
        <v>17</v>
      </c>
      <c r="Q42" s="105" t="s">
        <v>17</v>
      </c>
      <c r="R42" s="281"/>
      <c r="S42" s="211" t="str">
        <f>image("https://www.bungie.net/common/destiny2_content/icons/ff55cfecf4c70924d0894b1d8a442a18.png")</f>
        <v/>
      </c>
      <c r="T42" s="281"/>
      <c r="U42" s="281"/>
      <c r="V42" s="88" t="str">
        <f>image("https://www.bungie.net/common/destiny2_content/icons/c4f95301370c59ab4d7ce34825e83305.png")</f>
        <v/>
      </c>
      <c r="W42" s="281"/>
      <c r="X42" s="281"/>
    </row>
    <row r="43">
      <c r="B43" s="281"/>
      <c r="C43" s="281" t="s">
        <v>17</v>
      </c>
      <c r="D43" s="281" t="s">
        <v>17</v>
      </c>
      <c r="E43" s="281" t="s">
        <v>17</v>
      </c>
      <c r="F43" s="281" t="s">
        <v>263</v>
      </c>
      <c r="G43" s="281" t="s">
        <v>17</v>
      </c>
      <c r="H43" s="281" t="s">
        <v>17</v>
      </c>
      <c r="J43" s="281"/>
      <c r="K43" s="281" t="s">
        <v>17</v>
      </c>
      <c r="L43" s="281" t="s">
        <v>17</v>
      </c>
      <c r="M43" s="281" t="s">
        <v>17</v>
      </c>
      <c r="N43" s="105" t="s">
        <v>310</v>
      </c>
      <c r="O43" s="281" t="s">
        <v>17</v>
      </c>
      <c r="P43" s="281" t="s">
        <v>17</v>
      </c>
      <c r="Q43" s="105" t="s">
        <v>17</v>
      </c>
      <c r="R43" s="281"/>
      <c r="S43" s="281"/>
      <c r="T43" s="281"/>
      <c r="U43" s="281"/>
      <c r="V43" s="88" t="str">
        <f>image("https://www.bungie.net/common/destiny2_content/icons/3945ff76d8e7ec70991cb0f6601c6797.png")</f>
        <v/>
      </c>
      <c r="W43" s="281"/>
      <c r="X43" s="281"/>
    </row>
    <row r="44">
      <c r="B44" s="280" t="s">
        <v>4</v>
      </c>
      <c r="C44" s="281" t="s">
        <v>221</v>
      </c>
      <c r="D44" s="281" t="s">
        <v>311</v>
      </c>
      <c r="E44" s="281" t="s">
        <v>312</v>
      </c>
      <c r="F44" s="281" t="s">
        <v>268</v>
      </c>
      <c r="G44" s="281" t="s">
        <v>269</v>
      </c>
      <c r="H44" s="281" t="s">
        <v>313</v>
      </c>
    </row>
    <row r="45">
      <c r="B45" s="280" t="s">
        <v>5</v>
      </c>
      <c r="C45" s="281" t="s">
        <v>314</v>
      </c>
      <c r="D45" s="281" t="s">
        <v>315</v>
      </c>
      <c r="E45" s="281" t="s">
        <v>316</v>
      </c>
      <c r="F45" s="105" t="s">
        <v>317</v>
      </c>
      <c r="G45" s="281" t="s">
        <v>318</v>
      </c>
      <c r="H45" s="281" t="s">
        <v>319</v>
      </c>
    </row>
    <row r="46">
      <c r="B46" s="280" t="s">
        <v>6</v>
      </c>
      <c r="C46" s="281" t="s">
        <v>320</v>
      </c>
      <c r="D46" s="281" t="s">
        <v>321</v>
      </c>
      <c r="E46" s="281" t="s">
        <v>322</v>
      </c>
      <c r="F46" s="281" t="s">
        <v>323</v>
      </c>
      <c r="G46" s="281" t="s">
        <v>278</v>
      </c>
      <c r="H46" s="281" t="s">
        <v>324</v>
      </c>
    </row>
  </sheetData>
  <mergeCells count="9">
    <mergeCell ref="J36:P36"/>
    <mergeCell ref="R36:X36"/>
    <mergeCell ref="B12:H12"/>
    <mergeCell ref="J12:P12"/>
    <mergeCell ref="R12:X12"/>
    <mergeCell ref="B24:H24"/>
    <mergeCell ref="J24:P24"/>
    <mergeCell ref="R24:X24"/>
    <mergeCell ref="B36:H3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6.38"/>
    <col customWidth="1" min="2" max="5" width="50.13"/>
    <col customWidth="1" min="6" max="6" width="6.38"/>
    <col customWidth="1" min="7" max="7" width="38.13"/>
  </cols>
  <sheetData>
    <row r="1">
      <c r="A1" s="1"/>
      <c r="B1" s="109" t="s">
        <v>1</v>
      </c>
      <c r="C1" s="109" t="s">
        <v>182</v>
      </c>
      <c r="D1" s="109" t="s">
        <v>183</v>
      </c>
      <c r="E1" s="109" t="s">
        <v>325</v>
      </c>
      <c r="F1" s="1"/>
      <c r="G1" s="109" t="s">
        <v>326</v>
      </c>
      <c r="H1" s="1"/>
      <c r="I1" s="1"/>
      <c r="J1" s="1"/>
      <c r="K1" s="1"/>
      <c r="L1" s="1"/>
      <c r="M1" s="1"/>
      <c r="N1" s="1"/>
      <c r="O1" s="1"/>
      <c r="P1" s="1"/>
      <c r="Q1" s="1"/>
      <c r="R1" s="1"/>
      <c r="S1" s="1"/>
      <c r="T1" s="1"/>
      <c r="U1" s="1"/>
      <c r="V1" s="1"/>
      <c r="W1" s="1"/>
      <c r="X1" s="1"/>
      <c r="Y1" s="1"/>
      <c r="Z1" s="1"/>
    </row>
    <row r="2">
      <c r="B2" s="282" t="str">
        <f>Hunter!Q33</f>
        <v>dimwishlist:item=2809120022&amp;perks=3751917998,1476923955
dimwishlist:item=2809120022&amp;perks=3751917995,3751917994
dimwishlist:item=2809120022&amp;perks=3751917995,1476923955
dimwishlist:item=2809120022&amp;perks=3751917996,3751917992
dimwishlist:item=2809120022&amp;perks=3751917996,1476923956
dimwishlist:item=2809120022&amp;perks=3751917997,1476923955
dimwishlist:item=2809120022&amp;perks=1476923953,1476923956
dimwishlist:item=2809120022&amp;perks=1476923953,1476923955
dimwishlist:item=2809120022&amp;perks=1476923953,3751917994
dimwishlist:item=2809120022&amp;perks=3751917997,1476923957
dimwishlist:item=2809120022&amp;perks=3751917998,3751917993
dimwishlist:item=2809120022&amp;perks=1476923953,1476923957
dimwishlist:item=2809120022&amp;perks=3751917996,3751917994
dimwishlist:item=2809120022&amp;perks=1476923952,1476923956
</v>
      </c>
      <c r="C2" s="282" t="str">
        <f>Titan!Q33</f>
        <v>dimwishlist:item=266021826&amp;perks=1476923952,1476923956
dimwishlist:item=266021826&amp;perks=3573490511,1476923955
dimwishlist:item=266021826&amp;perks=3573490510,3573490503
dimwishlist:item=266021826&amp;perks=1476923953,1476923955
dimwishlist:item=266021826&amp;perks=1476923953,3573490503
dimwishlist:item=266021826&amp;perks=3573490510,1476923956
dimwishlist:item=266021826&amp;perks=3573490505,1476923955
dimwishlist:item=266021826&amp;perks=1476923953,3573490504
dimwishlist:item=266021826&amp;perks=3573490510,3573490504
dimwishlist:item=266021826&amp;perks=3573490509,1476923956
dimwishlist:item=266021826&amp;perks=1476923953,3573490504
dimwishlist:item=266021826&amp;perks=1476923953,1476923957
dimwishlist:item=266021826&amp;perks=3573490509,3573490504
dimwishlist:item=266021826&amp;perks=1476923953,1476923956
</v>
      </c>
      <c r="D2" s="282" t="str">
        <f>Warlock!Q33</f>
        <v>dimwishlist:item=2273643087&amp;perks=183430253,1476923957
dimwishlist:item=2273643087&amp;perks=183430253,183430246
dimwishlist:item=2273643087&amp;perks=1476923953,1476923957
dimwishlist:item=2273643087&amp;perks=183430253,183430249
dimwishlist:item=2273643087&amp;perks=183430250,1476923955
dimwishlist:item=2273643087&amp;perks=183430253,1476923955
dimwishlist:item=2273643087&amp;perks=183430255,183430249
dimwishlist:item=2273643087&amp;perks=183430252,183430247
dimwishlist:item=2273643087&amp;perks=183430250,183430246
dimwishlist:item=2273643087&amp;perks=183430252,1476923955
dimwishlist:item=2273643087&amp;perks=183430253,183430254
dimwishlist:item=2273643087&amp;perks=183430250,183430254
dimwishlist:item=2273643087&amp;perks=183430252,1476923956
dimwishlist:item=2273643087&amp;perks=1476923953,1476923957
</v>
      </c>
      <c r="E2" s="282" t="str">
        <f>B2&amp;"
"&amp;C2&amp;"
"&amp;D2</f>
        <v>dimwishlist:item=2809120022&amp;perks=3751917998,1476923955
dimwishlist:item=2809120022&amp;perks=3751917995,3751917994
dimwishlist:item=2809120022&amp;perks=3751917995,1476923955
dimwishlist:item=2809120022&amp;perks=3751917996,3751917992
dimwishlist:item=2809120022&amp;perks=3751917996,1476923956
dimwishlist:item=2809120022&amp;perks=3751917997,1476923955
dimwishlist:item=2809120022&amp;perks=1476923953,1476923956
dimwishlist:item=2809120022&amp;perks=1476923953,1476923955
dimwishlist:item=2809120022&amp;perks=1476923953,3751917994
dimwishlist:item=2809120022&amp;perks=3751917997,1476923957
dimwishlist:item=2809120022&amp;perks=3751917998,3751917993
dimwishlist:item=2809120022&amp;perks=1476923953,1476923957
dimwishlist:item=2809120022&amp;perks=3751917996,3751917994
dimwishlist:item=2809120022&amp;perks=1476923952,1476923956
dimwishlist:item=266021826&amp;perks=1476923952,1476923956
dimwishlist:item=266021826&amp;perks=3573490511,1476923955
dimwishlist:item=266021826&amp;perks=3573490510,3573490503
dimwishlist:item=266021826&amp;perks=1476923953,1476923955
dimwishlist:item=266021826&amp;perks=1476923953,3573490503
dimwishlist:item=266021826&amp;perks=3573490510,1476923956
dimwishlist:item=266021826&amp;perks=3573490505,1476923955
dimwishlist:item=266021826&amp;perks=1476923953,3573490504
dimwishlist:item=266021826&amp;perks=3573490510,3573490504
dimwishlist:item=266021826&amp;perks=3573490509,1476923956
dimwishlist:item=266021826&amp;perks=1476923953,3573490504
dimwishlist:item=266021826&amp;perks=1476923953,1476923957
dimwishlist:item=266021826&amp;perks=3573490509,3573490504
dimwishlist:item=266021826&amp;perks=1476923953,1476923956
dimwishlist:item=2273643087&amp;perks=183430253,1476923957
dimwishlist:item=2273643087&amp;perks=183430253,183430246
dimwishlist:item=2273643087&amp;perks=1476923953,1476923957
dimwishlist:item=2273643087&amp;perks=183430253,183430249
dimwishlist:item=2273643087&amp;perks=183430250,1476923955
dimwishlist:item=2273643087&amp;perks=183430253,1476923955
dimwishlist:item=2273643087&amp;perks=183430255,183430249
dimwishlist:item=2273643087&amp;perks=183430252,183430247
dimwishlist:item=2273643087&amp;perks=183430250,183430246
dimwishlist:item=2273643087&amp;perks=183430252,1476923955
dimwishlist:item=2273643087&amp;perks=183430253,183430254
dimwishlist:item=2273643087&amp;perks=183430250,183430254
dimwishlist:item=2273643087&amp;perks=183430252,1476923956
dimwishlist:item=2273643087&amp;perks=1476923953,1476923957
</v>
      </c>
      <c r="F2" s="282"/>
      <c r="G2" s="283" t="s">
        <v>327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1" max="1" width="5.13"/>
    <col customWidth="1" min="4" max="4" width="43.25"/>
  </cols>
  <sheetData>
    <row r="1">
      <c r="A1" s="284" t="s">
        <v>328</v>
      </c>
      <c r="B1" s="109" t="s">
        <v>329</v>
      </c>
      <c r="C1" s="285">
        <v>45509.0</v>
      </c>
      <c r="D1" s="105" t="s">
        <v>330</v>
      </c>
    </row>
    <row r="2">
      <c r="B2" s="109" t="s">
        <v>331</v>
      </c>
      <c r="C2" s="285">
        <v>45501.0</v>
      </c>
      <c r="D2" s="105" t="s">
        <v>332</v>
      </c>
    </row>
    <row r="3">
      <c r="B3" s="109" t="s">
        <v>333</v>
      </c>
      <c r="C3" s="285">
        <v>45488.0</v>
      </c>
      <c r="D3" s="105" t="s">
        <v>334</v>
      </c>
    </row>
    <row r="4">
      <c r="B4" s="109" t="s">
        <v>335</v>
      </c>
      <c r="C4" s="285">
        <v>45482.0</v>
      </c>
      <c r="D4" s="105" t="s">
        <v>336</v>
      </c>
    </row>
    <row r="5">
      <c r="B5" s="109" t="s">
        <v>337</v>
      </c>
      <c r="C5" s="285">
        <v>45400.0</v>
      </c>
      <c r="D5" s="105" t="s">
        <v>338</v>
      </c>
    </row>
    <row r="6">
      <c r="B6" s="109"/>
      <c r="C6" s="285"/>
    </row>
    <row r="16">
      <c r="B16" s="286" t="s">
        <v>339</v>
      </c>
    </row>
    <row r="17">
      <c r="A17" s="287"/>
      <c r="B17" s="288" t="s">
        <v>340</v>
      </c>
    </row>
    <row r="18">
      <c r="A18" s="287"/>
    </row>
    <row r="19">
      <c r="A19" s="287"/>
    </row>
    <row r="20">
      <c r="A20" s="287"/>
    </row>
    <row r="21">
      <c r="A21" s="287"/>
    </row>
    <row r="22">
      <c r="A22" s="287"/>
    </row>
    <row r="23">
      <c r="A23" s="287"/>
    </row>
    <row r="24">
      <c r="A24" s="287"/>
    </row>
    <row r="25">
      <c r="A25" s="287"/>
    </row>
    <row r="26">
      <c r="A26" s="287"/>
    </row>
    <row r="27">
      <c r="A27" s="287"/>
    </row>
    <row r="28">
      <c r="A28" s="287"/>
    </row>
    <row r="29">
      <c r="A29" s="287"/>
    </row>
    <row r="30">
      <c r="A30" s="287"/>
    </row>
    <row r="31">
      <c r="A31" s="287"/>
    </row>
    <row r="32">
      <c r="A32" s="287"/>
    </row>
    <row r="33">
      <c r="A33" s="287"/>
    </row>
    <row r="34">
      <c r="A34" s="287"/>
    </row>
    <row r="35">
      <c r="A35" s="287"/>
    </row>
    <row r="36">
      <c r="A36" s="287"/>
    </row>
    <row r="37">
      <c r="A37" s="287"/>
    </row>
    <row r="38">
      <c r="A38" s="287"/>
    </row>
    <row r="39">
      <c r="A39" s="287"/>
    </row>
    <row r="40">
      <c r="A40" s="287"/>
    </row>
    <row r="41">
      <c r="A41" s="287"/>
    </row>
    <row r="42">
      <c r="A42" s="287"/>
    </row>
    <row r="43">
      <c r="A43" s="287"/>
    </row>
    <row r="44">
      <c r="A44" s="287"/>
    </row>
    <row r="45">
      <c r="A45" s="287"/>
    </row>
    <row r="46">
      <c r="A46" s="287"/>
    </row>
    <row r="47">
      <c r="A47" s="287"/>
    </row>
    <row r="48">
      <c r="A48" s="287"/>
    </row>
    <row r="49">
      <c r="A49" s="287"/>
    </row>
    <row r="50">
      <c r="A50" s="287"/>
    </row>
    <row r="51">
      <c r="A51" s="287"/>
    </row>
    <row r="52">
      <c r="A52" s="287"/>
    </row>
    <row r="53">
      <c r="A53" s="287"/>
    </row>
    <row r="54">
      <c r="A54" s="287"/>
    </row>
    <row r="55">
      <c r="A55" s="287"/>
    </row>
    <row r="56">
      <c r="A56" s="287"/>
    </row>
    <row r="57">
      <c r="A57" s="287"/>
    </row>
    <row r="58">
      <c r="A58" s="287"/>
    </row>
    <row r="59">
      <c r="A59" s="287"/>
    </row>
    <row r="60">
      <c r="A60" s="287"/>
    </row>
    <row r="61">
      <c r="A61" s="287"/>
    </row>
    <row r="62">
      <c r="A62" s="287"/>
    </row>
    <row r="63">
      <c r="A63" s="287"/>
    </row>
    <row r="64">
      <c r="A64" s="287"/>
    </row>
    <row r="65">
      <c r="A65" s="287"/>
    </row>
    <row r="66">
      <c r="A66" s="287"/>
    </row>
    <row r="67">
      <c r="A67" s="287"/>
    </row>
    <row r="68">
      <c r="A68" s="287"/>
    </row>
    <row r="69">
      <c r="A69" s="287"/>
    </row>
    <row r="70">
      <c r="A70" s="287"/>
    </row>
    <row r="71">
      <c r="A71" s="287"/>
    </row>
    <row r="72">
      <c r="A72" s="287"/>
    </row>
    <row r="73">
      <c r="A73" s="287"/>
    </row>
    <row r="74">
      <c r="A74" s="287"/>
    </row>
    <row r="75">
      <c r="A75" s="287"/>
    </row>
    <row r="76">
      <c r="A76" s="287"/>
    </row>
    <row r="77">
      <c r="A77" s="287"/>
    </row>
    <row r="78">
      <c r="A78" s="287"/>
    </row>
    <row r="79">
      <c r="A79" s="287"/>
    </row>
    <row r="80">
      <c r="A80" s="287"/>
    </row>
    <row r="81">
      <c r="A81" s="287"/>
    </row>
    <row r="82">
      <c r="A82" s="287"/>
    </row>
    <row r="83">
      <c r="A83" s="287"/>
    </row>
    <row r="84">
      <c r="A84" s="287"/>
    </row>
    <row r="85">
      <c r="A85" s="287"/>
    </row>
    <row r="86">
      <c r="A86" s="287"/>
    </row>
    <row r="87">
      <c r="A87" s="287"/>
    </row>
    <row r="88">
      <c r="A88" s="287"/>
    </row>
    <row r="89">
      <c r="A89" s="287"/>
    </row>
    <row r="90">
      <c r="A90" s="287"/>
    </row>
    <row r="91">
      <c r="A91" s="287"/>
    </row>
    <row r="92">
      <c r="A92" s="287"/>
    </row>
    <row r="93">
      <c r="A93" s="287"/>
    </row>
    <row r="94">
      <c r="A94" s="287"/>
    </row>
    <row r="95">
      <c r="A95" s="287"/>
    </row>
    <row r="96">
      <c r="A96" s="287"/>
    </row>
    <row r="97">
      <c r="A97" s="287"/>
    </row>
    <row r="98">
      <c r="A98" s="287"/>
    </row>
    <row r="99">
      <c r="A99" s="287"/>
    </row>
    <row r="100">
      <c r="A100" s="287"/>
    </row>
    <row r="101">
      <c r="A101" s="287"/>
    </row>
    <row r="102">
      <c r="A102" s="287"/>
    </row>
    <row r="103">
      <c r="A103" s="287"/>
    </row>
    <row r="104">
      <c r="A104" s="287"/>
    </row>
    <row r="105">
      <c r="A105" s="287"/>
    </row>
    <row r="106">
      <c r="A106" s="287"/>
    </row>
    <row r="107">
      <c r="A107" s="287"/>
    </row>
    <row r="108">
      <c r="A108" s="287"/>
    </row>
    <row r="109">
      <c r="A109" s="287"/>
    </row>
    <row r="110">
      <c r="A110" s="287"/>
    </row>
    <row r="111">
      <c r="A111" s="287"/>
    </row>
    <row r="112">
      <c r="A112" s="287"/>
    </row>
    <row r="113">
      <c r="A113" s="287"/>
    </row>
    <row r="114">
      <c r="A114" s="287"/>
    </row>
    <row r="115">
      <c r="A115" s="287"/>
    </row>
    <row r="116">
      <c r="A116" s="287"/>
    </row>
    <row r="117">
      <c r="A117" s="287"/>
    </row>
    <row r="118">
      <c r="A118" s="287"/>
    </row>
    <row r="119">
      <c r="A119" s="287"/>
    </row>
    <row r="120">
      <c r="A120" s="287"/>
    </row>
    <row r="121">
      <c r="A121" s="287"/>
    </row>
    <row r="122">
      <c r="A122" s="287"/>
    </row>
    <row r="123">
      <c r="A123" s="287"/>
    </row>
    <row r="124">
      <c r="A124" s="287"/>
    </row>
    <row r="125">
      <c r="A125" s="287"/>
    </row>
    <row r="126">
      <c r="A126" s="287"/>
    </row>
    <row r="127">
      <c r="A127" s="287"/>
    </row>
    <row r="128">
      <c r="A128" s="287"/>
    </row>
    <row r="129">
      <c r="A129" s="287"/>
    </row>
    <row r="130">
      <c r="A130" s="287"/>
    </row>
    <row r="131">
      <c r="A131" s="287"/>
    </row>
    <row r="132">
      <c r="A132" s="287"/>
    </row>
    <row r="133">
      <c r="A133" s="287"/>
    </row>
    <row r="134">
      <c r="A134" s="287"/>
    </row>
    <row r="135">
      <c r="A135" s="287"/>
    </row>
    <row r="136">
      <c r="A136" s="287"/>
    </row>
    <row r="137">
      <c r="A137" s="287"/>
    </row>
    <row r="138">
      <c r="A138" s="287"/>
    </row>
    <row r="139">
      <c r="A139" s="287"/>
    </row>
    <row r="140">
      <c r="A140" s="287"/>
    </row>
    <row r="141">
      <c r="A141" s="287"/>
    </row>
    <row r="142">
      <c r="A142" s="287"/>
    </row>
    <row r="143">
      <c r="A143" s="287"/>
    </row>
    <row r="144">
      <c r="A144" s="287"/>
    </row>
    <row r="145">
      <c r="A145" s="287"/>
    </row>
    <row r="146">
      <c r="A146" s="287"/>
    </row>
    <row r="147">
      <c r="A147" s="287"/>
    </row>
    <row r="148">
      <c r="A148" s="287"/>
    </row>
    <row r="149">
      <c r="A149" s="287"/>
    </row>
    <row r="150">
      <c r="A150" s="287"/>
    </row>
    <row r="151">
      <c r="A151" s="287"/>
    </row>
    <row r="152">
      <c r="A152" s="287"/>
    </row>
    <row r="153">
      <c r="A153" s="287"/>
    </row>
    <row r="154">
      <c r="A154" s="287"/>
    </row>
    <row r="155">
      <c r="A155" s="287"/>
    </row>
    <row r="156">
      <c r="A156" s="287"/>
    </row>
    <row r="157">
      <c r="A157" s="287"/>
    </row>
    <row r="158">
      <c r="A158" s="287"/>
    </row>
    <row r="159">
      <c r="A159" s="287"/>
    </row>
    <row r="160">
      <c r="A160" s="287"/>
    </row>
    <row r="161">
      <c r="A161" s="287"/>
    </row>
    <row r="162">
      <c r="A162" s="287"/>
    </row>
    <row r="163">
      <c r="A163" s="287"/>
    </row>
    <row r="164">
      <c r="A164" s="287"/>
    </row>
    <row r="165">
      <c r="A165" s="287"/>
    </row>
    <row r="166">
      <c r="A166" s="287"/>
    </row>
    <row r="167">
      <c r="A167" s="287"/>
    </row>
    <row r="168">
      <c r="A168" s="287"/>
    </row>
    <row r="169">
      <c r="A169" s="287"/>
    </row>
    <row r="170">
      <c r="A170" s="287"/>
    </row>
    <row r="171">
      <c r="A171" s="287"/>
    </row>
    <row r="172">
      <c r="A172" s="287"/>
    </row>
    <row r="173">
      <c r="A173" s="287"/>
    </row>
    <row r="174">
      <c r="A174" s="287"/>
    </row>
    <row r="175">
      <c r="A175" s="287"/>
    </row>
    <row r="176">
      <c r="A176" s="287"/>
    </row>
    <row r="177">
      <c r="A177" s="287"/>
    </row>
    <row r="178">
      <c r="A178" s="287"/>
    </row>
    <row r="179">
      <c r="A179" s="287"/>
    </row>
    <row r="180">
      <c r="A180" s="287"/>
    </row>
    <row r="181">
      <c r="A181" s="287"/>
    </row>
    <row r="182">
      <c r="A182" s="287"/>
    </row>
    <row r="183">
      <c r="A183" s="287"/>
    </row>
    <row r="184">
      <c r="A184" s="287"/>
    </row>
    <row r="185">
      <c r="A185" s="287"/>
    </row>
    <row r="186">
      <c r="A186" s="287"/>
    </row>
    <row r="187">
      <c r="A187" s="287"/>
    </row>
    <row r="188">
      <c r="A188" s="287"/>
    </row>
    <row r="189">
      <c r="A189" s="287"/>
    </row>
    <row r="190">
      <c r="A190" s="287"/>
    </row>
    <row r="191">
      <c r="A191" s="287"/>
    </row>
    <row r="192">
      <c r="A192" s="287"/>
    </row>
    <row r="193">
      <c r="A193" s="287"/>
    </row>
    <row r="194">
      <c r="A194" s="287"/>
    </row>
    <row r="195">
      <c r="A195" s="287"/>
    </row>
    <row r="196">
      <c r="A196" s="287"/>
    </row>
    <row r="197">
      <c r="A197" s="287"/>
    </row>
    <row r="198">
      <c r="A198" s="287"/>
    </row>
    <row r="199">
      <c r="A199" s="287"/>
    </row>
    <row r="200">
      <c r="A200" s="287"/>
    </row>
    <row r="201">
      <c r="A201" s="287"/>
    </row>
    <row r="202">
      <c r="A202" s="287"/>
    </row>
    <row r="203">
      <c r="A203" s="287"/>
    </row>
    <row r="204">
      <c r="A204" s="287"/>
    </row>
    <row r="205">
      <c r="A205" s="287"/>
    </row>
    <row r="206">
      <c r="A206" s="287"/>
    </row>
    <row r="207">
      <c r="A207" s="287"/>
    </row>
    <row r="208">
      <c r="A208" s="287"/>
    </row>
    <row r="209">
      <c r="A209" s="287"/>
    </row>
    <row r="210">
      <c r="A210" s="287"/>
    </row>
    <row r="211">
      <c r="A211" s="287"/>
    </row>
    <row r="212">
      <c r="A212" s="287"/>
    </row>
    <row r="213">
      <c r="A213" s="287"/>
    </row>
    <row r="214">
      <c r="A214" s="287"/>
    </row>
    <row r="215">
      <c r="A215" s="287"/>
    </row>
    <row r="216">
      <c r="A216" s="287"/>
    </row>
    <row r="217">
      <c r="A217" s="287"/>
    </row>
    <row r="218">
      <c r="A218" s="287"/>
    </row>
    <row r="219">
      <c r="A219" s="287"/>
    </row>
    <row r="220">
      <c r="A220" s="287"/>
    </row>
    <row r="221">
      <c r="A221" s="287"/>
    </row>
    <row r="222">
      <c r="A222" s="287"/>
    </row>
    <row r="223">
      <c r="A223" s="287"/>
    </row>
    <row r="224">
      <c r="A224" s="287"/>
    </row>
    <row r="225">
      <c r="A225" s="287"/>
    </row>
    <row r="226">
      <c r="A226" s="287"/>
    </row>
    <row r="227">
      <c r="A227" s="287"/>
    </row>
    <row r="228">
      <c r="A228" s="287"/>
    </row>
    <row r="229">
      <c r="A229" s="287"/>
    </row>
    <row r="230">
      <c r="A230" s="287"/>
    </row>
    <row r="231">
      <c r="A231" s="287"/>
    </row>
    <row r="232">
      <c r="A232" s="287"/>
    </row>
    <row r="233">
      <c r="A233" s="287"/>
    </row>
    <row r="234">
      <c r="A234" s="287"/>
    </row>
    <row r="235">
      <c r="A235" s="287"/>
    </row>
    <row r="236">
      <c r="A236" s="287"/>
    </row>
    <row r="237">
      <c r="A237" s="287"/>
    </row>
    <row r="238">
      <c r="A238" s="287"/>
    </row>
    <row r="239">
      <c r="A239" s="287"/>
    </row>
    <row r="240">
      <c r="A240" s="287"/>
    </row>
    <row r="241">
      <c r="A241" s="287"/>
    </row>
    <row r="242">
      <c r="A242" s="287"/>
    </row>
    <row r="243">
      <c r="A243" s="287"/>
    </row>
    <row r="244">
      <c r="A244" s="287"/>
    </row>
    <row r="245">
      <c r="A245" s="287"/>
    </row>
    <row r="246">
      <c r="A246" s="287"/>
    </row>
    <row r="247">
      <c r="A247" s="287"/>
    </row>
    <row r="248">
      <c r="A248" s="287"/>
    </row>
    <row r="249">
      <c r="A249" s="287"/>
    </row>
    <row r="250">
      <c r="A250" s="287"/>
    </row>
    <row r="251">
      <c r="A251" s="287"/>
    </row>
    <row r="252">
      <c r="A252" s="287"/>
    </row>
    <row r="253">
      <c r="A253" s="287"/>
    </row>
    <row r="254">
      <c r="A254" s="287"/>
    </row>
    <row r="255">
      <c r="A255" s="287"/>
    </row>
    <row r="256">
      <c r="A256" s="287"/>
    </row>
    <row r="257">
      <c r="A257" s="287"/>
    </row>
    <row r="258">
      <c r="A258" s="287"/>
    </row>
    <row r="259">
      <c r="A259" s="287"/>
    </row>
    <row r="260">
      <c r="A260" s="287"/>
    </row>
    <row r="261">
      <c r="A261" s="287"/>
    </row>
    <row r="262">
      <c r="A262" s="287"/>
    </row>
    <row r="263">
      <c r="A263" s="287"/>
    </row>
    <row r="264">
      <c r="A264" s="287"/>
    </row>
    <row r="265">
      <c r="A265" s="287"/>
    </row>
    <row r="266">
      <c r="A266" s="287"/>
    </row>
    <row r="267">
      <c r="A267" s="287"/>
    </row>
    <row r="268">
      <c r="A268" s="287"/>
    </row>
    <row r="269">
      <c r="A269" s="287"/>
    </row>
    <row r="270">
      <c r="A270" s="287"/>
    </row>
    <row r="271">
      <c r="A271" s="287"/>
    </row>
    <row r="272">
      <c r="A272" s="287"/>
    </row>
    <row r="273">
      <c r="A273" s="287"/>
    </row>
    <row r="274">
      <c r="A274" s="287"/>
    </row>
    <row r="275">
      <c r="A275" s="287"/>
    </row>
    <row r="276">
      <c r="A276" s="287"/>
    </row>
    <row r="277">
      <c r="A277" s="287"/>
    </row>
    <row r="278">
      <c r="A278" s="287"/>
    </row>
    <row r="279">
      <c r="A279" s="287"/>
    </row>
    <row r="280">
      <c r="A280" s="287"/>
    </row>
    <row r="281">
      <c r="A281" s="287"/>
    </row>
    <row r="282">
      <c r="A282" s="287"/>
    </row>
    <row r="283">
      <c r="A283" s="287"/>
    </row>
    <row r="284">
      <c r="A284" s="287"/>
    </row>
    <row r="285">
      <c r="A285" s="287"/>
    </row>
    <row r="286">
      <c r="A286" s="287"/>
    </row>
    <row r="287">
      <c r="A287" s="287"/>
    </row>
    <row r="288">
      <c r="A288" s="287"/>
    </row>
    <row r="289">
      <c r="A289" s="287"/>
    </row>
    <row r="290">
      <c r="A290" s="287"/>
    </row>
    <row r="291">
      <c r="A291" s="287"/>
    </row>
    <row r="292">
      <c r="A292" s="287"/>
    </row>
    <row r="293">
      <c r="A293" s="287"/>
    </row>
    <row r="294">
      <c r="A294" s="287"/>
    </row>
    <row r="295">
      <c r="A295" s="287"/>
    </row>
    <row r="296">
      <c r="A296" s="287"/>
    </row>
    <row r="297">
      <c r="A297" s="287"/>
    </row>
    <row r="298">
      <c r="A298" s="287"/>
    </row>
    <row r="299">
      <c r="A299" s="287"/>
    </row>
    <row r="300">
      <c r="A300" s="287"/>
    </row>
    <row r="301">
      <c r="A301" s="287"/>
    </row>
    <row r="302">
      <c r="A302" s="287"/>
    </row>
    <row r="303">
      <c r="A303" s="287"/>
    </row>
    <row r="304">
      <c r="A304" s="287"/>
    </row>
    <row r="305">
      <c r="A305" s="287"/>
    </row>
    <row r="306">
      <c r="A306" s="287"/>
    </row>
    <row r="307">
      <c r="A307" s="287"/>
    </row>
    <row r="308">
      <c r="A308" s="287"/>
    </row>
    <row r="309">
      <c r="A309" s="287"/>
    </row>
    <row r="310">
      <c r="A310" s="287"/>
    </row>
    <row r="311">
      <c r="A311" s="287"/>
    </row>
    <row r="312">
      <c r="A312" s="287"/>
    </row>
    <row r="313">
      <c r="A313" s="287"/>
    </row>
    <row r="314">
      <c r="A314" s="287"/>
    </row>
    <row r="315">
      <c r="A315" s="287"/>
    </row>
    <row r="316">
      <c r="A316" s="287"/>
    </row>
    <row r="317">
      <c r="A317" s="287"/>
    </row>
    <row r="318">
      <c r="A318" s="287"/>
    </row>
    <row r="319">
      <c r="A319" s="287"/>
    </row>
    <row r="320">
      <c r="A320" s="287"/>
    </row>
    <row r="321">
      <c r="A321" s="287"/>
    </row>
    <row r="322">
      <c r="A322" s="287"/>
    </row>
    <row r="323">
      <c r="A323" s="287"/>
    </row>
    <row r="324">
      <c r="A324" s="287"/>
    </row>
    <row r="325">
      <c r="A325" s="287"/>
    </row>
    <row r="326">
      <c r="A326" s="287"/>
    </row>
    <row r="327">
      <c r="A327" s="287"/>
    </row>
    <row r="328">
      <c r="A328" s="287"/>
    </row>
    <row r="329">
      <c r="A329" s="287"/>
    </row>
    <row r="330">
      <c r="A330" s="287"/>
    </row>
    <row r="331">
      <c r="A331" s="287"/>
    </row>
    <row r="332">
      <c r="A332" s="287"/>
    </row>
    <row r="333">
      <c r="A333" s="287"/>
    </row>
    <row r="334">
      <c r="A334" s="287"/>
    </row>
    <row r="335">
      <c r="A335" s="287"/>
    </row>
    <row r="336">
      <c r="A336" s="287"/>
    </row>
    <row r="337">
      <c r="A337" s="287"/>
    </row>
    <row r="338">
      <c r="A338" s="287"/>
    </row>
    <row r="339">
      <c r="A339" s="287"/>
    </row>
    <row r="340">
      <c r="A340" s="287"/>
    </row>
    <row r="341">
      <c r="A341" s="287"/>
    </row>
    <row r="342">
      <c r="A342" s="287"/>
    </row>
    <row r="343">
      <c r="A343" s="287"/>
    </row>
    <row r="344">
      <c r="A344" s="287"/>
    </row>
    <row r="345">
      <c r="A345" s="287"/>
    </row>
    <row r="346">
      <c r="A346" s="287"/>
    </row>
    <row r="347">
      <c r="A347" s="287"/>
    </row>
    <row r="348">
      <c r="A348" s="287"/>
    </row>
    <row r="349">
      <c r="A349" s="287"/>
    </row>
    <row r="350">
      <c r="A350" s="287"/>
    </row>
    <row r="351">
      <c r="A351" s="287"/>
    </row>
    <row r="352">
      <c r="A352" s="287"/>
    </row>
    <row r="353">
      <c r="A353" s="287"/>
    </row>
    <row r="354">
      <c r="A354" s="287"/>
    </row>
    <row r="355">
      <c r="A355" s="287"/>
    </row>
    <row r="356">
      <c r="A356" s="287"/>
    </row>
    <row r="357">
      <c r="A357" s="287"/>
    </row>
    <row r="358">
      <c r="A358" s="287"/>
    </row>
    <row r="359">
      <c r="A359" s="287"/>
    </row>
    <row r="360">
      <c r="A360" s="287"/>
    </row>
    <row r="361">
      <c r="A361" s="287"/>
    </row>
    <row r="362">
      <c r="A362" s="287"/>
    </row>
    <row r="363">
      <c r="A363" s="287"/>
    </row>
    <row r="364">
      <c r="A364" s="287"/>
    </row>
    <row r="365">
      <c r="A365" s="287"/>
    </row>
    <row r="366">
      <c r="A366" s="287"/>
    </row>
    <row r="367">
      <c r="A367" s="287"/>
    </row>
    <row r="368">
      <c r="A368" s="287"/>
    </row>
    <row r="369">
      <c r="A369" s="287"/>
    </row>
    <row r="370">
      <c r="A370" s="287"/>
    </row>
    <row r="371">
      <c r="A371" s="287"/>
    </row>
    <row r="372">
      <c r="A372" s="287"/>
    </row>
    <row r="373">
      <c r="A373" s="287"/>
    </row>
    <row r="374">
      <c r="A374" s="287"/>
    </row>
    <row r="375">
      <c r="A375" s="287"/>
    </row>
    <row r="376">
      <c r="A376" s="287"/>
    </row>
    <row r="377">
      <c r="A377" s="287"/>
    </row>
    <row r="378">
      <c r="A378" s="287"/>
    </row>
    <row r="379">
      <c r="A379" s="287"/>
    </row>
    <row r="380">
      <c r="A380" s="287"/>
    </row>
    <row r="381">
      <c r="A381" s="287"/>
    </row>
    <row r="382">
      <c r="A382" s="287"/>
    </row>
    <row r="383">
      <c r="A383" s="287"/>
    </row>
    <row r="384">
      <c r="A384" s="287"/>
    </row>
    <row r="385">
      <c r="A385" s="287"/>
    </row>
    <row r="386">
      <c r="A386" s="287"/>
    </row>
    <row r="387">
      <c r="A387" s="287"/>
    </row>
    <row r="388">
      <c r="A388" s="287"/>
    </row>
    <row r="389">
      <c r="A389" s="287"/>
    </row>
    <row r="390">
      <c r="A390" s="287"/>
    </row>
    <row r="391">
      <c r="A391" s="287"/>
    </row>
    <row r="392">
      <c r="A392" s="287"/>
    </row>
    <row r="393">
      <c r="A393" s="287"/>
    </row>
    <row r="394">
      <c r="A394" s="287"/>
    </row>
    <row r="395">
      <c r="A395" s="287"/>
    </row>
    <row r="396">
      <c r="A396" s="287"/>
    </row>
    <row r="397">
      <c r="A397" s="287"/>
    </row>
    <row r="398">
      <c r="A398" s="287"/>
    </row>
    <row r="399">
      <c r="A399" s="287"/>
    </row>
    <row r="400">
      <c r="A400" s="287"/>
    </row>
    <row r="401">
      <c r="A401" s="287"/>
    </row>
    <row r="402">
      <c r="A402" s="287"/>
    </row>
    <row r="403">
      <c r="A403" s="287"/>
    </row>
    <row r="404">
      <c r="A404" s="287"/>
    </row>
    <row r="405">
      <c r="A405" s="287"/>
    </row>
    <row r="406">
      <c r="A406" s="287"/>
    </row>
    <row r="407">
      <c r="A407" s="287"/>
    </row>
    <row r="408">
      <c r="A408" s="287"/>
    </row>
    <row r="409">
      <c r="A409" s="287"/>
    </row>
    <row r="410">
      <c r="A410" s="287"/>
    </row>
    <row r="411">
      <c r="A411" s="287"/>
    </row>
    <row r="412">
      <c r="A412" s="287"/>
    </row>
    <row r="413">
      <c r="A413" s="287"/>
    </row>
    <row r="414">
      <c r="A414" s="287"/>
    </row>
    <row r="415">
      <c r="A415" s="287"/>
    </row>
    <row r="416">
      <c r="A416" s="287"/>
    </row>
    <row r="417">
      <c r="A417" s="287"/>
    </row>
    <row r="418">
      <c r="A418" s="287"/>
    </row>
    <row r="419">
      <c r="A419" s="287"/>
    </row>
    <row r="420">
      <c r="A420" s="287"/>
    </row>
    <row r="421">
      <c r="A421" s="287"/>
    </row>
    <row r="422">
      <c r="A422" s="287"/>
    </row>
    <row r="423">
      <c r="A423" s="287"/>
    </row>
    <row r="424">
      <c r="A424" s="287"/>
    </row>
    <row r="425">
      <c r="A425" s="287"/>
    </row>
    <row r="426">
      <c r="A426" s="287"/>
    </row>
    <row r="427">
      <c r="A427" s="287"/>
    </row>
    <row r="428">
      <c r="A428" s="287"/>
    </row>
    <row r="429">
      <c r="A429" s="287"/>
    </row>
    <row r="430">
      <c r="A430" s="287"/>
    </row>
    <row r="431">
      <c r="A431" s="287"/>
    </row>
    <row r="432">
      <c r="A432" s="287"/>
    </row>
    <row r="433">
      <c r="A433" s="287"/>
    </row>
    <row r="434">
      <c r="A434" s="287"/>
    </row>
    <row r="435">
      <c r="A435" s="287"/>
    </row>
    <row r="436">
      <c r="A436" s="287"/>
    </row>
    <row r="437">
      <c r="A437" s="287"/>
    </row>
    <row r="438">
      <c r="A438" s="287"/>
    </row>
    <row r="439">
      <c r="A439" s="287"/>
    </row>
    <row r="440">
      <c r="A440" s="287"/>
    </row>
    <row r="441">
      <c r="A441" s="287"/>
    </row>
    <row r="442">
      <c r="A442" s="287"/>
    </row>
    <row r="443">
      <c r="A443" s="287"/>
    </row>
    <row r="444">
      <c r="A444" s="287"/>
    </row>
    <row r="445">
      <c r="A445" s="287"/>
    </row>
    <row r="446">
      <c r="A446" s="287"/>
    </row>
    <row r="447">
      <c r="A447" s="287"/>
    </row>
    <row r="448">
      <c r="A448" s="287"/>
    </row>
    <row r="449">
      <c r="A449" s="287"/>
    </row>
    <row r="450">
      <c r="A450" s="287"/>
    </row>
    <row r="451">
      <c r="A451" s="287"/>
    </row>
    <row r="452">
      <c r="A452" s="287"/>
    </row>
    <row r="453">
      <c r="A453" s="287"/>
    </row>
    <row r="454">
      <c r="A454" s="287"/>
    </row>
    <row r="455">
      <c r="A455" s="287"/>
    </row>
    <row r="456">
      <c r="A456" s="287"/>
    </row>
    <row r="457">
      <c r="A457" s="287"/>
    </row>
    <row r="458">
      <c r="A458" s="287"/>
    </row>
    <row r="459">
      <c r="A459" s="287"/>
    </row>
    <row r="460">
      <c r="A460" s="287"/>
    </row>
    <row r="461">
      <c r="A461" s="287"/>
    </row>
    <row r="462">
      <c r="A462" s="287"/>
    </row>
    <row r="463">
      <c r="A463" s="287"/>
    </row>
    <row r="464">
      <c r="A464" s="287"/>
    </row>
    <row r="465">
      <c r="A465" s="287"/>
    </row>
    <row r="466">
      <c r="A466" s="287"/>
    </row>
    <row r="467">
      <c r="A467" s="287"/>
    </row>
    <row r="468">
      <c r="A468" s="287"/>
    </row>
    <row r="469">
      <c r="A469" s="287"/>
    </row>
    <row r="470">
      <c r="A470" s="287"/>
    </row>
    <row r="471">
      <c r="A471" s="287"/>
    </row>
    <row r="472">
      <c r="A472" s="287"/>
    </row>
    <row r="473">
      <c r="A473" s="287"/>
    </row>
    <row r="474">
      <c r="A474" s="287"/>
    </row>
    <row r="475">
      <c r="A475" s="287"/>
    </row>
    <row r="476">
      <c r="A476" s="287"/>
    </row>
    <row r="477">
      <c r="A477" s="287"/>
    </row>
    <row r="478">
      <c r="A478" s="287"/>
    </row>
    <row r="479">
      <c r="A479" s="287"/>
    </row>
    <row r="480">
      <c r="A480" s="287"/>
    </row>
    <row r="481">
      <c r="A481" s="287"/>
    </row>
    <row r="482">
      <c r="A482" s="287"/>
    </row>
    <row r="483">
      <c r="A483" s="287"/>
    </row>
    <row r="484">
      <c r="A484" s="287"/>
    </row>
    <row r="485">
      <c r="A485" s="287"/>
    </row>
    <row r="486">
      <c r="A486" s="287"/>
    </row>
    <row r="487">
      <c r="A487" s="287"/>
    </row>
    <row r="488">
      <c r="A488" s="287"/>
    </row>
    <row r="489">
      <c r="A489" s="287"/>
    </row>
    <row r="490">
      <c r="A490" s="287"/>
    </row>
    <row r="491">
      <c r="A491" s="287"/>
    </row>
    <row r="492">
      <c r="A492" s="287"/>
    </row>
    <row r="493">
      <c r="A493" s="287"/>
    </row>
    <row r="494">
      <c r="A494" s="287"/>
    </row>
    <row r="495">
      <c r="A495" s="287"/>
    </row>
    <row r="496">
      <c r="A496" s="287"/>
    </row>
    <row r="497">
      <c r="A497" s="287"/>
    </row>
    <row r="498">
      <c r="A498" s="287"/>
    </row>
    <row r="499">
      <c r="A499" s="287"/>
    </row>
    <row r="500">
      <c r="A500" s="287"/>
    </row>
    <row r="501">
      <c r="A501" s="287"/>
    </row>
    <row r="502">
      <c r="A502" s="287"/>
    </row>
    <row r="503">
      <c r="A503" s="287"/>
    </row>
    <row r="504">
      <c r="A504" s="287"/>
    </row>
    <row r="505">
      <c r="A505" s="287"/>
    </row>
    <row r="506">
      <c r="A506" s="287"/>
    </row>
    <row r="507">
      <c r="A507" s="287"/>
    </row>
    <row r="508">
      <c r="A508" s="287"/>
    </row>
    <row r="509">
      <c r="A509" s="287"/>
    </row>
    <row r="510">
      <c r="A510" s="287"/>
    </row>
    <row r="511">
      <c r="A511" s="287"/>
    </row>
    <row r="512">
      <c r="A512" s="287"/>
    </row>
    <row r="513">
      <c r="A513" s="287"/>
    </row>
    <row r="514">
      <c r="A514" s="287"/>
    </row>
    <row r="515">
      <c r="A515" s="287"/>
    </row>
    <row r="516">
      <c r="A516" s="287"/>
    </row>
    <row r="517">
      <c r="A517" s="287"/>
    </row>
    <row r="518">
      <c r="A518" s="287"/>
    </row>
    <row r="519">
      <c r="A519" s="287"/>
    </row>
    <row r="520">
      <c r="A520" s="287"/>
    </row>
    <row r="521">
      <c r="A521" s="287"/>
    </row>
    <row r="522">
      <c r="A522" s="287"/>
    </row>
    <row r="523">
      <c r="A523" s="287"/>
    </row>
    <row r="524">
      <c r="A524" s="287"/>
    </row>
    <row r="525">
      <c r="A525" s="287"/>
    </row>
    <row r="526">
      <c r="A526" s="287"/>
    </row>
    <row r="527">
      <c r="A527" s="287"/>
    </row>
    <row r="528">
      <c r="A528" s="287"/>
    </row>
    <row r="529">
      <c r="A529" s="287"/>
    </row>
    <row r="530">
      <c r="A530" s="287"/>
    </row>
    <row r="531">
      <c r="A531" s="287"/>
    </row>
    <row r="532">
      <c r="A532" s="287"/>
    </row>
    <row r="533">
      <c r="A533" s="287"/>
    </row>
    <row r="534">
      <c r="A534" s="287"/>
    </row>
    <row r="535">
      <c r="A535" s="287"/>
    </row>
    <row r="536">
      <c r="A536" s="287"/>
    </row>
    <row r="537">
      <c r="A537" s="287"/>
    </row>
    <row r="538">
      <c r="A538" s="287"/>
    </row>
    <row r="539">
      <c r="A539" s="287"/>
    </row>
    <row r="540">
      <c r="A540" s="287"/>
    </row>
    <row r="541">
      <c r="A541" s="287"/>
    </row>
    <row r="542">
      <c r="A542" s="287"/>
    </row>
    <row r="543">
      <c r="A543" s="287"/>
    </row>
    <row r="544">
      <c r="A544" s="287"/>
    </row>
    <row r="545">
      <c r="A545" s="287"/>
    </row>
    <row r="546">
      <c r="A546" s="287"/>
    </row>
    <row r="547">
      <c r="A547" s="287"/>
    </row>
    <row r="548">
      <c r="A548" s="287"/>
    </row>
    <row r="549">
      <c r="A549" s="287"/>
    </row>
    <row r="550">
      <c r="A550" s="287"/>
    </row>
    <row r="551">
      <c r="A551" s="287"/>
    </row>
    <row r="552">
      <c r="A552" s="287"/>
    </row>
    <row r="553">
      <c r="A553" s="287"/>
    </row>
    <row r="554">
      <c r="A554" s="287"/>
    </row>
    <row r="555">
      <c r="A555" s="287"/>
    </row>
    <row r="556">
      <c r="A556" s="287"/>
    </row>
    <row r="557">
      <c r="A557" s="287"/>
    </row>
    <row r="558">
      <c r="A558" s="287"/>
    </row>
    <row r="559">
      <c r="A559" s="287"/>
    </row>
    <row r="560">
      <c r="A560" s="287"/>
    </row>
    <row r="561">
      <c r="A561" s="287"/>
    </row>
    <row r="562">
      <c r="A562" s="287"/>
    </row>
    <row r="563">
      <c r="A563" s="287"/>
    </row>
    <row r="564">
      <c r="A564" s="287"/>
    </row>
    <row r="565">
      <c r="A565" s="287"/>
    </row>
    <row r="566">
      <c r="A566" s="287"/>
    </row>
    <row r="567">
      <c r="A567" s="287"/>
    </row>
    <row r="568">
      <c r="A568" s="287"/>
    </row>
    <row r="569">
      <c r="A569" s="287"/>
    </row>
    <row r="570">
      <c r="A570" s="287"/>
    </row>
    <row r="571">
      <c r="A571" s="287"/>
    </row>
    <row r="572">
      <c r="A572" s="287"/>
    </row>
    <row r="573">
      <c r="A573" s="287"/>
    </row>
    <row r="574">
      <c r="A574" s="287"/>
    </row>
    <row r="575">
      <c r="A575" s="287"/>
    </row>
    <row r="576">
      <c r="A576" s="287"/>
    </row>
    <row r="577">
      <c r="A577" s="287"/>
    </row>
    <row r="578">
      <c r="A578" s="287"/>
    </row>
    <row r="579">
      <c r="A579" s="287"/>
    </row>
    <row r="580">
      <c r="A580" s="287"/>
    </row>
    <row r="581">
      <c r="A581" s="287"/>
    </row>
    <row r="582">
      <c r="A582" s="287"/>
    </row>
    <row r="583">
      <c r="A583" s="287"/>
    </row>
    <row r="584">
      <c r="A584" s="287"/>
    </row>
    <row r="585">
      <c r="A585" s="287"/>
    </row>
    <row r="586">
      <c r="A586" s="287"/>
    </row>
    <row r="587">
      <c r="A587" s="287"/>
    </row>
    <row r="588">
      <c r="A588" s="287"/>
    </row>
    <row r="589">
      <c r="A589" s="287"/>
    </row>
    <row r="590">
      <c r="A590" s="287"/>
    </row>
    <row r="591">
      <c r="A591" s="287"/>
    </row>
    <row r="592">
      <c r="A592" s="287"/>
    </row>
    <row r="593">
      <c r="A593" s="287"/>
    </row>
    <row r="594">
      <c r="A594" s="287"/>
    </row>
    <row r="595">
      <c r="A595" s="287"/>
    </row>
    <row r="596">
      <c r="A596" s="287"/>
    </row>
    <row r="597">
      <c r="A597" s="287"/>
    </row>
    <row r="598">
      <c r="A598" s="287"/>
    </row>
    <row r="599">
      <c r="A599" s="287"/>
    </row>
    <row r="600">
      <c r="A600" s="287"/>
    </row>
    <row r="601">
      <c r="A601" s="287"/>
    </row>
    <row r="602">
      <c r="A602" s="287"/>
    </row>
    <row r="603">
      <c r="A603" s="287"/>
    </row>
    <row r="604">
      <c r="A604" s="287"/>
    </row>
    <row r="605">
      <c r="A605" s="287"/>
    </row>
    <row r="606">
      <c r="A606" s="287"/>
    </row>
    <row r="607">
      <c r="A607" s="287"/>
    </row>
    <row r="608">
      <c r="A608" s="287"/>
    </row>
    <row r="609">
      <c r="A609" s="287"/>
    </row>
    <row r="610">
      <c r="A610" s="287"/>
    </row>
    <row r="611">
      <c r="A611" s="287"/>
    </row>
    <row r="612">
      <c r="A612" s="287"/>
    </row>
    <row r="613">
      <c r="A613" s="287"/>
    </row>
    <row r="614">
      <c r="A614" s="287"/>
    </row>
    <row r="615">
      <c r="A615" s="287"/>
    </row>
    <row r="616">
      <c r="A616" s="287"/>
    </row>
    <row r="617">
      <c r="A617" s="287"/>
    </row>
    <row r="618">
      <c r="A618" s="287"/>
    </row>
    <row r="619">
      <c r="A619" s="287"/>
    </row>
    <row r="620">
      <c r="A620" s="287"/>
    </row>
    <row r="621">
      <c r="A621" s="287"/>
    </row>
    <row r="622">
      <c r="A622" s="287"/>
    </row>
    <row r="623">
      <c r="A623" s="287"/>
    </row>
    <row r="624">
      <c r="A624" s="287"/>
    </row>
    <row r="625">
      <c r="A625" s="287"/>
    </row>
    <row r="626">
      <c r="A626" s="287"/>
    </row>
    <row r="627">
      <c r="A627" s="287"/>
    </row>
    <row r="628">
      <c r="A628" s="287"/>
    </row>
    <row r="629">
      <c r="A629" s="287"/>
    </row>
    <row r="630">
      <c r="A630" s="287"/>
    </row>
    <row r="631">
      <c r="A631" s="287"/>
    </row>
    <row r="632">
      <c r="A632" s="287"/>
    </row>
    <row r="633">
      <c r="A633" s="287"/>
    </row>
    <row r="634">
      <c r="A634" s="287"/>
    </row>
    <row r="635">
      <c r="A635" s="287"/>
    </row>
    <row r="636">
      <c r="A636" s="287"/>
    </row>
    <row r="637">
      <c r="A637" s="287"/>
    </row>
    <row r="638">
      <c r="A638" s="287"/>
    </row>
    <row r="639">
      <c r="A639" s="287"/>
    </row>
    <row r="640">
      <c r="A640" s="287"/>
    </row>
    <row r="641">
      <c r="A641" s="287"/>
    </row>
    <row r="642">
      <c r="A642" s="287"/>
    </row>
    <row r="643">
      <c r="A643" s="287"/>
    </row>
    <row r="644">
      <c r="A644" s="287"/>
    </row>
    <row r="645">
      <c r="A645" s="287"/>
    </row>
    <row r="646">
      <c r="A646" s="287"/>
    </row>
    <row r="647">
      <c r="A647" s="287"/>
    </row>
    <row r="648">
      <c r="A648" s="287"/>
    </row>
    <row r="649">
      <c r="A649" s="287"/>
    </row>
    <row r="650">
      <c r="A650" s="287"/>
    </row>
    <row r="651">
      <c r="A651" s="287"/>
    </row>
    <row r="652">
      <c r="A652" s="287"/>
    </row>
    <row r="653">
      <c r="A653" s="287"/>
    </row>
    <row r="654">
      <c r="A654" s="287"/>
    </row>
    <row r="655">
      <c r="A655" s="287"/>
    </row>
    <row r="656">
      <c r="A656" s="287"/>
    </row>
    <row r="657">
      <c r="A657" s="287"/>
    </row>
    <row r="658">
      <c r="A658" s="287"/>
    </row>
    <row r="659">
      <c r="A659" s="287"/>
    </row>
    <row r="660">
      <c r="A660" s="287"/>
    </row>
    <row r="661">
      <c r="A661" s="287"/>
    </row>
    <row r="662">
      <c r="A662" s="287"/>
    </row>
    <row r="663">
      <c r="A663" s="287"/>
    </row>
    <row r="664">
      <c r="A664" s="287"/>
    </row>
    <row r="665">
      <c r="A665" s="287"/>
    </row>
    <row r="666">
      <c r="A666" s="287"/>
    </row>
    <row r="667">
      <c r="A667" s="287"/>
    </row>
    <row r="668">
      <c r="A668" s="287"/>
    </row>
    <row r="669">
      <c r="A669" s="287"/>
    </row>
    <row r="670">
      <c r="A670" s="287"/>
    </row>
    <row r="671">
      <c r="A671" s="287"/>
    </row>
    <row r="672">
      <c r="A672" s="287"/>
    </row>
    <row r="673">
      <c r="A673" s="287"/>
    </row>
    <row r="674">
      <c r="A674" s="287"/>
    </row>
    <row r="675">
      <c r="A675" s="287"/>
    </row>
    <row r="676">
      <c r="A676" s="287"/>
    </row>
    <row r="677">
      <c r="A677" s="287"/>
    </row>
    <row r="678">
      <c r="A678" s="287"/>
    </row>
    <row r="679">
      <c r="A679" s="287"/>
    </row>
    <row r="680">
      <c r="A680" s="287"/>
    </row>
    <row r="681">
      <c r="A681" s="287"/>
    </row>
    <row r="682">
      <c r="A682" s="287"/>
    </row>
    <row r="683">
      <c r="A683" s="287"/>
    </row>
    <row r="684">
      <c r="A684" s="287"/>
    </row>
    <row r="685">
      <c r="A685" s="287"/>
    </row>
    <row r="686">
      <c r="A686" s="287"/>
    </row>
    <row r="687">
      <c r="A687" s="287"/>
    </row>
    <row r="688">
      <c r="A688" s="287"/>
    </row>
    <row r="689">
      <c r="A689" s="287"/>
    </row>
    <row r="690">
      <c r="A690" s="287"/>
    </row>
    <row r="691">
      <c r="A691" s="287"/>
    </row>
    <row r="692">
      <c r="A692" s="287"/>
    </row>
    <row r="693">
      <c r="A693" s="287"/>
    </row>
    <row r="694">
      <c r="A694" s="287"/>
    </row>
    <row r="695">
      <c r="A695" s="287"/>
    </row>
    <row r="696">
      <c r="A696" s="287"/>
    </row>
    <row r="697">
      <c r="A697" s="287"/>
    </row>
    <row r="698">
      <c r="A698" s="287"/>
    </row>
    <row r="699">
      <c r="A699" s="287"/>
    </row>
    <row r="700">
      <c r="A700" s="287"/>
    </row>
    <row r="701">
      <c r="A701" s="287"/>
    </row>
    <row r="702">
      <c r="A702" s="287"/>
    </row>
    <row r="703">
      <c r="A703" s="287"/>
    </row>
    <row r="704">
      <c r="A704" s="287"/>
    </row>
    <row r="705">
      <c r="A705" s="287"/>
    </row>
    <row r="706">
      <c r="A706" s="287"/>
    </row>
    <row r="707">
      <c r="A707" s="287"/>
    </row>
    <row r="708">
      <c r="A708" s="287"/>
    </row>
    <row r="709">
      <c r="A709" s="287"/>
    </row>
    <row r="710">
      <c r="A710" s="287"/>
    </row>
    <row r="711">
      <c r="A711" s="287"/>
    </row>
    <row r="712">
      <c r="A712" s="287"/>
    </row>
    <row r="713">
      <c r="A713" s="287"/>
    </row>
    <row r="714">
      <c r="A714" s="287"/>
    </row>
    <row r="715">
      <c r="A715" s="287"/>
    </row>
    <row r="716">
      <c r="A716" s="287"/>
    </row>
    <row r="717">
      <c r="A717" s="287"/>
    </row>
    <row r="718">
      <c r="A718" s="287"/>
    </row>
    <row r="719">
      <c r="A719" s="287"/>
    </row>
    <row r="720">
      <c r="A720" s="287"/>
    </row>
    <row r="721">
      <c r="A721" s="287"/>
    </row>
    <row r="722">
      <c r="A722" s="287"/>
    </row>
    <row r="723">
      <c r="A723" s="287"/>
    </row>
    <row r="724">
      <c r="A724" s="287"/>
    </row>
    <row r="725">
      <c r="A725" s="287"/>
    </row>
    <row r="726">
      <c r="A726" s="287"/>
    </row>
    <row r="727">
      <c r="A727" s="287"/>
    </row>
    <row r="728">
      <c r="A728" s="287"/>
    </row>
    <row r="729">
      <c r="A729" s="287"/>
    </row>
    <row r="730">
      <c r="A730" s="287"/>
    </row>
    <row r="731">
      <c r="A731" s="287"/>
    </row>
    <row r="732">
      <c r="A732" s="287"/>
    </row>
    <row r="733">
      <c r="A733" s="287"/>
    </row>
    <row r="734">
      <c r="A734" s="287"/>
    </row>
    <row r="735">
      <c r="A735" s="287"/>
    </row>
    <row r="736">
      <c r="A736" s="287"/>
    </row>
    <row r="737">
      <c r="A737" s="287"/>
    </row>
    <row r="738">
      <c r="A738" s="287"/>
    </row>
    <row r="739">
      <c r="A739" s="287"/>
    </row>
    <row r="740">
      <c r="A740" s="287"/>
    </row>
    <row r="741">
      <c r="A741" s="287"/>
    </row>
    <row r="742">
      <c r="A742" s="287"/>
    </row>
    <row r="743">
      <c r="A743" s="287"/>
    </row>
    <row r="744">
      <c r="A744" s="287"/>
    </row>
    <row r="745">
      <c r="A745" s="287"/>
    </row>
    <row r="746">
      <c r="A746" s="287"/>
    </row>
    <row r="747">
      <c r="A747" s="287"/>
    </row>
    <row r="748">
      <c r="A748" s="287"/>
    </row>
    <row r="749">
      <c r="A749" s="287"/>
    </row>
    <row r="750">
      <c r="A750" s="287"/>
    </row>
    <row r="751">
      <c r="A751" s="287"/>
    </row>
    <row r="752">
      <c r="A752" s="287"/>
    </row>
    <row r="753">
      <c r="A753" s="287"/>
    </row>
    <row r="754">
      <c r="A754" s="287"/>
    </row>
    <row r="755">
      <c r="A755" s="287"/>
    </row>
    <row r="756">
      <c r="A756" s="287"/>
    </row>
    <row r="757">
      <c r="A757" s="287"/>
    </row>
    <row r="758">
      <c r="A758" s="287"/>
    </row>
    <row r="759">
      <c r="A759" s="287"/>
    </row>
    <row r="760">
      <c r="A760" s="287"/>
    </row>
    <row r="761">
      <c r="A761" s="287"/>
    </row>
    <row r="762">
      <c r="A762" s="287"/>
    </row>
    <row r="763">
      <c r="A763" s="287"/>
    </row>
    <row r="764">
      <c r="A764" s="287"/>
    </row>
    <row r="765">
      <c r="A765" s="287"/>
    </row>
    <row r="766">
      <c r="A766" s="287"/>
    </row>
    <row r="767">
      <c r="A767" s="287"/>
    </row>
    <row r="768">
      <c r="A768" s="287"/>
    </row>
    <row r="769">
      <c r="A769" s="287"/>
    </row>
    <row r="770">
      <c r="A770" s="287"/>
    </row>
    <row r="771">
      <c r="A771" s="287"/>
    </row>
    <row r="772">
      <c r="A772" s="287"/>
    </row>
    <row r="773">
      <c r="A773" s="287"/>
    </row>
    <row r="774">
      <c r="A774" s="287"/>
    </row>
    <row r="775">
      <c r="A775" s="287"/>
    </row>
    <row r="776">
      <c r="A776" s="287"/>
    </row>
    <row r="777">
      <c r="A777" s="287"/>
    </row>
    <row r="778">
      <c r="A778" s="287"/>
    </row>
    <row r="779">
      <c r="A779" s="287"/>
    </row>
    <row r="780">
      <c r="A780" s="287"/>
    </row>
    <row r="781">
      <c r="A781" s="287"/>
    </row>
    <row r="782">
      <c r="A782" s="287"/>
    </row>
    <row r="783">
      <c r="A783" s="287"/>
    </row>
    <row r="784">
      <c r="A784" s="287"/>
    </row>
    <row r="785">
      <c r="A785" s="287"/>
    </row>
    <row r="786">
      <c r="A786" s="287"/>
    </row>
    <row r="787">
      <c r="A787" s="287"/>
    </row>
    <row r="788">
      <c r="A788" s="287"/>
    </row>
    <row r="789">
      <c r="A789" s="287"/>
    </row>
    <row r="790">
      <c r="A790" s="287"/>
    </row>
    <row r="791">
      <c r="A791" s="287"/>
    </row>
    <row r="792">
      <c r="A792" s="287"/>
    </row>
    <row r="793">
      <c r="A793" s="287"/>
    </row>
    <row r="794">
      <c r="A794" s="287"/>
    </row>
    <row r="795">
      <c r="A795" s="287"/>
    </row>
    <row r="796">
      <c r="A796" s="287"/>
    </row>
    <row r="797">
      <c r="A797" s="287"/>
    </row>
    <row r="798">
      <c r="A798" s="287"/>
    </row>
    <row r="799">
      <c r="A799" s="287"/>
    </row>
    <row r="800">
      <c r="A800" s="287"/>
    </row>
    <row r="801">
      <c r="A801" s="287"/>
    </row>
    <row r="802">
      <c r="A802" s="287"/>
    </row>
    <row r="803">
      <c r="A803" s="287"/>
    </row>
    <row r="804">
      <c r="A804" s="287"/>
    </row>
    <row r="805">
      <c r="A805" s="287"/>
    </row>
    <row r="806">
      <c r="A806" s="287"/>
    </row>
    <row r="807">
      <c r="A807" s="287"/>
    </row>
    <row r="808">
      <c r="A808" s="287"/>
    </row>
    <row r="809">
      <c r="A809" s="287"/>
    </row>
    <row r="810">
      <c r="A810" s="287"/>
    </row>
    <row r="811">
      <c r="A811" s="287"/>
    </row>
    <row r="812">
      <c r="A812" s="287"/>
    </row>
    <row r="813">
      <c r="A813" s="287"/>
    </row>
    <row r="814">
      <c r="A814" s="287"/>
    </row>
    <row r="815">
      <c r="A815" s="287"/>
    </row>
    <row r="816">
      <c r="A816" s="287"/>
    </row>
    <row r="817">
      <c r="A817" s="287"/>
    </row>
    <row r="818">
      <c r="A818" s="287"/>
    </row>
    <row r="819">
      <c r="A819" s="287"/>
    </row>
    <row r="820">
      <c r="A820" s="287"/>
    </row>
    <row r="821">
      <c r="A821" s="287"/>
    </row>
    <row r="822">
      <c r="A822" s="287"/>
    </row>
    <row r="823">
      <c r="A823" s="287"/>
    </row>
    <row r="824">
      <c r="A824" s="287"/>
    </row>
    <row r="825">
      <c r="A825" s="287"/>
    </row>
    <row r="826">
      <c r="A826" s="287"/>
    </row>
    <row r="827">
      <c r="A827" s="287"/>
    </row>
    <row r="828">
      <c r="A828" s="287"/>
    </row>
    <row r="829">
      <c r="A829" s="287"/>
    </row>
    <row r="830">
      <c r="A830" s="287"/>
    </row>
    <row r="831">
      <c r="A831" s="287"/>
    </row>
    <row r="832">
      <c r="A832" s="287"/>
    </row>
    <row r="833">
      <c r="A833" s="287"/>
    </row>
    <row r="834">
      <c r="A834" s="287"/>
    </row>
    <row r="835">
      <c r="A835" s="287"/>
    </row>
    <row r="836">
      <c r="A836" s="287"/>
    </row>
    <row r="837">
      <c r="A837" s="287"/>
    </row>
    <row r="838">
      <c r="A838" s="287"/>
    </row>
    <row r="839">
      <c r="A839" s="287"/>
    </row>
    <row r="840">
      <c r="A840" s="287"/>
    </row>
    <row r="841">
      <c r="A841" s="287"/>
    </row>
    <row r="842">
      <c r="A842" s="287"/>
    </row>
    <row r="843">
      <c r="A843" s="287"/>
    </row>
    <row r="844">
      <c r="A844" s="287"/>
    </row>
    <row r="845">
      <c r="A845" s="287"/>
    </row>
    <row r="846">
      <c r="A846" s="287"/>
    </row>
    <row r="847">
      <c r="A847" s="287"/>
    </row>
    <row r="848">
      <c r="A848" s="287"/>
    </row>
    <row r="849">
      <c r="A849" s="287"/>
    </row>
    <row r="850">
      <c r="A850" s="287"/>
    </row>
    <row r="851">
      <c r="A851" s="287"/>
    </row>
    <row r="852">
      <c r="A852" s="287"/>
    </row>
    <row r="853">
      <c r="A853" s="287"/>
    </row>
    <row r="854">
      <c r="A854" s="287"/>
    </row>
    <row r="855">
      <c r="A855" s="287"/>
    </row>
    <row r="856">
      <c r="A856" s="287"/>
    </row>
    <row r="857">
      <c r="A857" s="287"/>
    </row>
    <row r="858">
      <c r="A858" s="287"/>
    </row>
    <row r="859">
      <c r="A859" s="287"/>
    </row>
    <row r="860">
      <c r="A860" s="287"/>
    </row>
    <row r="861">
      <c r="A861" s="287"/>
    </row>
    <row r="862">
      <c r="A862" s="287"/>
    </row>
    <row r="863">
      <c r="A863" s="287"/>
    </row>
    <row r="864">
      <c r="A864" s="287"/>
    </row>
    <row r="865">
      <c r="A865" s="287"/>
    </row>
    <row r="866">
      <c r="A866" s="287"/>
    </row>
    <row r="867">
      <c r="A867" s="287"/>
    </row>
    <row r="868">
      <c r="A868" s="287"/>
    </row>
    <row r="869">
      <c r="A869" s="287"/>
    </row>
    <row r="870">
      <c r="A870" s="287"/>
    </row>
    <row r="871">
      <c r="A871" s="287"/>
    </row>
    <row r="872">
      <c r="A872" s="287"/>
    </row>
    <row r="873">
      <c r="A873" s="287"/>
    </row>
    <row r="874">
      <c r="A874" s="287"/>
    </row>
    <row r="875">
      <c r="A875" s="287"/>
    </row>
    <row r="876">
      <c r="A876" s="287"/>
    </row>
    <row r="877">
      <c r="A877" s="287"/>
    </row>
    <row r="878">
      <c r="A878" s="287"/>
    </row>
    <row r="879">
      <c r="A879" s="287"/>
    </row>
    <row r="880">
      <c r="A880" s="287"/>
    </row>
    <row r="881">
      <c r="A881" s="287"/>
    </row>
    <row r="882">
      <c r="A882" s="287"/>
    </row>
    <row r="883">
      <c r="A883" s="287"/>
    </row>
    <row r="884">
      <c r="A884" s="287"/>
    </row>
    <row r="885">
      <c r="A885" s="287"/>
    </row>
    <row r="886">
      <c r="A886" s="287"/>
    </row>
    <row r="887">
      <c r="A887" s="287"/>
    </row>
    <row r="888">
      <c r="A888" s="287"/>
    </row>
    <row r="889">
      <c r="A889" s="287"/>
    </row>
    <row r="890">
      <c r="A890" s="287"/>
    </row>
    <row r="891">
      <c r="A891" s="287"/>
    </row>
    <row r="892">
      <c r="A892" s="287"/>
    </row>
    <row r="893">
      <c r="A893" s="287"/>
    </row>
    <row r="894">
      <c r="A894" s="287"/>
    </row>
    <row r="895">
      <c r="A895" s="287"/>
    </row>
    <row r="896">
      <c r="A896" s="287"/>
    </row>
    <row r="897">
      <c r="A897" s="287"/>
    </row>
    <row r="898">
      <c r="A898" s="287"/>
    </row>
    <row r="899">
      <c r="A899" s="287"/>
    </row>
    <row r="900">
      <c r="A900" s="287"/>
    </row>
    <row r="901">
      <c r="A901" s="287"/>
    </row>
    <row r="902">
      <c r="A902" s="287"/>
    </row>
    <row r="903">
      <c r="A903" s="287"/>
    </row>
    <row r="904">
      <c r="A904" s="287"/>
    </row>
    <row r="905">
      <c r="A905" s="287"/>
    </row>
    <row r="906">
      <c r="A906" s="287"/>
    </row>
    <row r="907">
      <c r="A907" s="287"/>
    </row>
    <row r="908">
      <c r="A908" s="287"/>
    </row>
    <row r="909">
      <c r="A909" s="287"/>
    </row>
    <row r="910">
      <c r="A910" s="287"/>
    </row>
    <row r="911">
      <c r="A911" s="287"/>
    </row>
    <row r="912">
      <c r="A912" s="287"/>
    </row>
    <row r="913">
      <c r="A913" s="287"/>
    </row>
    <row r="914">
      <c r="A914" s="287"/>
    </row>
    <row r="915">
      <c r="A915" s="287"/>
    </row>
    <row r="916">
      <c r="A916" s="287"/>
    </row>
    <row r="917">
      <c r="A917" s="287"/>
    </row>
    <row r="918">
      <c r="A918" s="287"/>
    </row>
    <row r="919">
      <c r="A919" s="287"/>
    </row>
    <row r="920">
      <c r="A920" s="287"/>
    </row>
    <row r="921">
      <c r="A921" s="287"/>
    </row>
    <row r="922">
      <c r="A922" s="287"/>
    </row>
    <row r="923">
      <c r="A923" s="287"/>
    </row>
    <row r="924">
      <c r="A924" s="287"/>
    </row>
    <row r="925">
      <c r="A925" s="287"/>
    </row>
    <row r="926">
      <c r="A926" s="287"/>
    </row>
    <row r="927">
      <c r="A927" s="287"/>
    </row>
    <row r="928">
      <c r="A928" s="287"/>
    </row>
    <row r="929">
      <c r="A929" s="287"/>
    </row>
    <row r="930">
      <c r="A930" s="287"/>
    </row>
    <row r="931">
      <c r="A931" s="287"/>
    </row>
    <row r="932">
      <c r="A932" s="287"/>
    </row>
    <row r="933">
      <c r="A933" s="287"/>
    </row>
    <row r="934">
      <c r="A934" s="287"/>
    </row>
    <row r="935">
      <c r="A935" s="287"/>
    </row>
    <row r="936">
      <c r="A936" s="287"/>
    </row>
    <row r="937">
      <c r="A937" s="287"/>
    </row>
    <row r="938">
      <c r="A938" s="287"/>
    </row>
    <row r="939">
      <c r="A939" s="287"/>
    </row>
    <row r="940">
      <c r="A940" s="287"/>
    </row>
    <row r="941">
      <c r="A941" s="287"/>
    </row>
    <row r="942">
      <c r="A942" s="287"/>
    </row>
    <row r="943">
      <c r="A943" s="287"/>
    </row>
    <row r="944">
      <c r="A944" s="287"/>
    </row>
    <row r="945">
      <c r="A945" s="287"/>
    </row>
    <row r="946">
      <c r="A946" s="287"/>
    </row>
    <row r="947">
      <c r="A947" s="287"/>
    </row>
    <row r="948">
      <c r="A948" s="287"/>
    </row>
    <row r="949">
      <c r="A949" s="287"/>
    </row>
    <row r="950">
      <c r="A950" s="287"/>
    </row>
    <row r="951">
      <c r="A951" s="287"/>
    </row>
    <row r="952">
      <c r="A952" s="287"/>
    </row>
    <row r="953">
      <c r="A953" s="287"/>
    </row>
    <row r="954">
      <c r="A954" s="287"/>
    </row>
    <row r="955">
      <c r="A955" s="287"/>
    </row>
    <row r="956">
      <c r="A956" s="287"/>
    </row>
    <row r="957">
      <c r="A957" s="287"/>
    </row>
    <row r="958">
      <c r="A958" s="287"/>
    </row>
    <row r="959">
      <c r="A959" s="287"/>
    </row>
    <row r="960">
      <c r="A960" s="287"/>
    </row>
    <row r="961">
      <c r="A961" s="287"/>
    </row>
    <row r="962">
      <c r="A962" s="287"/>
    </row>
    <row r="963">
      <c r="A963" s="287"/>
    </row>
    <row r="964">
      <c r="A964" s="287"/>
    </row>
    <row r="965">
      <c r="A965" s="287"/>
    </row>
    <row r="966">
      <c r="A966" s="287"/>
    </row>
    <row r="967">
      <c r="A967" s="287"/>
    </row>
    <row r="968">
      <c r="A968" s="287"/>
    </row>
    <row r="969">
      <c r="A969" s="287"/>
    </row>
    <row r="970">
      <c r="A970" s="287"/>
    </row>
    <row r="971">
      <c r="A971" s="287"/>
    </row>
    <row r="972">
      <c r="A972" s="287"/>
    </row>
    <row r="973">
      <c r="A973" s="287"/>
    </row>
    <row r="974">
      <c r="A974" s="287"/>
    </row>
    <row r="975">
      <c r="A975" s="287"/>
    </row>
    <row r="976">
      <c r="A976" s="287"/>
    </row>
    <row r="977">
      <c r="A977" s="287"/>
    </row>
    <row r="978">
      <c r="A978" s="287"/>
    </row>
    <row r="979">
      <c r="A979" s="287"/>
    </row>
    <row r="980">
      <c r="A980" s="287"/>
    </row>
    <row r="981">
      <c r="A981" s="287"/>
    </row>
    <row r="982">
      <c r="A982" s="287"/>
    </row>
    <row r="983">
      <c r="A983" s="287"/>
    </row>
  </sheetData>
  <mergeCells count="1">
    <mergeCell ref="A1:A16"/>
  </mergeCells>
  <hyperlinks>
    <hyperlink r:id="rId1" ref="B17"/>
  </hyperlinks>
  <drawing r:id="rId2"/>
</worksheet>
</file>