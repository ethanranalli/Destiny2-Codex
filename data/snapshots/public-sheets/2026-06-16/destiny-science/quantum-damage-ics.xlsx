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Bounty Board (1)" sheetId="2" r:id="rId6"/>
    <sheet state="visible" name="Primaries" sheetId="3" r:id="rId7"/>
    <sheet state="visible" name="Specials" sheetId="4" r:id="rId8"/>
    <sheet state="visible" name="Heavies" sheetId="5" r:id="rId9"/>
    <sheet state="visible" name="Swords" sheetId="6" r:id="rId10"/>
    <sheet state="visible" name="All Weapons (Sortable)" sheetId="7" r:id="rId11"/>
    <sheet state="visible" name="Reserves Data (Reference)" sheetId="8" r:id="rId12"/>
    <sheet state="visible" name="Elemental Effects" sheetId="9" r:id="rId13"/>
    <sheet state="visible" name="Weapon Specifics" sheetId="10" r:id="rId14"/>
    <sheet state="visible" name="Equations" sheetId="11" r:id="rId15"/>
    <sheet state="visible" name="TODO" sheetId="12" r:id="rId16"/>
    <sheet state="visible" name="History" sheetId="13" r:id="rId17"/>
    <sheet state="hidden" name="Supers (WIP)" sheetId="14" r:id="rId18"/>
    <sheet state="hidden" name="Lol cannons" sheetId="15" r:id="rId19"/>
    <sheet state="hidden" name="Perks" sheetId="16" r:id="rId20"/>
    <sheet state="hidden" name="GUIDELINES" sheetId="17" r:id="rId21"/>
  </sheets>
  <definedNames>
    <definedName hidden="1" localSheetId="6" name="_xlnm._FilterDatabase">'All Weapons (Sortable)'!$A$2:$P$540</definedName>
    <definedName hidden="1" localSheetId="7" name="_xlnm._FilterDatabase">'Reserves Data (Reference)'!$A$2:$G$125</definedName>
    <definedName hidden="1" localSheetId="6" name="Z_D564FBF3_350E_4C04_BBEE_72A79B51B703_.wvu.FilterData">'All Weapons (Sortable)'!$A$2:$P$540</definedName>
    <definedName hidden="1" localSheetId="6" name="Z_638C1297_4C47_408B_97AB_6F784939CD70_.wvu.FilterData">'All Weapons (Sortable)'!$A$2:$P$540</definedName>
    <definedName hidden="1" localSheetId="6" name="Z_60EC2370_8E70_4875_8E21_836C31A7BDAE_.wvu.FilterData">'All Weapons (Sortable)'!$A$2:$P$540</definedName>
    <definedName hidden="1" localSheetId="6" name="Z_9028E5B7_9252_431E_817A_19AC8FBD441D_.wvu.FilterData">'All Weapons (Sortable)'!$A$2:$P$540</definedName>
    <definedName hidden="1" localSheetId="6" name="Z_83500B6C_AFA6_4D26_BCB0_0DBA21C58A73_.wvu.FilterData">'All Weapons (Sortable)'!$A$2:$P$540</definedName>
    <definedName hidden="1" localSheetId="6" name="Z_30F2D310_B2A6_454B_A768_2CD28D0696DC_.wvu.FilterData">'All Weapons (Sortable)'!$A$2:$P$540</definedName>
  </definedNames>
  <calcPr/>
  <customWorkbookViews>
    <customWorkbookView activeSheetId="0" maximized="1" windowHeight="0" windowWidth="0" guid="{60EC2370-8E70-4875-8E21-836C31A7BDAE}" name="Sort by Theoretical Total Damage (Special/Heavy)"/>
    <customWorkbookView activeSheetId="0" maximized="1" windowHeight="0" windowWidth="0" guid="{638C1297-4C47-408B-97AB-6F784939CD70}" name="Sort by Weap. Tag &gt; 1-Mag Burst or &quot;True&quot; DPS"/>
    <customWorkbookView activeSheetId="0" maximized="1" windowHeight="0" windowWidth="0" guid="{D564FBF3-350E-4C04-BBEE-72A79B51B703}" name="Sort by Weap. Tag &gt; Sustained DPS"/>
    <customWorkbookView activeSheetId="0" maximized="1" windowHeight="0" windowWidth="0" guid="{30F2D310-B2A6-454B-A768-2CD28D0696DC}" name="Sort by Sustained DPS (Exotic weapons only)"/>
    <customWorkbookView activeSheetId="0" maximized="1" windowHeight="0" windowWidth="0" guid="{83500B6C-AFA6-4D26-BCB0-0DBA21C58A73}" name="Sort by Sustained DPS"/>
    <customWorkbookView activeSheetId="0" maximized="1" windowHeight="0" windowWidth="0" guid="{9028E5B7-9252-431E-817A-19AC8FBD441D}" name="Sort by Sustained DPS (Legendary weapons only)"/>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4">
      <text>
        <t xml:space="preserve">CwB = Charged with Blight</t>
      </text>
    </comment>
    <comment authorId="0" ref="C84">
      <text>
        <t xml:space="preserve">This adds one extra normal round in the DPS combat loop
Charged with Blight debuff lasts for 3.5 seconds
Blight deals blast, impact damage, and burn
NOTE: blight damage IS affected by final round
Charged with Blight transition is 1.1 seconds, unaffected by reload modifiers. Yes, Rapid Hit catalyst only really helps to exclusively improve stability 99% of the time. Zen Moment probably would have been a better catalyst.
After Charged with blight is shot, it takes ~0.53 seconds until next shot</t>
      </text>
    </comment>
    <comment authorId="0" ref="K117">
      <text>
        <t xml:space="preserve">borrows Zaouli's reload</t>
      </text>
    </comment>
    <comment authorId="0" ref="M18">
      <text>
        <t xml:space="preserve">Every 7th round deals +252% damage (DDC)</t>
      </text>
    </comment>
    <comment authorId="0" ref="N18">
      <text>
        <t xml:space="preserve">Every 7th round deals +252% damage (DDC)</t>
      </text>
    </comment>
    <comment authorId="0" ref="A68">
      <text>
        <t xml:space="preserve">mix: swap between Hunter's Trace and normal mode</t>
      </text>
    </comment>
    <comment authorId="0" ref="D167">
      <text>
        <t xml:space="preserve">Void burn is 6 ticks over 1.75 seconds
Additional arrows increase duration of burn</t>
      </text>
    </comment>
    <comment authorId="0" ref="C101">
      <text>
        <t xml:space="preserve">Applies 5 stacks of scorch per hit</t>
      </text>
    </comment>
    <comment authorId="0" ref="D101">
      <text>
        <t xml:space="preserve">Applies 5 stacks of scorch per hit</t>
      </text>
    </comment>
    <comment authorId="0" ref="D68">
      <text>
        <t xml:space="preserve">1x Hunter's Trace every 12 rounds
Hunter's Trace fires like a 72 rpm sniper
Hunter's Trace benefits from FTTC</t>
      </text>
    </comment>
    <comment authorId="0" ref="G101">
      <text>
        <t xml:space="preserve">Full magazine on a fresh, unscorched target</t>
      </text>
    </comment>
    <comment authorId="0" ref="H68">
      <text>
        <t xml:space="preserve">Effective Magazine size due to Fourth Time's the Charm</t>
      </text>
    </comment>
    <comment authorId="0" ref="C85">
      <text>
        <t xml:space="preserve">DPS cycle:
3 shots
freeze
6 shots while frozen
forced shatter
1 shot does not apply slow
repeat</t>
      </text>
    </comment>
    <comment authorId="0" ref="B19">
      <text>
        <t xml:space="preserve">Markov Chain too situational to consider</t>
      </text>
    </comment>
    <comment authorId="0" ref="D85">
      <text>
        <t xml:space="preserve">DPS cycle:
3 shots
freeze
6 shots while frozen
forced shatter
1 shot does not apply slow
repeat</t>
      </text>
    </comment>
    <comment authorId="0" ref="G85">
      <text>
        <t xml:space="preserve">DPS cycle:
3 shots
freeze
6 shots while frozen
forced shatter
1 shot does not apply slow
repeat</t>
      </text>
    </comment>
    <comment authorId="0" ref="J118">
      <text>
        <t xml:space="preserve">DDC</t>
      </text>
    </comment>
    <comment authorId="0" ref="K118">
      <text>
        <t xml:space="preserve">borrows Zaouli's reload</t>
      </text>
    </comment>
    <comment authorId="0" ref="A69">
      <text>
        <t xml:space="preserve">mix: swap between Hunter's Trace and normal mode</t>
      </text>
    </comment>
    <comment authorId="0" ref="C102">
      <text>
        <t xml:space="preserve">Applies 10 stacks of scorch per hit with Ember of Ashes</t>
      </text>
    </comment>
    <comment authorId="0" ref="D102">
      <text>
        <t xml:space="preserve">Applies 10 stacks of scorch per hit with Ember of Ashes</t>
      </text>
    </comment>
    <comment authorId="0" ref="B3">
      <text>
        <t xml:space="preserve">Legendary-rarity The Riposte is the only 720 rpm lighweight auto rifle. It deals the same damage as a 720 rpm precision auto rifle.
(Needs confirmation)</t>
      </text>
    </comment>
    <comment authorId="0" ref="C36">
      <text>
        <t xml:space="preserve">Assumes you take 0.5 seconds to become airborne for Antigrav Repulsors
Being airborne increases damage up to +100% after 6 seconds (DDC)
67 shots to charge meter
67 shots to expend meter while airborne
every 5 hits against non-rank-and-file combatants refills 12 ammo (DDC) with 1 second cooldown; effect here is assumed to prevent reload while firing airborne, and you reload on your descent</t>
      </text>
    </comment>
    <comment authorId="0" ref="D69">
      <text>
        <t xml:space="preserve">1x Hunter's Trace every 12 rounds
Hunter's Trace fires like a 72 rpm sniper
Hunter's Trace benefits from FTTC</t>
      </text>
    </comment>
    <comment authorId="0" ref="D36">
      <text>
        <t xml:space="preserve">Assumes you reload twice before going airborne for Antigrav Repulsors
Being airborne increases damage up to +100% after 6 seconds (DDC)
67 shots to charge meter
67 shots to expend meter while airborne
every 5 hits against non-rank-and-file combatants refills 12 ammo (DDC) with 1 second cooldown; effect here is assumed to prevent reload while firing airborne, and you reload on your descent</t>
      </text>
    </comment>
    <comment authorId="0" ref="G102">
      <text>
        <t xml:space="preserve">Full magazine on a fresh, unscorched target</t>
      </text>
    </comment>
    <comment authorId="0" ref="H69">
      <text>
        <t xml:space="preserve">Effective Magazine size due to Fourth Time's the Charm</t>
      </text>
    </comment>
    <comment authorId="0" ref="K3">
      <text>
        <t xml:space="preserve">Rapid-Fire intrinsic increases on empty reload</t>
      </text>
    </comment>
    <comment authorId="0" ref="C119">
      <text>
        <t xml:space="preserve">swapping modes refunds 3 rounds
fire 3 arc shots (lightning bolts shatter all crystals)
swap modes
fire 3 stasis shots (spawn crystals)
swap modes
repeat</t>
      </text>
    </comment>
    <comment authorId="0" ref="D119">
      <text>
        <t xml:space="preserve">same as true DPS</t>
      </text>
    </comment>
    <comment authorId="0" ref="C86">
      <text>
        <t xml:space="preserve">DPS cycle:
3 shots
freeze
4 shots while frozen
forced shatter
1 shot does not apply slow
repeat</t>
      </text>
    </comment>
    <comment authorId="0" ref="D86">
      <text>
        <t xml:space="preserve">DPS cycle:
3 shots
freeze
4 shots while frozen
forced shatter
1 shot does not apply slow
repeat</t>
      </text>
    </comment>
    <comment authorId="0" ref="G119">
      <text>
        <t xml:space="preserve">Mode swap refunds 3 rounds</t>
      </text>
    </comment>
    <comment authorId="0" ref="G86">
      <text>
        <t xml:space="preserve">DPS cycle:
3 shots
freeze
4 shots while frozen
forced shatter
1 shot does not apply slow
repeat</t>
      </text>
    </comment>
    <comment authorId="0" ref="K119">
      <text>
        <t xml:space="preserve">borrows Zaouli's reload</t>
      </text>
    </comment>
    <comment authorId="0" ref="K20">
      <text>
        <t xml:space="preserve">Custom reload animation</t>
      </text>
    </comment>
    <comment authorId="0" ref="C37">
      <text>
        <t xml:space="preserve">Kinetic Tremors lasts 3 seconds, has a 0.285 seconds delay (DDC), and has a delay of 2 seconds after ending</t>
      </text>
    </comment>
    <comment authorId="0" ref="D37">
      <text>
        <t xml:space="preserve">Kinetic Tremors has one instance per magazine</t>
      </text>
    </comment>
    <comment authorId="0" ref="K136">
      <text>
        <t xml:space="preserve">Custom Reload Animation
</t>
      </text>
    </comment>
    <comment authorId="0" ref="J37">
      <text>
        <t xml:space="preserve">Average RPM per magazine
</t>
      </text>
    </comment>
    <comment authorId="0" ref="C120">
      <text>
        <t xml:space="preserve">swapping modes refunds 3 rounds
fire 3 arc shots (lightning bolts shatter all crystals)
swap modes
fire 3 stasis shots (spawn crystals)
swap modes
repeat</t>
      </text>
    </comment>
    <comment authorId="0" ref="C87">
      <text>
        <t xml:space="preserve">DPS cycle:
3 shots
freeze
forced shatter (team damage)
1 shot does not apply slow
repeat</t>
      </text>
    </comment>
    <comment authorId="0" ref="D120">
      <text>
        <t xml:space="preserve">same as true DPS</t>
      </text>
    </comment>
    <comment authorId="0" ref="C54">
      <text>
        <t xml:space="preserve">1-mag burst DPS</t>
      </text>
    </comment>
    <comment authorId="0" ref="D87">
      <text>
        <t xml:space="preserve">DPS cycle:
3 shots
freeze
forced shatter (team damage)
1 shot does not apply slow
repeat</t>
      </text>
    </comment>
    <comment authorId="0" ref="G120">
      <text>
        <t xml:space="preserve">Mode swap refunds 3 rounds</t>
      </text>
    </comment>
    <comment authorId="0" ref="G87">
      <text>
        <t xml:space="preserve">DPS cycle:
3 shots
freeze
forced shatter (team damage)
1 shot does not apply slow
repeat</t>
      </text>
    </comment>
    <comment authorId="0" ref="K120">
      <text>
        <t xml:space="preserve">borrows Zaouli's reload</t>
      </text>
    </comment>
    <comment authorId="0" ref="C137">
      <text>
        <t xml:space="preserve">3 unravel projectiles spawn on unravel
1.2 seconds cooldown until more projectiles spawn (DDC)
Full burst occurs in 0.9 s (DDC)</t>
      </text>
    </comment>
    <comment authorId="0" ref="D170">
      <text>
        <t xml:space="preserve">More than 1 arrow during suspension is not observed (Thread of Continuity had no appreciable effect)
5-second cooldown on suspending the same enemy with traps (DDC)</t>
      </text>
    </comment>
    <comment authorId="0" ref="D137">
      <text>
        <t xml:space="preserve">3 unravel projectiles spawn on unravel
1.2 seconds cooldown until more projectiles spawn (DDC)
Full burst occurs in 0.9 s (DDC)</t>
      </text>
    </comment>
    <comment authorId="0" ref="C38">
      <text>
        <t xml:space="preserve">1-mag burst</t>
      </text>
    </comment>
    <comment authorId="0" ref="K137">
      <text>
        <t xml:space="preserve">Custom Reload Animation
</t>
      </text>
    </comment>
    <comment authorId="0" ref="M137">
      <text>
        <t xml:space="preserve">+20% body damage (DDC)</t>
      </text>
    </comment>
    <comment authorId="0" ref="M71">
      <text>
        <t xml:space="preserve">average damage per round</t>
      </text>
    </comment>
    <comment authorId="0" ref="N71">
      <text>
        <t xml:space="preserve">average damage per round</t>
      </text>
    </comment>
    <comment authorId="0" ref="C88">
      <text>
        <t xml:space="preserve">DPS cycle:
3 shots
freeze
forced shatter (team damage)
1 shot does not apply slow
repeat</t>
      </text>
    </comment>
    <comment authorId="0" ref="D88">
      <text>
        <t xml:space="preserve">DPS cycle:
? shots
freeze
? shots while frozen
forced shatter 
? shots
freeze
reload
natural shatter
repeat</t>
      </text>
    </comment>
    <comment authorId="0" ref="G88">
      <text>
        <t xml:space="preserve">DPS cycle:
3 shots
freeze
forced shatter (team damage)
1 shot does not apply slow
repeat</t>
      </text>
    </comment>
    <comment authorId="0" ref="C138">
      <text>
        <t xml:space="preserve">3 unravel projectiles spawn on unravel
1.2 seconds cooldown until more projectiles spawn (DDC)
Full burst occurs in 0.9 s (DDC)</t>
      </text>
    </comment>
    <comment authorId="0" ref="D138">
      <text>
        <t xml:space="preserve">3 unravel projectiles spawn on unravel
1.2 seconds cooldown until more projectiles spawn (DDC)
Full burst occurs in 0.9 s (DDC)</t>
      </text>
    </comment>
    <comment authorId="0" ref="B6">
      <text>
        <t xml:space="preserve">Uncommon-rarity Jiangshi AR1 is the only 450 rpm lighweight auto rifle. It deals the same damage as a 450 rpm precision auto rifle.</t>
      </text>
    </comment>
    <comment authorId="0" ref="K138">
      <text>
        <t xml:space="preserve">Custom Reload Animation
</t>
      </text>
    </comment>
    <comment authorId="0" ref="K72">
      <text>
        <t xml:space="preserve">Rapid-Fire intrinsic increases on empty reload</t>
      </text>
    </comment>
    <comment authorId="0" ref="N138">
      <text>
        <t xml:space="preserve">+100% on precision (DDC)</t>
      </text>
    </comment>
    <comment authorId="0" ref="J155">
      <text>
        <t xml:space="preserve">Archer's Tempo provides a 0.75x draw time multiplier (DDC)</t>
      </text>
    </comment>
    <comment authorId="0" ref="C139">
      <text>
        <t xml:space="preserve">3 unravel projectiles spawn on unravel
1.2 seconds cooldown until more projectiles spawn (DDC)
Full burst occurs in 0.9 s (DDC)</t>
      </text>
    </comment>
    <comment authorId="0" ref="D139">
      <text>
        <t xml:space="preserve">3 unravel projectiles spawn on unravel
1.2 seconds cooldown until more projectiles spawn (DDC)
Full burst occurs in 0.9 s (DDC)</t>
      </text>
    </comment>
    <comment authorId="0" ref="H139">
      <text>
        <t xml:space="preserve">average effective magazine size
~25% chance to refund a round on hit against a marked target</t>
      </text>
    </comment>
    <comment authorId="0" ref="K139">
      <text>
        <t xml:space="preserve">Custom Reload Animation
</t>
      </text>
    </comment>
    <comment authorId="0" ref="M139">
      <text>
        <t xml:space="preserve">+5% on bosses (DDC)</t>
      </text>
    </comment>
    <comment authorId="0" ref="N139">
      <text>
        <t xml:space="preserve">+5% on bosses (DDC)</t>
      </text>
    </comment>
    <comment authorId="0" ref="D57">
      <text>
        <t xml:space="preserve">Note that each nanite lasts 6 seconds on enemies.
This is most realistically attainable with multiple people running Outbreak together.</t>
      </text>
    </comment>
    <comment authorId="0" ref="J156">
      <text>
        <t xml:space="preserve">Archer's Gambit provides a 0.4x draw time multiplier (DDC)</t>
      </text>
    </comment>
    <comment authorId="0" ref="K90">
      <text>
        <t xml:space="preserve">Custom reload animation
Heatsink reload
Initial round takes ~0.65s
5 rounds take ~0.92s
15 rounds total takes 0.92*3
Reload animation may be animation-canceled by firing
Reload recovery not considered here</t>
      </text>
    </comment>
    <comment authorId="0" ref="C140">
      <text>
        <t xml:space="preserve">3 unravel projectiles spawn on unravel
1.2 seconds cooldown until more projectiles spawn (DDC)
Full burst occurs in 0.9 s (DDC)</t>
      </text>
    </comment>
    <comment authorId="0" ref="D140">
      <text>
        <t xml:space="preserve">3 unravel projectiles spawn on unravel
1.2 seconds cooldown until more projectiles spawn (DDC)
Full burst occurs in 0.9 s (DDC)</t>
      </text>
    </comment>
    <comment authorId="0" ref="H140">
      <text>
        <t xml:space="preserve">average effective magazine size
~25% chance to refund a round on hit against a marked target</t>
      </text>
    </comment>
    <comment authorId="0" ref="G8">
      <text>
        <t xml:space="preserve">explosion occurs every 8 shots at maximum spool (after sustained fire of 43 rounds)
Initial explosions occur on magazine capacity:
132
124
117
108
then every 8 rounds</t>
      </text>
    </comment>
    <comment authorId="0" ref="K140">
      <text>
        <t xml:space="preserve">Custom Reload Animation
</t>
      </text>
    </comment>
    <comment authorId="0" ref="M140">
      <text>
        <t xml:space="preserve">+5% on bosses (DDC)</t>
      </text>
    </comment>
    <comment authorId="0" ref="J8">
      <text>
        <t xml:space="preserve">Average RPM per magazine</t>
      </text>
    </comment>
    <comment authorId="0" ref="K41">
      <text>
        <t xml:space="preserve">borrows reload animation from Veist SMGs (top-loaded)</t>
      </text>
    </comment>
    <comment authorId="0" ref="N140">
      <text>
        <t xml:space="preserve">+5% on bosses (DDC)</t>
      </text>
    </comment>
    <comment authorId="0" ref="K8">
      <text>
        <t xml:space="preserve">Custom reload animation</t>
      </text>
    </comment>
    <comment authorId="0" ref="A157">
      <text>
        <t xml:space="preserve">Archer's Gambit + Archer's Tempo</t>
      </text>
    </comment>
    <comment authorId="0" ref="J157">
      <text>
        <t xml:space="preserve">Archer's Tempo provides a 0.75x draw time multiplier (DDC)
Archer's Gambit provides a 0.4x draw time multiplier (DDC)</t>
      </text>
    </comment>
    <comment authorId="0" ref="K91">
      <text>
        <t xml:space="preserve">Custom reload animation
Heatsink reload
Initial round takes ~0.65s
5 rounds take ~0.92s
15 rounds total takes 0.92*3
Reload animation may be animation-canceled by firing
Reload recovery not considered here</t>
      </text>
    </comment>
    <comment authorId="0" ref="M25">
      <text>
        <t xml:space="preserve">Focused Fire grants +50% damage (DDC)</t>
      </text>
    </comment>
    <comment authorId="0" ref="N25">
      <text>
        <t xml:space="preserve">Focused Fire grants +50% damage (DDC)</t>
      </text>
    </comment>
    <comment authorId="0" ref="C141">
      <text>
        <t xml:space="preserve">3 unravel projectiles spawn on unravel
1.2 seconds cooldown until more projectiles spawn (DDC)
Full burst occurs in 0.9 s (DDC)</t>
      </text>
    </comment>
    <comment authorId="0" ref="D141">
      <text>
        <t xml:space="preserve">3 unravel projectiles spawn on unravel
1.2 seconds cooldown until more projectiles spawn (DDC)
Full burst occurs in 0.9 s (DDC)</t>
      </text>
    </comment>
    <comment authorId="0" ref="H141">
      <text>
        <t xml:space="preserve">ignore refunded rounds, reload on second burst
</t>
      </text>
    </comment>
    <comment authorId="0" ref="G9">
      <text>
        <t xml:space="preserve">damage increases +5%-&gt;+10% as magazine goes 50%-&gt;0% (DDC)</t>
      </text>
    </comment>
    <comment authorId="0" ref="K141">
      <text>
        <t xml:space="preserve">Custom Reload Animation
</t>
      </text>
    </comment>
    <comment authorId="0" ref="M141">
      <text>
        <t xml:space="preserve">+5% on bosses (DDC)</t>
      </text>
    </comment>
    <comment authorId="0" ref="J9">
      <text>
        <t xml:space="preserve">Average RPM per magazine
</t>
      </text>
    </comment>
    <comment authorId="0" ref="N141">
      <text>
        <t xml:space="preserve">+5% on bosses (DDC)</t>
      </text>
    </comment>
    <comment authorId="0" ref="C125">
      <text>
        <t xml:space="preserve">Poison ticks occur every 0.5 s, over 2 s (4 ticks per shot)
Each shot applies its own instance of poison</t>
      </text>
    </comment>
    <comment authorId="0" ref="D125">
      <text>
        <t xml:space="preserve">Poison ticks occur every 0.5 s, over 2 s (4 ticks per shot)
Each shot applies its own instance of poison</t>
      </text>
    </comment>
    <comment authorId="0" ref="D92">
      <text>
        <t xml:space="preserve">Assumes you fire off a normal round at the end of reload to animation-cancel the reload recovery</t>
      </text>
    </comment>
    <comment authorId="0" ref="J92">
      <text>
        <t xml:space="preserve">Takes ~1.15 seconds to charge an Amalgamation Round</t>
      </text>
    </comment>
    <comment authorId="0" ref="K92">
      <text>
        <t xml:space="preserve">Custom reload animation
Heatsink reload
Initial round takes ~0.65s
5 rounds take ~0.92s
15 rounds total takes 0.92*3
Reload animation may be animation-canceled by firing
Reload recovery not considered here</t>
      </text>
    </comment>
    <comment authorId="0" ref="M26">
      <text>
        <t xml:space="preserve">Focused Fire grants +50% damage (DDC)</t>
      </text>
    </comment>
    <comment authorId="0" ref="N26">
      <text>
        <t xml:space="preserve">Focused Fire grants +50% damage (DDC)</t>
      </text>
    </comment>
    <comment authorId="0" ref="C142">
      <text>
        <t xml:space="preserve">3 unravel projectiles spawn on unravel
1.2 seconds cooldown until more projectiles spawn (DDC)
Full burst occurs in 0.9 s (DDC)</t>
      </text>
    </comment>
    <comment authorId="0" ref="D175">
      <text>
        <t xml:space="preserve">Impales for 6 ticks over 4 seconds (DDC)</t>
      </text>
    </comment>
    <comment authorId="0" ref="D142">
      <text>
        <t xml:space="preserve">3 unravel projectiles spawn on unravel
1.2 seconds cooldown until more projectiles spawn (DDC)
Full burst occurs in 0.9 s (DDC)</t>
      </text>
    </comment>
    <comment authorId="0" ref="H142">
      <text>
        <t xml:space="preserve">ignore refunded rounds, reload on second burst
</t>
      </text>
    </comment>
    <comment authorId="0" ref="G10">
      <text>
        <t xml:space="preserve">damage increases +5%-&gt;+10% as magazine goes 50%-&gt;0% (DDC)</t>
      </text>
    </comment>
    <comment authorId="0" ref="K142">
      <text>
        <t xml:space="preserve">Custom Reload Animation
</t>
      </text>
    </comment>
    <comment authorId="0" ref="M175">
      <text>
        <t xml:space="preserve">Impale damage</t>
      </text>
    </comment>
    <comment authorId="0" ref="K76">
      <text>
        <t xml:space="preserve">Initial shell is ~0.58 s. Rounds take ~0.38 s each.
</t>
      </text>
    </comment>
    <comment authorId="0" ref="M142">
      <text>
        <t xml:space="preserve">+5% on bosses (DDC)</t>
      </text>
    </comment>
    <comment authorId="0" ref="N142">
      <text>
        <t xml:space="preserve">+5% on bosses (DDC)</t>
      </text>
    </comment>
    <comment authorId="0" ref="C126">
      <text>
        <t xml:space="preserve">Poison ticks occur every 0.5 s, over 2 s (4 ticks per shot)
Each shot applies its own instance of poison</t>
      </text>
    </comment>
    <comment authorId="0" ref="D126">
      <text>
        <t xml:space="preserve">Poison ticks occur every 0.5 s, over 2 s (4 ticks per shot)
Each shot applies its own instance of poison</t>
      </text>
    </comment>
    <comment authorId="0" ref="D93">
      <text>
        <t xml:space="preserve">Reload recovery may be animation cancelled by firing</t>
      </text>
    </comment>
    <comment authorId="0" ref="D60">
      <text>
        <t xml:space="preserve">Note that each nanite lasts 6 seconds on enemies.
This is most realistically attainable with multiple people running Outbreak together.</t>
      </text>
    </comment>
    <comment authorId="0" ref="M27">
      <text>
        <t xml:space="preserve">Focused Fire grants +50% damage (DDC)</t>
      </text>
    </comment>
    <comment authorId="0" ref="N27">
      <text>
        <t xml:space="preserve">Focused Fire grants +50% damage (DDC)</t>
      </text>
    </comment>
    <comment authorId="0" ref="C176">
      <text>
        <t xml:space="preserve">each impale does its own instance of  damage-over-time</t>
      </text>
    </comment>
    <comment authorId="0" ref="D176">
      <text>
        <t xml:space="preserve">each impale does its own instance of  damage-over-time</t>
      </text>
    </comment>
    <comment authorId="0" ref="C11">
      <text>
        <t xml:space="preserve">Applies 15 stacks of scorch every 5 shots while overheated
</t>
      </text>
    </comment>
    <comment authorId="0" ref="D11">
      <text>
        <t xml:space="preserve">Applies 15 stacks of scorch every 5 shots while overheated
</t>
      </text>
    </comment>
    <comment authorId="0" ref="G11">
      <text>
        <t xml:space="preserve">Full magazine on a fresh, unscorched target. Assumes 2 ignitions are possible per magazine.
Applies 15 stacks of scorch every 5 shots while overheated
</t>
      </text>
    </comment>
    <comment authorId="0" ref="M176">
      <text>
        <t xml:space="preserve">Impale damage</t>
      </text>
    </comment>
    <comment authorId="0" ref="K77">
      <text>
        <t xml:space="preserve">Rapid-Fire intrinsic increases on empty reload</t>
      </text>
    </comment>
    <comment authorId="0" ref="K11">
      <text>
        <t xml:space="preserve">Custom reload animation</t>
      </text>
    </comment>
    <comment authorId="0" ref="M11">
      <text>
        <t xml:space="preserve">damage while burning</t>
      </text>
    </comment>
    <comment authorId="0" ref="N11">
      <text>
        <t xml:space="preserve">damage while burning</t>
      </text>
    </comment>
    <comment authorId="0" ref="D94">
      <text>
        <t xml:space="preserve">Reload recovery may be animation cancelled by firing</t>
      </text>
    </comment>
    <comment authorId="0" ref="H61">
      <text>
        <t xml:space="preserve">Effective magazine size due to Rewind Rounds
Assumes you land all shots</t>
      </text>
    </comment>
    <comment authorId="0" ref="J94">
      <text>
        <t xml:space="preserve">ADS and normal fire rate are 120 rpm.
Catalyst makes hip-fire ~130 rpm (0.92 hipfire recovery delay, DDC)</t>
      </text>
    </comment>
    <comment authorId="0" ref="K127">
      <text>
        <t xml:space="preserve">Custom reload animation</t>
      </text>
    </comment>
    <comment authorId="0" ref="K94">
      <text>
        <t xml:space="preserve">Initial shell is ~0.58 s. Rounds take ~0.33 s each.
0.86x reload duration multiplier at x5 Cranial Spike (DDC)</t>
      </text>
    </comment>
    <comment authorId="0" ref="M160">
      <text>
        <t xml:space="preserve">Guidance Ring arrows launch three extra projectiles that deal no precision damage</t>
      </text>
    </comment>
    <comment authorId="0" ref="N160">
      <text>
        <t xml:space="preserve">Guidance Ring arrows launch three extra projectiles that deal no precision damage</t>
      </text>
    </comment>
    <comment authorId="0" ref="M28">
      <text>
        <t xml:space="preserve">Focused Fire grants +50% damage (DDC)</t>
      </text>
    </comment>
    <comment authorId="0" ref="N28">
      <text>
        <t xml:space="preserve">Focused Fire grants +50% damage (DDC)</t>
      </text>
    </comment>
    <comment authorId="0" ref="C144">
      <text>
        <t xml:space="preserve">Mode swap takes ~0.92 s
Laser charges in ~0.48 s
1 ignition
1-Mag Burst DPS</t>
      </text>
    </comment>
    <comment authorId="0" ref="C12">
      <text>
        <t xml:space="preserve">Applies 20 stacks of scorch every 5 shots while overheated</t>
      </text>
    </comment>
    <comment authorId="0" ref="D12">
      <text>
        <t xml:space="preserve">Applies 20 stacks of scorch every 5 shots while overheated
</t>
      </text>
    </comment>
    <comment authorId="0" ref="K177">
      <text>
        <t xml:space="preserve">borrows pulse rifle reload animation</t>
      </text>
    </comment>
    <comment authorId="0" ref="G12">
      <text>
        <t xml:space="preserve">Full magazine on a fresh, unscorched target. Assumes 3 ignitions are possible per magazine.
Applies 20 stacks of scorch every 5 shots while overheated
</t>
      </text>
    </comment>
    <comment authorId="0" ref="J78">
      <text>
        <t xml:space="preserve">Revolution mode fires with a 2.7x fire recovery delay (DDC) </t>
      </text>
    </comment>
    <comment authorId="0" ref="K78">
      <text>
        <t xml:space="preserve">Rapid-Fire intrinsic increases on empty reload</t>
      </text>
    </comment>
    <comment authorId="0" ref="K45">
      <text>
        <t xml:space="preserve">Rapid-Fire intrinsic increases on empty reload</t>
      </text>
    </comment>
    <comment authorId="0" ref="K12">
      <text>
        <t xml:space="preserve">Custom reload animation</t>
      </text>
    </comment>
    <comment authorId="0" ref="M12">
      <text>
        <t xml:space="preserve">damage while burning</t>
      </text>
    </comment>
    <comment authorId="0" ref="N12">
      <text>
        <t xml:space="preserve">damage while burning</t>
      </text>
    </comment>
    <comment authorId="0" ref="D95">
      <text>
        <t xml:space="preserve">Reload recovery may be animation cancelled by firing</t>
      </text>
    </comment>
    <comment authorId="0" ref="H95">
      <text>
        <t xml:space="preserve">x5 Cranial Spike reloads 2+5 rounds at a time</t>
      </text>
    </comment>
    <comment authorId="0" ref="J161">
      <text>
        <t xml:space="preserve">Catalyst gives 0.5x draw time multiplier on Guidance Ring.
Stacks can be built while Guidance Ring is deployed.</t>
      </text>
    </comment>
    <comment authorId="0" ref="H62">
      <text>
        <t xml:space="preserve">Effective magazine size due to Rewind Rounds
Assumes you land all shots</t>
      </text>
    </comment>
    <comment authorId="0" ref="K161">
      <text>
        <t xml:space="preserve">Destiny Data Compendium states Guidance Ring with catalyst potentially provides a reload duration multiplier, no such multiplier observed upon measurement when under the effects of a Rally Barricade</t>
      </text>
    </comment>
    <comment authorId="0" ref="J95">
      <text>
        <t xml:space="preserve">ADS and normal fire rate are 120 rpm.
Catalyst makes hip-fire ~130 rpm (0.92 hipfire recovery delay, DDC)</t>
      </text>
    </comment>
    <comment authorId="0" ref="K128">
      <text>
        <t xml:space="preserve">Custom reload animation</t>
      </text>
    </comment>
    <comment authorId="0" ref="K95">
      <text>
        <t xml:space="preserve">Initial shell is ~0.58 s. Rounds take ~0.33 s each.
0.86x reload duration multiplier at x5 Cranial Spike (DDC)</t>
      </text>
    </comment>
    <comment authorId="0" ref="M161">
      <text>
        <t xml:space="preserve">Guidance Ring arrows launch three extra projectiles that deal no precision damage</t>
      </text>
    </comment>
    <comment authorId="0" ref="N161">
      <text>
        <t xml:space="preserve">Guidance Ring arrows launch three extra projectiles that deal no precision damage</t>
      </text>
    </comment>
    <comment authorId="0" ref="J178">
      <text>
        <t xml:space="preserve">in ADS mode the Lodestar fires like a rapid-fire pulse</t>
      </text>
    </comment>
    <comment authorId="0" ref="K178">
      <text>
        <t xml:space="preserve">borrows pulse rifle reload animation</t>
      </text>
    </comment>
    <comment authorId="0" ref="G13">
      <text>
        <t xml:space="preserve">Rockets fire every 11 rounds hit.</t>
      </text>
    </comment>
    <comment authorId="0" ref="K79">
      <text>
        <t xml:space="preserve">Rapid-Fire intrinsic increases on empty reload</t>
      </text>
    </comment>
    <comment authorId="0" ref="K13">
      <text>
        <t xml:space="preserve">Custom reload animation
</t>
      </text>
    </comment>
    <comment authorId="0" ref="M79">
      <text>
        <t xml:space="preserve">Revolution shot damage</t>
      </text>
    </comment>
    <comment authorId="0" ref="N112">
      <text>
        <t xml:space="preserve">89 precision damage on ADS</t>
      </text>
    </comment>
    <comment authorId="0" ref="A96">
      <text>
        <t xml:space="preserve">RH - Rapid Hit</t>
      </text>
    </comment>
    <comment authorId="0" ref="D96">
      <text>
        <t xml:space="preserve">Reload recovery may be animation cancelled by firing</t>
      </text>
    </comment>
    <comment authorId="0" ref="D63">
      <text>
        <t xml:space="preserve">Note that each nanite lasts 6 seconds on enemies.
This is most realistically attainable with multiple people running Outbreak together.</t>
      </text>
    </comment>
    <comment authorId="0" ref="H63">
      <text>
        <t xml:space="preserve">Effective magazine size due to Rewind Rounds
Assumes you land all shots</t>
      </text>
    </comment>
    <comment authorId="0" ref="J96">
      <text>
        <t xml:space="preserve">ADS and normal fire rate are 120 rpm.
Catalyst makes hip-fire ~130 rpm (0.92 hipfire recovery delay, DDC)</t>
      </text>
    </comment>
    <comment authorId="0" ref="K96">
      <text>
        <t xml:space="preserve">Initial shell is ~0.58 s. Rounds take ~0.33 s each.
0.86x reload duration multiplier at x5 Cranial Spike (DDC)
0.92x reload duration multiplier at x5 Rapid Hit (DDC)</t>
      </text>
    </comment>
    <comment authorId="0" ref="D14">
      <text>
        <t xml:space="preserve">Grenades take ~1.1 seconds to load
Mode switch takes ~0.6 seconds</t>
      </text>
    </comment>
    <comment authorId="0" ref="G113">
      <text>
        <t xml:space="preserve">Slugs explode after 5 hits</t>
      </text>
    </comment>
    <comment authorId="0" ref="K80">
      <text>
        <t xml:space="preserve">Rapid-Fire intrinsic increases on empty reload</t>
      </text>
    </comment>
    <comment authorId="0" ref="K14">
      <text>
        <t xml:space="preserve">Custom reload animation
Grenade loading: ~0.8 second 
(unaffected by reload modifiers)
Mode transition: ~0.6 seconds 
(unaffected by reload modifiers)</t>
      </text>
    </comment>
    <comment authorId="0" ref="M80">
      <text>
        <t xml:space="preserve">Revolution shot damage</t>
      </text>
    </comment>
    <comment authorId="0" ref="A97">
      <text>
        <t xml:space="preserve">FTTC - Fourth Time's the Charm</t>
      </text>
    </comment>
    <comment authorId="0" ref="D163">
      <text>
        <t xml:space="preserve">Proccing arrows are on light draw</t>
      </text>
    </comment>
    <comment authorId="0" ref="D97">
      <text>
        <t xml:space="preserve">Reload recovery may be animation cancelled by firing</t>
      </text>
    </comment>
    <comment authorId="0" ref="H97">
      <text>
        <t xml:space="preserve">effective magazine size due to FTTC</t>
      </text>
    </comment>
    <comment authorId="0" ref="J97">
      <text>
        <t xml:space="preserve">ADS and normal fire rate are 120 rpm.
Catalyst makes hip-fire ~130 rpm (0.92 hipfire recovery delay, DDC)</t>
      </text>
    </comment>
    <comment authorId="0" ref="K130">
      <text>
        <t xml:space="preserve">Rapid-Fire intrinsic increases on empty reload</t>
      </text>
    </comment>
    <comment authorId="0" ref="K97">
      <text>
        <t xml:space="preserve">Initial shell is ~0.58 s. Rounds take ~0.33 s each.
0.86x reload duration multiplier at x5 Cranial Spike (DDC)</t>
      </text>
    </comment>
    <comment authorId="0" ref="G114">
      <text>
        <t xml:space="preserve">Slugs explode after 5 hits, each dealing 2416 damage
</t>
      </text>
    </comment>
    <comment authorId="0" ref="K81">
      <text>
        <t xml:space="preserve">Rapid-Fire intrinsic increases on empty reload</t>
      </text>
    </comment>
    <comment authorId="0" ref="K15">
      <text>
        <t xml:space="preserve">Borrows Pulse Rifle reload animation</t>
      </text>
    </comment>
    <comment authorId="0" ref="M81">
      <text>
        <t xml:space="preserve">Revolution shot damage</t>
      </text>
    </comment>
    <comment authorId="0" ref="A98">
      <text>
        <t xml:space="preserve">FTTC - Fourth Time's the Charm</t>
      </text>
    </comment>
    <comment authorId="0" ref="D98">
      <text>
        <t xml:space="preserve">Reload recovery may be animation cancelled by firing</t>
      </text>
    </comment>
    <comment authorId="0" ref="H98">
      <text>
        <t xml:space="preserve">x5 Cranial Spike reloads 2+5 rounds at a time</t>
      </text>
    </comment>
    <comment authorId="0" ref="J98">
      <text>
        <t xml:space="preserve">ADS and normal fire rate are 120 rpm.
Catalyst makes hip-fire ~130 rpm (0.92 hipfire recovery delay, DDC)</t>
      </text>
    </comment>
    <comment authorId="0" ref="K98">
      <text>
        <t xml:space="preserve">Initial shell is ~0.58 s. Rounds take ~0.33 s each.
0.86x reload duration multiplier at x5 Cranial Spike (DDC)</t>
      </text>
    </comment>
    <comment authorId="0" ref="K65">
      <text>
        <t xml:space="preserve">borrows standard auto-rifle reload animation</t>
      </text>
    </comment>
    <comment authorId="0" ref="C115">
      <text>
        <t xml:space="preserve">1-mag burst DPS with Lucky Pants
</t>
      </text>
    </comment>
    <comment authorId="0" ref="D115">
      <text>
        <t xml:space="preserve">Assumes a 1-second weapon swap time to refresh Illegally Modded Holster.
Note that DDC says 5.5 seconds, should be 16 rounds at 180 RPM with the buff, but only 12 rounds measured to be possible.
DPS loop:
swap weapons
shoot 12 buffed rounds
shoot 8 normal rounds
reload
shoot 10 rounds
reload</t>
      </text>
    </comment>
    <comment authorId="0" ref="G115">
      <text>
        <t xml:space="preserve">Slugs explode after 5 hits, each dealing 2416 damage
1-mag damage of Lucky Pants.
Note that DDC says 5.5 seconds, should be 16 rounds at 180 RPM with the buff, but only 12 rounds measured to be possible.</t>
      </text>
    </comment>
    <comment authorId="0" ref="K82">
      <text>
        <t xml:space="preserve">Rapid-Fire intrinsic increases on empty reload</t>
      </text>
    </comment>
    <comment authorId="0" ref="M82">
      <text>
        <t xml:space="preserve">Revolution shot damage</t>
      </text>
    </comment>
    <comment authorId="0" ref="M16">
      <text>
        <t xml:space="preserve">Linear fusion mode: see Weapon Specifics</t>
      </text>
    </comment>
    <comment authorId="0" ref="N16">
      <text>
        <t xml:space="preserve">Linear fusion mode: see Weapon Specifics</t>
      </text>
    </comment>
    <comment authorId="0" ref="C99">
      <text>
        <t xml:space="preserve">Ignition occurs every 3 Perfect Fifths (15 shots)</t>
      </text>
    </comment>
    <comment authorId="0" ref="M83">
      <text>
        <t xml:space="preserve">final round deals 2.2x damage</t>
      </text>
    </comment>
    <comment authorId="0" ref="N83">
      <text>
        <t xml:space="preserve">final round deals 2.2x damage</t>
      </text>
    </comment>
    <comment authorId="0" ref="C100">
      <text>
        <t xml:space="preserve">Ignition occurs every 3 Perfect Fifths (15 shots)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7">
      <text>
        <t xml:space="preserve">Melee (lunge) takes ~1 second
Reload-cancelling bottlenecks the gun to its fire-rate</t>
      </text>
    </comment>
    <comment authorId="0" ref="J34">
      <text>
        <t xml:space="preserve">In-game lists fire rate as 1000, measured RPM is closer to 900</t>
      </text>
    </comment>
    <comment authorId="0" ref="K67">
      <text>
        <t xml:space="preserve">0.68 s on initial shell
</t>
      </text>
    </comment>
    <comment authorId="0" ref="M100">
      <text>
        <t xml:space="preserve">Unblighted Impact damage 
0.72 s delay between initial impact and blight status
deals 17 ticks damage every ~0.56 s (~9.5 s blight status duration)
Bonus damage on reblight while blight status is active
Blight on ground DOT delay after impact: ~1.1 s
Blight on ground DOT: 14 ticks every ~0.27 s (~3.7 s floor blight duration) </t>
      </text>
    </comment>
    <comment authorId="0" ref="N34">
      <text>
        <t xml:space="preserve">Hits damage cap after 41 rounds</t>
      </text>
    </comment>
    <comment authorId="0" ref="C18">
      <text>
        <t xml:space="preserve">Golden gun cast takes 1.72 seconds
</t>
      </text>
    </comment>
    <comment authorId="0" ref="D18">
      <text>
        <t xml:space="preserve">Golden gun cast takes 1.72 seconds
this models the gun in the loop:
fire shots
cast golden gun
fire golden gun
reload
casting golden gun reloads the magazine from reserves, and therefore for tighter time frames it may more beneficial to keep firing after firing the golden gun shots instead of reloading
you will likely achieve a higher 1-mag burst DPS than this figure due to the reload on cast in stricter time frames, in the moment before the second reload is required</t>
      </text>
    </comment>
    <comment authorId="0" ref="F18">
      <text>
        <t xml:space="preserve">assumes you start with a golden gun shot ready</t>
      </text>
    </comment>
    <comment authorId="0" ref="G18">
      <text>
        <t xml:space="preserve">golden gun is ready after 6 shots
1 ammo is refunded on golden gun cast</t>
      </text>
    </comment>
    <comment authorId="0" ref="J117">
      <text>
        <t xml:space="preserve">Glaive melee attack speed (swings per minute)
</t>
      </text>
    </comment>
    <comment authorId="0" ref="J51">
      <text>
        <t xml:space="preserve">Delay between charging bursts
~0.48 seconds</t>
      </text>
    </comment>
    <comment authorId="0" ref="K84">
      <text>
        <t xml:space="preserve">Custom reload animation
Reloads entire magazine
Alloy Magazine grants 0.8x reload duration multiplier (DDC)
Can reload-cancel like Legend of Acrius with base reload speed</t>
      </text>
    </comment>
    <comment authorId="0" ref="K51">
      <text>
        <t xml:space="preserve">Custom reload animation</t>
      </text>
    </comment>
    <comment authorId="0" ref="L18">
      <text>
        <t xml:space="preserve">assumes you cast golden gun in advance and only charge the weapon with precision hits</t>
      </text>
    </comment>
    <comment authorId="0" ref="J68">
      <text>
        <t xml:space="preserve">measured rpm is closer to ~147</t>
      </text>
    </comment>
    <comment authorId="0" ref="J35">
      <text>
        <t xml:space="preserve">In-game lists fire rate as 1000, measured RPM is closer to 900</t>
      </text>
    </comment>
    <comment authorId="0" ref="K68">
      <text>
        <t xml:space="preserve">0.68 s on initial shell
</t>
      </text>
    </comment>
    <comment authorId="0" ref="M101">
      <text>
        <t xml:space="preserve">Unblighted Impact damage 
0.72 s delay between initial impact and blight status
deals 17 ticks damage every ~0.56 s (~9.5 s blight status duration)
Bonus damage on reblight while blight status is active
Blight on ground DOT delay after impact: ~1.1 s
Blight on ground DOT: 14 ticks every ~0.27 s (~3.7 s floor blight duration) </t>
      </text>
    </comment>
    <comment authorId="0" ref="F85">
      <text>
        <t xml:space="preserve">On Black Wings stacks on hip-fire pellet shot</t>
      </text>
    </comment>
    <comment authorId="0" ref="I19">
      <text>
        <t xml:space="preserve">Exclusively benefits from void reserves mods</t>
      </text>
    </comment>
    <comment authorId="0" ref="J52">
      <text>
        <t xml:space="preserve">Delay between charging bursts
~0.48 seconds</t>
      </text>
    </comment>
    <comment authorId="0" ref="K85">
      <text>
        <t xml:space="preserve">Custom reload animation
Reloads entire magazine
Alloy Magazine grants 0.8x reload duration multiplier (DDC)
Can reload-cancel like Legend of Acrius with base reload speed</t>
      </text>
    </comment>
    <comment authorId="0" ref="K52">
      <text>
        <t xml:space="preserve">Custom reload animation</t>
      </text>
    </comment>
    <comment authorId="0" ref="N85">
      <text>
        <t xml:space="preserve">Calculated, On Black Wings provides:
1x ~+22.8%
2x ~+39.1%
3x +55% (DDC)
On Black Wings is refreshed with precision hits.
On Black Wings only increases precision damage.</t>
      </text>
    </comment>
    <comment authorId="0" ref="C69">
      <text>
        <t xml:space="preserve">1-mag burst DPS</t>
      </text>
    </comment>
    <comment authorId="0" ref="C36">
      <text>
        <t xml:space="preserve">ignition every ~150 rounds</t>
      </text>
    </comment>
    <comment authorId="0" ref="F36">
      <text>
        <t xml:space="preserve">only 3 ignitions occur if you're the only one applying scorch</t>
      </text>
    </comment>
    <comment authorId="0" ref="K69">
      <text>
        <t xml:space="preserve">0.68 s on initial shell
</t>
      </text>
    </comment>
    <comment authorId="0" ref="J36">
      <text>
        <t xml:space="preserve">In-game lists fire rate as 1000, measured RPM is closer to 900</t>
      </text>
    </comment>
    <comment authorId="0" ref="M102">
      <text>
        <t xml:space="preserve">Unblighted Impact damage 
0.72 s delay between initial impact and blight status
deals 17 ticks damage every ~0.56 s (~9.5 s blight status duration)
Bonus damage on reblight while blight status is active
Blight on ground DOT delay after impact: ~1.1 s
Blight on ground DOT: 14 ticks every ~0.27 s (~3.7 s floor blight duration) </t>
      </text>
    </comment>
    <comment authorId="0" ref="K3">
      <text>
        <t xml:space="preserve">Rapid-Fire intrinsic increases on empty reload</t>
      </text>
    </comment>
    <comment authorId="0" ref="C20">
      <text>
        <t xml:space="preserve">Burst DPS</t>
      </text>
    </comment>
    <comment authorId="0" ref="J119">
      <text>
        <t xml:space="preserve">Glaive melee attack speed (swings per minute)
</t>
      </text>
    </comment>
    <comment authorId="0" ref="I20">
      <text>
        <t xml:space="preserve">Exclusively benefits from void reserves mods</t>
      </text>
    </comment>
    <comment authorId="0" ref="K86">
      <text>
        <t xml:space="preserve">Custom reload animation
Reloads entire magazine</t>
      </text>
    </comment>
    <comment authorId="0" ref="K53">
      <text>
        <t xml:space="preserve">Same reload animation as Jotunn</t>
      </text>
    </comment>
    <comment authorId="0" ref="M53">
      <text>
        <t xml:space="preserve">Property: Irreducible: see Weapon Specifics</t>
      </text>
    </comment>
    <comment authorId="0" ref="C70">
      <text>
        <t xml:space="preserve">1-mag burst DPS</t>
      </text>
    </comment>
    <comment authorId="0" ref="C37">
      <text>
        <t xml:space="preserve">ignition every ~100 rounds</t>
      </text>
    </comment>
    <comment authorId="0" ref="F103">
      <text>
        <t xml:space="preserve">assumes ~0.5 s travel time</t>
      </text>
    </comment>
    <comment authorId="0" ref="F37">
      <text>
        <t xml:space="preserve">one ignition per magazine</t>
      </text>
    </comment>
    <comment authorId="0" ref="H4">
      <text>
        <t xml:space="preserve">Effective magazine size due to Triple Tap
</t>
      </text>
    </comment>
    <comment authorId="0" ref="I4">
      <text>
        <t xml:space="preserve">Effective reserves size due to Triple Tap
</t>
      </text>
    </comment>
    <comment authorId="0" ref="J37">
      <text>
        <t xml:space="preserve">In-game lists fire rate as 1000, measured RPM is closer to 900</t>
      </text>
    </comment>
    <comment authorId="0" ref="K70">
      <text>
        <t xml:space="preserve">0.68 s on initial shell
</t>
      </text>
    </comment>
    <comment authorId="0" ref="M103">
      <text>
        <t xml:space="preserve">Unblighted Impact damage 
0.72 s delay between initial impact and blight status
deals 17 ticks damage every ~0.56 s (~9.5 s blight status duration)
Bonus damage on reblight while blight status is active
Blight on ground DOT delay after impact: ~1.1 s
Blight on ground DOT: 14 ticks every ~0.27 s (~3.7 s floor blight duration) </t>
      </text>
    </comment>
    <comment authorId="0" ref="K4">
      <text>
        <t xml:space="preserve">Rapid-Fire intrinsic increases on empty reload</t>
      </text>
    </comment>
    <comment authorId="0" ref="J87">
      <text>
        <t xml:space="preserve">listed RPM is 100
actual RPM is to be measured</t>
      </text>
    </comment>
    <comment authorId="0" ref="J54">
      <text>
        <t xml:space="preserve">Delay between charging bursts
~0.58 seconds</t>
      </text>
    </comment>
    <comment authorId="0" ref="K87">
      <text>
        <t xml:space="preserve">No appreciable reload speed boost from rapid-fire frame perk</t>
      </text>
    </comment>
    <comment authorId="0" ref="K54">
      <text>
        <t xml:space="preserve">Custom reload animation
</t>
      </text>
    </comment>
    <comment authorId="0" ref="J21">
      <text>
        <t xml:space="preserve">Every round takes ~1.85 seconds to fire wat base, without any stat buffs</t>
      </text>
    </comment>
    <comment authorId="0" ref="F104">
      <text>
        <t xml:space="preserve">assumes ~0.5 s travel time</t>
      </text>
    </comment>
    <comment authorId="0" ref="G71">
      <text>
        <t xml:space="preserve">damage increased by +10% against frozen targets (DDC)
deals reduced ignition damage</t>
      </text>
    </comment>
    <comment authorId="0" ref="I71">
      <text>
        <t xml:space="preserve">Exclusively benefits from stasis reserves mods</t>
      </text>
    </comment>
    <comment authorId="0" ref="J71">
      <text>
        <t xml:space="preserve">Fire rate is closer to 55</t>
      </text>
    </comment>
    <comment authorId="0" ref="H5">
      <text>
        <t xml:space="preserve">Effective magazine size due to Fourth Time's the Charm
</t>
      </text>
    </comment>
    <comment authorId="0" ref="I5">
      <text>
        <t xml:space="preserve">Effective reserves size due to Fourth Time's the Charm
</t>
      </text>
    </comment>
    <comment authorId="0" ref="J38">
      <text>
        <t xml:space="preserve">In-game lists fire rate as 1000, measured RPM is closer to 900</t>
      </text>
    </comment>
    <comment authorId="0" ref="K71">
      <text>
        <t xml:space="preserve">Custom reload animation
Reloads entire magazine</t>
      </text>
    </comment>
    <comment authorId="0" ref="M104">
      <text>
        <t xml:space="preserve">Unblighted Impact damage 
0.72 s delay between initial impact and blight status
deals 17 ticks damage every ~0.56 s (~9.5 s blight status duration)
Bonus damage on reblight while blight status is active
Blight on ground DOT delay after impact: ~1.1 s
Blight on ground DOT: 14 ticks every ~0.27 s (~3.7 s floor blight duration) </t>
      </text>
    </comment>
    <comment authorId="0" ref="K5">
      <text>
        <t xml:space="preserve">Rapid-Fire intrinsic increases on empty reload</t>
      </text>
    </comment>
    <comment authorId="0" ref="J121">
      <text>
        <t xml:space="preserve">Glaive melee attack speed (swings per minute)
</t>
      </text>
    </comment>
    <comment authorId="0" ref="J88">
      <text>
        <t xml:space="preserve">listed RPM is measured RPM</t>
      </text>
    </comment>
    <comment authorId="0" ref="J55">
      <text>
        <t xml:space="preserve">Delay between charging bursts
~0.58 seconds</t>
      </text>
    </comment>
    <comment authorId="0" ref="K55">
      <text>
        <t xml:space="preserve">Custom reload animation
</t>
      </text>
    </comment>
    <comment authorId="0" ref="J22">
      <text>
        <t xml:space="preserve">Every round takes ~1.37 seconds to fire when under the effects of a rally barricade</t>
      </text>
    </comment>
    <comment authorId="0" ref="A6">
      <text>
        <t xml:space="preserve">FTTC - Fourth Time's the Charm</t>
      </text>
    </comment>
    <comment authorId="0" ref="J105">
      <text>
        <t xml:space="preserve">listed RPM is 72
assumes actual RPM is same as a normal wave frame</t>
      </text>
    </comment>
    <comment authorId="0" ref="J39">
      <text>
        <t xml:space="preserve">In-game lists fire rate as 1000, measured RPM is closer to 900</t>
      </text>
    </comment>
    <comment authorId="0" ref="K72">
      <text>
        <t xml:space="preserve">0.68 s on initial shell
</t>
      </text>
    </comment>
    <comment authorId="0" ref="M105">
      <text>
        <t xml:space="preserve">Blast radius has no effect on damage
No impact damage</t>
      </text>
    </comment>
    <comment authorId="0" ref="K6">
      <text>
        <t xml:space="preserve">Rapid-Fire intrinsic increases on empty reload</t>
      </text>
    </comment>
    <comment authorId="0" ref="A89">
      <text>
        <t xml:space="preserve">One effective way to achieve slide spam on controller is to bind tap sprint and double-press hold-crouch to the same button.
What effectively happens when you double-press the sprint button is:
Tap &gt; activate sprint
&gt; tap &gt; activate hold crouch
&gt; sprinting and crouching activates sliding, and hold crouch deactivates because you let go of the button, leading you to stand after the slide instead of crouching.</t>
      </text>
    </comment>
    <comment authorId="0" ref="J122">
      <text>
        <t xml:space="preserve">Shot delay of ~0.5 s after firing</t>
      </text>
    </comment>
    <comment authorId="0" ref="J89">
      <text>
        <t xml:space="preserve">Effective rpm is 75. 
Slides take ~0.8 seconds.</t>
      </text>
    </comment>
    <comment authorId="0" ref="J56">
      <text>
        <t xml:space="preserve">Delay between charging bursts
~0.56 seconds</t>
      </text>
    </comment>
    <comment authorId="0" ref="K89">
      <text>
        <t xml:space="preserve">Slides take ~0.8 seconds.
Grenade is auto-loaded at ~0.33 seconds into the slide.</t>
      </text>
    </comment>
    <comment authorId="0" ref="J23">
      <text>
        <t xml:space="preserve">Every round takes ~1.37 seconds to fire when under the effects of a rally barricade</t>
      </text>
    </comment>
    <comment authorId="0" ref="F73">
      <text>
        <t xml:space="preserve">total damage with the first two rounds unbuffed</t>
      </text>
    </comment>
    <comment authorId="0" ref="J40">
      <text>
        <t xml:space="preserve">In-game lists fire rate as 1000, measured RPM is closer to 900</t>
      </text>
    </comment>
    <comment authorId="0" ref="K73">
      <text>
        <t xml:space="preserve">0.68 s on initial shell
</t>
      </text>
    </comment>
    <comment authorId="0" ref="J123">
      <text>
        <t xml:space="preserve">Shot delay of ~0.5 s after firing</t>
      </text>
    </comment>
    <comment authorId="0" ref="J90">
      <text>
        <t xml:space="preserve">listed RPM is 72
measured RPM is closer to ~90</t>
      </text>
    </comment>
    <comment authorId="0" ref="J57">
      <text>
        <t xml:space="preserve">Delay between charging bursts
~0.82 seconds
~0.18 seconds per pellet shot</t>
      </text>
    </comment>
    <comment authorId="0" ref="J24">
      <text>
        <t xml:space="preserve">Every round takes ~1.37 seconds to fire when under the effects of a rally barricade</t>
      </text>
    </comment>
    <comment authorId="0" ref="M90">
      <text>
        <t xml:space="preserve">Blast radius has no effect on damage
No impact damage</t>
      </text>
    </comment>
    <comment authorId="0" ref="O24">
      <text>
        <t xml:space="preserve">The Master scales up to 100x, but difference in damage between 20x and 100x is very minimal (See DDC).</t>
      </text>
    </comment>
    <comment authorId="0" ref="H8">
      <text>
        <t xml:space="preserve">Effective magazine size due to Triple Tap
</t>
      </text>
    </comment>
    <comment authorId="0" ref="I8">
      <text>
        <t xml:space="preserve">Effective reserves size due to Triple Tap
</t>
      </text>
    </comment>
    <comment authorId="0" ref="J41">
      <text>
        <t xml:space="preserve">In-game lists fire rate as 1000, measured RPM is closer to 900</t>
      </text>
    </comment>
    <comment authorId="0" ref="C58">
      <text>
        <t xml:space="preserve">melee lunge takes ~1 second
Saint's Fists increases basic (unpowered) melee damage by 300%</t>
      </text>
    </comment>
    <comment authorId="0" ref="D58">
      <text>
        <t xml:space="preserve">melee lunge takes ~1 second
Saint's Fists increases basic (unpowered) melee damage by 300%</t>
      </text>
    </comment>
    <comment authorId="0" ref="J124">
      <text>
        <t xml:space="preserve">Shot delay of ~0.5 s after firing</t>
      </text>
    </comment>
    <comment authorId="0" ref="J91">
      <text>
        <t xml:space="preserve">Assumes listed RPM is measured RPM (not yet tested)</t>
      </text>
    </comment>
    <comment authorId="0" ref="J58">
      <text>
        <t xml:space="preserve">Delay between charging bursts reduced to
~0.72 seconds
~0.18 seconds per pellet shot
charge rate reduced to ~0.67</t>
      </text>
    </comment>
    <comment authorId="0" ref="C42">
      <text>
        <t xml:space="preserve">1-mag burst DPS</t>
      </text>
    </comment>
    <comment authorId="0" ref="D42">
      <text>
        <t xml:space="preserve">Catalyst only allows 1 magazine of boosted damage</t>
      </text>
    </comment>
    <comment authorId="0" ref="F42">
      <text>
        <t xml:space="preserve">Damage of one magazine</t>
      </text>
    </comment>
    <comment authorId="0" ref="G42">
      <text>
        <t xml:space="preserve">freezes after 10 rounds
gains bonus damage for 10 rounds more rounds
shatter
repeat</t>
      </text>
    </comment>
    <comment authorId="0" ref="H9">
      <text>
        <t xml:space="preserve">Effective magazine size due to Fourth Time's the Charm
</t>
      </text>
    </comment>
    <comment authorId="0" ref="I9">
      <text>
        <t xml:space="preserve">Effective reserves size due to Fourth Time's the Charm
</t>
      </text>
    </comment>
    <comment authorId="0" ref="J42">
      <text>
        <t xml:space="preserve">In-game lists fire rate as 1000, measured RPM is closer to 900</t>
      </text>
    </comment>
    <comment authorId="0" ref="K75">
      <text>
        <t xml:space="preserve">Custom reload animation
</t>
      </text>
    </comment>
    <comment authorId="0" ref="A59">
      <text>
        <t xml:space="preserve">For all shotguns, the sustained DPS setup is, unless otherwise stated:
Expend all ammunition &gt; reload entire magazine &gt; repeat
All pellet shotguns assume body damage to make comparison a little more realistic
Any shotgun that fires at less than 88 rpm (initial shell reload is faster than the fire rate) is capable of reload-cancelling to achieve its True DPS; the shotguns that can achieve their True DPS by reload-cancelling include:
&gt; Precision
&gt; Pinpoint Slug
&gt; Aggressive
&gt; Lightweight
&gt; The Chaperone
Additionally, despite having a different reload animation, Duality is also capable of reload-cancelling into its True DPS due to a faster reload than its fire rate.
IMPORTANT NOTE: weapons CANNOT exceed their intended fire-rates. This is includes when reload-cancelling.</t>
      </text>
    </comment>
    <comment authorId="0" ref="C92">
      <text>
        <t xml:space="preserve">Assumes the AoE lands the moment after expiration
a ~0.4 second delay between impact and first AoE tick when considering only 1 projectile
AoE damage is 1325 per tick, at 22 total ticks per AoE and ~0.27 s per tick (~5.94 seconds total)
Enemies only take damage from 1 AoE at a time</t>
      </text>
    </comment>
    <comment authorId="0" ref="F92">
      <text>
        <t xml:space="preserve">Assumes you a single shot of the burst per magazine and let the AoE go in full effect</t>
      </text>
    </comment>
    <comment authorId="0" ref="G92">
      <text>
        <t xml:space="preserve">fires 5 projectiles, with a ~0.13 s delay between each projectile
22 total ticks per AoE and ~0.27 s per tick (~5.94 seconds total)</t>
      </text>
    </comment>
    <comment authorId="0" ref="J125">
      <text>
        <t xml:space="preserve">Adaptive Burst
charge delay of ~0.91 s after firing
~0.20 s per bolt
</t>
      </text>
    </comment>
    <comment authorId="0" ref="J92">
      <text>
        <t xml:space="preserve">listed rpm is 72
actual rpm has not been measured yet</t>
      </text>
    </comment>
    <comment authorId="0" ref="J26">
      <text>
        <t xml:space="preserve">In-game lists fire rate as 1000, measured RPM is closer to 900</t>
      </text>
    </comment>
    <comment authorId="0" ref="K59">
      <text>
        <t xml:space="preserve">0.68 s on initial shell
No appreciable reload speed boost from Rapid-Fire intrinsic on initial shell</t>
      </text>
    </comment>
    <comment authorId="0" ref="L92">
      <text>
        <t xml:space="preserve">a ~0.4 second delay between impact and first AoE tick when considering only 1 projectile
22 total ticks per AoE and ~0.27 s per tick (~5.94 seconds total)</t>
      </text>
    </comment>
    <comment authorId="0" ref="M92">
      <text>
        <t xml:space="preserve">impact damage</t>
      </text>
    </comment>
    <comment authorId="0" ref="A43">
      <text>
        <t xml:space="preserve">Normal fusion rifles were measured to have a rate of approximately 1 bolt every 2 frames for every burst for 60 FPS footage</t>
      </text>
    </comment>
    <comment authorId="0" ref="J109">
      <text>
        <t xml:space="preserve">Glaive melee attack speed (swings per minute)
</t>
      </text>
    </comment>
    <comment authorId="0" ref="J43">
      <text>
        <t xml:space="preserve">Delay between charging bursts
~0.63 seconds</t>
      </text>
    </comment>
    <comment authorId="0" ref="K76">
      <text>
        <t xml:space="preserve">Custom reload animation
</t>
      </text>
    </comment>
    <comment authorId="0" ref="K43">
      <text>
        <t xml:space="preserve">Rapid-Fire intrinsic increases on empty reload</t>
      </text>
    </comment>
    <comment authorId="0" ref="C126">
      <text>
        <t xml:space="preserve">DPS of initial magazine</t>
      </text>
    </comment>
    <comment authorId="0" ref="C93">
      <text>
        <t xml:space="preserve">Assumes you fire the moment before AoE expiration
fires 5 projectiles, with a ~0.13 s delay between each projectile
22 total ticks per AoE and ~0.27 s per tick (~5.94 seconds total)
Enemies only take damage from 1 AoE at a time</t>
      </text>
    </comment>
    <comment authorId="0" ref="D126">
      <text>
        <t xml:space="preserve">Average DPS over entire reserves</t>
      </text>
    </comment>
    <comment authorId="0" ref="F126">
      <text>
        <t xml:space="preserve">Spawns 3 threadlings upon 3 consecutive hits. 
Spindle grants +2% damage per threadling hit on any enemy.</t>
      </text>
    </comment>
    <comment authorId="0" ref="F93">
      <text>
        <t xml:space="preserve">Assumes you fire full bursts per magazine and let the AoE go in full effect</t>
      </text>
    </comment>
    <comment authorId="0" ref="G126">
      <text>
        <t xml:space="preserve">damage of initial magazine
Spawns 3 threadlings upon 3 consecutive hits. 
Spindle grants +2% damage per threadling hit on any enemy.</t>
      </text>
    </comment>
    <comment authorId="0" ref="G93">
      <text>
        <t xml:space="preserve">fires 5 projectiles, with a ~0.13 s delay between each projectile
22 total ticks per AoE and ~0.27 s per tick (~5.94 seconds total)</t>
      </text>
    </comment>
    <comment authorId="0" ref="J126">
      <text>
        <t xml:space="preserve">Adaptive Burst
charge delay of ~0.91 s after firing
~0.20 s per bolt
</t>
      </text>
    </comment>
    <comment authorId="0" ref="J93">
      <text>
        <t xml:space="preserve">listed rpm is 72
actual rpm has not been measured yet</t>
      </text>
    </comment>
    <comment authorId="0" ref="J27">
      <text>
        <t xml:space="preserve">In-game lists fire rate as 1000, measured RPM is closer to 900</t>
      </text>
    </comment>
    <comment authorId="0" ref="K60">
      <text>
        <t xml:space="preserve">0.68 s on initial shell
No appreciable reload speed boost from Rapid-Fire intrinsic on initial shell</t>
      </text>
    </comment>
    <comment authorId="0" ref="L93">
      <text>
        <t xml:space="preserve">fires 5 projectiles, with a ~0.13 s delay between each projectile
22 total ticks per AoE and ~0.27 s per tick (~5.94 seconds total)</t>
      </text>
    </comment>
    <comment authorId="0" ref="M93">
      <text>
        <t xml:space="preserve">impact damage</t>
      </text>
    </comment>
    <comment authorId="0" ref="J110">
      <text>
        <t xml:space="preserve">Glaive melee attack speed (swings per minute)
</t>
      </text>
    </comment>
    <comment authorId="0" ref="H11">
      <text>
        <t xml:space="preserve">Effective magazine size due to Triple Tap
</t>
      </text>
    </comment>
    <comment authorId="0" ref="J44">
      <text>
        <t xml:space="preserve">Delay between charging bursts
~0.63 seconds</t>
      </text>
    </comment>
    <comment authorId="0" ref="I11">
      <text>
        <t xml:space="preserve">Effective reserves size due to Triple Tap
</t>
      </text>
    </comment>
    <comment authorId="0" ref="K77">
      <text>
        <t xml:space="preserve">Custom reload animation
</t>
      </text>
    </comment>
    <comment authorId="0" ref="C127">
      <text>
        <t xml:space="preserve">1-mag DPS of the initial magazine
Assumes damage rotation per magazine:
burst 1 
burst 2, spawn threadlings
burst 3, threadlings fall
threadlings hit
burst 4, spawn threadlings
burst 5, threadlings fall
threadlings hit
burst 6, spawn threadlings
reload
threadlings fall and hit during reload
Spawns 3 threadlings upon 3 consecutive hits. 
This is the DPS before the second set of threadlings hit anything</t>
      </text>
    </comment>
    <comment authorId="0" ref="C94">
      <text>
        <t xml:space="preserve">actual rpm is to be measured (see the TODO page note on this)</t>
      </text>
    </comment>
    <comment authorId="0" ref="D127">
      <text>
        <t xml:space="preserve">Average DPS over entire reserves
Assumes damage rotation per magazine:
burst 1 
burst 2, spawn threadlings
burst 3, threadlings fall
threadlings hit
burst 4, spawn threadlings
burst 5, threadlings fall
threadlings hit
burst 6, spawn threadlings
reload
threadlings fall and hit during reload</t>
      </text>
    </comment>
    <comment authorId="0" ref="D94">
      <text>
        <t xml:space="preserve">Spamming shots
fires 5 projectiles, with a ~0.13 s delay between each projectile</t>
      </text>
    </comment>
    <comment authorId="0" ref="F127">
      <text>
        <t xml:space="preserve">Spawns three threadlings upon three consecutive hits. 
Assumes damage rotation per magazine:
burst 1 
burst 2, spawn threadlings
burst 3, threadlings fall
threadlings hit
burst 4, spawn threadlings
burst 5, threadlings fall
threadlings hit
burst 6, spawn threadlings
reload
threadlings fall and hit during reload
Spindle grants +2% damage per threadling hit on any enemy.</t>
      </text>
    </comment>
    <comment authorId="0" ref="G127">
      <text>
        <t xml:space="preserve">Damage of initial magazine
Assumes damage rotation per magazine:
burst 1 
burst 2, spawn threadlings
burst 3, threadlings fall
threadlings hit
burst 4, spawn threadlings
burst 5, threadlings fall
threadlings hit
burst 6, spawn threadlings
reload
threadlings fall and hit during reload
Spawns 3 threadlings upon 3 consecutive hits. 
Spindle grants +2% damage per threadling hit on any enemy.</t>
      </text>
    </comment>
    <comment authorId="0" ref="G94">
      <text>
        <t xml:space="preserve">fires 5 projectiles, with a ~0.13 s delay between each projectile
AoE damage is 1325 per tick, at 22 total ticks per AoE and ~0.27 s per tick</t>
      </text>
    </comment>
    <comment authorId="0" ref="J127">
      <text>
        <t xml:space="preserve">Adaptive Burst
charge delay of ~0.91 s after firing
~0.20 s per bolt
</t>
      </text>
    </comment>
    <comment authorId="0" ref="J94">
      <text>
        <t xml:space="preserve">listed rpm is 72
actual rpm has not been measured yet</t>
      </text>
    </comment>
    <comment authorId="0" ref="J28">
      <text>
        <t xml:space="preserve">In-game lists fire rate as 1000, measured RPM is closer to 900</t>
      </text>
    </comment>
    <comment authorId="0" ref="K61">
      <text>
        <t xml:space="preserve">0.68 s on initial shell
No appreciable reload speed boost from Rapid-Fire intrinsic on initial shell</t>
      </text>
    </comment>
    <comment authorId="0" ref="L94">
      <text>
        <t xml:space="preserve">fires 5 projectiles, with a ~0.13 s delay between each projectile</t>
      </text>
    </comment>
    <comment authorId="0" ref="M94">
      <text>
        <t xml:space="preserve">impact damage</t>
      </text>
    </comment>
    <comment authorId="0" ref="H12">
      <text>
        <t xml:space="preserve">Effective magazine size due to Fourth Time's the Charm
</t>
      </text>
    </comment>
    <comment authorId="0" ref="J45">
      <text>
        <t xml:space="preserve">Delay between charging bursts
~0.55 seconds</t>
      </text>
    </comment>
    <comment authorId="0" ref="I12">
      <text>
        <t xml:space="preserve">Effective reserves size due to Fourth Time's the Charm
</t>
      </text>
    </comment>
    <comment authorId="0" ref="K78">
      <text>
        <t xml:space="preserve">Custom reload animation
</t>
      </text>
    </comment>
    <comment authorId="0" ref="C95">
      <text>
        <t xml:space="preserve">a moth spawns every 2 hits, cooldown of 3 seconds per moth</t>
      </text>
    </comment>
    <comment authorId="0" ref="C29">
      <text>
        <t xml:space="preserve">1-orb melee DPS 
Slam takes ~0.8 seconds
</t>
      </text>
    </comment>
    <comment authorId="0" ref="H128">
      <text>
        <t xml:space="preserve">in hip-fire, shoots 5 rounds per shot</t>
      </text>
    </comment>
    <comment authorId="0" ref="K62">
      <text>
        <t xml:space="preserve">0.68 s on initial shell
</t>
      </text>
    </comment>
    <comment authorId="0" ref="N29">
      <text>
        <t xml:space="preserve">Airborne swing</t>
      </text>
    </comment>
    <comment authorId="0" ref="C79">
      <text>
        <t xml:space="preserve">ignition every 75 shots</t>
      </text>
    </comment>
    <comment authorId="0" ref="D79">
      <text>
        <t xml:space="preserve">ignition every 75 shots</t>
      </text>
    </comment>
    <comment authorId="0" ref="F13">
      <text>
        <t xml:space="preserve">Shot counter for lightning strikes does not reset on reload</t>
      </text>
    </comment>
    <comment authorId="0" ref="G13">
      <text>
        <t xml:space="preserve">This discounts the additional strikes around the target, only counting the center two on the target.
This assumes an additional lightning strike due to the precision counter persisting through the reload</t>
      </text>
    </comment>
    <comment authorId="0" ref="J112">
      <text>
        <t xml:space="preserve">Glaive melee attack speed (swings per minute)
</t>
      </text>
    </comment>
    <comment authorId="0" ref="J46">
      <text>
        <t xml:space="preserve">Delay between charging bursts
~0.50 seconds</t>
      </text>
    </comment>
    <comment authorId="0" ref="K79">
      <text>
        <t xml:space="preserve">Custom reload animation
</t>
      </text>
    </comment>
    <comment authorId="0" ref="K13">
      <text>
        <t xml:space="preserve">Cloudstrike has benefits from Alloy Magazine</t>
      </text>
    </comment>
    <comment authorId="0" ref="C96">
      <text>
        <t xml:space="preserve">a moth spawns every 2 hits, cooldown of 3 seconds per moth</t>
      </text>
    </comment>
    <comment authorId="0" ref="C30">
      <text>
        <t xml:space="preserve">Slam takes ~0.8 seconds
</t>
      </text>
    </comment>
    <comment authorId="0" ref="D63">
      <text>
        <t xml:space="preserve">Melee (lunge) takes ~1 second
Reload-cancelling bottlenecks the gun to its fire-rate</t>
      </text>
    </comment>
    <comment authorId="0" ref="H129">
      <text>
        <t xml:space="preserve">in hip-fire, shoots 5 rounds per shot</t>
      </text>
    </comment>
    <comment authorId="0" ref="J96">
      <text>
        <t xml:space="preserve">Measured fire rate at max enraged</t>
      </text>
    </comment>
    <comment authorId="0" ref="J30">
      <text>
        <t xml:space="preserve">Drains 1 ammo per 0.25 s, and then 1 ammo per 0.5 s at last 3 ammo
</t>
      </text>
    </comment>
    <comment authorId="0" ref="K63">
      <text>
        <t xml:space="preserve">0.68 s on initial shell
</t>
      </text>
    </comment>
    <comment authorId="0" ref="M129">
      <text>
        <t xml:space="preserve">Deals the same damage regardless of how much ammo is used for the shot if the projectile isn't split (1 round deals the same as 5 in hip-fire)</t>
      </text>
    </comment>
    <comment authorId="0" ref="C80">
      <text>
        <t xml:space="preserve">ignition every 75 shots</t>
      </text>
    </comment>
    <comment authorId="0" ref="D80">
      <text>
        <t xml:space="preserve">ignition every 75 shots</t>
      </text>
    </comment>
    <comment authorId="0" ref="F14">
      <text>
        <t xml:space="preserve">Shot counter for lightning strikes does not reset on reload</t>
      </text>
    </comment>
    <comment authorId="0" ref="G14">
      <text>
        <t xml:space="preserve">Lightning Storm = 6773 + 11287
This discounts the additional strikes around the target, only counting the center two on the target.
This assumes an additional lightning strike due to the precision counter persisting through the reload</t>
      </text>
    </comment>
    <comment authorId="0" ref="H14">
      <text>
        <t xml:space="preserve">Effective magazine size due to Triple Tap
</t>
      </text>
    </comment>
    <comment authorId="0" ref="I14">
      <text>
        <t xml:space="preserve">Effective reserves size due to Triple Tap
</t>
      </text>
    </comment>
    <comment authorId="0" ref="J47">
      <text>
        <t xml:space="preserve">Delay between charging bursts
~0.52 seconds</t>
      </text>
    </comment>
    <comment authorId="0" ref="K80">
      <text>
        <t xml:space="preserve">Custom reload animation
</t>
      </text>
    </comment>
    <comment authorId="0" ref="K14">
      <text>
        <t xml:space="preserve">Cloudstrike has benefits from Alloy Magazine</t>
      </text>
    </comment>
    <comment authorId="0" ref="J31">
      <text>
        <t xml:space="preserve">In-game lists fire rate as 1000, measured RPM is closer to 900</t>
      </text>
    </comment>
    <comment authorId="0" ref="K64">
      <text>
        <t xml:space="preserve">0.68 s on initial shell
</t>
      </text>
    </comment>
    <comment authorId="0" ref="M97">
      <text>
        <t xml:space="preserve">Unblighted Impact damage 
0.72 s delay between initial impact and blight status
deals 17 ticks damage every ~0.56 s (~9.5 s blight status duration)
Bonus damage on reblight while blight status is active
Blight on ground DOT delay after impact: ~1.1 s
Blight on ground DOT: 14 ticks every ~0.27 s (~3.7 s floor blight duration) </t>
      </text>
    </comment>
    <comment authorId="0" ref="C81">
      <text>
        <t xml:space="preserve">ignition every 45 shots</t>
      </text>
    </comment>
    <comment authorId="0" ref="D81">
      <text>
        <t xml:space="preserve">ignition every 45 shots</t>
      </text>
    </comment>
    <comment authorId="0" ref="J114">
      <text>
        <t xml:space="preserve">Glaive melee attack speed (swings per minute)
</t>
      </text>
    </comment>
    <comment authorId="0" ref="J48">
      <text>
        <t xml:space="preserve">Delay between charging bursts
~0.55 seconds</t>
      </text>
    </comment>
    <comment authorId="0" ref="K81">
      <text>
        <t xml:space="preserve">Custom reload animation
</t>
      </text>
    </comment>
    <comment authorId="0" ref="J131">
      <text>
        <t xml:space="preserve">Listed RPM is 200, but fires closer to ~57 rpm</t>
      </text>
    </comment>
    <comment authorId="0" ref="J32">
      <text>
        <t xml:space="preserve">In-game lists fire rate as 1000, measured RPM is closer to 900</t>
      </text>
    </comment>
    <comment authorId="0" ref="K65">
      <text>
        <t xml:space="preserve">0.68 s on initial shell
</t>
      </text>
    </comment>
    <comment authorId="0" ref="M98">
      <text>
        <t xml:space="preserve">Unblighted Impact damage 
0.72 s delay between initial impact and blight status
deals 17 ticks damage every ~0.56 s (~9.5 s blight status duration)
Bonus damage on reblight while blight status is active
Blight on ground DOT delay after impact: ~1.1 s
Blight on ground DOT: 14 ticks every ~0.27 s (~3.7 s floor blight duration) </t>
      </text>
    </comment>
    <comment authorId="0" ref="N32">
      <text>
        <t xml:space="preserve">Penance is an orb with a 1.3x damage debuff for Divinity alone</t>
      </text>
    </comment>
    <comment authorId="0" ref="C82">
      <text>
        <t xml:space="preserve">ignition every 45 shots</t>
      </text>
    </comment>
    <comment authorId="0" ref="C49">
      <text>
        <t xml:space="preserve">DPS of initial magazine, beginning at x0 Conserve Momentum</t>
      </text>
    </comment>
    <comment authorId="0" ref="D82">
      <text>
        <t xml:space="preserve">ignition every 45 shots</t>
      </text>
    </comment>
    <comment authorId="0" ref="D49">
      <text>
        <t xml:space="preserve">DPS of entire reserves + initial windup</t>
      </text>
    </comment>
    <comment authorId="0" ref="F49">
      <text>
        <t xml:space="preserve">Total damage while considering wind-up damage</t>
      </text>
    </comment>
    <comment authorId="0" ref="G49">
      <text>
        <t xml:space="preserve">Damage of initial magazine while stacking up Conserve Momentum</t>
      </text>
    </comment>
    <comment authorId="0" ref="J115">
      <text>
        <t xml:space="preserve">Glaive melee attack speed (swings per minute)
</t>
      </text>
    </comment>
    <comment authorId="0" ref="J49">
      <text>
        <t xml:space="preserve">Assuming all bolts land:
&gt; First Burst, Conserve Momentum x0
Charge: 1000 ms
Delay: 472 ms
&gt; Second burst, Conserve Momentum x5
Charge: ~755 ms
Delay: 388 ms
&gt; Third burst, Conserve Momentum x10
Charge: ~492 ms
Delay: 309 ms
&gt; Subsequent bursts, Conserve Momentum x15
Charge: 216 ms (DDC)
Delay: 286 ms
</t>
      </text>
    </comment>
    <comment authorId="0" ref="K82">
      <text>
        <t xml:space="preserve">Custom reload animation
</t>
      </text>
    </comment>
    <comment authorId="0" ref="M115">
      <text>
        <t xml:space="preserve">Void overshield provides +20% melee damage (DDC)</t>
      </text>
    </comment>
    <comment authorId="0" ref="K16">
      <text>
        <t xml:space="preserve">Unaffected by anything and everything when loading Honed Edge rounds</t>
      </text>
    </comment>
    <comment authorId="0" ref="M49">
      <text>
        <t xml:space="preserve">See Weapon Specifics for burst damages</t>
      </text>
    </comment>
    <comment authorId="0" ref="J33">
      <text>
        <t xml:space="preserve">In-game lists fire rate as 1000, measured RPM is closer to 900</t>
      </text>
    </comment>
    <comment authorId="0" ref="K66">
      <text>
        <t xml:space="preserve">0.68 s on initial shell
</t>
      </text>
    </comment>
    <comment authorId="0" ref="M99">
      <text>
        <t xml:space="preserve">Unblighted Impact damage 
0.72 s delay between initial impact and blight status
deals 17 ticks damage every ~0.56 s (~9.5 s blight status duration)
Bonus damage on reblight while blight status is active
Blight on ground DOT delay after impact: ~1.1 s
Blight on ground DOT: 14 ticks every ~0.27 s (~3.7 s floor blight duration) </t>
      </text>
    </comment>
    <comment authorId="0" ref="N33">
      <text>
        <t xml:space="preserve">Hits damage cap after 41 rounds</t>
      </text>
    </comment>
    <comment authorId="0" ref="C50">
      <text>
        <t xml:space="preserve">DPS of initial magazine, beginning at x5 Conserve Momentum
use final burst to refresh Impetus</t>
      </text>
    </comment>
    <comment authorId="0" ref="C17">
      <text>
        <t xml:space="preserve">Golden gun cast takes 1.72 seconds
</t>
      </text>
    </comment>
    <comment authorId="0" ref="D50">
      <text>
        <t xml:space="preserve">DPS of entire reserves + initial windup while refreshing Impetus on final burst</t>
      </text>
    </comment>
    <comment authorId="0" ref="D17">
      <text>
        <t xml:space="preserve">Golden gun cast takes 1.72 seconds
this models the gun in the loop:
fire shots
cast golden gun
fire golden gun
reload
casting golden gun reloads the magazine from reserves, and therefore for tighter time frames it may more beneficial to keep firing after firing the golden gun shots instead of reloading
you will likely achieve a higher 1-mag burst DPS than this figure due to the reload on cast in stricter time frames, in the moment before the second reload is required</t>
      </text>
    </comment>
    <comment authorId="0" ref="F50">
      <text>
        <t xml:space="preserve">Total damage while considering wind-up damage
use up 1 burst each magazine to refresh Impetus
assumes initial burst, all five shots build Conserve Momentum and kill an add</t>
      </text>
    </comment>
    <comment authorId="0" ref="F17">
      <text>
        <t xml:space="preserve">assumes you start with a golden gun shot ready</t>
      </text>
    </comment>
    <comment authorId="0" ref="G50">
      <text>
        <t xml:space="preserve">Damage of initial magazine while stacking up Conserve Momentum
use final burst to kill an add to refresh Impetus</t>
      </text>
    </comment>
    <comment authorId="0" ref="G17">
      <text>
        <t xml:space="preserve">golden gun is ready after 6 shots
3 ammo is refunded on golden gun cast</t>
      </text>
    </comment>
    <comment authorId="0" ref="J50">
      <text>
        <t xml:space="preserve">Assuming all bolts land:
&gt; First Burst, Conserve Momentum x0
Charge: 1000 ms
Delay: 472 ms
&gt; Second burst, Conserve Momentum x5
Charge: ~755 ms
Delay: 388 ms
&gt; Third burst, Conserve Momentum x10
Charge: ~492 ms
Delay: 309 ms
&gt; Subsequent bursts, Conserve Momentum x15
Charge: 216 ms (DDC)
Delay: 286 ms
</t>
      </text>
    </comment>
    <comment authorId="0" ref="K83">
      <text>
        <t xml:space="preserve">Custom reload animation
Reloads entire magazine
Alloy Magazine grants 0.8x reload duration multiplier (DDC)
Can reload-cancel like Legend of Acrius with base reload speed</t>
      </text>
    </comment>
    <comment authorId="0" ref="K50">
      <text>
        <t xml:space="preserve">kills grant 0.66x reload duration multiplier (DDC)</t>
      </text>
    </comment>
    <comment authorId="0" ref="L50">
      <text>
        <t xml:space="preserve">during DPS, kill an add and reload
first magazine timing is tight with Impetus, where:
(0.755+0.388)+(0.492+0.309)+(0.216+0.286)*5 = 4.454 seconds
For comparison, Impetus duration is 4.5 seconds (DDC)</t>
      </text>
    </comment>
    <comment authorId="0" ref="L17">
      <text>
        <t xml:space="preserve">assumes you cast golden gun in advance and only charge the weapon with precision hits</t>
      </text>
    </comment>
    <comment authorId="0" ref="M50">
      <text>
        <t xml:space="preserve">See Weapon Specifics for burst damages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4">
      <text>
        <t xml:space="preserve">Whisper of Fissures adds an additional damage instance on crystal shatter
Assumes boss naturally shatters on its own and ends up shattering nearby crystals
Assumes the PERFECT damage rotation:
shoot first wave
boss is frozen
shoot second wave
boss shatters
both sets of crystals detonate
repeat</t>
      </text>
    </comment>
    <comment authorId="0" ref="D34">
      <text>
        <t xml:space="preserve">No reload time considered, borrows from true DPS</t>
      </text>
    </comment>
    <comment authorId="0" ref="F34">
      <text>
        <t xml:space="preserve">5 crystals total, first crystal usually shatters first and then the target freezes.
The target will then shatter to shatter the crystals around them.</t>
      </text>
    </comment>
    <comment authorId="0" ref="G34">
      <text>
        <t xml:space="preserve">Boss shattering nearby crystals via shattering through freeze expiration will count towards refilling magazine from reserves</t>
      </text>
    </comment>
    <comment authorId="0" ref="J67">
      <text>
        <t xml:space="preserve">charge delay of ~0.91 s after firing
~0.20 s per bolt
Note: Although liquid coils and accelerated coils do not SHOW a change in charge time in-game, there is still a change in charge time</t>
      </text>
    </comment>
    <comment authorId="0" ref="J34">
      <text>
        <t xml:space="preserve">charge time is 1s for crystals</t>
      </text>
    </comment>
    <comment authorId="0" ref="K34">
      <text>
        <t xml:space="preserve">Custom reload animation</t>
      </text>
    </comment>
    <comment authorId="0" ref="M34">
      <text>
        <t xml:space="preserve">damage of first crystal, if it detonates on initial crystal wave</t>
      </text>
    </comment>
    <comment authorId="0" ref="C84">
      <text>
        <t xml:space="preserve">Melee (lunge) takes ~1 second
</t>
      </text>
    </comment>
    <comment authorId="0" ref="D84">
      <text>
        <t xml:space="preserve">Melee (lunge) takes ~1 second</t>
      </text>
    </comment>
    <comment authorId="0" ref="D51">
      <text>
        <t xml:space="preserve">Firing two-volley takes ~0.22 seconds
</t>
      </text>
    </comment>
    <comment authorId="0" ref="J51">
      <text>
        <t xml:space="preserve">listed RPM is 40
actual RPM is immeasurable</t>
      </text>
    </comment>
    <comment authorId="0" ref="K84">
      <text>
        <t xml:space="preserve">~0.68 on initial shell</t>
      </text>
    </comment>
    <comment authorId="0" ref="A35">
      <text>
        <t xml:space="preserve">WoF: Whisper of Fissures</t>
      </text>
    </comment>
    <comment authorId="0" ref="C35">
      <text>
        <t xml:space="preserve">Assumes boss is large enough that entire wave shatters as it spawns
Rotation:
Spawn wave
Crystals spawn &amp; shatter
repeat</t>
      </text>
    </comment>
    <comment authorId="0" ref="D35">
      <text>
        <t xml:space="preserve">No reload time considered, borrows from true DPS</t>
      </text>
    </comment>
    <comment authorId="0" ref="G35">
      <text>
        <t xml:space="preserve">Boss shattering nearby crystals via shattering through freeze expiration will count towards refilling magazine from reserves</t>
      </text>
    </comment>
    <comment authorId="0" ref="J68">
      <text>
        <t xml:space="preserve">Shot delay of ~0.5 s after firing</t>
      </text>
    </comment>
    <comment authorId="0" ref="J35">
      <text>
        <t xml:space="preserve">charge time is 1s for crystals</t>
      </text>
    </comment>
    <comment authorId="0" ref="K35">
      <text>
        <t xml:space="preserve">Custom reload animation</t>
      </text>
    </comment>
    <comment authorId="0" ref="M35">
      <text>
        <t xml:space="preserve">damage of first crystal, if it detonates on initial crystal wave</t>
      </text>
    </comment>
    <comment authorId="0" ref="C85">
      <text>
        <t xml:space="preserve">Melee (lunge) takes ~1 second
Reload-cancelling bottlenecks the gun to its fire-rate</t>
      </text>
    </comment>
    <comment authorId="0" ref="D85">
      <text>
        <t xml:space="preserve">No reload time considered, borrows from true DPS</t>
      </text>
    </comment>
    <comment authorId="0" ref="D52">
      <text>
        <t xml:space="preserve">Firing three-volley takes ~0.44 seconds
</t>
      </text>
    </comment>
    <comment authorId="0" ref="J52">
      <text>
        <t xml:space="preserve">listed RPM is 40
actual RPM is immeasurable</t>
      </text>
    </comment>
    <comment authorId="0" ref="A36">
      <text>
        <t xml:space="preserve">WoF: Whisper of Fissures</t>
      </text>
    </comment>
    <comment authorId="0" ref="C36">
      <text>
        <t xml:space="preserve">Whisper of Fissures adds an additional damage instance on crystal shatter
Assumes waiting 0.5 seconds to allow the target to freeze for frozen impact damage</t>
      </text>
    </comment>
    <comment authorId="0" ref="D36">
      <text>
        <t xml:space="preserve">No reload time considered, borrows from true DPS</t>
      </text>
    </comment>
    <comment authorId="0" ref="F36">
      <text>
        <t xml:space="preserve">5 crystals total, first crystal usually shatters first and then the target freezes.
The target will then shatter to shatter the crystals around them.</t>
      </text>
    </comment>
    <comment authorId="0" ref="G36">
      <text>
        <t xml:space="preserve">Shattering crystals with Salvation's Grip reloads it from reserves</t>
      </text>
    </comment>
    <comment authorId="0" ref="J69">
      <text>
        <t xml:space="preserve">charge delay of ~0.91 s after firing
~0.20 s per bolt
</t>
      </text>
    </comment>
    <comment authorId="0" ref="J36">
      <text>
        <t xml:space="preserve">charge time is 1s for crystals</t>
      </text>
    </comment>
    <comment authorId="0" ref="K36">
      <text>
        <t xml:space="preserve">Custom reload animation</t>
      </text>
    </comment>
    <comment authorId="0" ref="K3">
      <text>
        <t xml:space="preserve">Rapid-Fire intrinsic increases on empty reload</t>
      </text>
    </comment>
    <comment authorId="0" ref="M36">
      <text>
        <t xml:space="preserve">damage on impact with frozen target</t>
      </text>
    </comment>
    <comment authorId="0" ref="D53">
      <text>
        <t xml:space="preserve">Firing two-volley takes ~0.22 seconds
Ignitions occur in two rockets
</t>
      </text>
    </comment>
    <comment authorId="0" ref="G86">
      <text>
        <t xml:space="preserve">Ignition occurs every 2 bursts
Has a special instance of ignition</t>
      </text>
    </comment>
    <comment authorId="0" ref="J86">
      <text>
        <t xml:space="preserve">Shooting the beam takes ~0.5 seconds
There is a ~0.83 s delay between bursts and charging, i.e.:
charge &gt; fire burst &gt; 0.83 seconds to fire burst + delay &gt; charge</t>
      </text>
    </comment>
    <comment authorId="0" ref="J53">
      <text>
        <t xml:space="preserve">listed RPM is 40
actual RPM is immeasurable</t>
      </text>
    </comment>
    <comment authorId="0" ref="K86">
      <text>
        <t xml:space="preserve">Custom reload animation</t>
      </text>
    </comment>
    <comment authorId="0" ref="H4">
      <text>
        <t xml:space="preserve">Effective magazine size due to Triple Tap
</t>
      </text>
    </comment>
    <comment authorId="0" ref="J70">
      <text>
        <t xml:space="preserve">Shot delay of ~0.5 s after firing</t>
      </text>
    </comment>
    <comment authorId="0" ref="J37">
      <text>
        <t xml:space="preserve">listed RPM is 25
measured RPM is closer to ~75</t>
      </text>
    </comment>
    <comment authorId="0" ref="I4">
      <text>
        <t xml:space="preserve">Effective reserves size due to Triple Tap
</t>
      </text>
    </comment>
    <comment authorId="0" ref="K4">
      <text>
        <t xml:space="preserve">Rapid-Fire intrinsic increases on empty reload</t>
      </text>
    </comment>
    <comment authorId="0" ref="N70">
      <text>
        <t xml:space="preserve">Each laser can refract into 5 beams that each bounce once
Refractive beams are not considered here.</t>
      </text>
    </comment>
    <comment authorId="0" ref="D54">
      <text>
        <t xml:space="preserve">Firing three-volley takes ~0.44 seconds
Ignitions occur in two rockets</t>
      </text>
    </comment>
    <comment authorId="0" ref="G87">
      <text>
        <t xml:space="preserve">Ignition occurs every burst
Has a special instance of ignition</t>
      </text>
    </comment>
    <comment authorId="0" ref="J87">
      <text>
        <t xml:space="preserve">Shooting the beam takes ~0.5 seconds
There is a ~0.83 s delay between bursts and charging, i.e.:
charge &gt; fire burst &gt; 0.83 seconds to fire burst + delay &gt; charge</t>
      </text>
    </comment>
    <comment authorId="0" ref="J54">
      <text>
        <t xml:space="preserve">listed RPM is 40
actual RPM is immeasurable</t>
      </text>
    </comment>
    <comment authorId="0" ref="K87">
      <text>
        <t xml:space="preserve">Custom reload animation</t>
      </text>
    </comment>
    <comment authorId="0" ref="M21">
      <text>
        <t xml:space="preserve">No impact damage</t>
      </text>
    </comment>
    <comment authorId="0" ref="H5">
      <text>
        <t xml:space="preserve">Effective magazine size due to Fourth Time's the Charm</t>
      </text>
    </comment>
    <comment authorId="0" ref="J71">
      <text>
        <t xml:space="preserve">Shot delay of ~0.5 s after firing</t>
      </text>
    </comment>
    <comment authorId="0" ref="J38">
      <text>
        <t xml:space="preserve">listed RPM is 25
measured RPM is closer to ~75</t>
      </text>
    </comment>
    <comment authorId="0" ref="I5">
      <text>
        <t xml:space="preserve">Effective reserves size due to Fourth Time's the Charm</t>
      </text>
    </comment>
    <comment authorId="0" ref="K5">
      <text>
        <t xml:space="preserve">Rapid-Fire intrinsic increases on empty reload</t>
      </text>
    </comment>
    <comment authorId="0" ref="M38">
      <text>
        <t xml:space="preserve">Gjallarhorn provides 8 Wolfpack Rounds</t>
      </text>
    </comment>
    <comment authorId="0" ref="D55">
      <text>
        <t xml:space="preserve">Firing entire volley takes ~0.83 seconds</t>
      </text>
    </comment>
    <comment authorId="0" ref="J88">
      <text>
        <t xml:space="preserve">Shooting the beam takes ~0.5 seconds
There is a ~0.83 s delay between bursts and charging, i.e.:
charge &gt; fire burst &gt; 0.83 seconds to fire burst + delay &gt; charge</t>
      </text>
    </comment>
    <comment authorId="0" ref="J55">
      <text>
        <t xml:space="preserve">listed RPM is 20
actual RPM is estimated to ~72
0.83 s per burst</t>
      </text>
    </comment>
    <comment authorId="0" ref="K88">
      <text>
        <t xml:space="preserve">Custom reload animation</t>
      </text>
    </comment>
    <comment authorId="0" ref="M22">
      <text>
        <t xml:space="preserve">Blast radius has no effect on damage
No impact damage</t>
      </text>
    </comment>
    <comment authorId="0" ref="J39">
      <text>
        <t xml:space="preserve">listed RPM is 25
measured RPM is closer to ~75</t>
      </text>
    </comment>
    <comment authorId="0" ref="M39">
      <text>
        <t xml:space="preserve">bipod reduces total rocket damage by -25%</t>
      </text>
    </comment>
    <comment authorId="0" ref="D56">
      <text>
        <t xml:space="preserve">Firing until 5th rocket takes ~0.7 seconds</t>
      </text>
    </comment>
    <comment authorId="0" ref="J56">
      <text>
        <t xml:space="preserve">listed RPM is 20
actual RPM is estimated to ~72
0.83 s per burst</t>
      </text>
    </comment>
    <comment authorId="0" ref="K23">
      <text>
        <t xml:space="preserve">Custom reload animation</t>
      </text>
    </comment>
    <comment authorId="0" ref="N89">
      <text>
        <t xml:space="preserve">Perfect draws cause a volatile explosion.</t>
      </text>
    </comment>
    <comment authorId="0" ref="C73">
      <text>
        <t xml:space="preserve">DPS loop
freeze + impact + shatter
impact
</t>
      </text>
    </comment>
    <comment authorId="0" ref="D73">
      <text>
        <t xml:space="preserve">DPS loop
freeze + impact + shatter
impact
freeze + impact + shatter
reload</t>
      </text>
    </comment>
    <comment authorId="0" ref="J40">
      <text>
        <t xml:space="preserve">listed RPM is 25
measured RPM is closer to ~75</t>
      </text>
    </comment>
    <comment authorId="0" ref="M73">
      <text>
        <t xml:space="preserve">freeze + impact while frozen + shatter</t>
      </text>
    </comment>
    <comment authorId="0" ref="M40">
      <text>
        <t xml:space="preserve">bipod reduces total rocket damage by -25%
Gjallarhorn provides 8 Wolfpack Rounds</t>
      </text>
    </comment>
    <comment authorId="0" ref="D57">
      <text>
        <t xml:space="preserve">Actual fire rate is closer to 48 rpm</t>
      </text>
    </comment>
    <comment authorId="0" ref="F24">
      <text>
        <t xml:space="preserve">launches 3 bomblets per projectile that are able to deal impact + blast damage on their own.</t>
      </text>
    </comment>
    <comment authorId="0" ref="G24">
      <text>
        <t xml:space="preserve">launches 3 bomblets per projectile that are able to deal impact + blast damage on their own.</t>
      </text>
    </comment>
    <comment authorId="0" ref="I90">
      <text>
        <t xml:space="preserve">Does not benefit from reserves mods</t>
      </text>
    </comment>
    <comment authorId="0" ref="J57">
      <text>
        <t xml:space="preserve">listed RPM is 15
measured RPM is closer to ~47</t>
      </text>
    </comment>
    <comment authorId="0" ref="K24">
      <text>
        <t xml:space="preserve">Custom reload animation</t>
      </text>
    </comment>
    <comment authorId="0" ref="M57">
      <text>
        <t xml:space="preserve">Deals no impact damage (Grenades and Horseshoes)</t>
      </text>
    </comment>
    <comment authorId="0" ref="N90">
      <text>
        <t xml:space="preserve">Perfect draws cause a volatile explosion.</t>
      </text>
    </comment>
    <comment authorId="0" ref="C74">
      <text>
        <t xml:space="preserve">Gameplay loop
3 hits &gt; freeze
1 hit &gt; shatter &gt; 
4 hits &gt; freeze
1 hit &gt; shatter
No bonus damage on frozen targets</t>
      </text>
    </comment>
    <comment authorId="0" ref="J41">
      <text>
        <t xml:space="preserve">listed RPM is 20
measured RPM is closer to ~68</t>
      </text>
    </comment>
    <comment authorId="0" ref="M74">
      <text>
        <t xml:space="preserve">First melee of combo
Having any amount of ammo increases melee damage by +20%</t>
      </text>
    </comment>
    <comment authorId="0" ref="D58">
      <text>
        <t xml:space="preserve">Actual fire rate is closer to 48 rpm</t>
      </text>
    </comment>
    <comment authorId="0" ref="J91">
      <text>
        <t xml:space="preserve">listed RPM is 1000
measured RPM is closer to 900</t>
      </text>
    </comment>
    <comment authorId="0" ref="J58">
      <text>
        <t xml:space="preserve">listed RPM is 15
measured RPM is closer to ~47</t>
      </text>
    </comment>
    <comment authorId="0" ref="M58">
      <text>
        <t xml:space="preserve">There are 8 wolfpack rounds total
Provides allied legendary rocket launchers with 8 wolfpack rounds per rocket, dealing the same damage</t>
      </text>
    </comment>
    <comment authorId="0" ref="M25">
      <text>
        <t xml:space="preserve">Impact damage
Grenade lasts 10 seconds, dealing damage every 0.5 seconds</t>
      </text>
    </comment>
    <comment authorId="0" ref="C75">
      <text>
        <t xml:space="preserve">Gameplay loop
3 hits &gt; freeze
1 hit &gt; shatter &gt; 
4 hits &gt; freeze
1 hit &gt; shatter
No bonus damage on frozen targets</t>
      </text>
    </comment>
    <comment authorId="0" ref="J42">
      <text>
        <t xml:space="preserve">listed RPM is 15
measured RPM is closer to ~62</t>
      </text>
    </comment>
    <comment authorId="0" ref="M75">
      <text>
        <t xml:space="preserve">First melee of combo
Having any amount of ammo increases melee damage by +20%</t>
      </text>
    </comment>
    <comment authorId="0" ref="D92">
      <text>
        <t xml:space="preserve">sustained DPS of 100% uptime on Paracausal Imbuement</t>
      </text>
    </comment>
    <comment authorId="0" ref="F92">
      <text>
        <t xml:space="preserve">Fire off two magazines worth of ammo and then a few buffed rounds on the third, rest of the ammo is unbuffed</t>
      </text>
    </comment>
    <comment authorId="0" ref="G92">
      <text>
        <t xml:space="preserve">damage of single, buffed magazine</t>
      </text>
    </comment>
    <comment authorId="0" ref="J92">
      <text>
        <t xml:space="preserve">listed RPM is 1000
measured RPM is closer to 900</t>
      </text>
    </comment>
    <comment authorId="0" ref="J59">
      <text>
        <t xml:space="preserve">listed RPM is 15
assumes same RPM as high-impact/precision rocket launchers</t>
      </text>
    </comment>
    <comment authorId="0" ref="M26">
      <text>
        <t xml:space="preserve">Impact damage
Grenade lasts 10 seconds, dealing damage every 0.5 seconds</t>
      </text>
    </comment>
    <comment authorId="0" ref="C10">
      <text>
        <t xml:space="preserve">Assumes maximum 720 RPM + lightning strikes
Lightning strikes spawn every 10 rounds
Lightning Strikes: 4832</t>
      </text>
    </comment>
    <comment authorId="0" ref="F10">
      <text>
        <t xml:space="preserve">Lightning strikes spawn every 10 rounds</t>
      </text>
    </comment>
    <comment authorId="0" ref="G10">
      <text>
        <t xml:space="preserve">Lightning strikes spawn every 10 rounds</t>
      </text>
    </comment>
    <comment authorId="0" ref="J43">
      <text>
        <t xml:space="preserve">listed RPM is 15
measured RPM is closer to ~62</t>
      </text>
    </comment>
    <comment authorId="0" ref="J10">
      <text>
        <t xml:space="preserve">Average fire rate per magazine.
Every 13 rounds (DDC), increase RPM:
450 -&gt; 600 -&gt; 720</t>
      </text>
    </comment>
    <comment authorId="0" ref="M43">
      <text>
        <t xml:space="preserve">Gjallarhorn provides 8 Wolfpack Rounds</t>
      </text>
    </comment>
    <comment authorId="0" ref="J60">
      <text>
        <t xml:space="preserve">listed RPM is 15
assumes same RPM as high-impact/precision rocket launchers</t>
      </text>
    </comment>
    <comment authorId="0" ref="C11">
      <text>
        <t xml:space="preserve">Assumes maximum 720 RPM + lightning strikes
Lightning strikes spawn every 10 rounds
Lightning Strikes refill 13 ammo from reserves</t>
      </text>
    </comment>
    <comment authorId="0" ref="D11">
      <text>
        <t xml:space="preserve">Borrows from true DPS
Lightning strikes spawn every 10 rounds
Lightning strikes refill 13 ammo from reserves
Thunderlord refills more ammo than it spends to make a lightning strike</t>
      </text>
    </comment>
    <comment authorId="0" ref="G77">
      <text>
        <t xml:space="preserve">jolt damage occurs every 3 rounds</t>
      </text>
    </comment>
    <comment authorId="0" ref="F11">
      <text>
        <t xml:space="preserve">Lightning strikes spawn every 10 rounds</t>
      </text>
    </comment>
    <comment authorId="0" ref="G11">
      <text>
        <t xml:space="preserve">Lightning strikes spawn every 10 rounds
Lightning strikes refill 13 ammo from reserves
Thunderlord refills more ammo than it spends to make a lightning strike</t>
      </text>
    </comment>
    <comment authorId="0" ref="H11">
      <text>
        <t xml:space="preserve">Effective magazine capacity due to catalyst.
Lightning strikes spawn every 10 rounds
Lightning Strikes refill 13 ammo</t>
      </text>
    </comment>
    <comment authorId="0" ref="J44">
      <text>
        <t xml:space="preserve">listed RPM is 15
measured RPM is closer to ~62</t>
      </text>
    </comment>
    <comment authorId="0" ref="K77">
      <text>
        <t xml:space="preserve">Custom reload animation</t>
      </text>
    </comment>
    <comment authorId="0" ref="J11">
      <text>
        <t xml:space="preserve">Average fire rate per magazine.
Every 13 rounds (DDC), increase RPM:
450 -&gt; 600 -&gt; 720</t>
      </text>
    </comment>
    <comment authorId="0" ref="M44">
      <text>
        <t xml:space="preserve">bipod reduces total rocket damage by -25%</t>
      </text>
    </comment>
    <comment authorId="0" ref="C61">
      <text>
        <t xml:space="preserve">small explosions occur every ~0.76 s
final, bigger explosion in ~0.66 s
ignitions occur every ~3 seconds
for initially unscorched targets:
first ignition after firing occurs in ~1.5 s
second ignition after the first occurs in ~3 s</t>
      </text>
    </comment>
    <comment authorId="0" ref="G61">
      <text>
        <t xml:space="preserve">1 smaller explosion</t>
      </text>
    </comment>
    <comment authorId="0" ref="J61">
      <text>
        <t xml:space="preserve">listed RPM is 15
assumes same RPM as high-impact/precision rocket launchers</t>
      </text>
    </comment>
    <comment authorId="0" ref="C78">
      <text>
        <t xml:space="preserve">Assumes 100% uptime on Networked Targeting (+15.9%)</t>
      </text>
    </comment>
    <comment authorId="0" ref="D78">
      <text>
        <t xml:space="preserve">Assumes 100% uptime on Networked Targeting (+15.9%)</t>
      </text>
    </comment>
    <comment authorId="0" ref="G78">
      <text>
        <t xml:space="preserve">jolt damage occurs every 3 rounds
Damage of initial magazine that ramps up in damage
Catalyst provides an increasing precision damage bonus with successive hits (DDC):
+2.8% 
+6.1%
+9.1% 
+12.5% 
+15.9% 
Providing other allies with max stacks of Network Targeting grants D.A.R.C.I. +15% damage</t>
      </text>
    </comment>
    <comment authorId="0" ref="G12">
      <text>
        <t xml:space="preserve">Volatile explosion (2681*1/1.15 + 37) every 16 rounds</t>
      </text>
    </comment>
    <comment authorId="0" ref="J45">
      <text>
        <t xml:space="preserve">listed RPM is 15
measured RPM is closer to ~62</t>
      </text>
    </comment>
    <comment authorId="0" ref="K78">
      <text>
        <t xml:space="preserve">Custom reload animation</t>
      </text>
    </comment>
    <comment authorId="0" ref="M45">
      <text>
        <t xml:space="preserve">bipod reduces total rocket damage by -25%
Gjallarhorn provides 8 Wolfpack Rounds</t>
      </text>
    </comment>
    <comment authorId="0" ref="N78">
      <text>
        <t xml:space="preserve">Damage with max stacks of Networked Targeting</t>
      </text>
    </comment>
    <comment authorId="0" ref="N12">
      <text>
        <t xml:space="preserve">Every 4th and 16th shot does the same damage as a normal shot</t>
      </text>
    </comment>
    <comment authorId="0" ref="A29">
      <text>
        <t xml:space="preserve">WH = Worm's Hunger</t>
      </text>
    </comment>
    <comment authorId="0" ref="C62">
      <text>
        <t xml:space="preserve">Assumes a flight time of ~0.75 seconds
small explosions occur every ~0.76 s
final, bigger explosion in ~0.66 s
As the target stands in the fire pool, they take damage every 0.5 seconds
target is assumed to be constantly igniting, requiring 3 seconds to wait per ignition
for initially unscorched targets:
first ignition after firing occurs in ~1.5 s
second ignition after the first occurs in ~3 s
</t>
      </text>
    </comment>
    <comment authorId="0" ref="D29">
      <text>
        <t xml:space="preserve">Average DPS with first round having x20 Worm's Hunger</t>
      </text>
    </comment>
    <comment authorId="0" ref="G62">
      <text>
        <t xml:space="preserve">3 small explosion 
1 bigger explosion
1 ignition occurs on an unscorched target
</t>
      </text>
    </comment>
    <comment authorId="0" ref="G29">
      <text>
        <t xml:space="preserve">damage of initial 20x Worm's Hunger shot
Each stack of Worm's Hunger is +10% damage (DDC), going up to 20 stacks</t>
      </text>
    </comment>
    <comment authorId="0" ref="J62">
      <text>
        <t xml:space="preserve">listed RPM is 15
assumes same RPM as high-impact/precision rocket launchers</t>
      </text>
    </comment>
    <comment authorId="0" ref="C79">
      <text>
        <t xml:space="preserve">Assumes 100% uptime on Networked Targeting (+15.9%) and the buff from providing other allies with max stacks of Networked Targeting (+15%)</t>
      </text>
    </comment>
    <comment authorId="0" ref="D79">
      <text>
        <t xml:space="preserve">Assumes 100% uptime on Networked Targeting (+15.9%) and the buff from providing other allies with max stacks of Networked Targeting (+15%)</t>
      </text>
    </comment>
    <comment authorId="0" ref="G79">
      <text>
        <t xml:space="preserve">jolt damage occurs every 3 rounds
Damage of initial magazine that ramps up in damage
Catalyst provides an increasing precision damage bonus with successive hits (DDC):
+2.8% 
+6.1%
+9.1% 
+12.5% 
+15.9% </t>
      </text>
    </comment>
    <comment authorId="0" ref="G13">
      <text>
        <t xml:space="preserve">Volatile explosion (2681 + 37) every 16 rounds</t>
      </text>
    </comment>
    <comment authorId="0" ref="J46">
      <text>
        <t xml:space="preserve">listed RPM is 15
measured RPM is closer to ~62</t>
      </text>
    </comment>
    <comment authorId="0" ref="K79">
      <text>
        <t xml:space="preserve">Custom reload animation</t>
      </text>
    </comment>
    <comment authorId="0" ref="K46">
      <text>
        <t xml:space="preserve">Custom reload animation</t>
      </text>
    </comment>
    <comment authorId="0" ref="M79">
      <text>
        <t xml:space="preserve">Damage of buff from providing other allies with max stacks of Networked Targeting (+15%)</t>
      </text>
    </comment>
    <comment authorId="0" ref="N79">
      <text>
        <t xml:space="preserve">Damage of Networked Targeting (+15.9%) and the buff from providing other allies with max stacks of Networked Targeting (+15%)</t>
      </text>
    </comment>
    <comment authorId="0" ref="N13">
      <text>
        <t xml:space="preserve">Every 4th and 16th shot does the same damage as a normal shot</t>
      </text>
    </comment>
    <comment authorId="0" ref="C63">
      <text>
        <t xml:space="preserve">Assumes a flight time of ~0.75 seconds
small explosions occur every ~0.76 s
final, bigger explosion in ~0.66 s
As the target stands in the fire pool, they take damage every 0.5 seconds
target is assumed to be constantly igniting, requiring 3 seconds to wait per ignition
for initially unscorched targets:
first ignition after firing occurs in ~1.5 s
second ignition after the first occurs in ~3 s
</t>
      </text>
    </comment>
    <comment authorId="0" ref="G63">
      <text>
        <t xml:space="preserve">5 small explosion 
1 bigger explosion
2 ignitions occur on an unscorched target
</t>
      </text>
    </comment>
    <comment authorId="0" ref="J63">
      <text>
        <t xml:space="preserve">listed RPM is 15
assumes same RPM as high-impact/precision rocket launchers</t>
      </text>
    </comment>
    <comment authorId="0" ref="K30">
      <text>
        <t xml:space="preserve">Custom reload animation</t>
      </text>
    </comment>
    <comment authorId="0" ref="D80">
      <text>
        <t xml:space="preserve">No reload time considered, borrows from true DPS</t>
      </text>
    </comment>
    <comment authorId="0" ref="I80">
      <text>
        <t xml:space="preserve">Effective reserves size due to Whisper of the Worm regenerating 1 ammo upon 3 precision hits.
Ammo cycle, assuming all precision hits:
3 shots &gt; reload 2 from reserves, generate 1 from thin air
Effectively this is triple tap but with reloading</t>
      </text>
    </comment>
    <comment authorId="0" ref="J47">
      <text>
        <t xml:space="preserve">listed RPM is 15
measured RPM is closer to ~62</t>
      </text>
    </comment>
    <comment authorId="0" ref="K47">
      <text>
        <t xml:space="preserve">Custom reload animation</t>
      </text>
    </comment>
    <comment authorId="0" ref="M47">
      <text>
        <t xml:space="preserve">Gjallarhorn provides 8 Wolfpack Rounds</t>
      </text>
    </comment>
    <comment authorId="0" ref="C31">
      <text>
        <t xml:space="preserve">Assumes boss naturally shatters on its own and ends up shattering nearby crystals 
Assumes the damage rotation:
Spawn wave
First crystal shatters + boss freezes
Spawn wave
First crystal shatter + boss shatters
Both crystal waves shatter entirely</t>
      </text>
    </comment>
    <comment authorId="0" ref="D31">
      <text>
        <t xml:space="preserve">No reload time considered, borrows from true DPS</t>
      </text>
    </comment>
    <comment authorId="0" ref="F31">
      <text>
        <t xml:space="preserve">5 crystals total, first crystal usually shatters first and then the target freezes.
The target will then shatter to shatter the crystals around them.</t>
      </text>
    </comment>
    <comment authorId="0" ref="G31">
      <text>
        <t xml:space="preserve">Boss shattering nearby crystals via shattering through freeze expiration will count towards refilling magazine from reserves</t>
      </text>
    </comment>
    <comment authorId="0" ref="J64">
      <text>
        <t xml:space="preserve">Shot delay of ~0.53 s after firing</t>
      </text>
    </comment>
    <comment authorId="0" ref="J31">
      <text>
        <t xml:space="preserve">charge time is 1s for crystals</t>
      </text>
    </comment>
    <comment authorId="0" ref="K31">
      <text>
        <t xml:space="preserve">Custom reload animation</t>
      </text>
    </comment>
    <comment authorId="0" ref="M31">
      <text>
        <t xml:space="preserve">damage of first crystal, if it detonates on initial crystal wave</t>
      </text>
    </comment>
    <comment authorId="0" ref="D81">
      <text>
        <t xml:space="preserve">No reload time considered, borrows from true DPS</t>
      </text>
    </comment>
    <comment authorId="0" ref="D15">
      <text>
        <t xml:space="preserve">Initial charge:  0.8 s</t>
      </text>
    </comment>
    <comment authorId="0" ref="I81">
      <text>
        <t xml:space="preserve">Note that Field Prep merely bring the bottom-line closer to the maximum reserves (see Reserves Mods Data)
Effective reserves size due to Whisper of the Worm regenerating 1 ammo upon 3 precision hits.
Ammo cycle, assuming all precision hits:
3 shots &gt; reload 2 from reserves, generate 1 from thin air
Effectively this is triple tap but with reloading</t>
      </text>
    </comment>
    <comment authorId="0" ref="J48">
      <text>
        <t xml:space="preserve">listed RPM is 15
measured RPM is closer to ~62</t>
      </text>
    </comment>
    <comment authorId="0" ref="K48">
      <text>
        <t xml:space="preserve">Custom reload animation</t>
      </text>
    </comment>
    <comment authorId="0" ref="M48">
      <text>
        <t xml:space="preserve">bipod reduces total rocket damage by -25%</t>
      </text>
    </comment>
    <comment authorId="0" ref="C32">
      <text>
        <t xml:space="preserve">Assumes boss is large enough that entire wave shatters as it spawns
Rotation:
Spawn wave
Crystals spawn &amp; shatter
repeat</t>
      </text>
    </comment>
    <comment authorId="0" ref="D32">
      <text>
        <t xml:space="preserve">No reload time considered, borrows from true DPS</t>
      </text>
    </comment>
    <comment authorId="0" ref="G32">
      <text>
        <t xml:space="preserve">Boss shattering nearby crystals via shattering through freeze expiration will count towards refilling magazine from reserves</t>
      </text>
    </comment>
    <comment authorId="0" ref="H65">
      <text>
        <t xml:space="preserve">effective magazine size due to triple tap</t>
      </text>
    </comment>
    <comment authorId="0" ref="I65">
      <text>
        <t xml:space="preserve">effective reserves size due to triple tap</t>
      </text>
    </comment>
    <comment authorId="0" ref="J65">
      <text>
        <t xml:space="preserve">Shot delay of ~0.53 s after firing</t>
      </text>
    </comment>
    <comment authorId="0" ref="J32">
      <text>
        <t xml:space="preserve">charge time is 1s for crystals</t>
      </text>
    </comment>
    <comment authorId="0" ref="K32">
      <text>
        <t xml:space="preserve">Custom reload animation</t>
      </text>
    </comment>
    <comment authorId="0" ref="M32">
      <text>
        <t xml:space="preserve">damage of first crystal, if it detonates on initial crystal wave</t>
      </text>
    </comment>
    <comment authorId="0" ref="A82">
      <text>
        <t xml:space="preserve">All shotguns assume body damage to make comparison a little more realistic</t>
      </text>
    </comment>
    <comment authorId="0" ref="C16">
      <text>
        <t xml:space="preserve">Burst DPS of rockets mode alone
Rockets: 20 per 1.4 s
20 rockets: see weapon specifics</t>
      </text>
    </comment>
    <comment authorId="0" ref="D16">
      <text>
        <t xml:space="preserve">Initial charge: 0.8 s
Swapping modes: 0.8 s
Rockets: 20 per 1.4 s
</t>
      </text>
    </comment>
    <comment authorId="0" ref="G16">
      <text>
        <t xml:space="preserve">20 rockets: see weapon specifics</t>
      </text>
    </comment>
    <comment authorId="0" ref="J49">
      <text>
        <t xml:space="preserve">listed RPM is 15
measured RPM is closer to ~62</t>
      </text>
    </comment>
    <comment authorId="0" ref="K82">
      <text>
        <t xml:space="preserve">Custom reload animation</t>
      </text>
    </comment>
    <comment authorId="0" ref="K49">
      <text>
        <t xml:space="preserve">Custom reload animation</t>
      </text>
    </comment>
    <comment authorId="0" ref="M49">
      <text>
        <t xml:space="preserve">bipod reduces total rocket damage by -25%
Gjallarhorn provides 8 Wolfpack Rounds</t>
      </text>
    </comment>
    <comment authorId="0" ref="C33">
      <text>
        <t xml:space="preserve">Assumes waiting 0.5 seconds to allow the target to freeze for frozen impact damage</t>
      </text>
    </comment>
    <comment authorId="0" ref="D33">
      <text>
        <t xml:space="preserve">No reload time considered, borrows from true DPS</t>
      </text>
    </comment>
    <comment authorId="0" ref="F33">
      <text>
        <t xml:space="preserve">6 crystals total, first crystal sometimes detonates first and then the target freezes
Crystal damage changes due to distance and crystal size, leading to some number fluctuations.</t>
      </text>
    </comment>
    <comment authorId="0" ref="G33">
      <text>
        <t xml:space="preserve">Shattering crystals with Salvation's Grip reloads it from reserves</t>
      </text>
    </comment>
    <comment authorId="0" ref="H66">
      <text>
        <t xml:space="preserve">effective magazine size due to fourth time's the charm</t>
      </text>
    </comment>
    <comment authorId="0" ref="I66">
      <text>
        <t xml:space="preserve">effective reserves size due to fourth time's the charm</t>
      </text>
    </comment>
    <comment authorId="0" ref="J66">
      <text>
        <t xml:space="preserve">Shot delay of ~0.53 s after firing</t>
      </text>
    </comment>
    <comment authorId="0" ref="J33">
      <text>
        <t xml:space="preserve">charge time is 1s for crystals</t>
      </text>
    </comment>
    <comment authorId="0" ref="K33">
      <text>
        <t xml:space="preserve">Custom reload animation</t>
      </text>
    </comment>
    <comment authorId="0" ref="M33">
      <text>
        <t xml:space="preserve">damage on impact with frozen target</t>
      </text>
    </comment>
    <comment authorId="0" ref="C83">
      <text>
        <t xml:space="preserve">This is the DPS you would expect with reload-cancelling.
Reload-cancelling bottlenecks the gun to the fire-rate</t>
      </text>
    </comment>
    <comment authorId="0" ref="D50">
      <text>
        <t xml:space="preserve">Firing entire volley takes 0.7 seconds</t>
      </text>
    </comment>
    <comment authorId="0" ref="J50">
      <text>
        <t xml:space="preserve">listed RPM is 60
measured RPM is closer to ~86
0.70 s per burst</t>
      </text>
    </comment>
    <comment authorId="0" ref="K83">
      <text>
        <t xml:space="preserve">~0.68 on initial shell</t>
      </text>
    </comment>
    <comment authorId="0" ref="A34">
      <text>
        <t xml:space="preserve">WoF: Whisper of Fissures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33">
      <text>
        <t xml:space="preserve">An aggressive sword has two light attack animations:
Light_1 : 0.66 s
Light_2 : 0.66 s</t>
      </text>
    </comment>
    <comment authorId="0" ref="I67">
      <text>
        <t xml:space="preserve">Typical swords have three light attack animations:
Light_1 : 0.46 s
Light_2 : 0.46 s
Light_3 : 0.49 s</t>
      </text>
    </comment>
    <comment authorId="0" ref="K133">
      <text>
        <t xml:space="preserve">Recharge to full from empty: 0.41 s</t>
      </text>
    </comment>
    <comment authorId="0" ref="I34">
      <text>
        <t xml:space="preserve">Typical swords have three light attack animations:
Light_1 : 0.46 s
Light_2 : 0.46 s
Light_3 : 0.49 s</t>
      </text>
    </comment>
    <comment authorId="0" ref="J67">
      <text>
        <t xml:space="preserve">Tesseract windup: 0.84 s
Tesseract swing: 1.17 s</t>
      </text>
    </comment>
    <comment authorId="0" ref="J34">
      <text>
        <t xml:space="preserve">Wait until you land
Some bosses have odd hitboxes that leave you on the floor (such as an ogre), but this assumes that you have brief airtime (0.92) before you star swinging again</t>
      </text>
    </comment>
    <comment authorId="0" ref="K67">
      <text>
        <t xml:space="preserve">Tesseract windup does not begin until full heavy charge.
Recharge Delay: 1.21
Recharge from half-empty: 0.24 s
</t>
      </text>
    </comment>
    <comment authorId="0" ref="C84">
      <text>
        <t xml:space="preserve">Slightly faster animation of aggressive light_2</t>
      </text>
    </comment>
    <comment authorId="0" ref="I117">
      <text>
        <t xml:space="preserve">Typical swords have three light attack animations:
Light_1 : 0.46 s
Light_2 : 0.46 s
Light_3 : 0.49 s</t>
      </text>
    </comment>
    <comment authorId="0" ref="I51">
      <text>
        <t xml:space="preserve">Typical swords have three light attack animations:
Light_1 : 0.46 s
Light_2 : 0.46 s
Light_3 : 0.49 s</t>
      </text>
    </comment>
    <comment authorId="0" ref="I18">
      <text>
        <t xml:space="preserve">Typical swords have three light attack animations:
Light_1 : 0.46 s
Light_2 : 0.46 s
Light_3 : 0.49 s</t>
      </text>
    </comment>
    <comment authorId="0" ref="K51">
      <text>
        <t xml:space="preserve">Recharge to full from half-empty: 0.21 s</t>
      </text>
    </comment>
    <comment authorId="0" ref="K18">
      <text>
        <t xml:space="preserve">Recharge to full from empty: 0.38 s</t>
      </text>
    </comment>
    <comment authorId="0" ref="O84">
      <text>
        <t xml:space="preserve">In Air: 
364 + 91*2</t>
      </text>
    </comment>
    <comment authorId="0" ref="A68">
      <text>
        <t xml:space="preserve">Does have Jagged Edge, but has Burst Guard instead of Swordmaster's Guard</t>
      </text>
    </comment>
    <comment authorId="0" ref="Q84">
      <text>
        <t xml:space="preserve">In Air: 
1744 + 364*2</t>
      </text>
    </comment>
    <comment authorId="0" ref="C2">
      <text>
        <t xml:space="preserve">DPS of waiting for heavy on the last swing:
Assume you have a sword:
- light swing every 0.5 s
- heavy recharge delay takes 1.25 s
DPS of waiting for heavy follows the scenario:
Heavy
light (0.5 s)
light (0.5 s)
wait 0.25 s
heavy</t>
      </text>
    </comment>
    <comment authorId="0" ref="D2">
      <text>
        <t xml:space="preserve">DPS of not waiting for heavy on the last swing:
Assume you have a sword:
- light swing every 0.5 s
- heavy recharge delay takes 1.25 s
DPS of not waiting for heavy follows the scenario:
Heavy
light (0.5 s)
light (0.5 s)
light (0.5 s, this is now 1.5 s total, more than the recharge delay of 1.25 s, recharge delay has ended during the light attack)
heavy</t>
      </text>
    </comment>
    <comment authorId="0" ref="I134">
      <text>
        <t xml:space="preserve">An aggressive sword has two light attack animations:
Light_1 : 0.66 s
Light_2 : 0.66 s</t>
      </text>
    </comment>
    <comment authorId="0" ref="F2">
      <text>
        <t xml:space="preserve">Theoretical total damage if waiting for heavy on the last swing:
Heavy
Light swing spam minus 1 light swing
wait for heavy to be ready
Heavy
etc. </t>
      </text>
    </comment>
    <comment authorId="0" ref="G2">
      <text>
        <t xml:space="preserve">Theoretical total damage if not waiting for heavy on the last swing:
Heavy
Light swing spam (heavy is ready during the last light swing)
Heavy
etc. </t>
      </text>
    </comment>
    <comment authorId="0" ref="I68">
      <text>
        <t xml:space="preserve">Typical swords have three light attack animations:
Light_1 : 0.46 s
Light_2 : 0.46 s
Light_3 : 0.49 s</t>
      </text>
    </comment>
    <comment authorId="0" ref="I35">
      <text>
        <t xml:space="preserve">Typical swords have three light attack animations:
Light_1 : 0.46 s
Light_2 : 0.46 s
Light_3 : 0.49 s</t>
      </text>
    </comment>
    <comment authorId="0" ref="J35">
      <text>
        <t xml:space="preserve">Wait until you land
Some bosses have odd hitboxes that leave you on the floor (such as an ogre), but this assumes that you have brief airtime (0.92) before you star swinging again</t>
      </text>
    </comment>
    <comment authorId="0" ref="K68">
      <text>
        <t xml:space="preserve">Recharge to full from empty:  0.96 s</t>
      </text>
    </comment>
    <comment authorId="0" ref="N2">
      <text>
        <t xml:space="preserve">If waiting for heavy to be ready on the last light swing of the combo, how much time you would have to wait</t>
      </text>
    </comment>
    <comment authorId="0" ref="O2">
      <text>
        <t xml:space="preserve">How many light swings until you should wait for the heavy attack to be ready</t>
      </text>
    </comment>
    <comment authorId="0" ref="A19">
      <text>
        <t xml:space="preserve">Air heavy attack does not consume sword energy.
Combat loop:
jump
light
heavy
repeat</t>
      </text>
    </comment>
    <comment authorId="0" ref="P2">
      <text>
        <t xml:space="preserve">How many light swings until your next attack can be a heavy attack</t>
      </text>
    </comment>
    <comment authorId="0" ref="D85">
      <text>
        <t xml:space="preserve">Swings Per Minute</t>
      </text>
    </comment>
    <comment authorId="0" ref="E85">
      <text>
        <t xml:space="preserve">Typical swords have three light attack animations:
Light_1 : 0.46 s
Light_2 : 0.46 s
Light_3 : 0.49 s</t>
      </text>
    </comment>
    <comment authorId="0" ref="I118">
      <text>
        <t xml:space="preserve">Typical swords have three light attack animations:
Light_1 : 0.46 s
Light_2 : 0.46 s
Light_3 : 0.49 s</t>
      </text>
    </comment>
    <comment authorId="0" ref="J118">
      <text>
        <t xml:space="preserve">Wait until you land
Some bosses have odd hitboxes that leave you on the floor (such as an ogre), but this assumes that you have brief airtime (0.92) before you star swinging again</t>
      </text>
    </comment>
    <comment authorId="0" ref="I52">
      <text>
        <t xml:space="preserve">Typical swords have three light attack animations:
Light_1 : 0.46 s
Light_2 : 0.46 s
Light_3 : 0.49 s</t>
      </text>
    </comment>
    <comment authorId="0" ref="K118">
      <text>
        <t xml:space="preserve">Recharge to full from empty: 1.02 s</t>
      </text>
    </comment>
    <comment authorId="0" ref="I19">
      <text>
        <t xml:space="preserve">Jump: ~0.05 s
Light: 0.33 s
Heavy: 0.48 s</t>
      </text>
    </comment>
    <comment authorId="0" ref="K52">
      <text>
        <t xml:space="preserve">Recharge to full from half-empty: 0.17 s</t>
      </text>
    </comment>
    <comment authorId="0" ref="I69">
      <text>
        <t xml:space="preserve">Typical swords have three light attack animations:
Light_1 : 0.46 s
Light_2 : 0.46 s
Light_3 : 0.49 s</t>
      </text>
    </comment>
    <comment authorId="0" ref="I36">
      <text>
        <t xml:space="preserve">Typical swords have three light attack animations:
Light_1 : 0.46 s
Light_2 : 0.46 s
Light_3 : 0.49 s</t>
      </text>
    </comment>
    <comment authorId="0" ref="I3">
      <text>
        <t xml:space="preserve">Typical swords have three light attack animations:
Light_1 : 0.46 s
Light_2 : 0.46 s
Light_3 : 0.49 s</t>
      </text>
    </comment>
    <comment authorId="0" ref="J36">
      <text>
        <t xml:space="preserve">Wait until you land
Some bosses have odd hitboxes that leave you on the floor (such as an ogre), but this assumes that you have brief airtime (0.92) before you star swinging again</t>
      </text>
    </comment>
    <comment authorId="0" ref="K69">
      <text>
        <t xml:space="preserve">Recharge to full from empty: 0.66 s</t>
      </text>
    </comment>
    <comment authorId="0" ref="K3">
      <text>
        <t xml:space="preserve">Recharge to full from empty: 1.02 s</t>
      </text>
    </comment>
    <comment authorId="0" ref="I119">
      <text>
        <t xml:space="preserve">Typical swords have three light attack animations:
Light_1 : 0.46 s
Light_2 : 0.46 s
Light_3 : 0.49 s</t>
      </text>
    </comment>
    <comment authorId="0" ref="J119">
      <text>
        <t xml:space="preserve">Wait until you land
Some bosses have odd hitboxes that leave you on the floor (such as an ogre), but this assumes that you have brief airtime (0.92) before you star swinging again</t>
      </text>
    </comment>
    <comment authorId="0" ref="I53">
      <text>
        <t xml:space="preserve">Typical swords have three light attack animations:
Light_1 : 0.46 s
Light_2 : 0.46 s
Light_3 : 0.49 s</t>
      </text>
    </comment>
    <comment authorId="0" ref="K119">
      <text>
        <t xml:space="preserve">Recharge to full from empty: 1.02 s</t>
      </text>
    </comment>
    <comment authorId="0" ref="I20">
      <text>
        <t xml:space="preserve">Typical swords have three light attack animations:
Light_1 : 0.46 s
Light_2 : 0.46 s
Light_3 : 0.49 s</t>
      </text>
    </comment>
    <comment authorId="0" ref="K53">
      <text>
        <t xml:space="preserve">Recharge to full from half-empty: 0.17 s</t>
      </text>
    </comment>
    <comment authorId="0" ref="A37">
      <text>
        <t xml:space="preserve">Air heavy attack does not consume sword energy.
Combat loop:
jump
light
heavy
repeat</t>
      </text>
    </comment>
    <comment authorId="0" ref="I70">
      <text>
        <t xml:space="preserve">Typical swords have three light attack animations:
Light_1 : 0.46 s
Light_2 : 0.46 s
Light_3 : 0.49 s</t>
      </text>
    </comment>
    <comment authorId="0" ref="I37">
      <text>
        <t xml:space="preserve">Jump: ~0.05 s
Light: 0.33 s
Heavy: 0.48 s</t>
      </text>
    </comment>
    <comment authorId="0" ref="I4">
      <text>
        <t xml:space="preserve">Typical swords have three light attack animations:
Light_1 : 0.46 s
Light_2 : 0.46 s
Light_3 : 0.49 s</t>
      </text>
    </comment>
    <comment authorId="0" ref="K70">
      <text>
        <t xml:space="preserve">Recharge to full from empty: 0.44 s</t>
      </text>
    </comment>
    <comment authorId="0" ref="K4">
      <text>
        <t xml:space="preserve">Recharge to full from empty: 0.70 s</t>
      </text>
    </comment>
    <comment authorId="0" ref="A87">
      <text>
        <t xml:space="preserve">#x1x# Strat Syntax:
(number of revved lights) x (revved heavy) x (number of normal lights)
Ex.: 2x1x2 implies 2 revved lights, 1 revved heavy, then 2 normal lights.</t>
      </text>
    </comment>
    <comment authorId="0" ref="I120">
      <text>
        <t xml:space="preserve">Typical swords have three light attack animations:
Light_1 : 0.46 s
Light_2 : 0.46 s
Light_3 : 0.49 s</t>
      </text>
    </comment>
    <comment authorId="0" ref="J120">
      <text>
        <t xml:space="preserve">Wait until you land
Some bosses have odd hitboxes that leave you on the floor (such as an ogre), but this assumes that you have brief airtime (0.92) before you star swinging again</t>
      </text>
    </comment>
    <comment authorId="0" ref="I54">
      <text>
        <t xml:space="preserve">Typical swords have three light attack animations:
Light_1 : 0.46 s
Light_2 : 0.46 s
Light_3 : 0.49 s</t>
      </text>
    </comment>
    <comment authorId="0" ref="K120">
      <text>
        <t xml:space="preserve">Recharge to full from empty: 1.02 s</t>
      </text>
    </comment>
    <comment authorId="0" ref="I21">
      <text>
        <t xml:space="preserve">Typical swords have three light attack animations:
Light_1 : 0.46 s
Light_2 : 0.46 s
Light_3 : 0.49 s</t>
      </text>
    </comment>
    <comment authorId="0" ref="K21">
      <text>
        <t xml:space="preserve">Recharge to full from empty: 0.70 s</t>
      </text>
    </comment>
    <comment authorId="0" ref="S21">
      <text>
        <t xml:space="preserve">Projectile Damage.
Projectile creates a damage-over-time field that lasts 1.5 s</t>
      </text>
    </comment>
    <comment authorId="0" ref="I71">
      <text>
        <t xml:space="preserve">Typical swords have three light attack animations:
Light_1 : 0.46 s
Light_2 : 0.46 s
Light_3 : 0.49 s</t>
      </text>
    </comment>
    <comment authorId="0" ref="I38">
      <text>
        <t xml:space="preserve">Typical swords have three light attack animations:
Light_1 : 0.46 s
Light_2 : 0.46 s
Light_3 : 0.49 s</t>
      </text>
    </comment>
    <comment authorId="0" ref="I5">
      <text>
        <t xml:space="preserve">Typical swords have three light attack animations:
Light_1 : 0.46 s
Light_2 : 0.46 s
Light_3 : 0.49 s</t>
      </text>
    </comment>
    <comment authorId="0" ref="K71">
      <text>
        <t xml:space="preserve">Recharge to full from empty: 0.37 s</t>
      </text>
    </comment>
    <comment authorId="0" ref="K5">
      <text>
        <t xml:space="preserve">Recharge to full from empty: 0.49 s</t>
      </text>
    </comment>
    <comment authorId="0" ref="A55">
      <text>
        <t xml:space="preserve">Has Tempered Edge and Heavy Guard
Black Talon is capable of swinging out 2 powered heavy attack per full sword charge. 
This assumes 2 heavy swings per full sword charge.
Damage rotation:
heavy 
heavy
light spam
repeat</t>
      </text>
    </comment>
    <comment authorId="0" ref="I121">
      <text>
        <t xml:space="preserve">Typical swords have three light attack animations:
Light_1 : 0.46 s
Light_2 : 0.46 s
Light_3 : 0.49 s</t>
      </text>
    </comment>
    <comment authorId="0" ref="J121">
      <text>
        <t xml:space="preserve">Wait until you land
Some bosses have odd hitboxes that leave you on the floor (such as an ogre), but this assumes that you have brief airtime (0.92) before you star swinging again</t>
      </text>
    </comment>
    <comment authorId="0" ref="I55">
      <text>
        <t xml:space="preserve">Typical swords have three light attack animations:
Light_1 : 0.46 s
Light_2 : 0.46 s
Light_3 : 0.49 s</t>
      </text>
    </comment>
    <comment authorId="0" ref="K121">
      <text>
        <t xml:space="preserve">Recharge to full from empty: 1.02 s</t>
      </text>
    </comment>
    <comment authorId="0" ref="I22">
      <text>
        <t xml:space="preserve">Typical swords have three light attack animations:
Light_1 : 0.46 s
Light_2 : 0.46 s
Light_3 : 0.49 s</t>
      </text>
    </comment>
    <comment authorId="0" ref="K55">
      <text>
        <t xml:space="preserve">Recharge to full from empty: 0.65 s</t>
      </text>
    </comment>
    <comment authorId="0" ref="K22">
      <text>
        <t xml:space="preserve">Recharge to full from empty: 0.42 s</t>
      </text>
    </comment>
    <comment authorId="0" ref="C105">
      <text>
        <t xml:space="preserve">DPS of waiting for heavy on the last swing:
Assume you have a sword:
- light swing every 0.5 s
- heavy recharge delay takes 1.25 s
DPS of waiting for heavy follows the scenario:
Heavy
light (0.5 s)
light (0.5 s)
wait 0.25 s
heavy</t>
      </text>
    </comment>
    <comment authorId="0" ref="D105">
      <text>
        <t xml:space="preserve">DPS of not waiting for heavy on the last swing:
Assume you have a sword:
- light swing every 0.5 s
- heavy recharge delay takes 1.25 s
DPS of not waiting for heavy follows the scenario:
Heavy
light (0.5 s)
light (0.5 s)
light (0.5 s, this is now 1.5 s total, more than the recharge delay of 1.25 s, recharge delay has ended during the light attack)
heavy</t>
      </text>
    </comment>
    <comment authorId="0" ref="S22">
      <text>
        <t xml:space="preserve">Projectile Damage.
Projectile creates a damage-over-time field that lasts 1.5 s</t>
      </text>
    </comment>
    <comment authorId="0" ref="F105">
      <text>
        <t xml:space="preserve">Theoretical total damage if waiting for heavy on the last swing:
Heavy
Light swing spam minus 1 light swing
wait for heavy to be ready
Heavy
etc. </t>
      </text>
    </comment>
    <comment authorId="0" ref="G105">
      <text>
        <t xml:space="preserve">Theoretical total damage if not waiting for heavy on the last swing:
Heavy
Light swing spam (heavy is ready during the last light swing)
Heavy
etc. </t>
      </text>
    </comment>
    <comment authorId="0" ref="I72">
      <text>
        <t xml:space="preserve">Typical swords have three light attack animations:
Light_1 : 0.46 s
Light_2 : 0.46 s
Light_3 : 0.49 s</t>
      </text>
    </comment>
    <comment authorId="0" ref="I39">
      <text>
        <t xml:space="preserve">A lightweight sword has four light attack animations:
Light_1 : 0.43 s
Light_2 : 0.49 s
Light_3 : 0.43 s
Light_4 : 0.42 s</t>
      </text>
    </comment>
    <comment authorId="0" ref="I6">
      <text>
        <t xml:space="preserve">Typical swords have three light attack animations:
Light_1 : 0.46 s
Light_2 : 0.46 s
Light_3 : 0.49 s</t>
      </text>
    </comment>
    <comment authorId="0" ref="K72">
      <text>
        <t xml:space="preserve">Recharge to full from empty:  0.96 s</t>
      </text>
    </comment>
    <comment authorId="0" ref="K39">
      <text>
        <t xml:space="preserve">Recharge to full from empty: 1.01 s</t>
      </text>
    </comment>
    <comment authorId="0" ref="K6">
      <text>
        <t xml:space="preserve">Recharge to full from empty: 0.42 s</t>
      </text>
    </comment>
    <comment authorId="0" ref="N105">
      <text>
        <t xml:space="preserve">If waiting for heavy to be ready on the last light swing of the combo, how much time you would have to wait</t>
      </text>
    </comment>
    <comment authorId="0" ref="O105">
      <text>
        <t xml:space="preserve">How many light swings until you should wait for the heavy attack to be ready</t>
      </text>
    </comment>
    <comment authorId="0" ref="P105">
      <text>
        <t xml:space="preserve">How many light swings until your next attack can be a heavy attack</t>
      </text>
    </comment>
    <comment authorId="0" ref="A122">
      <text>
        <t xml:space="preserve">Air heavy attack does not consume sword energy.
Combat loop:
jump
light
heavy
repeat</t>
      </text>
    </comment>
    <comment authorId="0" ref="T72">
      <text>
        <t xml:space="preserve">SitD = Shot in the Dark
NOTE THAT THIS ASSUMES ALL 4 PROJECTILES HIT THE BOSS
Heavy attack causes invisibility; after 0.25 seconds of invisiblity (basically once you go invisible):
- gain a +25% damage buff for 2.5 seconds
- hits while damage boost buff is active apply weaken (+15% damage debuff) for 6 seconds
(DDC)
Combined, this amounts to a 1.25 * 1.15 = 1.4375 damage bonus
 </t>
      </text>
    </comment>
    <comment authorId="0" ref="I122">
      <text>
        <t xml:space="preserve">Jump: ~0.05 s
Light: 0.33 s
Heavy: 0.48 s</t>
      </text>
    </comment>
    <comment authorId="0" ref="I56">
      <text>
        <t xml:space="preserve">Typical swords have three light attack animations:
Light_1 : 0.46 s
Light_2 : 0.46 s
Light_3 : 0.49 s</t>
      </text>
    </comment>
    <comment authorId="0" ref="I23">
      <text>
        <t xml:space="preserve">Typical swords have three light attack animations:
Light_1 : 0.46 s
Light_2 : 0.46 s
Light_3 : 0.49 s</t>
      </text>
    </comment>
    <comment authorId="0" ref="K56">
      <text>
        <t xml:space="preserve">Recharge to full from empty: 0.37 s</t>
      </text>
    </comment>
    <comment authorId="0" ref="K23">
      <text>
        <t xml:space="preserve">Recharge to full from empty: 0.33 s</t>
      </text>
    </comment>
    <comment authorId="0" ref="A7">
      <text>
        <t xml:space="preserve">Air heavy attack does not consume sword energy.
Combat loop:
jump
light
heavy
repeat</t>
      </text>
    </comment>
    <comment authorId="0" ref="S23">
      <text>
        <t xml:space="preserve">Projectile Damage.
Projectile creates a damage-over-time field that lasts 1.5 s</t>
      </text>
    </comment>
    <comment authorId="0" ref="I106">
      <text>
        <t xml:space="preserve">Typical swords have three light attack animations:
Light_1 : 0.46 s
Light_2 : 0.46 s
Light_3 : 0.49 s</t>
      </text>
    </comment>
    <comment authorId="0" ref="I73">
      <text>
        <t xml:space="preserve">Typical swords have three light attack animations:
Light_1 : 0.46 s
Light_2 : 0.46 s
Light_3 : 0.49 s</t>
      </text>
    </comment>
    <comment authorId="0" ref="I40">
      <text>
        <t xml:space="preserve">A lightweight sword has four light attack animations:
Light_1 : 0.43 s
Light_2 : 0.49 s
Light_3 : 0.43 s
Light_4 : 0.42 s</t>
      </text>
    </comment>
    <comment authorId="0" ref="K106">
      <text>
        <t xml:space="preserve">Recharge to full from empty: 0.94 s</t>
      </text>
    </comment>
    <comment authorId="0" ref="I7">
      <text>
        <t xml:space="preserve">Jump: ~0.05 s
Light: 0.33 s
Heavy: 0.48 s</t>
      </text>
    </comment>
    <comment authorId="0" ref="K73">
      <text>
        <t xml:space="preserve">Recharge to full from empty: 0.66 s</t>
      </text>
    </comment>
    <comment authorId="0" ref="K40">
      <text>
        <t xml:space="preserve">Recharge to full from empty: 0.71 s</t>
      </text>
    </comment>
    <comment authorId="0" ref="T73">
      <text>
        <t xml:space="preserve">SitD = Shot in the Dark
NOTE THAT THIS ASSUMES ALL 4 PROJECTILES HIT THE BOSS
Heavy attack causes invisibility; after 0.25 seconds of invisiblity (basically once you go invisible):
- gain a +25% damage buff for 2.5 seconds
- hits while damage boost buff is active apply weaken (+15% damage debuff) for 6 seconds
(DDC)
Combined, this amounts to a 1.25 * 1.15 = 1.4375 damage bonus
 </t>
      </text>
    </comment>
    <comment authorId="0" ref="I123">
      <text>
        <t xml:space="preserve">Typical swords have three light attack animations:
Light_1 : 0.46 s
Light_2 : 0.46 s
Light_3 : 0.49 s</t>
      </text>
    </comment>
    <comment authorId="0" ref="I57">
      <text>
        <t xml:space="preserve">Typical swords have three light attack animations:
Light_1 : 0.46 s
Light_2 : 0.46 s
Light_3 : 0.49 s</t>
      </text>
    </comment>
    <comment authorId="0" ref="I24">
      <text>
        <t xml:space="preserve">Typical swords have three light attack animations:
Light_1 : 0.46 s
Light_2 : 0.46 s
Light_3 : 0.49 s</t>
      </text>
    </comment>
    <comment authorId="0" ref="K57">
      <text>
        <t xml:space="preserve">Recharge to full from empty: 0.33 s</t>
      </text>
    </comment>
    <comment authorId="0" ref="K24">
      <text>
        <t xml:space="preserve">Recharge to full from empty: 0.32 s</t>
      </text>
    </comment>
    <comment authorId="0" ref="S24">
      <text>
        <t xml:space="preserve">Projectile Damage.
Projectile creates a damage-over-time field that lasts 1.5 s</t>
      </text>
    </comment>
    <comment authorId="0" ref="I107">
      <text>
        <t xml:space="preserve">Typical swords have three light attack animations:
Light_1 : 0.46 s
Light_2 : 0.46 s
Light_3 : 0.49 s</t>
      </text>
    </comment>
    <comment authorId="0" ref="I74">
      <text>
        <t xml:space="preserve">Typical swords have three light attack animations:
Light_1 : 0.46 s
Light_2 : 0.46 s
Light_3 : 0.49 s</t>
      </text>
    </comment>
    <comment authorId="0" ref="I41">
      <text>
        <t xml:space="preserve">A lightweight sword has four light attack animations:
Light_1 : 0.43 s
Light_2 : 0.49 s
Light_3 : 0.43 s
Light_4 : 0.42 s</t>
      </text>
    </comment>
    <comment authorId="0" ref="K107">
      <text>
        <t xml:space="preserve">Recharge to full from empty: 0.67 s</t>
      </text>
    </comment>
    <comment authorId="0" ref="I8">
      <text>
        <t xml:space="preserve">Typical swords have three light attack animations:
Light_1 : 0.46 s
Light_2 : 0.46 s
Light_3 : 0.49 s</t>
      </text>
    </comment>
    <comment authorId="0" ref="K74">
      <text>
        <t xml:space="preserve">Recharge to full from empty: 0.44 s</t>
      </text>
    </comment>
    <comment authorId="0" ref="K41">
      <text>
        <t xml:space="preserve">Recharge to full from empty: 0.49 s</t>
      </text>
    </comment>
    <comment authorId="0" ref="A25">
      <text>
        <t xml:space="preserve">Air heavy attack does not consume sword energy.
Combat loop:
jump
light
heavy
repeat</t>
      </text>
    </comment>
    <comment authorId="0" ref="T74">
      <text>
        <t xml:space="preserve">SitD = Shot in the Dark
NOTE THAT THIS ASSUMES ALL 4 PROJECTILES HIT THE BOSS
Heavy attack causes invisibility; after 0.25 seconds of invisiblity (basically once you go invisible):
- gain a +25% damage buff for 2.5 seconds
- hits while damage boost buff is active apply weaken (+15% damage debuff) for 6 seconds
(DDC)
Combined, this amounts to a 1.25 * 1.15 = 1.4375 damage bonus
 </t>
      </text>
    </comment>
    <comment authorId="0" ref="I124">
      <text>
        <t xml:space="preserve">A lightweight sword has four light attack animations:
Light_1 : 0.43 s
Light_2 : 0.49 s
Light_3 : 0.43 s
Light_4 : 0.42 s</t>
      </text>
    </comment>
    <comment authorId="0" ref="I58">
      <text>
        <t xml:space="preserve">Typical swords have three light attack animations:
Light_1 : 0.46 s
Light_2 : 0.46 s
Light_3 : 0.49 s</t>
      </text>
    </comment>
    <comment authorId="0" ref="K124">
      <text>
        <t xml:space="preserve">Recharge to full from empty: 0.92 s</t>
      </text>
    </comment>
    <comment authorId="0" ref="I25">
      <text>
        <t xml:space="preserve">Jump: ~0.05 s
Light: 0.33 s
Heavy: 0.48 s</t>
      </text>
    </comment>
    <comment authorId="0" ref="K58">
      <text>
        <t xml:space="preserve">Recharge to full from empty: 0.33 s</t>
      </text>
    </comment>
    <comment authorId="0" ref="I108">
      <text>
        <t xml:space="preserve">Typical swords have three light attack animations:
Light_1 : 0.46 s
Light_2 : 0.46 s
Light_3 : 0.49 s</t>
      </text>
    </comment>
    <comment authorId="0" ref="I75">
      <text>
        <t xml:space="preserve">Typical swords have three light attack animations:
Light_1 : 0.46 s
Light_2 : 0.46 s
Light_3 : 0.49 s</t>
      </text>
    </comment>
    <comment authorId="0" ref="I42">
      <text>
        <t xml:space="preserve">A lightweight sword has four light attack animations:
Light_1 : 0.43 s
Light_2 : 0.49 s
Light_3 : 0.43 s
Light_4 : 0.42 s</t>
      </text>
    </comment>
    <comment authorId="0" ref="K108">
      <text>
        <t xml:space="preserve">Recharge to full from empty: 0.58 s</t>
      </text>
    </comment>
    <comment authorId="0" ref="I9">
      <text>
        <t xml:space="preserve">Typical swords have three light attack animations:
Light_1 : 0.46 s
Light_2 : 0.46 s
Light_3 : 0.49 s</t>
      </text>
    </comment>
    <comment authorId="0" ref="K75">
      <text>
        <t xml:space="preserve">Recharge to full from empty: 0.37 s</t>
      </text>
    </comment>
    <comment authorId="0" ref="K42">
      <text>
        <t xml:space="preserve">Recharge to full from empty: 0.43 s</t>
      </text>
    </comment>
    <comment authorId="0" ref="K9">
      <text>
        <t xml:space="preserve">Recharge to full from empty: 1.52 s</t>
      </text>
    </comment>
    <comment authorId="0" ref="A59">
      <text>
        <t xml:space="preserve">Has Tempered Edge and Infinite Guard</t>
      </text>
    </comment>
    <comment authorId="0" ref="T75">
      <text>
        <t xml:space="preserve">SitD = Shot in the Dark
NOTE THAT THIS ASSUMES ALL 4 PROJECTILES HIT THE BOSS
Heavy attack causes invisibility; after 0.25 seconds of invisiblity (basically once you go invisible):
- gain a +25% damage buff for 2.5 seconds
- hits while damage boost buff is active apply weaken (+15% damage debuff) for 6 seconds
(DDC)
Combined, this amounts to a 1.25 * 1.15 = 1.4375 damage bonus
 </t>
      </text>
    </comment>
    <comment authorId="0" ref="I125">
      <text>
        <t xml:space="preserve">A lightweight sword has four light attack animations:
Light_1 : 0.43 s
Light_2 : 0.49 s
Light_3 : 0.43 s
Light_4 : 0.42 s</t>
      </text>
    </comment>
    <comment authorId="0" ref="I59">
      <text>
        <t xml:space="preserve">Typical swords have three light attack animations:
Light_1 : 0.46 s
Light_2 : 0.46 s
Light_3 : 0.49 s</t>
      </text>
    </comment>
    <comment authorId="0" ref="K125">
      <text>
        <t xml:space="preserve">Recharge to full from empty: 0.68 s</t>
      </text>
    </comment>
    <comment authorId="0" ref="I26">
      <text>
        <t xml:space="preserve">Typical swords have three light attack animations:
Light_1 : 0.46 s
Light_2 : 0.46 s
Light_3 : 0.49 s</t>
      </text>
    </comment>
    <comment authorId="0" ref="K59">
      <text>
        <t xml:space="preserve">Recharge to full from empty: 1.12 s
</t>
      </text>
    </comment>
    <comment authorId="0" ref="A76">
      <text>
        <t xml:space="preserve">Air heavy attack does not consume sword energy.
Combat loop:
jump
light
heavy
repeat</t>
      </text>
    </comment>
    <comment authorId="0" ref="A43">
      <text>
        <t xml:space="preserve">Air heavy attack does not consume sword energy.
Combat loop:
jump
light
heavy
repeat</t>
      </text>
    </comment>
    <comment authorId="0" ref="I109">
      <text>
        <t xml:space="preserve">Typical swords have three light attack animations:
Light_1 : 0.46 s
Light_2 : 0.46 s
Light_3 : 0.49 s</t>
      </text>
    </comment>
    <comment authorId="0" ref="I76">
      <text>
        <t xml:space="preserve">Jump: ~0.05 s
Light: 0.46 s
Heavy: 0.49 s</t>
      </text>
    </comment>
    <comment authorId="0" ref="I43">
      <text>
        <t xml:space="preserve">Jump: ~0.05 s
Light: 0.46 s
Heavy: 0.49 s</t>
      </text>
    </comment>
    <comment authorId="0" ref="K109">
      <text>
        <t xml:space="preserve">Recharge to full from empty: 0.56 s</t>
      </text>
    </comment>
    <comment authorId="0" ref="I10">
      <text>
        <t xml:space="preserve">Typical swords have three light attack animations:
Light_1 : 0.46 s
Light_2 : 0.46 s
Light_3 : 0.49 s</t>
      </text>
    </comment>
    <comment authorId="0" ref="K10">
      <text>
        <t xml:space="preserve">Recharge to full from empty: 0.33 s</t>
      </text>
    </comment>
    <comment authorId="0" ref="A93">
      <text>
        <t xml:space="preserve">Assumes a 0.1 second delay after normal lights</t>
      </text>
    </comment>
    <comment authorId="0" ref="I126">
      <text>
        <t xml:space="preserve">A lightweight sword has four light attack animations:
Light_1 : 0.43 s
Light_2 : 0.49 s
Light_3 : 0.43 s
Light_4 : 0.42 s</t>
      </text>
    </comment>
    <comment authorId="0" ref="I60">
      <text>
        <t xml:space="preserve">Typical swords have three light attack animations:
Light_1 : 0.46 s
Light_2 : 0.46 s
Light_3 : 0.49 s</t>
      </text>
    </comment>
    <comment authorId="0" ref="K126">
      <text>
        <t xml:space="preserve">Recharge to full from empty: 0.58 s</t>
      </text>
    </comment>
    <comment authorId="0" ref="I27">
      <text>
        <t xml:space="preserve">Typical swords have three light attack animations:
Light_1 : 0.46 s
Light_2 : 0.46 s
Light_3 : 0.49 s</t>
      </text>
    </comment>
    <comment authorId="0" ref="K60">
      <text>
        <t xml:space="preserve">Recharge to full from empty: 0.81 s</t>
      </text>
    </comment>
    <comment authorId="0" ref="J27">
      <text>
        <t xml:space="preserve">Wait until you land
Some bosses have odd hitboxes that leave you on the floor (such as an ogre), but this assumes that you have brief airtime (0.92) before you star swinging again</t>
      </text>
    </comment>
    <comment authorId="0" ref="L93">
      <text>
        <t xml:space="preserve">Assumes a 0.1 second delay after normal lights</t>
      </text>
    </comment>
    <comment authorId="0" ref="K27">
      <text>
        <t xml:space="preserve">Recharge to full from empty: ??? s</t>
      </text>
    </comment>
    <comment authorId="0" ref="A110">
      <text>
        <t xml:space="preserve">Air heavy attack does not consume sword energy.
Combat loop:
jump
light
heavy
repeat</t>
      </text>
    </comment>
    <comment authorId="0" ref="I110">
      <text>
        <t xml:space="preserve">Jump: ~0.05 s
Light: 0.33 s
Heavy: 0.48 s</t>
      </text>
    </comment>
    <comment authorId="0" ref="I77">
      <text>
        <t xml:space="preserve">Typical swords have three light attack animations:
Light_1 : 0.46 s
Light_2 : 0.46 s
Light_3 : 0.49 s</t>
      </text>
    </comment>
    <comment authorId="0" ref="I44">
      <text>
        <t xml:space="preserve">A lightweight sword has four light attack animations:
Light_1 : 0.43 s
Light_2 : 0.49 s
Light_3 : 0.43 s
Light_4 : 0.42 s</t>
      </text>
    </comment>
    <comment authorId="0" ref="I11">
      <text>
        <t xml:space="preserve">Typical swords have three light attack animations:
Light_1 : 0.46 s
Light_2 : 0.46 s
Light_3 : 0.49 s</t>
      </text>
    </comment>
    <comment authorId="0" ref="K11">
      <text>
        <t xml:space="preserve">Recharge to full from empty: 0.33 s</t>
      </text>
    </comment>
    <comment authorId="0" ref="I127">
      <text>
        <t xml:space="preserve">A lightweight sword has four light attack animations:
Light_1 : 0.43 s
Light_2 : 0.49 s
Light_3 : 0.43 s
Light_4 : 0.42 s</t>
      </text>
    </comment>
    <comment authorId="0" ref="I61">
      <text>
        <t xml:space="preserve">Typical swords have three light attack animations:
Light_1 : 0.46 s
Light_2 : 0.46 s
Light_3 : 0.49 s</t>
      </text>
    </comment>
    <comment authorId="0" ref="K127">
      <text>
        <t xml:space="preserve">Recharge to full from empty: 0.55 s</t>
      </text>
    </comment>
    <comment authorId="0" ref="I28">
      <text>
        <t xml:space="preserve">Typical swords have three light attack animations:
Light_1 : 0.46 s
Light_2 : 0.46 s
Light_3 : 0.49 s</t>
      </text>
    </comment>
    <comment authorId="0" ref="J28">
      <text>
        <t xml:space="preserve">Wait until you land
Some bosses have odd hitboxes that leave you on the floor (such as an ogre), but this assumes that you have brief airtime (0.92) before you star swinging again</t>
      </text>
    </comment>
    <comment authorId="0" ref="K61">
      <text>
        <t xml:space="preserve">Recharge to full from empty: 0.59 s</t>
      </text>
    </comment>
    <comment authorId="0" ref="K28">
      <text>
        <t xml:space="preserve">Recharge to full from empty: ??? s</t>
      </text>
    </comment>
    <comment authorId="0" ref="A45">
      <text>
        <t xml:space="preserve">Cannot roll Swordmaster's Guard</t>
      </text>
    </comment>
    <comment authorId="0" ref="I111">
      <text>
        <t xml:space="preserve">Typical swords have three light attack animations:
Light_1 : 0.46 s
Light_2 : 0.46 s
Light_3 : 0.49 s</t>
      </text>
    </comment>
    <comment authorId="0" ref="I45">
      <text>
        <t xml:space="preserve">An aggressive sword has two light attack animations:
Light_1 : 0.66 s
Light_2 : 0.66 s</t>
      </text>
    </comment>
    <comment authorId="0" ref="I12">
      <text>
        <t xml:space="preserve">Typical swords have three light attack animations:
Light_1 : 0.46 s
Light_2 : 0.46 s
Light_3 : 0.49 s</t>
      </text>
    </comment>
    <comment authorId="0" ref="K45">
      <text>
        <t xml:space="preserve">Recharge to full from empty: 1.20 s</t>
      </text>
    </comment>
    <comment authorId="0" ref="K12">
      <text>
        <t xml:space="preserve">Recharge to full from empty: 0.33 s</t>
      </text>
    </comment>
    <comment authorId="0" ref="A128">
      <text>
        <t xml:space="preserve">Air heavy attack does not consume sword energy.
Combat loop:
jump
light
heavy
repeat</t>
      </text>
    </comment>
    <comment authorId="0" ref="I128">
      <text>
        <t xml:space="preserve">Jump: ~0.05 s
Light: 0.46 s
Heavy: 0.49 s</t>
      </text>
    </comment>
    <comment authorId="0" ref="I62">
      <text>
        <t xml:space="preserve">Typical swords have three light attack animations:
Light_1 : 0.46 s
Light_2 : 0.46 s
Light_3 : 0.49 s</t>
      </text>
    </comment>
    <comment authorId="0" ref="I29">
      <text>
        <t xml:space="preserve">Typical swords have three light attack animations:
Light_1 : 0.46 s
Light_2 : 0.46 s
Light_3 : 0.49 s</t>
      </text>
    </comment>
    <comment authorId="0" ref="J29">
      <text>
        <t xml:space="preserve">Wait until you land
Some bosses have odd hitboxes that leave you on the floor (such as an ogre), but this assumes that you have brief airtime (0.92) before you star swinging again</t>
      </text>
    </comment>
    <comment authorId="0" ref="K62">
      <text>
        <t xml:space="preserve">Recharge to full from empty: 0.53 s</t>
      </text>
    </comment>
    <comment authorId="0" ref="K29">
      <text>
        <t xml:space="preserve">Recharge to full from empty: ??? s</t>
      </text>
    </comment>
    <comment authorId="0" ref="A13">
      <text>
        <t xml:space="preserve">Air heavy attack does not consume sword energy.
Combat loop:
jump
light
heavy
repeat</t>
      </text>
    </comment>
    <comment authorId="0" ref="I112">
      <text>
        <t xml:space="preserve">Typical swords have three light attack animations:
Light_1 : 0.46 s
Light_2 : 0.46 s
Light_3 : 0.49 s</t>
      </text>
    </comment>
    <comment authorId="0" ref="I46">
      <text>
        <t xml:space="preserve">An aggressive sword has two light attack animations:
Light_1 : 0.66 s
Light_2 : 0.66 s</t>
      </text>
    </comment>
    <comment authorId="0" ref="K112">
      <text>
        <t xml:space="preserve">Recharge to full from empty: 0.93 s</t>
      </text>
    </comment>
    <comment authorId="0" ref="I13">
      <text>
        <t xml:space="preserve">Jump: ~0.05 s
Light: 0.33 s
Heavy: 0.48 s</t>
      </text>
    </comment>
    <comment authorId="0" ref="K46">
      <text>
        <t xml:space="preserve">Recharge to full from empty: 0.91 s</t>
      </text>
    </comment>
    <comment authorId="0" ref="I129">
      <text>
        <t xml:space="preserve">A lightweight sword has four light attack animations:
Light_1 : 0.43 s
Light_2 : 0.49 s
Light_3 : 0.43 s
Light_4 : 0.42 s</t>
      </text>
    </comment>
    <comment authorId="0" ref="I63">
      <text>
        <t xml:space="preserve">Typical swords have three light attack animations:
Light_1 : 0.46 s
Light_2 : 0.46 s
Light_3 : 0.49 s</t>
      </text>
    </comment>
    <comment authorId="0" ref="I30">
      <text>
        <t xml:space="preserve">Typical swords have three light attack animations:
Light_1 : 0.46 s
Light_2 : 0.46 s
Light_3 : 0.49 s</t>
      </text>
    </comment>
    <comment authorId="0" ref="J30">
      <text>
        <t xml:space="preserve">Wait until you land
Some bosses have odd hitboxes that leave you on the floor (such as an ogre), but this assumes that you have brief airtime (0.92) before you star swinging again</t>
      </text>
    </comment>
    <comment authorId="0" ref="K30">
      <text>
        <t xml:space="preserve">Recharge to full from empty: ??? s</t>
      </text>
    </comment>
    <comment authorId="0" ref="B80">
      <text>
        <t xml:space="preserve">Maximum 5 revved lights per full sword energy.
Light attack sequence:
Light_1
Light_2
Light_3
Light_2
Light_3
Regardless of sword energy, every revved combo comes with a heavy. This means you can drain sword energy past 0% with lights, but will still be able to pull off a heavy regardless.</t>
      </text>
    </comment>
    <comment authorId="0" ref="D80">
      <text>
        <t xml:space="preserve">Light attack sequence:
Light_1
Light_2
Light_3
Note that after a revved heavy the first light attack animation is Light_3</t>
      </text>
    </comment>
    <comment authorId="0" ref="F80">
      <text>
        <t xml:space="preserve">Each attack animation has two parameters: (1) the attack delay and (2) the animation delay.
When you spam swings, you can't swing until you go through the attack delay. 
When you swing and want to do another action, you are waiting for the animation delay (say, for instance, you are using Lament and want to rev after doing a sequence of normal lights, you have to wait for the animation delay to go through until you can light attack.
This is a collection of the animation delays. Note that this time is NOT after the attack delay, but rather the total animation time until you are free to move.</t>
      </text>
    </comment>
    <comment authorId="0" ref="H80">
      <text>
        <t xml:space="preserve">LB : Lucent Blades</t>
      </text>
    </comment>
    <comment authorId="0" ref="I113">
      <text>
        <t xml:space="preserve">Typical swords have three light attack animations:
Light_1 : 0.46 s
Light_2 : 0.46 s
Light_3 : 0.49 s</t>
      </text>
    </comment>
    <comment authorId="0" ref="I47">
      <text>
        <t xml:space="preserve">An aggressive sword has two light attack animations:
Light_1 : 0.66 s
Light_2 : 0.66 s</t>
      </text>
    </comment>
    <comment authorId="0" ref="J80">
      <text>
        <t xml:space="preserve">LB : Lucent Blades</t>
      </text>
    </comment>
    <comment authorId="0" ref="K113">
      <text>
        <t xml:space="preserve">Recharge to full from empty: 0.68 s</t>
      </text>
    </comment>
    <comment authorId="0" ref="I14">
      <text>
        <t xml:space="preserve">Typical swords have three light attack animations:
Light_1 : 0.46 s
Light_2 : 0.46 s
Light_3 : 0.49 s</t>
      </text>
    </comment>
    <comment authorId="0" ref="K47">
      <text>
        <t xml:space="preserve">Recharge to full from empty: 0.69 s</t>
      </text>
    </comment>
    <comment authorId="0" ref="N80">
      <text>
        <t xml:space="preserve">BW : Banshee's Wail</t>
      </text>
    </comment>
    <comment authorId="0" ref="P80">
      <text>
        <t xml:space="preserve">BW : Banshee's Wail</t>
      </text>
    </comment>
    <comment authorId="0" ref="A97">
      <text>
        <t xml:space="preserve">Assumes a 0.1 second delay after normal lights</t>
      </text>
    </comment>
    <comment authorId="0" ref="A64">
      <text>
        <t xml:space="preserve">Has Tempered Edge and Infinite Guard
T = Tesseract
Tesseract windup does not begin while less than full sword energy
Damage rotation:
sprint
Tesseract x1
light spam
repeat</t>
      </text>
    </comment>
    <comment authorId="0" ref="A31">
      <text>
        <t xml:space="preserve">Air heavy attack does not consume sword energy.
Combat loop:
jump
light
heavy
repeat</t>
      </text>
    </comment>
    <comment authorId="0" ref="I130">
      <text>
        <t xml:space="preserve">An aggressive sword has two light attack animations:
Light_1 : 0.66 s
Light_2 : 0.66 s</t>
      </text>
    </comment>
    <comment authorId="0" ref="I64">
      <text>
        <t xml:space="preserve">Typical swords have three light attack animations:
Light_1 : 0.46 s
Light_2 : 0.46 s
Light_3 : 0.49 s</t>
      </text>
    </comment>
    <comment authorId="0" ref="K130">
      <text>
        <t xml:space="preserve">Recharge to full from empty: 0.93 s</t>
      </text>
    </comment>
    <comment authorId="0" ref="I31">
      <text>
        <t xml:space="preserve">Jump: ~0.05 s
Light: 0.33 s
Heavy: 0.48 s</t>
      </text>
    </comment>
    <comment authorId="0" ref="J64">
      <text>
        <t xml:space="preserve">Tesseract windup: 0.84 s
Tesseract swing: 1.17 s</t>
      </text>
    </comment>
    <comment authorId="0" ref="K64">
      <text>
        <t xml:space="preserve">Tesseract windup does not begin until full heavy charge.
Recharge Delay: 2.20
Recharge from half-empty: 0.55 s</t>
      </text>
    </comment>
    <comment authorId="0" ref="L97">
      <text>
        <t xml:space="preserve">Assumes a 0.1 second delay after normal lights</t>
      </text>
    </comment>
    <comment authorId="0" ref="I114">
      <text>
        <t xml:space="preserve">Typical swords have three light attack animations:
Light_1 : 0.46 s
Light_2 : 0.46 s
Light_3 : 0.49 s</t>
      </text>
    </comment>
    <comment authorId="0" ref="I48">
      <text>
        <t xml:space="preserve">An aggressive sword has two light attack animations:
Light_1 : 0.66 s
Light_2 : 0.66 s</t>
      </text>
    </comment>
    <comment authorId="0" ref="K114">
      <text>
        <t xml:space="preserve">Recharge to full from empty: 0.58 s</t>
      </text>
    </comment>
    <comment authorId="0" ref="I15">
      <text>
        <t xml:space="preserve">Typical swords have three light attack animations:
Light_1 : 0.46 s
Light_2 : 0.46 s
Light_3 : 0.49 s</t>
      </text>
    </comment>
    <comment authorId="0" ref="K48">
      <text>
        <t xml:space="preserve">Recharge to full from empty: 0.61 s</t>
      </text>
    </comment>
    <comment authorId="0" ref="K15">
      <text>
        <t xml:space="preserve">Recharge to full from empty: 0.96 s</t>
      </text>
    </comment>
    <comment authorId="0" ref="O81">
      <text>
        <t xml:space="preserve">In Air: 
364 + 91*2</t>
      </text>
    </comment>
    <comment authorId="0" ref="Q81">
      <text>
        <t xml:space="preserve">In Air: 
582 + 122*2</t>
      </text>
    </comment>
    <comment authorId="0" ref="I131">
      <text>
        <t xml:space="preserve">An aggressive sword has two light attack animations:
Light_1 : 0.66 s
Light_2 : 0.66 s</t>
      </text>
    </comment>
    <comment authorId="0" ref="I65">
      <text>
        <t xml:space="preserve">Typical swords have three light attack animations:
Light_1 : 0.46 s
Light_2 : 0.46 s
Light_3 : 0.49 s</t>
      </text>
    </comment>
    <comment authorId="0" ref="K131">
      <text>
        <t xml:space="preserve">Recharge to full from empty: 0.69 s</t>
      </text>
    </comment>
    <comment authorId="0" ref="I32">
      <text>
        <t xml:space="preserve">Typical swords have three light attack animations:
Light_1 : 0.46 s
Light_2 : 0.46 s
Light_3 : 0.49 s</t>
      </text>
    </comment>
    <comment authorId="0" ref="J65">
      <text>
        <t xml:space="preserve">Tesseract windup: 0.84 s
Tesseract swing: 1.17 s</t>
      </text>
    </comment>
    <comment authorId="0" ref="K65">
      <text>
        <t xml:space="preserve">Tesseract windup does not begin until full heavy charge.
Recharge Delay: 1.76
Recharge from half-empty: 0.39 s</t>
      </text>
    </comment>
    <comment authorId="0" ref="C82">
      <text>
        <t xml:space="preserve">Exact same animation as typical sword Light_3</t>
      </text>
    </comment>
    <comment authorId="0" ref="I115">
      <text>
        <t xml:space="preserve">Typical swords have three light attack animations:
Light_1 : 0.46 s
Light_2 : 0.46 s
Light_3 : 0.49 s</t>
      </text>
    </comment>
    <comment authorId="0" ref="I49">
      <text>
        <t xml:space="preserve">An aggressive sword has two light attack animations:
Light_1 : 0.66 s
Light_2 : 0.66 s</t>
      </text>
    </comment>
    <comment authorId="0" ref="K115">
      <text>
        <t xml:space="preserve">Recharge to full from empty: 0.55 s</t>
      </text>
    </comment>
    <comment authorId="0" ref="I16">
      <text>
        <t xml:space="preserve">Typical swords have three light attack animations:
Light_1 : 0.46 s
Light_2 : 0.46 s
Light_3 : 0.49 s</t>
      </text>
    </comment>
    <comment authorId="0" ref="K16">
      <text>
        <t xml:space="preserve">Recharge to full from empty: 0.66 s</t>
      </text>
    </comment>
    <comment authorId="0" ref="O82">
      <text>
        <t xml:space="preserve">In Air: 
364 + 91*2</t>
      </text>
    </comment>
    <comment authorId="0" ref="Q82">
      <text>
        <t xml:space="preserve">In Air: 
1018 + 212*2</t>
      </text>
    </comment>
    <comment authorId="0" ref="I132">
      <text>
        <t xml:space="preserve">An aggressive sword has two light attack animations:
Light_1 : 0.66 s
Light_2 : 0.66 s</t>
      </text>
    </comment>
    <comment authorId="0" ref="I66">
      <text>
        <t xml:space="preserve">Typical swords have three light attack animations:
Light_1 : 0.46 s
Light_2 : 0.46 s
Light_3 : 0.49 s</t>
      </text>
    </comment>
    <comment authorId="0" ref="K132">
      <text>
        <t xml:space="preserve">Recharge to full from empty: 0.58 s</t>
      </text>
    </comment>
    <comment authorId="0" ref="I33">
      <text>
        <t xml:space="preserve">Typical swords have three light attack animations:
Light_1 : 0.46 s
Light_2 : 0.46 s
Light_3 : 0.49 s</t>
      </text>
    </comment>
    <comment authorId="0" ref="J66">
      <text>
        <t xml:space="preserve">Tesseract windup: 0.84 s
Tesseract swing: 1.17 s</t>
      </text>
    </comment>
    <comment authorId="0" ref="J33">
      <text>
        <t xml:space="preserve">Wait until you land
Some bosses have odd hitboxes that leave you on the floor (such as an ogre), but this assumes that you have brief airtime (0.92) before you star swinging again</t>
      </text>
    </comment>
    <comment authorId="0" ref="K66">
      <text>
        <t xml:space="preserve">Tesseract windup does not begin until full heavy charge.
Recharge Delay: 1.34
Recharge from half-empty: 0.29 s</t>
      </text>
    </comment>
    <comment authorId="0" ref="A116">
      <text>
        <t xml:space="preserve">Air heavy attack does not consume sword energy.
Combat loop:
jump
light
heavy
repeat</t>
      </text>
    </comment>
    <comment authorId="0" ref="A50">
      <text>
        <t xml:space="preserve">Has Tempered Edge and Heavy Guard
Black Talon is capable of swinging out 2 powered heavy attack per full sword charge. 
This assumes only 1 heavy swing instead of 2.
Damage rotation:
heavy
light spam
repeat</t>
      </text>
    </comment>
    <comment authorId="0" ref="C83">
      <text>
        <t xml:space="preserve">Slightly faster animation of aggressive light_1</t>
      </text>
    </comment>
    <comment authorId="0" ref="I116">
      <text>
        <t xml:space="preserve">Jump: ~0.05 s
Light: 0.33 s
Heavy: 0.48 s</t>
      </text>
    </comment>
    <comment authorId="0" ref="I50">
      <text>
        <t xml:space="preserve">Typical swords have three light attack animations:
Light_1 : 0.46 s
Light_2 : 0.46 s
Light_3 : 0.49 s</t>
      </text>
    </comment>
    <comment authorId="0" ref="I17">
      <text>
        <t xml:space="preserve">Typical swords have three light attack animations:
Light_1 : 0.46 s
Light_2 : 0.46 s
Light_3 : 0.49 s</t>
      </text>
    </comment>
    <comment authorId="0" ref="K50">
      <text>
        <t xml:space="preserve">Recharge to full from half-empty: 0.34 s</t>
      </text>
    </comment>
    <comment authorId="0" ref="K17">
      <text>
        <t xml:space="preserve">Recharge to full from empty: 0.44 s</t>
      </text>
    </comment>
    <comment authorId="0" ref="O83">
      <text>
        <t xml:space="preserve">In Air: 
364 + 91*2</t>
      </text>
    </comment>
    <comment authorId="0" ref="Q83">
      <text>
        <t xml:space="preserve">In Air: 
1454 + 303*2</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Google sheets supports filter views, where you can view the spreadsheet in a filtered way without changing the arrangement/data of the spreadsheet.
This is significant because you, the viewer, can create your own temporary filter view to sort the data as you see fit, or use a curated filter view, and not alter the data present.
To access filter views, go to the Data tab, and from there find filter views in "Filter Views."
Please note that should you decide to make your own temporary filter view, set the range to start from A2, not from A1 (this changes the headers to be in the correct position). Should you decide to make layered filters, make sure to select the correct range you want to apply the layered filter to and check that your selection has headers.
If you would like to see any other filter views become curated, do let me know through Google Forms.</t>
      </text>
    </comment>
    <comment authorId="0" ref="B2">
      <text>
        <t xml:space="preserve">Weapons have 4-letter tags:
AuRi - Auto Rifles
SuMG - Submachine Guns
HeMG - Heavy Machine Guns
PuRi - Pulse Rifles
ScRi - Scout Rifles
HaCa - Hand Cannons
Sdrm - Sidearms
Bows - Bows
BrGL - (one-shot, breech) Grenade Launcher
HeGL - Heavy Grenade Launcher
SnRi - Sniper Rifles
Shgu - Shotguns
FuRi - Fusion Rifles
LiFR - Linear Fusion Rifles
TrRi - trace rifles
Glai - glaives
RocL - Rocket Launcher</t>
      </text>
    </comment>
    <comment authorId="0" ref="K2">
      <text>
        <t xml:space="preserve">Fire rate (Rounds Per Minute) for weapons.
Swing speed (Swings Per Minute) for swords</t>
      </text>
    </comment>
    <comment authorId="0" ref="N2">
      <text>
        <t xml:space="preserve">Body shot damage for weapons
Light attack damage for swords</t>
      </text>
    </comment>
    <comment authorId="0" ref="O2">
      <text>
        <t xml:space="preserve">Precision damage for weapons
Heavy attack damage for swords</t>
      </text>
    </comment>
    <comment authorId="0" ref="A2">
      <text>
        <t xml:space="preserve">Ammo type of the weapon:
P  - primary ammo
S - special ammo
H - heavy ammo</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Google sheets supports filter views, where you can view the spreadsheet in a filtered way without changing the arrangement/data of the spreadsheet.
This is significant because you, the viewer, can create your own temporary filter view to sort the data as you see fit, or use a curated filter view, and not alter the data present.
To access filter views, go to the Data tab, and from there find filter views in "Filter Views."
Please note that should you decide to make your own temporary filter view, set the range to start from A2, not from A1 (this changes the headers to be in the correct position). Should you decide to make layered filters, make sure to select the correct range you want to apply the layered filter to and check that your selection has headers.</t>
      </text>
    </comment>
    <comment authorId="0" ref="B2">
      <text>
        <t xml:space="preserve">Weapons have 4-letter tags:
AuRi - Auto Rifles
SuMG - Submachine Guns
HeMG - Heavy Machine Guns
PuRi - Pulse Rifles
ScRi - Scout Rifles
HaCa - Hand Cannons
Sdar - Sidearms
Bows - Bows
BrGL - (one-shot) Grenade Launcher
HeGL - Heavy Grenade Launcher
SnRi - Sniper Rifles
Shgu - Shotguns
FuRi - Fusion Rifles
LiFR - Linear Fusion Rifles
TrRi - trace rifles
Glai - glaives
RocL - Rocket Launcher</t>
      </text>
    </comment>
    <comment authorId="0" ref="E35">
      <text>
        <t xml:space="preserve">FOR FOUND VERDICT SPECIFICALLY: 
Better to run either Backup Mag or Extended Mag, but not both, for 1 extra shot</t>
      </text>
    </comment>
    <comment authorId="0" ref="G2">
      <text>
        <t xml:space="preserve">Changing the magazine stat can affect the reserves stat, see attached information above
This column is for magazine perks affecting the magazine stat, in tandem with Backup Mag (if applicable)</t>
      </text>
    </comment>
    <comment authorId="0" ref="A2">
      <text>
        <t xml:space="preserve">Ammo type of the weapon:
P  - primary ammo
S - special ammo
H - heavy ammo</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Some effects have a delay before you can re-apply them</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1">
      <text>
        <t xml:space="preserve">Primary-ammo weapons deal -5% towards frozen targets (DDC)
Whisper of Rending grants +50% against frozen targets</t>
      </text>
    </comment>
    <comment authorId="0" ref="D90">
      <text>
        <t xml:space="preserve">Primary-ammo weapons deal -5% towards frozen targets (DDC)
Whisper of Rending grants +50% against frozen targets</t>
      </text>
    </comment>
    <comment authorId="0" ref="D89">
      <text>
        <t xml:space="preserve">Primary-ammo weapons deal -5% towards frozen targets (DDC)</t>
      </text>
    </comment>
    <comment authorId="0" ref="D88">
      <text>
        <t xml:space="preserve">Primary-ammo weapons deal -5% towards frozen targets (DDC)</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Lingering field deals 8966 damage per tick over Y seconds</t>
      </text>
    </comment>
    <comment authorId="0" ref="N42">
      <text>
        <t xml:space="preserve">Duration of lingering Nova Bomb Singularity</t>
      </text>
    </comment>
    <comment authorId="0" ref="F1">
      <text>
        <t xml:space="preserve">Burst DPS taken from active super time (cast time and super recovery are not accounted for)</t>
      </text>
    </comment>
    <comment authorId="0" ref="J36">
      <text>
        <t xml:space="preserve">Has two animations:
1st light - 0.5 seconds
2nd light - 0.75 seconds</t>
      </text>
    </comment>
    <comment authorId="0" ref="N7">
      <text>
        <t xml:space="preserve">Drain while guarding is affected by the number of allies in the buff zone:
DDC:
0 allies: +20% drain (13.6 s)
1 ally: -5% drain (17.9 s)
2 allies: -20% drain (20.4 s)
3 allies: -??% drain (?? s)</t>
      </text>
    </comment>
    <comment authorId="0" ref="J34">
      <text>
        <t xml:space="preserve">Has two animations:
1st light - 0.52 seconds
2nd light - 0.74 seconds</t>
      </text>
    </comment>
    <comment authorId="0" ref="E28">
      <text>
        <t xml:space="preserve">Each arrow deals 22268+178 damage at base
Debuff applies after first volley impacts, a +20% boost</t>
      </text>
    </comment>
    <comment authorId="0" ref="H28">
      <text>
        <t xml:space="preserve">Each arrow deals 22268+178 damage at base
</t>
      </text>
    </comment>
    <comment authorId="0" ref="H26">
      <text>
        <t xml:space="preserve">Damage per blade</t>
      </text>
    </comment>
    <comment authorId="0" ref="N32">
      <text>
        <t xml:space="preserve">Duration while:
Visible: 15s
Invisible: 23.5s</t>
      </text>
    </comment>
    <comment authorId="0" ref="H24">
      <text>
        <t xml:space="preserve">Damage on body shot</t>
      </text>
    </comment>
    <comment authorId="0" ref="N30">
      <text>
        <t xml:space="preserve">Duration while:
Visible: 15s
Invisible: 23.5s</t>
      </text>
    </comment>
    <comment authorId="0" ref="E20">
      <text>
        <t xml:space="preserve">Initial impact: 15120+13530
Initial lightning strike: 33600
lingering strikes: 11095
12 strikes total
+2466 jolt damage
DDC: Jolt lasts 10 seconds, 0.8 seconds per instance of damage</t>
      </text>
    </comment>
    <comment authorId="0" ref="H22">
      <text>
        <t xml:space="preserve">Damage per body shot</t>
      </text>
    </comment>
    <comment authorId="0" ref="K24">
      <text>
        <t xml:space="preserve">Damage on precision hit</t>
      </text>
    </comment>
    <comment authorId="0" ref="J22">
      <text>
        <t xml:space="preserve">Time per shot</t>
      </text>
    </comment>
    <comment authorId="0" ref="J18">
      <text>
        <t xml:space="preserve">First two lights are the same as the light-attack chain:
Light 1: 0.46 seconds
Light 2: 0.69 seconds</t>
      </text>
    </comment>
    <comment authorId="0" ref="K18">
      <text>
        <t xml:space="preserve">Heavy attack damage at the end of the combo</t>
      </text>
    </comment>
    <comment authorId="0" ref="J16">
      <text>
        <t xml:space="preserve">Each attack in the light-attack chain has different timings:
Light 1: 0.46 seconds
Light 2: 0.69 seconds
Light 3: 0.70 seconds</t>
      </text>
    </comment>
    <comment authorId="0" ref="L18">
      <text>
        <t xml:space="preserve">Heavy combo finisher drain</t>
      </text>
    </comment>
    <comment authorId="0" ref="N20">
      <text>
        <t xml:space="preserve">Duration of lingering Arc Staff</t>
      </text>
    </comment>
    <comment authorId="0" ref="M18">
      <text>
        <t xml:space="preserve">Heavy combo finisher time</t>
      </text>
    </comment>
    <comment authorId="0" ref="E2">
      <text>
        <t xml:space="preserve">Lingering field deals X damage per tick over Y seconds</t>
      </text>
    </comment>
    <comment authorId="0" ref="I6">
      <text>
        <t xml:space="preserve">On ground, 3-hit combo:
1st - 4.5%
2nd - 4.5%
3rd - 2%
In air, 2-hit combo:
1st - 4.5%
2nd - 2%</t>
      </text>
    </comment>
    <comment authorId="0" ref="J35">
      <text>
        <t xml:space="preserve">Has two animations:
1st light - 0.5 seconds
2nd light - 0.75 seconds</t>
      </text>
    </comment>
    <comment authorId="0" ref="E29">
      <text>
        <t xml:space="preserve">Each arrow deals 22268+178 damage at base
Debuff applies after first volley impacts, a +20% boost</t>
      </text>
    </comment>
    <comment authorId="0" ref="O39">
      <text>
        <t xml:space="preserve">Effective natural drain per second.
Geomag Stabilizers will refund 10% super energy per hit, with a cooldown of 0.75 seconds according to the Destiny Data Compendium.</t>
      </text>
    </comment>
    <comment authorId="0" ref="H29">
      <text>
        <t xml:space="preserve">Each arrow deals 22268+178 damage at base
</t>
      </text>
    </comment>
    <comment authorId="0" ref="N2">
      <text>
        <t xml:space="preserve">0.35s cast time</t>
      </text>
    </comment>
    <comment authorId="0" ref="N33">
      <text>
        <t xml:space="preserve">Duration of the lingering stasis storm</t>
      </text>
    </comment>
    <comment authorId="0" ref="H25">
      <text>
        <t xml:space="preserve">Damage per blade</t>
      </text>
    </comment>
    <comment authorId="0" ref="N31">
      <text>
        <t xml:space="preserve">Duration while:
Visible: 15s
Invisible: 23.5s</t>
      </text>
    </comment>
    <comment authorId="0" ref="H23">
      <text>
        <t xml:space="preserve">Damage on body shot</t>
      </text>
    </comment>
    <comment authorId="0" ref="N29">
      <text>
        <t xml:space="preserve">Duration was not observed to change with the number of volleys shot.
Super bar was observed to drain slower as it got lower.</t>
      </text>
    </comment>
    <comment authorId="0" ref="E19">
      <text>
        <t xml:space="preserve">Initial impact: 15120+13530
Initial lightning strike: 33600
lingering strikes: 11095
12 strikes total</t>
      </text>
    </comment>
    <comment authorId="0" ref="H21">
      <text>
        <t xml:space="preserve">Damage per body shot</t>
      </text>
    </comment>
    <comment authorId="0" ref="J23">
      <text>
        <t xml:space="preserve">Time per shot
Fire rate is approximately 100 rpm</t>
      </text>
    </comment>
    <comment authorId="0" ref="K23">
      <text>
        <t xml:space="preserve">Damage on precision hit
Damage increases per shot:
1st shot - 31433
2nd shot - 45830
3rd shot - 59747
</t>
      </text>
    </comment>
    <comment authorId="0" ref="J21">
      <text>
        <t xml:space="preserve">Time per shot
Similar fire-rate to The Last Word (225 rpm)</t>
      </text>
    </comment>
    <comment authorId="0" ref="M23">
      <text>
        <t xml:space="preserve">Time per shot
Fire rate is approximately 100 rpm</t>
      </text>
    </comment>
    <comment authorId="0" ref="N19">
      <text>
        <t xml:space="preserve">Duration of lingering Arc Staff</t>
      </text>
    </comment>
    <comment authorId="0" ref="M17">
      <text>
        <t xml:space="preserve">Heavy attacks do not have a chain and are all with similar timing</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
      <text>
        <t xml:space="preserve">Rapid-Fire intrinsic increases on empty reload</t>
      </text>
    </comment>
  </commentList>
</comments>
</file>

<file path=xl/sharedStrings.xml><?xml version="1.0" encoding="utf-8"?>
<sst xmlns="http://schemas.openxmlformats.org/spreadsheetml/2006/main" count="5959" uniqueCount="1372">
  <si>
    <t>Welcome to Destiny 2: Quantum Damage-ics</t>
  </si>
  <si>
    <t>Game version: 8.2.6 &gt;&gt;&gt; 9.5.6.3</t>
  </si>
  <si>
    <r>
      <rPr>
        <color rgb="FFBF9000"/>
      </rPr>
      <t xml:space="preserve">Want to invest in the spreadsheet? </t>
    </r>
    <r>
      <rPr>
        <color rgb="FFBF9000"/>
        <u/>
      </rPr>
      <t>Ko-fi</t>
    </r>
  </si>
  <si>
    <t>Purpose</t>
  </si>
  <si>
    <t>The purpose of this spreadsheet is to showcase the absolute maximization of raw weapon DPS on boss-tier combatants; It serves as a reference of where weapons stand in comparison to other weapons in the context of boss DPS phases. The spreadsheet provides raw values that the user can process to compare DPS or manipulate on their own means to compare damage multipliers.</t>
  </si>
  <si>
    <t>Assumptions Made</t>
  </si>
  <si>
    <r>
      <rPr>
        <rFont val="Arial"/>
        <color theme="1"/>
      </rPr>
      <t xml:space="preserve">To make data comparison between weapons more fair:
 &gt; All weapons are normalized, i.e. </t>
    </r>
    <r>
      <rPr>
        <rFont val="Arial"/>
        <i/>
        <color theme="1"/>
      </rPr>
      <t xml:space="preserve">the new weapon bonus is removed
</t>
    </r>
    <r>
      <rPr>
        <rFont val="Arial"/>
        <color theme="1"/>
      </rPr>
      <t xml:space="preserve">   &gt; The only exception to this rule is exotics, as they all have an innate +5%
 &gt; All weapons assume the effects of Rally barricade/Lunafactions reload speed boosting to minimize reload speeds to a consistent amount.
 &gt; All weapons assume Extended Mag (or similar) and Backup Mag (whenever applicable), unless otherwise stated, to keep magazine sizes at a consistent amount.
    &gt; Changing the magazine capacity may affect the total reserves of a weapon; see the Inventory and Mag Database below for further information.
    &gt; Note: some weapons may be able to maximize the magazine stat through means other than Backup Mag, see Inventory and Mag Database below.
 &gt; All legendary weapons exclude perks unless otherwise stated.
 &gt; All weapons assume depleting the entire magazine before reloading unless otherwise stated.
 &gt; All weapons assume reloading the instant the final round of the magazine is fired (hitting the reload context button at the same time the final round is fired).
 &gt; All weapon DPS calculations assume precision hits whenever applicable or unless otherwise stated. 
    &gt; All pellet shotguns DPS calculations assume body shots, unless otherwise stated, to make comparison more realistic.</t>
    </r>
  </si>
  <si>
    <t>Methods and Calculations</t>
  </si>
  <si>
    <r>
      <rPr>
        <rFont val="Arial"/>
        <color theme="1"/>
      </rPr>
      <t xml:space="preserve">Method of DPS calculation:
  (damage sum of individual attacks) / (time sum of individual attacks)
note that this is </t>
    </r>
    <r>
      <rPr>
        <rFont val="Arial"/>
        <i/>
        <color theme="1"/>
      </rPr>
      <t xml:space="preserve">not
</t>
    </r>
    <r>
      <rPr>
        <rFont val="Arial"/>
        <color theme="1"/>
      </rPr>
      <t xml:space="preserve">  (measured total damage) / (measured total time)
The total damage over total time is the </t>
    </r>
    <r>
      <rPr>
        <rFont val="Arial"/>
        <i/>
        <color theme="1"/>
      </rPr>
      <t>Average DPS</t>
    </r>
    <r>
      <rPr>
        <rFont val="Arial"/>
        <color theme="1"/>
      </rPr>
      <t>, and will likely be higher if not equal to the Sustained DPS because the time span measured is relatively small.
As you increase time (and assume infinite ammo) you will approach the actual Sustained DPS figure. To get a better visual, visit the Equations page and see the graph for DPS as a function of time.
All timings are done at 60 fps.</t>
    </r>
  </si>
  <si>
    <t>Other Notes</t>
  </si>
  <si>
    <r>
      <rPr/>
      <t xml:space="preserve">As you navigate this spreadsheet, take note:
 &gt; If a cell has a hyperlink, you can double-click on the cell to be able to directly click on the hyperlink.
 &gt; If you wish to inspect how DPS values were calculated, you can double-click on a cell to see the exact formula.
   &gt; Some cells make use of custom-defined formulas which are scripted and aren't viewable in read-only mode.
     &gt; Some of these formulas are defined in the Equations page. 
     &gt; Other formulas may require you to download a copy of this spreasheet and open Extensions -&gt; Apps Script to view them as they are programmed functions.
 &gt; Color-gradient columns are meant to compare values to other members within the same column. 
   &gt; More green is bettter, within the same respective column (e.g.: more damage or better sustained DPS).
 &gt; Certain fields may contain a note on them for more information. Expand these notes by dragging the bottom-right corner for better readability.
 &gt; If you wish to sort everything, see "All Weapons" and its associated page header.
 &gt; The Weapon Change Log page is to keep track of when weapons were last tested and their respective data points were modified.
 &gt; Any cells highlighted in red are considered to be outdated/bad/to-be-determined and subject to change.
</t>
    </r>
    <r>
      <rPr>
        <i/>
      </rPr>
      <t xml:space="preserve">Remember: this spreadsheet is meant to represent frame-perfect DPS scenarios. The data is intended to explore the best potential of weapons on their own and serve as a comparison tool when it comes to choosing your next DPS option. Do not expect to hit the DPS values provided.
</t>
    </r>
    <r>
      <rPr/>
      <t xml:space="preserve">
</t>
    </r>
    <r>
      <rPr>
        <b/>
        <i/>
      </rPr>
      <t xml:space="preserve">These values are for ultra-tier (boss) enemies only. They may or may not apply to other-tiered enemies, such as minibosses, champions, majors, and minors. For more context, see </t>
    </r>
    <r>
      <rPr>
        <b/>
        <i/>
        <color rgb="FF1155CC"/>
        <u/>
      </rPr>
      <t>this</t>
    </r>
    <r>
      <rPr>
        <b/>
        <i/>
      </rPr>
      <t>.</t>
    </r>
  </si>
  <si>
    <t>Contact</t>
  </si>
  <si>
    <r>
      <rPr/>
      <t>If you have any questions, comments, concerns, or would simply like to make contributions, you have a few methods of contact:</t>
    </r>
    <r>
      <rPr>
        <i/>
      </rPr>
      <t xml:space="preserve">
</t>
    </r>
    <r>
      <rPr/>
      <t xml:space="preserve"> &gt; Google Form: use </t>
    </r>
    <r>
      <rPr>
        <color rgb="FF1155CC"/>
        <u/>
      </rPr>
      <t>this Google form</t>
    </r>
    <r>
      <rPr/>
      <t xml:space="preserve"> if you prefer to stay anonymous or do not want to use Reddit
 &gt; Private Message: </t>
    </r>
    <r>
      <rPr>
        <color rgb="FF1155CC"/>
        <u/>
      </rPr>
      <t>send a private message u/XboxUser123</t>
    </r>
    <r>
      <rPr/>
      <t xml:space="preserve"> 
 &gt; Reddit comment (fallback): make a comment on </t>
    </r>
    <r>
      <rPr>
        <color rgb="FF1155CC"/>
        <u/>
      </rPr>
      <t>this</t>
    </r>
    <r>
      <rPr/>
      <t xml:space="preserve"> Reddit post</t>
    </r>
    <r>
      <rPr>
        <i/>
      </rPr>
      <t xml:space="preserve">
Please let me know of any potential issues, I am a one-man army (with some helpers) and keeping this spreadsheet as accurate as possible is the priority!</t>
    </r>
  </si>
  <si>
    <t>Definitions</t>
  </si>
  <si>
    <r>
      <rPr/>
      <t xml:space="preserve">Some definitions on words, phrases, and acronyms used:
1-Mag DPS or "True DPS"
 &gt; The amount of DPS while not considering reloading, or equivalently (if applicable) of a single magazine. 
   &gt; The DPS of a single magazine and the DPS of omitting reloads entirely and focusing solely on damage and fire rate are identical.
   &gt; Note that some weapons have a unique 1-mag DPS compared to their theoretical "True DPS" counterpart due to how they work (such as Merciless).
Sustained DPS
 &gt; The amount of DPS while also considering reloading. 
   &gt; This is the DPS you would expect to have for DPS phases, assuming you had infinite reserves and infinite time. 
 &gt; Note that this also assumes you hit the reload context as soon as you fire your final round.
 &gt; If the data entry is for a single magazine, the Sustained DPS and True DPS will be equivalent.
 &gt; A way to guage the difference between Sustained DPS and True DPS is to look it as minimums and maximums. 
   &gt; Sustained DPS is the minimum DPS expected, while 1-mag or "True DPS" is the maximum DPS expected.
Average DPS
 &gt; The amount of total damage divided by the total time. Although it is not considered in this spreadsheet, it can be easily calculated using existing values.
   &gt; For more context, dividing the total damage over the time to empty should yield a result between the sustained and true DPS figures.
     &gt; Average DPS should be closer to the sustained DPS than the true DPS.
     &gt; If this average figure appears off, let me know as there may be a problem with how the time to empty is set up.
For a more visual representation between the three DPS types, see the </t>
    </r>
    <r>
      <rPr>
        <color rgb="FF1155CC"/>
        <u/>
      </rPr>
      <t>Equations</t>
    </r>
    <r>
      <rPr/>
      <t xml:space="preserve"> page and the associated Desmos graph.
The sloping lines in that graph represent the average DPS at an instant of time.
cata
 &gt; Stands for "catalyst," meaning the data row assumes an exotic weapon catalyst is used.
DOT
 &gt; Stands for "Damage Over Time," refers to passive damage sources, such as Witherhoard blights, that passively deal damage without your interaction over time.
"w/" or "w/o"
 &gt; Stands for "with" or "without," respectively.
DDC
 &gt; Stands for "Destiny Data Compendium," implies that the data was sourced from the Destiny Data Compendium
Weapon damage is "normalized"
 &gt; Weapons do not assume "new gear" bonus
 &gt; Exotic weapons do not assume "featured gear" bonus
</t>
    </r>
  </si>
  <si>
    <t>Testing is done on the Dummy of Practice in the new shooting range, Normal difficulty (no modifiers)</t>
  </si>
  <si>
    <r>
      <rPr>
        <b/>
        <i/>
        <strike/>
      </rPr>
      <t xml:space="preserve">All damage testing is done on </t>
    </r>
    <r>
      <rPr>
        <b/>
        <i/>
        <strike/>
        <color rgb="FF1155CC"/>
      </rPr>
      <t>Barry</t>
    </r>
    <r>
      <rPr>
        <b/>
        <i/>
        <strike/>
      </rPr>
      <t xml:space="preserve"> in "The Investigation" mission of the Witch Queen campaign on legendary difficulty.</t>
    </r>
  </si>
  <si>
    <t>References &amp; Links</t>
  </si>
  <si>
    <r>
      <rPr>
        <color rgb="FF000000"/>
      </rPr>
      <t xml:space="preserve">External data used:
</t>
    </r>
    <r>
      <rPr>
        <color rgb="FF1155CC"/>
        <u/>
      </rPr>
      <t>D2Foundry</t>
    </r>
    <r>
      <rPr/>
      <t>/</t>
    </r>
    <r>
      <rPr>
        <color rgb="FF1155CC"/>
        <u/>
      </rPr>
      <t>D2Gunsmith</t>
    </r>
    <r>
      <rPr/>
      <t xml:space="preserve"> for some reload timings
</t>
    </r>
    <r>
      <rPr>
        <color rgb="FF1155CC"/>
        <u/>
      </rPr>
      <t>Destiny Data Compendium</t>
    </r>
    <r>
      <rPr/>
      <t xml:space="preserve"> for certain multipliers and miscellaneous data
</t>
    </r>
    <r>
      <rPr>
        <color rgb="FF1155CC"/>
        <u/>
      </rPr>
      <t>Destiny 2 Inventory and Mag Database</t>
    </r>
    <r>
      <rPr/>
      <t xml:space="preserve"> for reserves and magazine stats
See Also:
</t>
    </r>
    <r>
      <rPr>
        <color rgb="FF1155CC"/>
        <u/>
      </rPr>
      <t>destiny2.science</t>
    </r>
    <r>
      <rPr/>
      <t xml:space="preserve"> for other scientific research into Destiny 2
Inspired by:
</t>
    </r>
    <r>
      <rPr>
        <color rgb="FF1155CC"/>
        <u/>
      </rPr>
      <t>Damage Chart Madness</t>
    </r>
  </si>
  <si>
    <t>Bounty Board</t>
  </si>
  <si>
    <t>Date Issued</t>
  </si>
  <si>
    <t>What is Needed</t>
  </si>
  <si>
    <t>Description</t>
  </si>
  <si>
    <t>Reward</t>
  </si>
  <si>
    <t>No bounties are present at this time</t>
  </si>
  <si>
    <t>Data! Data! Data!</t>
  </si>
  <si>
    <r>
      <rPr>
        <rFont val="Arial"/>
        <color theme="1"/>
      </rPr>
      <t xml:space="preserve">Need to retest entire suites of weapons. Simplest being the legendaries. See the TODO page for more specifics on what needs to be retested.
Note: make sure to turn off the special surge that is going on this week if you decide to test the special weapons
Note: don't forget, weapon stat </t>
    </r>
    <r>
      <rPr>
        <rFont val="Arial"/>
        <i/>
        <color theme="1"/>
      </rPr>
      <t>will</t>
    </r>
    <r>
      <rPr>
        <rFont val="Arial"/>
        <color theme="1"/>
      </rPr>
      <t xml:space="preserve"> affect your damage output, make sure to minimize it to 0 or 1</t>
    </r>
  </si>
  <si>
    <t>The high ground</t>
  </si>
  <si>
    <r>
      <rPr>
        <color rgb="FFFFFFFF"/>
      </rPr>
      <t xml:space="preserve">Note: all weapons assume Backup Mag whenever applicable; All weapon damage (except exotics) is normalized.
Want to contribute? Have questions, comments, or concerns? See </t>
    </r>
    <r>
      <rPr>
        <color rgb="FFC9DAF8"/>
        <u/>
      </rPr>
      <t>Home</t>
    </r>
    <r>
      <rPr>
        <color rgb="FFFFFFFF"/>
      </rPr>
      <t xml:space="preserve"> page contact information.</t>
    </r>
  </si>
  <si>
    <t>Frame/Weapon</t>
  </si>
  <si>
    <t>1-Mag Burst or "True" DPS</t>
  </si>
  <si>
    <t>Sustained DPS</t>
  </si>
  <si>
    <t>Theoretical Total Damage</t>
  </si>
  <si>
    <t>1-Mag Damage</t>
  </si>
  <si>
    <t>Magazine Capacity</t>
  </si>
  <si>
    <t>Reserves + Magazine</t>
  </si>
  <si>
    <t>Fire rate (rpm)</t>
  </si>
  <si>
    <t>Reload Speed (s)</t>
  </si>
  <si>
    <t>Time to Empty (s)</t>
  </si>
  <si>
    <t>Body Damage</t>
  </si>
  <si>
    <t>Precision Damage</t>
  </si>
  <si>
    <t>Auto Rifles</t>
  </si>
  <si>
    <t>Rapid-Fire</t>
  </si>
  <si>
    <t>inf</t>
  </si>
  <si>
    <t>Adaptive</t>
  </si>
  <si>
    <t>Support</t>
  </si>
  <si>
    <t>Precision</t>
  </si>
  <si>
    <t>High-Impact</t>
  </si>
  <si>
    <t>average per mag</t>
  </si>
  <si>
    <t>Sweet Business</t>
  </si>
  <si>
    <t>Spinning Up</t>
  </si>
  <si>
    <t>Suros Regime</t>
  </si>
  <si>
    <t>Dual Speed Receiver</t>
  </si>
  <si>
    <t>Aiming-down-sights only</t>
  </si>
  <si>
    <t>Tommy's Matchbook</t>
  </si>
  <si>
    <t>Assumes normal 20 bullets + 80 buffed while burning; considers ignitions and approx. scorch</t>
  </si>
  <si>
    <t>Ember of Ashes</t>
  </si>
  <si>
    <t>Quicksilver Storm</t>
  </si>
  <si>
    <t>DPS assumes bullets + rockets.</t>
  </si>
  <si>
    <t>mixed modes</t>
  </si>
  <si>
    <t>N/A</t>
  </si>
  <si>
    <t>DPS assumes 22 rounds + 2 rockets &gt; grenade &gt; grenade &gt; repeat; an extra grenade is held</t>
  </si>
  <si>
    <t>Necrochasm</t>
  </si>
  <si>
    <t>Vex Mythoclast</t>
  </si>
  <si>
    <t>Excludes linear shots</t>
  </si>
  <si>
    <t>Hard Light</t>
  </si>
  <si>
    <t>Khvostov 7G-0X</t>
  </si>
  <si>
    <t>with ricochet rounds</t>
  </si>
  <si>
    <t>Monte Carlo</t>
  </si>
  <si>
    <t>Centrifuse</t>
  </si>
  <si>
    <t>normal, close range</t>
  </si>
  <si>
    <t>Cerberus+1</t>
  </si>
  <si>
    <t>Body damage DPS</t>
  </si>
  <si>
    <t>Precision damage DPS</t>
  </si>
  <si>
    <t>normal, far range</t>
  </si>
  <si>
    <t>Reverse damage fall-off; body damage DPS</t>
  </si>
  <si>
    <t>Reverse damage fall-off; all precision shots land for precision damage DPS (if it's even possible)</t>
  </si>
  <si>
    <t>cata, close range</t>
  </si>
  <si>
    <t>Body damage DPS; requires a kill before reload, buff lasts for ~8 seconds</t>
  </si>
  <si>
    <t>Precision damage DPS; requires a kill before reload, buff lasts for ~8 seconds</t>
  </si>
  <si>
    <t>cata, far range</t>
  </si>
  <si>
    <t>SMGs</t>
  </si>
  <si>
    <t>Aggressive</t>
  </si>
  <si>
    <t>Lightweight</t>
  </si>
  <si>
    <t>Riskrunner</t>
  </si>
  <si>
    <t>Arc Conductor</t>
  </si>
  <si>
    <t>Grounded</t>
  </si>
  <si>
    <t>The Manticore</t>
  </si>
  <si>
    <t>Airborne</t>
  </si>
  <si>
    <t>67 shots to fill (37 + reload + 30 + reload) &gt; jump &gt; 67 airborne shots</t>
  </si>
  <si>
    <t>Ride the Bull average</t>
  </si>
  <si>
    <t>Huckleberry</t>
  </si>
  <si>
    <t>Ride the Bullx2 + Rmpgx3</t>
  </si>
  <si>
    <t>This assumes 3 kills have been made</t>
  </si>
  <si>
    <t>Tarrabah</t>
  </si>
  <si>
    <t>Ravenous Beast</t>
  </si>
  <si>
    <t>Barrow Dyad</t>
  </si>
  <si>
    <t>Osteo Striga</t>
  </si>
  <si>
    <t>w/ poison DoT</t>
  </si>
  <si>
    <t>Poison DoT ramp-up is reset every re-proc,</t>
  </si>
  <si>
    <t>only poison DoT</t>
  </si>
  <si>
    <t>Poison DoT ramps up over time</t>
  </si>
  <si>
    <t>Pulse Rifles</t>
  </si>
  <si>
    <t>Legacy PR-55</t>
  </si>
  <si>
    <t>Exclusive frame to BXR-55 Battler</t>
  </si>
  <si>
    <t>Aggressive Burst</t>
  </si>
  <si>
    <t>Heavy Burst</t>
  </si>
  <si>
    <t>Vigilance Wing</t>
  </si>
  <si>
    <t>Bad Juju</t>
  </si>
  <si>
    <t>String of Curses x5</t>
  </si>
  <si>
    <t>Outbreak Perfected</t>
  </si>
  <si>
    <t>Collections roll</t>
  </si>
  <si>
    <t>x5 nanites</t>
  </si>
  <si>
    <t>Collections roll; Assumes 4 nanites spawn every 12 shots.</t>
  </si>
  <si>
    <t>max nanites (x100)</t>
  </si>
  <si>
    <t>Rapid Hit + Alloy Magazine</t>
  </si>
  <si>
    <t>Rapid Hit + Alloy Magazine; Assumes 4 nanites spawn every 12 shots.</t>
  </si>
  <si>
    <t>Rewind Rounds + Extended Magazine</t>
  </si>
  <si>
    <t>Rewind Rounds + Extended Magazine; Assumes 4 nanites spawn every 12 shots.</t>
  </si>
  <si>
    <t>Collective Obligation</t>
  </si>
  <si>
    <t>Red Death Reformed</t>
  </si>
  <si>
    <t>4-burst</t>
  </si>
  <si>
    <t>Revision Zero</t>
  </si>
  <si>
    <t>2-burst</t>
  </si>
  <si>
    <t>4-burst, mix, FTTC</t>
  </si>
  <si>
    <t>Expend 48 rounds (get 4x Hunter's Trace) &gt; Hunter's Trace</t>
  </si>
  <si>
    <t>2-burst, mix, FTTC</t>
  </si>
  <si>
    <t>w/ Time-Slip Portal,cata</t>
  </si>
  <si>
    <t>No Time To Explain</t>
  </si>
  <si>
    <t>This assumes precisions-only.</t>
  </si>
  <si>
    <t>Graviton Lance</t>
  </si>
  <si>
    <t>Scout Rifles</t>
  </si>
  <si>
    <t>Symmetry</t>
  </si>
  <si>
    <t>x1 Revolution</t>
  </si>
  <si>
    <t>spam 1x revolution</t>
  </si>
  <si>
    <t>x5 Revolution mix</t>
  </si>
  <si>
    <t>build stacks -&gt; swap firing modes &gt; expend stacks &gt; swap firing modes</t>
  </si>
  <si>
    <t>x10 Revolution mix</t>
  </si>
  <si>
    <t>x15 Revolution mix</t>
  </si>
  <si>
    <t>x20 Revolution mix</t>
  </si>
  <si>
    <t>Touch of Malice (ToM)</t>
  </si>
  <si>
    <t>Touch of Malice</t>
  </si>
  <si>
    <t>This assumes always at 1 round</t>
  </si>
  <si>
    <t>ToM+CwB</t>
  </si>
  <si>
    <t>This assumes always at 1 round; fire 12 rounds &gt; re-blight, 100% CwB uptime</t>
  </si>
  <si>
    <t>Wicked Implement</t>
  </si>
  <si>
    <t>Assumes Creeping Attrition from beginning shot, solo setting</t>
  </si>
  <si>
    <t>Whisper of Rending</t>
  </si>
  <si>
    <t>Assumes Creeping Attrition from beginning shot, group setting</t>
  </si>
  <si>
    <t>MIDA Multi-Tool</t>
  </si>
  <si>
    <t>Base</t>
  </si>
  <si>
    <t>Third Iteration</t>
  </si>
  <si>
    <t>Only base rounds</t>
  </si>
  <si>
    <t>Base, buffed</t>
  </si>
  <si>
    <t>Only base rounds, buffed by Amalgamation Rounds</t>
  </si>
  <si>
    <t>Amalgamation Round</t>
  </si>
  <si>
    <t>Only Amalgamation rounds, buffed by Amalgamation Rounds</t>
  </si>
  <si>
    <t>Dead Man's Tale</t>
  </si>
  <si>
    <t>cata, x5 Cranial Spike</t>
  </si>
  <si>
    <t>Hip-fire, reload full magazine</t>
  </si>
  <si>
    <t>Hip-fire, one reload on empty</t>
  </si>
  <si>
    <t>cata, x5 Cranial Spike, RH</t>
  </si>
  <si>
    <t>Hip-fire</t>
  </si>
  <si>
    <t>cata, x5 Cranial Spike, FTTC</t>
  </si>
  <si>
    <t>Polaris Lance</t>
  </si>
  <si>
    <t>This assumes precision-only. Factors in scorch; considers ignitions</t>
  </si>
  <si>
    <t>SkyBurner's Oath</t>
  </si>
  <si>
    <t>Very approximately considers Scorch; considers ignitions</t>
  </si>
  <si>
    <t>Hip-fire, Ember of Ashes</t>
  </si>
  <si>
    <t>ADS</t>
  </si>
  <si>
    <t>The Jade Rabbit</t>
  </si>
  <si>
    <t>Assumes precision-only (3 precision hits return 3 rounds)</t>
  </si>
  <si>
    <t>Hand Cannons</t>
  </si>
  <si>
    <t>Frame exclusive to Rose</t>
  </si>
  <si>
    <t>Spread Shot</t>
  </si>
  <si>
    <t>Crimson</t>
  </si>
  <si>
    <t>The Last Word</t>
  </si>
  <si>
    <t>Precision damage is hip-fire precision damage (assumes +30% damage)</t>
  </si>
  <si>
    <t>Malfeasance</t>
  </si>
  <si>
    <t>cata</t>
  </si>
  <si>
    <t>cata + Lucky Pants</t>
  </si>
  <si>
    <t>Sunshot</t>
  </si>
  <si>
    <t>Arc mode</t>
  </si>
  <si>
    <t>Graviton Spike</t>
  </si>
  <si>
    <t>Stasis mode</t>
  </si>
  <si>
    <t>Mode swapping</t>
  </si>
  <si>
    <t>With Whisper of Fissures</t>
  </si>
  <si>
    <t>Ace of Spades</t>
  </si>
  <si>
    <t>Momento Mori</t>
  </si>
  <si>
    <t>Assumes there is some random add next to boss that can be one-shot.</t>
  </si>
  <si>
    <t>Hawkmoon</t>
  </si>
  <si>
    <t>x7 Paracausal Shot on final round</t>
  </si>
  <si>
    <t>Lumina</t>
  </si>
  <si>
    <t>Thorn</t>
  </si>
  <si>
    <t>Soul Devourer</t>
  </si>
  <si>
    <t xml:space="preserve">Sturm </t>
  </si>
  <si>
    <t>overcharged rounds</t>
  </si>
  <si>
    <t>Sidearms</t>
  </si>
  <si>
    <t>Adaptive Burst</t>
  </si>
  <si>
    <t>Trespasser</t>
  </si>
  <si>
    <t>Final Warning</t>
  </si>
  <si>
    <t>Full burst, Hip-Fire</t>
  </si>
  <si>
    <t>Assumes all unravel projectiles hit the boss, body damage</t>
  </si>
  <si>
    <t>Full burst, ADS</t>
  </si>
  <si>
    <t>Assumes all unravel projectiles hit the boss, precision damage</t>
  </si>
  <si>
    <t>Full burst, Hip-Fire, cata</t>
  </si>
  <si>
    <t>Assumes all unravel projectiles hit the boss</t>
  </si>
  <si>
    <t>Full burst, ADS, cata</t>
  </si>
  <si>
    <t>Assumes all unravel projectiles hit the boss; reload on second burst</t>
  </si>
  <si>
    <t>Devil's Ruin</t>
  </si>
  <si>
    <t>Laser</t>
  </si>
  <si>
    <t>This assumes laser &gt; reload &gt; laser &gt; reload &gt; etc.</t>
  </si>
  <si>
    <t>Rat King</t>
  </si>
  <si>
    <t>Rat Pack x2</t>
  </si>
  <si>
    <t>Rat Pack x3</t>
  </si>
  <si>
    <t>Rat Pack x4</t>
  </si>
  <si>
    <t>Rat Pack x5</t>
  </si>
  <si>
    <t>Traveler's Chosen</t>
  </si>
  <si>
    <t>Cryosthesia 77k</t>
  </si>
  <si>
    <t>Does not consider cryo shot</t>
  </si>
  <si>
    <t>Bows</t>
  </si>
  <si>
    <t>Lightweight (500 ms)</t>
  </si>
  <si>
    <t>Archer's Tempo</t>
  </si>
  <si>
    <t>Precision (576 ms)</t>
  </si>
  <si>
    <t>Archer's Gambit</t>
  </si>
  <si>
    <t>100% uptime on Archer's Gambit</t>
  </si>
  <si>
    <t>AG + AT</t>
  </si>
  <si>
    <t>High-Impact Longbow</t>
  </si>
  <si>
    <t>Hierarchy of Needs</t>
  </si>
  <si>
    <t>Arrows are capable of overpenetrating targets</t>
  </si>
  <si>
    <t>Guidance Ring</t>
  </si>
  <si>
    <t>DPS of Guidance Ring alone</t>
  </si>
  <si>
    <t>Guidance Ring, cata</t>
  </si>
  <si>
    <t>Ticuu's Divination</t>
  </si>
  <si>
    <t>cata, x6 Causality Arrows</t>
  </si>
  <si>
    <t>This assumes someone else is proccing Sacred Flame for you.</t>
  </si>
  <si>
    <t>Verglass Curve</t>
  </si>
  <si>
    <t>Trinity Ghoul</t>
  </si>
  <si>
    <t>Le Monarque</t>
  </si>
  <si>
    <t>Wish-Keeper</t>
  </si>
  <si>
    <t>100% Suspend uptime</t>
  </si>
  <si>
    <t>Set traps -&gt; buffed arrow -&gt; 8 normal arrows -&gt; 1 buffed arrow -&gt; 8 normal arrows</t>
  </si>
  <si>
    <t>Wish-Ender</t>
  </si>
  <si>
    <t>Breech Grenade Launchers</t>
  </si>
  <si>
    <t>Fighting Lion</t>
  </si>
  <si>
    <t>Without Volatile</t>
  </si>
  <si>
    <t>Volatile explosion every other hit</t>
  </si>
  <si>
    <t>Volatile explosion every hit</t>
  </si>
  <si>
    <t>Passive</t>
  </si>
  <si>
    <t>Alethonym</t>
  </si>
  <si>
    <t>Impale on explosion</t>
  </si>
  <si>
    <t>Spam</t>
  </si>
  <si>
    <t>Trace Rifles</t>
  </si>
  <si>
    <t>Lodestar</t>
  </si>
  <si>
    <t>Hip-Fire</t>
  </si>
  <si>
    <r>
      <rPr>
        <color rgb="FFFFFFFF"/>
      </rPr>
      <t xml:space="preserve">Note: all weapons assume Backup Mag whenever applicable; All weapon damage (except exotics) is normalized.
Want to contribute? Have questions, comments, or concerns? See </t>
    </r>
    <r>
      <rPr>
        <color rgb="FFC9DAF8"/>
        <u/>
      </rPr>
      <t>Home</t>
    </r>
    <r>
      <rPr>
        <color rgb="FFFFFFFF"/>
      </rPr>
      <t xml:space="preserve"> page contact information.</t>
    </r>
  </si>
  <si>
    <t>Sniper Rifles</t>
  </si>
  <si>
    <t>Triple Tap</t>
  </si>
  <si>
    <t>Assumes precision hit counter is reset on every reload</t>
  </si>
  <si>
    <t>Fourth Time's the Charm</t>
  </si>
  <si>
    <t>FTTC + Rewind Round</t>
  </si>
  <si>
    <t>Assumes being able to fire all rounds without reloading due to perk interactions</t>
  </si>
  <si>
    <t>Cloudstrike</t>
  </si>
  <si>
    <t>Assumes precision hit counter is reset on every reload; Strikes occur every three precision hits</t>
  </si>
  <si>
    <t>Izanagi's Burden</t>
  </si>
  <si>
    <t>cata, 4x Honed Edge</t>
  </si>
  <si>
    <t>Still Hunt</t>
  </si>
  <si>
    <t>Magazine is reloaded on cast, but golden gun shots are from the magazine</t>
  </si>
  <si>
    <t>Celestial</t>
  </si>
  <si>
    <t>Borealis</t>
  </si>
  <si>
    <t>Ionic Return</t>
  </si>
  <si>
    <t>The Master 0x</t>
  </si>
  <si>
    <t>New Land Beyond</t>
  </si>
  <si>
    <t>Base damage, The Master 0x, without any stat buffs</t>
  </si>
  <si>
    <t>Base damage, The Master 0x, with a Rally Barricade</t>
  </si>
  <si>
    <t>The Master 10x</t>
  </si>
  <si>
    <t>The Master 10x, with a Rally Barricade</t>
  </si>
  <si>
    <t>The Master 20x</t>
  </si>
  <si>
    <t>The Master 20x, with a Rally Barricade</t>
  </si>
  <si>
    <t>Ice Breaker</t>
  </si>
  <si>
    <t>Ruinous Effigy</t>
  </si>
  <si>
    <t>Assumes 100% uptime on enemy debuffed from being hit by the orb</t>
  </si>
  <si>
    <t>Transmutation Sphere</t>
  </si>
  <si>
    <t>One swing is barely faster than the other, assumes melee spam and slam on final ammo</t>
  </si>
  <si>
    <t>T-Sphere blocking field</t>
  </si>
  <si>
    <t>Assumes you slam on 1 ammo, uses the full 30 ammo before slamming</t>
  </si>
  <si>
    <t>base damage, no buffs</t>
  </si>
  <si>
    <t>Divinity</t>
  </si>
  <si>
    <t>Still assumes Penance; Penance will benefit from any buffs or debuffs applied</t>
  </si>
  <si>
    <t>with Judgement</t>
  </si>
  <si>
    <t>Judgement activates after ~17 rounds, Penance every 60 on Judgement and deals 24794</t>
  </si>
  <si>
    <t>Coldheart</t>
  </si>
  <si>
    <t>after Ionic Trace pickup</t>
  </si>
  <si>
    <t>Picking up an Ionic Trace reduces number of hits requires to cap damage to 33 rounds</t>
  </si>
  <si>
    <t>Prometheous Lens</t>
  </si>
  <si>
    <t>Without ignitions</t>
  </si>
  <si>
    <t>With ignitions</t>
  </si>
  <si>
    <t>With ignitions, Ember of Ashes</t>
  </si>
  <si>
    <t>The Navigator</t>
  </si>
  <si>
    <t>average</t>
  </si>
  <si>
    <t>Wavesplitter</t>
  </si>
  <si>
    <t>power level III</t>
  </si>
  <si>
    <t>Orbs crank the power level up to III for a duration</t>
  </si>
  <si>
    <t>Ager's Scepter</t>
  </si>
  <si>
    <t>Single super DPS</t>
  </si>
  <si>
    <t>Fusion Rifles</t>
  </si>
  <si>
    <t>Controlled Burst</t>
  </si>
  <si>
    <t>Merciless</t>
  </si>
  <si>
    <t>Damage decreases per bolt at higher stacks of Conserve Momentum</t>
  </si>
  <si>
    <t>Impetus</t>
  </si>
  <si>
    <t>Assumes you use 1 burst to kill an add for Impetus; kill an add and reload on final burst</t>
  </si>
  <si>
    <t>Jotunn</t>
  </si>
  <si>
    <t>Creates a small field of fire</t>
  </si>
  <si>
    <t>cata, Cornered</t>
  </si>
  <si>
    <t>Tesselation</t>
  </si>
  <si>
    <t>Delicate Tomb</t>
  </si>
  <si>
    <t>Does not consider Jolt. Fires 16 bolts in a wide line, 2 bolts at a time</t>
  </si>
  <si>
    <t>Does not consider Jolt. Fires 16 bolts total, vertically: 8 bolts with 2 instances of damage each</t>
  </si>
  <si>
    <t>Telesto</t>
  </si>
  <si>
    <t>Bastion</t>
  </si>
  <si>
    <t>melee combo</t>
  </si>
  <si>
    <t>fire magazine, melee, reload</t>
  </si>
  <si>
    <t>Shotguns</t>
  </si>
  <si>
    <t>Cascade Point</t>
  </si>
  <si>
    <t>Rapid-Fire Slug</t>
  </si>
  <si>
    <t>Trench Barrel</t>
  </si>
  <si>
    <t>Assumes reload-cancelling</t>
  </si>
  <si>
    <t>Pinpoint Slug</t>
  </si>
  <si>
    <t>Assumes precision hits</t>
  </si>
  <si>
    <t>Assumes reload-cancelling; Baby Legend of Acrius</t>
  </si>
  <si>
    <t>The Fourth Horseman</t>
  </si>
  <si>
    <t>Conditional Finality</t>
  </si>
  <si>
    <t>Frozen targets do not benefit from precision damage</t>
  </si>
  <si>
    <t>The Chaperone</t>
  </si>
  <si>
    <t>Roadborn</t>
  </si>
  <si>
    <t>Assumes 100% Roadborn uptime, reload to full</t>
  </si>
  <si>
    <t>Assumes 100% Roadborn uptime, reload cancel, firing final round</t>
  </si>
  <si>
    <t>Lord of Wolves</t>
  </si>
  <si>
    <t>Assumes all body hits</t>
  </si>
  <si>
    <t>Assumes all precision hits</t>
  </si>
  <si>
    <t>cata, Hip-Fire</t>
  </si>
  <si>
    <t>Assumes all body hits, with ignitions and scorch</t>
  </si>
  <si>
    <t>Assumes all precision hits, with ignitions and scorch</t>
  </si>
  <si>
    <t>cata, Hip-Fire, Ashes</t>
  </si>
  <si>
    <t>Assumes all body hits, with ignitions and scorch, Ember of Ashes</t>
  </si>
  <si>
    <t>Assumes all precision hits, with ignitions and scorch, Ember of Ashes</t>
  </si>
  <si>
    <t>cata, pellet</t>
  </si>
  <si>
    <t>Duality</t>
  </si>
  <si>
    <t>cata, slug</t>
  </si>
  <si>
    <t>cata, On Black Wings x3</t>
  </si>
  <si>
    <t>Assumes 100% uptime with On Black Wings and only firing slugs, all precision hits</t>
  </si>
  <si>
    <t>Slayer's Fang</t>
  </si>
  <si>
    <t>Splits into 7 subprojectiles on hit, assumes all precision hits</t>
  </si>
  <si>
    <t>Double Fire</t>
  </si>
  <si>
    <t>Slideshot/Slideways spam</t>
  </si>
  <si>
    <t>Wave</t>
  </si>
  <si>
    <t>Micro-Missile</t>
  </si>
  <si>
    <t>Area Denial</t>
  </si>
  <si>
    <t>Fire only 1 projectile per magazine; wait out AoE expiration</t>
  </si>
  <si>
    <t>Fire all five projectiles per magazine; wait out AoE expiration</t>
  </si>
  <si>
    <t>Fire all five projectiles per magazine, spamming</t>
  </si>
  <si>
    <t>No Enrage</t>
  </si>
  <si>
    <t>Ex Diris</t>
  </si>
  <si>
    <t>Max Enrage</t>
  </si>
  <si>
    <t>passive</t>
  </si>
  <si>
    <t>Witherhoard</t>
  </si>
  <si>
    <t>This assumes you reapply the frame after the DOT expires; reload during wait</t>
  </si>
  <si>
    <t>This assumes you reapply the frame before the DOT expires; reload during wait</t>
  </si>
  <si>
    <t>passive, ground</t>
  </si>
  <si>
    <t>Blighting the ground only, shoot the ground just before blight expiration (every ~3.7 seconds)</t>
  </si>
  <si>
    <t>cata, single blight, boss</t>
  </si>
  <si>
    <t>This assumes you auto-reload &gt; boss before DOT expires</t>
  </si>
  <si>
    <t>cata, single blight, floor</t>
  </si>
  <si>
    <t>This assumes you auto-reload &gt; floor</t>
  </si>
  <si>
    <t>double blight</t>
  </si>
  <si>
    <t>This assumes manual/auto reload &gt; boss before DOT expires &gt; manual reload &gt; floor &gt; wait</t>
  </si>
  <si>
    <t>spamming, single blight</t>
  </si>
  <si>
    <t>This assumes you just spam Witherhoard body shots at the boss</t>
  </si>
  <si>
    <t>spamming, double blight</t>
  </si>
  <si>
    <t>Spamming witherhoard: floor &gt; body &gt; body</t>
  </si>
  <si>
    <t>Dead Messenger</t>
  </si>
  <si>
    <t>Glaives</t>
  </si>
  <si>
    <t>melee</t>
  </si>
  <si>
    <t>melee while blocking/ADS</t>
  </si>
  <si>
    <t>Melee while blocking/ADS</t>
  </si>
  <si>
    <t>Melee without blocking/ADS</t>
  </si>
  <si>
    <t>Vexcalibur</t>
  </si>
  <si>
    <t>melee, void overshield</t>
  </si>
  <si>
    <t>Edge of Concurrence</t>
  </si>
  <si>
    <t>Currently, this does not implement alt-fire in this calculation</t>
  </si>
  <si>
    <t>Edge of Action</t>
  </si>
  <si>
    <t>alt-fire is a small bubble with a STACKING +5% damage buff (multiplies with well, bubble, etc.)</t>
  </si>
  <si>
    <t>Edge of Intent</t>
  </si>
  <si>
    <t>Linear Fusion Rifles</t>
  </si>
  <si>
    <t>Lorentz Driver</t>
  </si>
  <si>
    <t>Lagrangian Sight</t>
  </si>
  <si>
    <t>Arbalest</t>
  </si>
  <si>
    <t>Euphony</t>
  </si>
  <si>
    <t>Without Threadlings</t>
  </si>
  <si>
    <t>With Threadlings, assumes Threadlings detonate instantly inside the boss when spawned</t>
  </si>
  <si>
    <t>With Threadlings, assumes Threadlings fall to the ground and travel to the boss</t>
  </si>
  <si>
    <t>Choir of One</t>
  </si>
  <si>
    <t>Hip-fire, after splitting</t>
  </si>
  <si>
    <t>Hip-fire, before splitting</t>
  </si>
  <si>
    <t>Rocket-Assisted</t>
  </si>
  <si>
    <t>Each burst is a single round</t>
  </si>
  <si>
    <t>Eriana's Vow</t>
  </si>
  <si>
    <t>Assumes First Glance + catalyst</t>
  </si>
  <si>
    <t>Majority of damage is blast damage; blast radius stat does not affect damage distribution</t>
  </si>
  <si>
    <t>Buried Bloodline</t>
  </si>
  <si>
    <t>Without weaken</t>
  </si>
  <si>
    <t>Forerunner</t>
  </si>
  <si>
    <t>Swords</t>
  </si>
  <si>
    <t>SEE SWORDS PAGE</t>
  </si>
  <si>
    <r>
      <rPr>
        <color rgb="FFFFFFFF"/>
      </rPr>
      <t xml:space="preserve">Note: all weapons assume Backup Mag whenever applicable, rocket launchers assume Impact Casing wherever applicable; All weapon damage (except exotics) is normalized.
Want to contribute? Have questions, comments, or concerns? See </t>
    </r>
    <r>
      <rPr>
        <color rgb="FFC9DAF8"/>
        <u/>
      </rPr>
      <t>Home</t>
    </r>
    <r>
      <rPr>
        <color rgb="FFFFFFFF"/>
      </rPr>
      <t xml:space="preserve"> page for contact information.</t>
    </r>
  </si>
  <si>
    <t>Machine Guns</t>
  </si>
  <si>
    <t>Heir Apparent</t>
  </si>
  <si>
    <t>Thunderlord</t>
  </si>
  <si>
    <t>w/o weaken</t>
  </si>
  <si>
    <t>Deterministic Chaos</t>
  </si>
  <si>
    <t>This assumes 0% weaken uptime</t>
  </si>
  <si>
    <t>w/ weaken</t>
  </si>
  <si>
    <t>This assumes 100% weaken uptime</t>
  </si>
  <si>
    <t>Xenophage</t>
  </si>
  <si>
    <t>Does not deal precision damage</t>
  </si>
  <si>
    <t>w/o rockets</t>
  </si>
  <si>
    <t>Grand Overture</t>
  </si>
  <si>
    <t>w/ rockets</t>
  </si>
  <si>
    <t>Does not deal precision damage; shoot 20 rounds &gt; swap mode &gt; shoot 20 rockets &gt; reload</t>
  </si>
  <si>
    <t>Grenade Launchers</t>
  </si>
  <si>
    <t>Compressed Wave</t>
  </si>
  <si>
    <t>The Prospector</t>
  </si>
  <si>
    <t>Assumes no bomblets contact the boss (DPS minimum)</t>
  </si>
  <si>
    <t>Assumes all bomblets contact the boss (DPS maximum)</t>
  </si>
  <si>
    <t>single-stick</t>
  </si>
  <si>
    <t>Anarchy</t>
  </si>
  <si>
    <t>Assumes a single grenade &gt; wait out damage, reloading while waiting</t>
  </si>
  <si>
    <t>double-stick</t>
  </si>
  <si>
    <t>Assumes two grenades &gt; wait out damage, reloading while waiting</t>
  </si>
  <si>
    <t>The Colony</t>
  </si>
  <si>
    <t>Parasite</t>
  </si>
  <si>
    <t>x20 WH on first, avg</t>
  </si>
  <si>
    <t>Assumes first shot is x20 Worm's Hunger, rest are 0x Worm's Hunger; Average DPS</t>
  </si>
  <si>
    <t>no charge, spamming</t>
  </si>
  <si>
    <t>Salvation's Grip</t>
  </si>
  <si>
    <t>full charge, spamming</t>
  </si>
  <si>
    <t>Assumes boss naturally shatters on its own (no additional damage done from any other source)</t>
  </si>
  <si>
    <t>Assumes boss is big enough that all crystals shatter as they spawn</t>
  </si>
  <si>
    <t>mix</t>
  </si>
  <si>
    <t>Full charge &gt; normal shot &gt; repeat</t>
  </si>
  <si>
    <t>full charge, spamming, WoF</t>
  </si>
  <si>
    <t>Whisper of Fissures; Assumes boss naturally shatters on its own</t>
  </si>
  <si>
    <t>Whisper of Fissures; Assumes boss is bit enough that all crystals shatter as they spawn</t>
  </si>
  <si>
    <t>mix, WoF</t>
  </si>
  <si>
    <t>Whisper of Fissures; Full charge &gt; normal shot &gt; repeat</t>
  </si>
  <si>
    <t>Rocket Launchers</t>
  </si>
  <si>
    <t>Adaptive and Aggressive rocket launchers share the same damage</t>
  </si>
  <si>
    <t>Wolfpack Rounds</t>
  </si>
  <si>
    <t>Bipod</t>
  </si>
  <si>
    <t>Bipod + Wolfpack Rounds</t>
  </si>
  <si>
    <t>The Wardcliff Coil</t>
  </si>
  <si>
    <t>Two-Tailed Fox</t>
  </si>
  <si>
    <t>Does not consider scorch; does not consider ignitions</t>
  </si>
  <si>
    <t>Does not consider scorch; does not consider igntitions; considers jolt damage on every hit</t>
  </si>
  <si>
    <t>Approximates scorch; considers ignitions</t>
  </si>
  <si>
    <t>Approximates scorch; considers igntitions; considers jolt damage on every hit</t>
  </si>
  <si>
    <t>Eyes of Tomorrow</t>
  </si>
  <si>
    <t>Adaptive Ordnance cancel</t>
  </si>
  <si>
    <t>Assumes you fire only 5/6 of the volley to keep Adaptive Ordnance</t>
  </si>
  <si>
    <t>Truth</t>
  </si>
  <si>
    <t>Gjallarhorn</t>
  </si>
  <si>
    <t>direct impact</t>
  </si>
  <si>
    <t>Deathbringer</t>
  </si>
  <si>
    <t>Assumes all orbs have no travel time to build up damage</t>
  </si>
  <si>
    <t>max distance damage</t>
  </si>
  <si>
    <t>Note that multiple people firing Deathbringer may cause projectiles to despawn</t>
  </si>
  <si>
    <t>Dragon's Breath</t>
  </si>
  <si>
    <t>1x fuel</t>
  </si>
  <si>
    <t>3x fuel, refueled by ignitions</t>
  </si>
  <si>
    <t>5x fuel, refueled by ignitions</t>
  </si>
  <si>
    <t>Fourth Time's The Charm</t>
  </si>
  <si>
    <t>Marksman Sights</t>
  </si>
  <si>
    <t>The Queenbreaker</t>
  </si>
  <si>
    <t>Fires a single bolt</t>
  </si>
  <si>
    <t>Combat Sights</t>
  </si>
  <si>
    <t>Fires in a burst</t>
  </si>
  <si>
    <t>Sleeper Simulant</t>
  </si>
  <si>
    <t>Finality's Auger</t>
  </si>
  <si>
    <t>Winterbite</t>
  </si>
  <si>
    <t>This assumes there is a freeze between every shot</t>
  </si>
  <si>
    <t>melee, w/ ammo</t>
  </si>
  <si>
    <t>melee, w/o ammo</t>
  </si>
  <si>
    <t>D.A.R.C.I.</t>
  </si>
  <si>
    <t>Considers 100% uptime on Target Acquired; considers jolt</t>
  </si>
  <si>
    <t>Considers 100% uptime on Target Acquired; considers jolt, assumes usage without allies nearby</t>
  </si>
  <si>
    <t>Considers 100% uptime on Target Acquired; considers jolt, assumes usage with allies nearby</t>
  </si>
  <si>
    <t>Whisper of the Worm</t>
  </si>
  <si>
    <t>Assumes 100% uptime on Whispered Breathing</t>
  </si>
  <si>
    <t>Tractor Cannon</t>
  </si>
  <si>
    <t>Assumes catalyst, base damage</t>
  </si>
  <si>
    <t>Legend of Acrius</t>
  </si>
  <si>
    <t>Considers reloading entire magazine</t>
  </si>
  <si>
    <t>cata w/ Trench Barrel</t>
  </si>
  <si>
    <t>Melee &gt; shoot &gt; shoot &gt; shoot; considers reloading entire magazine</t>
  </si>
  <si>
    <t>Melee &gt; shoot &gt; shoot &gt; shoot; considers reload cancel the entire time</t>
  </si>
  <si>
    <t>One Thousand Voices</t>
  </si>
  <si>
    <t>Does not consider Scorch; with ignition</t>
  </si>
  <si>
    <t>Does not consider Scorch; with ignition; Ember of Ashes</t>
  </si>
  <si>
    <t>Does not consider Scorch; without ignition</t>
  </si>
  <si>
    <t>Leviathan's Breath</t>
  </si>
  <si>
    <t>Without catalyst</t>
  </si>
  <si>
    <t>Assumes 100% uptime on Archer's Tempo</t>
  </si>
  <si>
    <t>Microcosm</t>
  </si>
  <si>
    <t>Paracausal Imbuement</t>
  </si>
  <si>
    <t>Grants +20% damage on end of super for 20 seconds</t>
  </si>
  <si>
    <r>
      <rPr>
        <color rgb="FFFFFFFF"/>
      </rPr>
      <t xml:space="preserve">!!! IMPORTANT: ALL SWORDS ASSUME SWORDMASTER'S GUARD + JAGGED EDGE + MASTERWORK + BACKUP MAG UNLESS OTHERWISE STATED !!!
All weapon damage (except exotic) is normalized.
Want to contribute? Have questions, comments, or concerns? See </t>
    </r>
    <r>
      <rPr>
        <color rgb="FFC9DAF8"/>
        <u/>
      </rPr>
      <t>Home</t>
    </r>
    <r>
      <rPr>
        <color rgb="FFFFFFFF"/>
      </rPr>
      <t xml:space="preserve"> page for contact information.</t>
    </r>
  </si>
  <si>
    <t>Sword</t>
  </si>
  <si>
    <t>Lucent Blades Count</t>
  </si>
  <si>
    <t>DPS: Waiting for Heavy to Recharge</t>
  </si>
  <si>
    <t>DPS: Not Waiting for Heavy to Recharge</t>
  </si>
  <si>
    <t>Theoretical Total Damage if Waiting for Heavy</t>
  </si>
  <si>
    <t>Theoretical Total Damage if Not Waiting for Heavy</t>
  </si>
  <si>
    <t>Reserves</t>
  </si>
  <si>
    <t>Average Swing Speed (spm)</t>
  </si>
  <si>
    <t>Heavy Swing Time (s)</t>
  </si>
  <si>
    <t>Recharge Delay (s)</t>
  </si>
  <si>
    <t>Time to Empty if Waiting for Heavy (s)</t>
  </si>
  <si>
    <t>Time to Empty if Not Waiting for Heavy (s)</t>
  </si>
  <si>
    <t>Time if Waiting for Heavy (s)</t>
  </si>
  <si>
    <t>Light Count until Waiting for Heavy</t>
  </si>
  <si>
    <t>Light Count until Heavy is Ready</t>
  </si>
  <si>
    <t>Heavy Ammo Cost</t>
  </si>
  <si>
    <t>Light Attack Damage</t>
  </si>
  <si>
    <t>Heavy Attack Damage</t>
  </si>
  <si>
    <t>Jump-Heavy</t>
  </si>
  <si>
    <t>Light Spam</t>
  </si>
  <si>
    <t>Adaptive (Bequest)</t>
  </si>
  <si>
    <t>Vortex</t>
  </si>
  <si>
    <t>Caster</t>
  </si>
  <si>
    <t>Wave Sword (30 Charge Rate)</t>
  </si>
  <si>
    <t>???</t>
  </si>
  <si>
    <t>Wave Sword (60 Charge Rate)</t>
  </si>
  <si>
    <t>Black Talon (x1 Heavy)</t>
  </si>
  <si>
    <t>Black Talon (x2 Heavy)</t>
  </si>
  <si>
    <t>Worldline Zero (Normal)</t>
  </si>
  <si>
    <t>Worldline Zero (1x T, cata)</t>
  </si>
  <si>
    <t>Substitutes Tesseract for heavy</t>
  </si>
  <si>
    <t>Heartshadow (cata)</t>
  </si>
  <si>
    <t>Base Damage, no buffs</t>
  </si>
  <si>
    <t>Assumes 100% SitD uptime</t>
  </si>
  <si>
    <t>§ «« | LAMENT | »» §</t>
  </si>
  <si>
    <t>Revved Timings</t>
  </si>
  <si>
    <t>Normal Timings</t>
  </si>
  <si>
    <t>Animation Time After...</t>
  </si>
  <si>
    <t>Recharge Delay</t>
  </si>
  <si>
    <t>Recharge From Empty</t>
  </si>
  <si>
    <t>Normal Damage</t>
  </si>
  <si>
    <t>Rev Light Damage</t>
  </si>
  <si>
    <t>Rev Heavy Damage</t>
  </si>
  <si>
    <t>R_Heavy</t>
  </si>
  <si>
    <t>N_Heavy</t>
  </si>
  <si>
    <t>N_Light_1</t>
  </si>
  <si>
    <t>0 LB</t>
  </si>
  <si>
    <t>Light</t>
  </si>
  <si>
    <t>1x BW</t>
  </si>
  <si>
    <t>R_Light_1</t>
  </si>
  <si>
    <t>N_Light_2</t>
  </si>
  <si>
    <t>1 LB</t>
  </si>
  <si>
    <t>Heavy</t>
  </si>
  <si>
    <t>4x BW</t>
  </si>
  <si>
    <t>R_Light_2</t>
  </si>
  <si>
    <t>N_Light_3</t>
  </si>
  <si>
    <t>2 LB</t>
  </si>
  <si>
    <t>7x BW</t>
  </si>
  <si>
    <t>R_Light_3</t>
  </si>
  <si>
    <t>3 LB</t>
  </si>
  <si>
    <t>9x BW</t>
  </si>
  <si>
    <t>Guard</t>
  </si>
  <si>
    <t>SPM</t>
  </si>
  <si>
    <t>Strat</t>
  </si>
  <si>
    <t>Combo DPS</t>
  </si>
  <si>
    <t>Combo damage</t>
  </si>
  <si>
    <t>Revved Light Count</t>
  </si>
  <si>
    <t>Revved Heavy Count</t>
  </si>
  <si>
    <t>Normal Light Count</t>
  </si>
  <si>
    <t>Combo Time</t>
  </si>
  <si>
    <t>Time to Empty</t>
  </si>
  <si>
    <t>Combo Ammo Cost</t>
  </si>
  <si>
    <t>Revved Heavy Spam</t>
  </si>
  <si>
    <t>Normal Heavy Spam</t>
  </si>
  <si>
    <t>1x1x1</t>
  </si>
  <si>
    <t>2x1x1</t>
  </si>
  <si>
    <t>3x1x1</t>
  </si>
  <si>
    <t>1x1x2</t>
  </si>
  <si>
    <t>2x1x2</t>
  </si>
  <si>
    <t>3x1x2</t>
  </si>
  <si>
    <t>4x1x2</t>
  </si>
  <si>
    <t>1x1x3</t>
  </si>
  <si>
    <t>2x1x3</t>
  </si>
  <si>
    <t>3x1x3</t>
  </si>
  <si>
    <t>4x1x3</t>
  </si>
  <si>
    <t>5x1x3</t>
  </si>
  <si>
    <t>§ ╖╘ | ERGO SUM | ╛╓ §</t>
  </si>
  <si>
    <t>Frame</t>
  </si>
  <si>
    <t>Wave Sword</t>
  </si>
  <si>
    <r>
      <rPr>
        <color rgb="FFFFFFFF"/>
      </rPr>
      <t xml:space="preserve">All weapon damage is normalized
!!! IMPORTANT: ALL SWORDS ASSUME SWORDMASTER'S GUARD + JAGGED EDGE + MASTERWORK + BACKUP MAG UNLESS EXOTIC OR OTHERWISE STATED !!!
To see how you can sort this data without downloading a copy of this spreadsheet, see the note attached on this cell; use the formula bar to read any associated notes on weapons
Want to contribute? Have questions, comments, or concerns? See </t>
    </r>
    <r>
      <rPr>
        <color rgb="FFC9DAF8"/>
        <u/>
      </rPr>
      <t>Home</t>
    </r>
    <r>
      <rPr>
        <color rgb="FFFFFFFF"/>
      </rPr>
      <t xml:space="preserve"> page for contact information.</t>
    </r>
  </si>
  <si>
    <t>Ammo</t>
  </si>
  <si>
    <t>Weap. Tag</t>
  </si>
  <si>
    <t>rpm/spm</t>
  </si>
  <si>
    <t>Body/ Light Damage</t>
  </si>
  <si>
    <t>Precision/ Heavy Damage</t>
  </si>
  <si>
    <t>Notes</t>
  </si>
  <si>
    <t>H</t>
  </si>
  <si>
    <t>W/o catalyst</t>
  </si>
  <si>
    <t>W/ cata; Assumes 100% uptime on Archer's Tempo</t>
  </si>
  <si>
    <t>TrRi</t>
  </si>
  <si>
    <t>Paracausal Imbuement: Grants +20% damage on end of super for 20 seconds</t>
  </si>
  <si>
    <t>FuRi</t>
  </si>
  <si>
    <t>Does not consider Scorch; without ignition; Ember of Ashes</t>
  </si>
  <si>
    <t>Glai</t>
  </si>
  <si>
    <t>Melee while blocking/ADS w/o ammo</t>
  </si>
  <si>
    <t>Melee while blocking/ADS w/ ammo</t>
  </si>
  <si>
    <t>Melee without blocking/ADS w/ ammo</t>
  </si>
  <si>
    <t>HeGL</t>
  </si>
  <si>
    <t>Assumes first shot is x20 Worm's Hunger, rest are 0x Worm's Hunger; average DPS</t>
  </si>
  <si>
    <t>Whisper of Fissures; Full charge &gt; normal shot &gt; repeat; assumes no reloading due to Shatter Shot</t>
  </si>
  <si>
    <t>No charge, spamming</t>
  </si>
  <si>
    <t>Full charge &gt; normal shot &gt; repeat; assumes no reloading due to Shatter Shot</t>
  </si>
  <si>
    <t>Spamming full charges; assumes boss is big enough that it shatters the entire wave instantly</t>
  </si>
  <si>
    <t>Spamming full charges; Assumes boss naturally shatters on its own (no additional damage done from any other source)</t>
  </si>
  <si>
    <t>Whisper of Fissures; Spamming full charges; Assumes boss naturally shatters on its own (no additional damage done from any other source)</t>
  </si>
  <si>
    <t>Whisper of Fissures; Spamming full charges; Assumes boss is big enough to shatter all crystals as they spawn</t>
  </si>
  <si>
    <t>W/ cata, assumes no bomblets contact the boss (DPS minimum)</t>
  </si>
  <si>
    <t>W/ cata, assumes all bomblets contact the boss (DPS maximum)</t>
  </si>
  <si>
    <t>HeMG</t>
  </si>
  <si>
    <t>Does not deal precision damage; w/o rockets</t>
  </si>
  <si>
    <t>Does not deal precision damage; shoot 20 rounds &gt; swap mode &gt; shoot 20 rockets &gt; reload; burst DPS is the burst DPS of 20 rockets</t>
  </si>
  <si>
    <t>W/ cata</t>
  </si>
  <si>
    <t>LiFR</t>
  </si>
  <si>
    <t>RocL</t>
  </si>
  <si>
    <t>Bipod with Wolfpack Rounds; has a slightly higher DPS and a much higher theoretical total damage</t>
  </si>
  <si>
    <t>Direct impact</t>
  </si>
  <si>
    <t>Max travel distance; note that multiple people firing Deathbringer may cause projectiles to despawn</t>
  </si>
  <si>
    <t>3x fuel, refueld by ignitions</t>
  </si>
  <si>
    <t>5x fuel, refueld by ignitions</t>
  </si>
  <si>
    <t>Adaptive Ordnance canceling; Assumes you fire only 5/6 of the volley to keep Adaptive Ordnance</t>
  </si>
  <si>
    <t>W/ cata; Does not consider scorch; does not consider igntitions; considers jolt damage on every hit</t>
  </si>
  <si>
    <t>Does not consider scorch; considers ignitions</t>
  </si>
  <si>
    <t>W/ cata; Does not consider scorch; considers igntitions; considers jolt damage on every hit</t>
  </si>
  <si>
    <t>Shgu</t>
  </si>
  <si>
    <t>W/ cata; Considers reloading entire magazine</t>
  </si>
  <si>
    <t>W/ cata; melee &gt; shoot &gt; shoot &gt; shoot; considers reloading entire magazine</t>
  </si>
  <si>
    <t>W/ cata; melee &gt; shoot &gt; shoot &gt; shoot; considers reload cancel the entire time</t>
  </si>
  <si>
    <t>Assumes catalyst</t>
  </si>
  <si>
    <t>SnRi</t>
  </si>
  <si>
    <t>Considers Target Acquired; considers jolt</t>
  </si>
  <si>
    <t>Considers Target Acquired; considers jolt, catalyst, assumes usage without allies nearby</t>
  </si>
  <si>
    <t>Considers Target Acquired; considers jolt, catalyst, assumes usage with allies nearby</t>
  </si>
  <si>
    <t>W/ cata; Assumes 100% uptime on Whispered Breathing</t>
  </si>
  <si>
    <t>Swrd</t>
  </si>
  <si>
    <t>Jump &gt; light &gt; heavy</t>
  </si>
  <si>
    <t>DPS waiting for heavy</t>
  </si>
  <si>
    <t>DPS not waiting for heavy</t>
  </si>
  <si>
    <t>Light spam</t>
  </si>
  <si>
    <t>Black Talon</t>
  </si>
  <si>
    <t>DPS not waiting for heavy; no buffs, base damage</t>
  </si>
  <si>
    <t>DPS waiting for heavy; no buffs, base damage</t>
  </si>
  <si>
    <t>DPS not waiting for heavy; 100% SitD uptime</t>
  </si>
  <si>
    <t>DPS waiting for heavy; 100% SitD uptime</t>
  </si>
  <si>
    <t>Lament</t>
  </si>
  <si>
    <t>DPS waiting for heavy; Tesseract (T) as heavy</t>
  </si>
  <si>
    <t>DPS not waiting for heavy; Tesseract (T) as heavy</t>
  </si>
  <si>
    <t>P</t>
  </si>
  <si>
    <t>AuRi</t>
  </si>
  <si>
    <t>Body damage DPS; normal, close range</t>
  </si>
  <si>
    <t>Reverse damage fall-off; body damage DPS; normal, far range</t>
  </si>
  <si>
    <t>Close range, Cata body damage DPS</t>
  </si>
  <si>
    <t>Close range, Cata precision damage DPS</t>
  </si>
  <si>
    <t>Far range, Cata body damage DPS</t>
  </si>
  <si>
    <t>Far range, Cata precision damage DPS</t>
  </si>
  <si>
    <t>Precision damage DPS; normal, close range</t>
  </si>
  <si>
    <t>Reverse damage fall-off; all precision shots land for precision damage DPS (if it's even possible); normal, far range</t>
  </si>
  <si>
    <t>DPS assumes bullets + rockets. W/o cata (kinetic)</t>
  </si>
  <si>
    <t>DPS assumes 22 rounds + 2 rockets &gt; grenade &gt; grenade &gt; repeat; an extra grenade is held; W/o cata (kinetic)</t>
  </si>
  <si>
    <t>Spinning up; Aiming-down-sights only</t>
  </si>
  <si>
    <t>Average per mag</t>
  </si>
  <si>
    <t>Assumes normal 20 bullets + 80 buffed while burning; considers ignitions and approx. scorch; Ember of Ashes</t>
  </si>
  <si>
    <t>DPS with Guidance Ring, w/o cata</t>
  </si>
  <si>
    <t>DPS with Guidance Ring, w/ cata</t>
  </si>
  <si>
    <t>Archer's Gambit + Archer's Tempo</t>
  </si>
  <si>
    <t>W/ cata; x6 Causality Arrows</t>
  </si>
  <si>
    <t>W/ cata; x6 Causality Arrows; This assumes someone else is proccing Sacred Flame for you</t>
  </si>
  <si>
    <t>100% suspend uptime</t>
  </si>
  <si>
    <t>BrGL</t>
  </si>
  <si>
    <t>HaCa</t>
  </si>
  <si>
    <t>W/ cata; x7 Paracausal Shot on final round</t>
  </si>
  <si>
    <t>Frame exclusive to Warden's Law (kinetic) (for now)</t>
  </si>
  <si>
    <t>Frame exclusive to Rose (kinetic)</t>
  </si>
  <si>
    <t>W/ cata + Lucky Pants</t>
  </si>
  <si>
    <t>Overcharged rounds</t>
  </si>
  <si>
    <t>Mode swapping, whisper of fissures</t>
  </si>
  <si>
    <t>PuRi</t>
  </si>
  <si>
    <t>String of curses x5</t>
  </si>
  <si>
    <t>This assumes precisions-only; w/ Time-Slip Portal + cata</t>
  </si>
  <si>
    <t>Collections Roll</t>
  </si>
  <si>
    <t>Collections Roll; Assumes 4 nanites spawn every 12 shots; x5 nanites</t>
  </si>
  <si>
    <t>Collections Roll; Assumes 4 nanites spawn every 12 shots; max nanites (x100</t>
  </si>
  <si>
    <t>Expend 48 rounds (get 4x Hunter's Trace) &gt; Hunter's Trace; 4-burst</t>
  </si>
  <si>
    <t>Expend 48 rounds (get 4x Hunter's Trace) &gt; Hunter's Trace; 2-burst + FTTC</t>
  </si>
  <si>
    <t>ScRi</t>
  </si>
  <si>
    <t>Hip-fire; w/ cata + x5 Cranial Spike, reload to full</t>
  </si>
  <si>
    <t>Hip-fire; w/ cata + x5 Cranial Spike, single reloads</t>
  </si>
  <si>
    <t>Hip-fire; w/ cata + x5 Cranial Spike; Rapid Hit</t>
  </si>
  <si>
    <t>Hip-fire; w/ cata + x5 Cranial Spike; Fourth Time's the Charm, reload to full</t>
  </si>
  <si>
    <t>Hip-fire; w/ cata + x5 Cranial Spike; Fourth Time's the Charm, single reloads</t>
  </si>
  <si>
    <t>This assumes precision-only. Factors in scorch; considers ignitions; Ember of Ashes</t>
  </si>
  <si>
    <t>Very approximately considers Scorch; considers ignitions; Ember of Ashes</t>
  </si>
  <si>
    <t>x5 Revolution mix; Build stacks -&gt; swap firing modes &gt; expend stacks &gt; swap firing modes</t>
  </si>
  <si>
    <t>x10 Revolution mix; Build stacks -&gt; swap firing modes &gt; expend stacks &gt; swap firing modes</t>
  </si>
  <si>
    <t>x15 Revolution mix; Build stacks -&gt; swap firing modes &gt; expend stacks &gt; swap firing modes</t>
  </si>
  <si>
    <t>x20 Revolution mix; Build stacks -&gt; swap firing modes &gt; expend stacks &gt; swap firing modes</t>
  </si>
  <si>
    <t>Assumes precision-only</t>
  </si>
  <si>
    <t>This assumes always at 1 round (Touch of Malice buff)</t>
  </si>
  <si>
    <t>Assumes Creeping Attrition from beginning shot; Whisper of Rending, solo setting</t>
  </si>
  <si>
    <t>Assumes Creeping Attrition from beginning shot; Whisper of Rending, group setting</t>
  </si>
  <si>
    <t>Sdrm</t>
  </si>
  <si>
    <t>1-mag burst DPS</t>
  </si>
  <si>
    <t>Assumes all unravel projectiles hit the boss; full burst, body</t>
  </si>
  <si>
    <t>Assumes all unravel projectiles hit the boss; full burst, precision</t>
  </si>
  <si>
    <t>W/ cata; assumes all unravel projectiles hit the boss; full burst, body</t>
  </si>
  <si>
    <t>W/ cata; assumes all unravel projectiles hit the boss; full burst, precision</t>
  </si>
  <si>
    <t>W/ cata; assumes all unravel projectiles hit the boss; full burst, body; reload on second burst</t>
  </si>
  <si>
    <t>W/ cata; assumes all unravel projectiles hit the boss; full burst, precision, reload on second burst</t>
  </si>
  <si>
    <t>W/ cata; kinetic damage</t>
  </si>
  <si>
    <t>SuMG</t>
  </si>
  <si>
    <t>Ride the Bull</t>
  </si>
  <si>
    <t>Ride the Bull x2 + Rampage x3; assumes 3 kills have been made</t>
  </si>
  <si>
    <t>Poison DoT ramp-up is reset every re-proc,; w/ poison DoT</t>
  </si>
  <si>
    <t>Poison DoT ramps up over time; this is strictly poison DoT</t>
  </si>
  <si>
    <t>S</t>
  </si>
  <si>
    <t>Frame exclusive to Wilderflight</t>
  </si>
  <si>
    <t>Slideshot spam</t>
  </si>
  <si>
    <t>W/ cata; This assumes you auto-reload &gt; boss before DOT expires</t>
  </si>
  <si>
    <t>W/ cata; This assumes you auto-reload &gt; floor</t>
  </si>
  <si>
    <t>Spamming witherhoard: body &gt; body &gt; floor</t>
  </si>
  <si>
    <t>ADS; Does not consider Jolt. Fires 16 bolts total, vertically: 8 bolts with 2 instances of damage each</t>
  </si>
  <si>
    <t>Hip-fire; Does not consider Jolt. Fires 16 bolts in a wide line, 2 bolts at a time</t>
  </si>
  <si>
    <t>Creates a small field of fire, dealing 694 damage per tick</t>
  </si>
  <si>
    <t>Creates a small field of fire, dealing 694 damage per tick; w/ cata (cornered)</t>
  </si>
  <si>
    <t>Damage decreases 4611 -&gt; 4061 per bolt at x15 Conserve Momentum; 1-mag DPS of 0x conserve momentum magazine; sustained DPS of entire reserves</t>
  </si>
  <si>
    <t>Controlled burst</t>
  </si>
  <si>
    <t>Cata</t>
  </si>
  <si>
    <t>Trench Barrel; Assumes reload-cancelling; Baby Legend of Acrius</t>
  </si>
  <si>
    <t>Frozen targets do not benefit from precision damage; 1-mag burst DPS</t>
  </si>
  <si>
    <t>Cata, pellet</t>
  </si>
  <si>
    <t>Cata, slug</t>
  </si>
  <si>
    <t>Trench Barrel; Assumes reload-cancelling</t>
  </si>
  <si>
    <t>Assumes all body hits, ADS</t>
  </si>
  <si>
    <t>Assumes all precision hits, ADS</t>
  </si>
  <si>
    <t>Assumes all body hits, hip-fire</t>
  </si>
  <si>
    <t>Assumes all precision hits, hip-fire</t>
  </si>
  <si>
    <t>Assumes all body hits; w/ cata, hip-fire, ignitions and scorch</t>
  </si>
  <si>
    <t>Assumes all precision hits; w/ cata, hip-fire, ignitions and scorch</t>
  </si>
  <si>
    <t>Assumes all body hits; w/ cata, hip-fire, ignitions and scorch, Ember of Ashes</t>
  </si>
  <si>
    <t>Assumes all precision hits; w/ cata, hip-fire, ignitions and scorch, Ember of Ashes</t>
  </si>
  <si>
    <t>W/ cata; 1-mag brust DPS</t>
  </si>
  <si>
    <t>Triple Tap; Assumes precision hit counter is reset on every reload</t>
  </si>
  <si>
    <t>Fourth Time's the Charm; Assumes precision hit counter is reset on every reload</t>
  </si>
  <si>
    <t>Assumes Triple Tap precision hit counter is reset on every reload; Strikes occur every three precision hits</t>
  </si>
  <si>
    <t>W/ cata, 4x Honed Edge</t>
  </si>
  <si>
    <t>Fourth Time's the Charm + Rewind Rounds simulation; assumes precision hit counter is never reset due to perk interactions</t>
  </si>
  <si>
    <t>W/ cata; Single super DPS</t>
  </si>
  <si>
    <t>After picking up ioninc trace; Picking up an Ionic Trace reduces number of hits requires to cap damage to 33 rounds</t>
  </si>
  <si>
    <t>Base damage, no buffs; Still assumes Penance; Penance will benefit from any buffs or debuffs applied</t>
  </si>
  <si>
    <t>With Judgement; Judgement activates after 10 rounds, Penance every 60 on Judgement and deals 20979</t>
  </si>
  <si>
    <t>Does not factor in Scorch</t>
  </si>
  <si>
    <t>Target debuffed by hitting them with the orb; w/ cata</t>
  </si>
  <si>
    <t>Transmutation sphere blocking field; Assumes you slam on 1 ammo, uses the full 30 ammo before slamming</t>
  </si>
  <si>
    <t>Transmutation sphere; One swing is barely faster than the other, assumes melee spam and slam on final ammo</t>
  </si>
  <si>
    <t>Power Level average</t>
  </si>
  <si>
    <t>Power Level III; Orbs crank the power level up to III for a duration</t>
  </si>
  <si>
    <r>
      <rPr>
        <color rgb="FFFFFFFF"/>
      </rPr>
      <t xml:space="preserve">Changing magazine stat can affect the reserves sizes, some perk and weapon mod combinations are better than others; for more information, see: </t>
    </r>
    <r>
      <rPr>
        <color rgb="FFCFE2F3"/>
        <u/>
      </rPr>
      <t>Destiny 2 Inventory and Mag Database</t>
    </r>
    <r>
      <rPr>
        <color rgb="FF1155CC"/>
        <u/>
      </rPr>
      <t xml:space="preserve">
</t>
    </r>
    <r>
      <rPr>
        <color rgb="FFFFFFFF"/>
      </rPr>
      <t xml:space="preserve">To see how you can sort this data without downloading a copy of this spreadsheet, see the note attached on this cell; use the formula bar to read any associated notes on weapons
Want to contribute? Have questions, comments, or concerns? See </t>
    </r>
    <r>
      <rPr>
        <color rgb="FFC9DAF8"/>
        <u/>
      </rPr>
      <t>Home</t>
    </r>
    <r>
      <rPr>
        <color rgb="FFFFFFFF"/>
      </rPr>
      <t xml:space="preserve"> page for contact information.</t>
    </r>
  </si>
  <si>
    <t>Reference Weapon</t>
  </si>
  <si>
    <t>Affecting Magazine Perk</t>
  </si>
  <si>
    <t>No difference with Extended Mag</t>
  </si>
  <si>
    <t>The Supremacy</t>
  </si>
  <si>
    <t>Appended Mag</t>
  </si>
  <si>
    <t>Thoughtless</t>
  </si>
  <si>
    <t>Extended Mag</t>
  </si>
  <si>
    <t>Succession</t>
  </si>
  <si>
    <t>Accurized Rounds</t>
  </si>
  <si>
    <t>Benefits from void reserves</t>
  </si>
  <si>
    <t>The Master</t>
  </si>
  <si>
    <t>Acasia's Dejection</t>
  </si>
  <si>
    <t>Enhanced Battery</t>
  </si>
  <si>
    <t>Cartesian Coordinate</t>
  </si>
  <si>
    <t>Techeun Force</t>
  </si>
  <si>
    <t>Midha's Reckoning</t>
  </si>
  <si>
    <t>Ionized Battery</t>
  </si>
  <si>
    <t>Deliverance</t>
  </si>
  <si>
    <t>The Eremite</t>
  </si>
  <si>
    <t>Until Its Return</t>
  </si>
  <si>
    <t>Trachinus</t>
  </si>
  <si>
    <t>Seventh Seraph CQC-12</t>
  </si>
  <si>
    <t>Compass Rose</t>
  </si>
  <si>
    <t>Heritage</t>
  </si>
  <si>
    <t>Without Backup Mag</t>
  </si>
  <si>
    <t>Found Verdict</t>
  </si>
  <si>
    <t>Arcane Embrace</t>
  </si>
  <si>
    <t>Benefits from stasis reserves</t>
  </si>
  <si>
    <t>Wilderflight</t>
  </si>
  <si>
    <t>Truthteller</t>
  </si>
  <si>
    <t>Forbearance</t>
  </si>
  <si>
    <t>Micro-Missle</t>
  </si>
  <si>
    <t>The Mountaintop</t>
  </si>
  <si>
    <t>Lost Signal</t>
  </si>
  <si>
    <t>Greasy Luck</t>
  </si>
  <si>
    <t>Lubrae's Ruin</t>
  </si>
  <si>
    <t>Judgement of Kelgorath</t>
  </si>
  <si>
    <t>Mint Retrograde</t>
  </si>
  <si>
    <t>Aberrant Action</t>
  </si>
  <si>
    <t>Retrofit Escapade</t>
  </si>
  <si>
    <t>Pro Memoria</t>
  </si>
  <si>
    <t>Song of Ir Yut</t>
  </si>
  <si>
    <t>Qullum's Terminus</t>
  </si>
  <si>
    <t>Koraxis's Distress</t>
  </si>
  <si>
    <t>Augmented Drum</t>
  </si>
  <si>
    <t>Cataphract GL3</t>
  </si>
  <si>
    <t>Dimensional Hypotrochoid</t>
  </si>
  <si>
    <t>High-Explosive Ordnance</t>
  </si>
  <si>
    <t>Cold Comfort</t>
  </si>
  <si>
    <t>Crux Termination IV</t>
  </si>
  <si>
    <t>Apex Predator</t>
  </si>
  <si>
    <t>Braytech Osprey</t>
  </si>
  <si>
    <t>Ascendancy</t>
  </si>
  <si>
    <t>Faith-Keeper</t>
  </si>
  <si>
    <t>Cataclysmic</t>
  </si>
  <si>
    <t>Stormchaser</t>
  </si>
  <si>
    <t>Finality's Augur</t>
  </si>
  <si>
    <t>No Catalyst</t>
  </si>
  <si>
    <t>Catalyst</t>
  </si>
  <si>
    <t>The Other Half</t>
  </si>
  <si>
    <t>Jagged Edge</t>
  </si>
  <si>
    <t>Bequest</t>
  </si>
  <si>
    <t>Falling Guillotine</t>
  </si>
  <si>
    <t>Caster (Temptation's)</t>
  </si>
  <si>
    <t>Temptation's Hook</t>
  </si>
  <si>
    <t>Caster (Sola's)</t>
  </si>
  <si>
    <t>Sola's Scar</t>
  </si>
  <si>
    <t>Aurora Dawn</t>
  </si>
  <si>
    <t>Quickfang</t>
  </si>
  <si>
    <t>Crown-Splitter</t>
  </si>
  <si>
    <t>Tempered Edge</t>
  </si>
  <si>
    <t>Worldline Zero</t>
  </si>
  <si>
    <t>Heartshadow</t>
  </si>
  <si>
    <t>catalyst</t>
  </si>
  <si>
    <t>Ergo Sum</t>
  </si>
  <si>
    <r>
      <rPr>
        <color rgb="FFFFFFFF"/>
      </rPr>
      <t xml:space="preserve">Want to contribute? Have questions, comments, or concerns? See </t>
    </r>
    <r>
      <rPr>
        <color rgb="FFC9DAF8"/>
        <u/>
      </rPr>
      <t>Home</t>
    </r>
    <r>
      <rPr>
        <color rgb="FFFFFFFF"/>
      </rPr>
      <t xml:space="preserve"> page for contact information.</t>
    </r>
  </si>
  <si>
    <t>Element</t>
  </si>
  <si>
    <t>Effect</t>
  </si>
  <si>
    <t>Delay</t>
  </si>
  <si>
    <t>Damage</t>
  </si>
  <si>
    <t>Kinetic</t>
  </si>
  <si>
    <t>Melee</t>
  </si>
  <si>
    <t>basic, unpowered melee</t>
  </si>
  <si>
    <t>Solar</t>
  </si>
  <si>
    <t>Ignition</t>
  </si>
  <si>
    <t>Arc</t>
  </si>
  <si>
    <t>Jolt</t>
  </si>
  <si>
    <t>Void</t>
  </si>
  <si>
    <t>Volatile</t>
  </si>
  <si>
    <t>Stasis</t>
  </si>
  <si>
    <t>Crystal Shatter</t>
  </si>
  <si>
    <t>Additional damage provided by Whisper of Fissures</t>
  </si>
  <si>
    <t>Forced Shatter</t>
  </si>
  <si>
    <t>Shooting at the boss to cause a shatter</t>
  </si>
  <si>
    <t>Natural Shatter</t>
  </si>
  <si>
    <t>Letting the boss shatter on its own</t>
  </si>
  <si>
    <t>Strand</t>
  </si>
  <si>
    <t>Threadlings</t>
  </si>
  <si>
    <t>Unravel</t>
  </si>
  <si>
    <t>damage per unravel projectile</t>
  </si>
  <si>
    <t>Scorch</t>
  </si>
  <si>
    <t>approximate DPS (not damage)</t>
  </si>
  <si>
    <r>
      <rPr>
        <color rgb="FFFFFFFF"/>
      </rPr>
      <t xml:space="preserve">Want to contribute? Have questions, comments, or concerns? See </t>
    </r>
    <r>
      <rPr>
        <color rgb="FFC9DAF8"/>
        <u/>
      </rPr>
      <t>Home</t>
    </r>
    <r>
      <rPr>
        <color rgb="FFFFFFFF"/>
      </rPr>
      <t xml:space="preserve"> page for contact information.</t>
    </r>
  </si>
  <si>
    <t>Weapon</t>
  </si>
  <si>
    <t>Item</t>
  </si>
  <si>
    <t>Value</t>
  </si>
  <si>
    <t>Unit</t>
  </si>
  <si>
    <t>Frozen Damage</t>
  </si>
  <si>
    <t>Body damage</t>
  </si>
  <si>
    <t>Precision damage</t>
  </si>
  <si>
    <t>Impale DoT</t>
  </si>
  <si>
    <t>Impale Explosion</t>
  </si>
  <si>
    <t>Single stick tick damage</t>
  </si>
  <si>
    <t>Double stick tick damage</t>
  </si>
  <si>
    <t>Area-Denial GL</t>
  </si>
  <si>
    <t>Tick damage</t>
  </si>
  <si>
    <t>Lightning Storm</t>
  </si>
  <si>
    <t>Only the two strikes on target</t>
  </si>
  <si>
    <t>Damage cap</t>
  </si>
  <si>
    <t>without target acquired</t>
  </si>
  <si>
    <t>Penance</t>
  </si>
  <si>
    <t>small explosion</t>
  </si>
  <si>
    <t>Fire pool</t>
  </si>
  <si>
    <t>tick damage</t>
  </si>
  <si>
    <t>Bigger explosion x1 fuel</t>
  </si>
  <si>
    <t>Bigger explosion x3 fuel</t>
  </si>
  <si>
    <t>Bigger explosion x5 fuel</t>
  </si>
  <si>
    <t>Moth damage</t>
  </si>
  <si>
    <t>Glaive</t>
  </si>
  <si>
    <t>End of Combo damage</t>
  </si>
  <si>
    <t>Rocket damage</t>
  </si>
  <si>
    <t>damage of a single rocket</t>
  </si>
  <si>
    <t>damage of 20 rockets</t>
  </si>
  <si>
    <t>Lighting Strike</t>
  </si>
  <si>
    <t>Stasis Crystal Spawn</t>
  </si>
  <si>
    <t>Paracausal shot x7</t>
  </si>
  <si>
    <t>Missile Damage</t>
  </si>
  <si>
    <t>Jade Rabbit</t>
  </si>
  <si>
    <t>Fate of All Fools Body</t>
  </si>
  <si>
    <t>Lingering fire pool</t>
  </si>
  <si>
    <t>per tick</t>
  </si>
  <si>
    <t>Ricochet Rounds</t>
  </si>
  <si>
    <t>Burn Tick</t>
  </si>
  <si>
    <t>Slugs damage</t>
  </si>
  <si>
    <t>Burst 1</t>
  </si>
  <si>
    <t>Burst 2</t>
  </si>
  <si>
    <t>Burst 3</t>
  </si>
  <si>
    <t>Burst at x15 stacks</t>
  </si>
  <si>
    <t>Bayonet Damage</t>
  </si>
  <si>
    <t>Sidearm Mode Swap</t>
  </si>
  <si>
    <t>Seconds</t>
  </si>
  <si>
    <t>Time to swap modes, applies to hand cannons and sidearms alike</t>
  </si>
  <si>
    <t>Portal Damage</t>
  </si>
  <si>
    <t>Special Ignition</t>
  </si>
  <si>
    <t>Poison Damage</t>
  </si>
  <si>
    <t>When constantly firing</t>
  </si>
  <si>
    <t>Letting the poison do its thing</t>
  </si>
  <si>
    <t>Nanite Damage</t>
  </si>
  <si>
    <t>Perfect Fifth</t>
  </si>
  <si>
    <t>Shots until a rocket</t>
  </si>
  <si>
    <t>Rounds</t>
  </si>
  <si>
    <t>Minimum number of shots until a rocket is fired</t>
  </si>
  <si>
    <t>Grenade damage</t>
  </si>
  <si>
    <t>Sniper Body Damage</t>
  </si>
  <si>
    <t>Sniper Precision Damage</t>
  </si>
  <si>
    <t>Sniper Shockwave Damage</t>
  </si>
  <si>
    <t>Orb Slam</t>
  </si>
  <si>
    <t>Natural Shatter damage</t>
  </si>
  <si>
    <t>Average Crystal damage</t>
  </si>
  <si>
    <t>spawns 5 crystals total, this is just a hand-wavy average</t>
  </si>
  <si>
    <t>this is just a hand-wavy average, assumes 3 crystals damage the boss while frozen</t>
  </si>
  <si>
    <t>Impact while frozen</t>
  </si>
  <si>
    <t>Super Cast</t>
  </si>
  <si>
    <t>Time to cast the super mode</t>
  </si>
  <si>
    <t>Golden Gun</t>
  </si>
  <si>
    <t>Body</t>
  </si>
  <si>
    <t>Body, Celestial Nighthawk</t>
  </si>
  <si>
    <t>Precision, Celestial Nighthawk</t>
  </si>
  <si>
    <t>Explosion Damage</t>
  </si>
  <si>
    <t>Tessellation</t>
  </si>
  <si>
    <t>Property: Irreducible</t>
  </si>
  <si>
    <t>The Huckleberry</t>
  </si>
  <si>
    <t>Kinetic Tremors</t>
  </si>
  <si>
    <t>Bomblets damage</t>
  </si>
  <si>
    <t>Damage of a single bomblet from the cluster</t>
  </si>
  <si>
    <t>Amalgamation Body</t>
  </si>
  <si>
    <t>Before buffed by amalgamation rounds</t>
  </si>
  <si>
    <t>Amalgamation Precision</t>
  </si>
  <si>
    <t>Empowered</t>
  </si>
  <si>
    <t>Lightning Strike</t>
  </si>
  <si>
    <t>Proccing arrows</t>
  </si>
  <si>
    <t>Light draw, 6x Sacred Flame</t>
  </si>
  <si>
    <t>Unaffected by Sacred Flame</t>
  </si>
  <si>
    <t>Without burning</t>
  </si>
  <si>
    <t>WIthout burning</t>
  </si>
  <si>
    <t>Blight impact</t>
  </si>
  <si>
    <t>Blight damage over time</t>
  </si>
  <si>
    <t>Third Fox</t>
  </si>
  <si>
    <t>Damage of catalyst rocket</t>
  </si>
  <si>
    <t>Linear Fusion body</t>
  </si>
  <si>
    <t>Linear fusion Precision</t>
  </si>
  <si>
    <t>Level 1 damage</t>
  </si>
  <si>
    <t>Level 2 damage</t>
  </si>
  <si>
    <t>Level 3 damage</t>
  </si>
  <si>
    <t>Frozen body damage</t>
  </si>
  <si>
    <t>Frozen precision damage</t>
  </si>
  <si>
    <t>Freeze</t>
  </si>
  <si>
    <t>Damage on freeze</t>
  </si>
  <si>
    <t>Impact</t>
  </si>
  <si>
    <t>Suspend Trap</t>
  </si>
  <si>
    <t>Suspend Explosion</t>
  </si>
  <si>
    <t>Blighted Impact</t>
  </si>
  <si>
    <t>Blighted tick</t>
  </si>
  <si>
    <t>Splash damage</t>
  </si>
  <si>
    <t>Floor blight tick</t>
  </si>
  <si>
    <t>Blight on the ground rather than on the boss</t>
  </si>
  <si>
    <t>This page is meant to detail the functions and math used in portions of this spreadsheet</t>
  </si>
  <si>
    <t>Function</t>
  </si>
  <si>
    <t>Visualization</t>
  </si>
  <si>
    <t>timeToEmpty</t>
  </si>
  <si>
    <t>Considers reloading the instant you fire the final round in a magazine/reserves.</t>
  </si>
  <si>
    <t>timeToEmpty_fusions</t>
  </si>
  <si>
    <t>scripted function</t>
  </si>
  <si>
    <t>Considers reloading the instant the final bolt is fired in the final burst</t>
  </si>
  <si>
    <r>
      <rPr/>
      <t xml:space="preserve">To better visualize differences in sustained DPS with FTTC, TT, FTTC+TT, and with damage buffs: </t>
    </r>
    <r>
      <rPr>
        <color rgb="FF1155CC"/>
        <u/>
      </rPr>
      <t>https://www.desmos.com/calculator/nqpj83bofj</t>
    </r>
  </si>
  <si>
    <t>tripleTap</t>
  </si>
  <si>
    <t>Gives the effective magazine size due to triple tap as long as magazine &gt; 0</t>
  </si>
  <si>
    <t>fourthTimesTheCharm</t>
  </si>
  <si>
    <t>Gives the effective magazine size due to Fourth Time's the Charm as long as magazine &gt;= 2</t>
  </si>
  <si>
    <t>FTTCplusTT</t>
  </si>
  <si>
    <t>Gives the effective magazine size due to Fourth Time's the Charm and Triple Tap working together, as long as magazine &gt;= 3</t>
  </si>
  <si>
    <t>cumSum</t>
  </si>
  <si>
    <t>"Cumulative Sum," adding all integers from one to the last, inclusive</t>
  </si>
  <si>
    <t>For weapons that have a damage-over-time effect that applies on each shot, the calculation is simply the sum of the damage over time effect plus any other damage (such as from the round) divide over the time taken.
To visualize this, imagine the timeline for Alethonym. You have the moment on fire and the time to reload right after the moment.
The DoT effect overlaps past the end of the reload time and overlaps past the moment of firing.
The result is that the entire DoT effect is contained in the time to reload.</t>
  </si>
  <si>
    <r>
      <rPr/>
      <t xml:space="preserve">To see how various weapons might compare with True DPS and Sustained DPS as functions of time (WITH reloading on final round), see: </t>
    </r>
    <r>
      <rPr>
        <color rgb="FF1155CC"/>
        <u/>
      </rPr>
      <t>https://www.desmos.com/calculator/oldlhrorxi</t>
    </r>
  </si>
  <si>
    <r>
      <rPr/>
      <t xml:space="preserve">To see how various weapons might compare with Theoretical Total Damage as a function of time (WITH reloading on final round), see: </t>
    </r>
    <r>
      <rPr>
        <color rgb="FF1155CC"/>
        <u/>
      </rPr>
      <t>https://www.desmos.com/calculator/datpqv7o41</t>
    </r>
  </si>
  <si>
    <t>This page is dedicated as a TODO list for the spreadsheet. It's intention is to let you know what the current status of the spreadsheet is.</t>
  </si>
  <si>
    <t>Task</t>
  </si>
  <si>
    <t>Status</t>
  </si>
  <si>
    <t>Date</t>
  </si>
  <si>
    <t>General</t>
  </si>
  <si>
    <t>Retest Primaries</t>
  </si>
  <si>
    <t>Partially Complete</t>
  </si>
  <si>
    <t>Retest Specials</t>
  </si>
  <si>
    <t>Retest Power</t>
  </si>
  <si>
    <t>Retest Swords</t>
  </si>
  <si>
    <t>Primary Ammo</t>
  </si>
  <si>
    <t>Auto Rifles (Legendary)</t>
  </si>
  <si>
    <t>Done</t>
  </si>
  <si>
    <t>SMGs (Legendary)</t>
  </si>
  <si>
    <t>Pulse Rifles (Legendary)</t>
  </si>
  <si>
    <t>Scout Rifles (Legendary)</t>
  </si>
  <si>
    <t>Hand Cannons (Legendary)</t>
  </si>
  <si>
    <t>Sidearms (Legendary)</t>
  </si>
  <si>
    <t>Bows  (Legendary)</t>
  </si>
  <si>
    <t>Auto Rifles (Exotic)</t>
  </si>
  <si>
    <t>TODO</t>
  </si>
  <si>
    <t>SMGs (Exotic)</t>
  </si>
  <si>
    <t>Pulse Rifles (Exotic)</t>
  </si>
  <si>
    <t>Scout Rifles (Exotic)</t>
  </si>
  <si>
    <t>Hand Cannons (Exotic)</t>
  </si>
  <si>
    <t>Sidearms (Exotic)</t>
  </si>
  <si>
    <t>Bows  (Exotic)</t>
  </si>
  <si>
    <t>Breech Grenade Launchers (Exotic)</t>
  </si>
  <si>
    <t>Trace Rifles (Exotic)</t>
  </si>
  <si>
    <t>Special Ammo</t>
  </si>
  <si>
    <t>Sniper Rifles (Legendary)</t>
  </si>
  <si>
    <t>Trace Rifles (Legendary)</t>
  </si>
  <si>
    <t>Fusion Rifles (Legendary)</t>
  </si>
  <si>
    <t>Shotguns (Legendary)</t>
  </si>
  <si>
    <t>Breech Grenade Launchers (Legendary)</t>
  </si>
  <si>
    <t>Glaives (Legendary)</t>
  </si>
  <si>
    <t>Sniper Rifles (Exotic)</t>
  </si>
  <si>
    <t>Fusion Rifles (Exotic)</t>
  </si>
  <si>
    <t>Shotguns (Exotic)</t>
  </si>
  <si>
    <t>Glaives (Exotic)</t>
  </si>
  <si>
    <t>Linear Fusion Rifles (Exotic)</t>
  </si>
  <si>
    <t>Swords (Exotic)</t>
  </si>
  <si>
    <t>Heavy Ammo</t>
  </si>
  <si>
    <t>Machine Guns (Legendary)</t>
  </si>
  <si>
    <t>Grenade Launchers (Legendary)</t>
  </si>
  <si>
    <t>Rocket Launchers (Legendary)</t>
  </si>
  <si>
    <t>Linear Fusion Rifles (Legendary)</t>
  </si>
  <si>
    <t>Swords (Legendary)</t>
  </si>
  <si>
    <t>Machine Guns (Exotic)</t>
  </si>
  <si>
    <t>Grenade Launchers (Exotic)</t>
  </si>
  <si>
    <t>Rocket Launchers (Exotic)</t>
  </si>
  <si>
    <t>Bows (Exotic)</t>
  </si>
  <si>
    <t>Append</t>
  </si>
  <si>
    <t>Append Any and All Dynamic Heat Weapons</t>
  </si>
  <si>
    <t>Append Any and All Balanced Heat Weapons</t>
  </si>
  <si>
    <t>Append Any and All Disruption Weapons</t>
  </si>
  <si>
    <t>Append Crossbows</t>
  </si>
  <si>
    <t>Append Whirling Ovation</t>
  </si>
  <si>
    <t>Append Wolfsbane</t>
  </si>
  <si>
    <t>Append Praxic Blade</t>
  </si>
  <si>
    <t>Append Service of Luzaku</t>
  </si>
  <si>
    <t>Append New Maplais</t>
  </si>
  <si>
    <t>Append Wave Frame Sword (Charge Stat 30)</t>
  </si>
  <si>
    <t>Misc</t>
  </si>
  <si>
    <t>(Personal) Obtain Icebreaker</t>
  </si>
  <si>
    <t>(Personal) Obtain Wirling Ovation</t>
  </si>
  <si>
    <t>(Personal) Obtain Euphony</t>
  </si>
  <si>
    <t>(Personal) Obtain Finality's Auger</t>
  </si>
  <si>
    <t>Modify Osteo Striga only DoT to consider number of shots to DoT</t>
  </si>
  <si>
    <t>Fix cell references into Weapon Specifics page</t>
  </si>
  <si>
    <t>Append Bolt Charge functionality to Symmetry</t>
  </si>
  <si>
    <t>Fetch numbers for Celestial Nighthawk + Still Hunt</t>
  </si>
  <si>
    <t>Inception. Began gathering data.</t>
  </si>
  <si>
    <r>
      <rPr>
        <rFont val="Consolas"/>
        <color theme="1"/>
      </rPr>
      <t xml:space="preserve">I have found a formula for calculating magazine sizes assuming Triple Tap (TT) and Fourth Time's the Charm (FTTC).
Where </t>
    </r>
    <r>
      <rPr>
        <rFont val="Consolas"/>
        <i/>
        <color theme="1"/>
      </rPr>
      <t>m</t>
    </r>
    <r>
      <rPr>
        <rFont val="Consolas"/>
        <color theme="1"/>
      </rPr>
      <t xml:space="preserve"> is the current magazine:
TT(</t>
    </r>
    <r>
      <rPr>
        <rFont val="Consolas"/>
        <i/>
        <color theme="1"/>
      </rPr>
      <t xml:space="preserve">m) = </t>
    </r>
    <r>
      <rPr>
        <rFont val="Consolas"/>
        <color theme="1"/>
      </rPr>
      <t>Floor(</t>
    </r>
    <r>
      <rPr>
        <rFont val="Consolas"/>
        <i/>
        <color theme="1"/>
      </rPr>
      <t>m</t>
    </r>
    <r>
      <rPr>
        <rFont val="Consolas"/>
        <color theme="1"/>
      </rPr>
      <t>/3) + Mod(</t>
    </r>
    <r>
      <rPr>
        <rFont val="Consolas"/>
        <i/>
        <color theme="1"/>
      </rPr>
      <t>m</t>
    </r>
    <r>
      <rPr>
        <rFont val="Consolas"/>
        <color theme="1"/>
      </rPr>
      <t xml:space="preserve">, 3) + </t>
    </r>
    <r>
      <rPr>
        <rFont val="Consolas"/>
        <i/>
        <color theme="1"/>
      </rPr>
      <t xml:space="preserve">m
</t>
    </r>
    <r>
      <rPr>
        <rFont val="Consolas"/>
        <color theme="1"/>
      </rPr>
      <t>FTTC(</t>
    </r>
    <r>
      <rPr>
        <rFont val="Consolas"/>
        <i/>
        <color theme="1"/>
      </rPr>
      <t>m</t>
    </r>
    <r>
      <rPr>
        <rFont val="Consolas"/>
        <color theme="1"/>
      </rPr>
      <t>) = Floor(</t>
    </r>
    <r>
      <rPr>
        <rFont val="Consolas"/>
        <i/>
        <color theme="1"/>
      </rPr>
      <t>m</t>
    </r>
    <r>
      <rPr>
        <rFont val="Consolas"/>
        <color theme="1"/>
      </rPr>
      <t xml:space="preserve">/4) * 4 + </t>
    </r>
    <r>
      <rPr>
        <rFont val="Consolas"/>
        <i/>
        <color theme="1"/>
      </rPr>
      <t xml:space="preserve">m
</t>
    </r>
    <r>
      <rPr>
        <rFont val="Consolas"/>
        <color theme="1"/>
      </rPr>
      <t>You know, I might actually make a dedicated math section for perks and their respective increases</t>
    </r>
  </si>
  <si>
    <r>
      <rPr>
        <rFont val="Consolas"/>
        <color theme="1"/>
      </rPr>
      <t xml:space="preserve">Aw damn I just realized that I was using my footage as if it were recorded in 30 fps but it's actually in 60 fps. Why in the world is the default timecode in 30 fps if the footage is in 60? Regardless, the measured values are still accurate, just not as accurate as they </t>
    </r>
    <r>
      <rPr>
        <rFont val="Consolas"/>
        <i/>
        <color theme="1"/>
      </rPr>
      <t xml:space="preserve">might </t>
    </r>
    <r>
      <rPr>
        <rFont val="Consolas"/>
        <color theme="1"/>
      </rPr>
      <t>potentially be.</t>
    </r>
  </si>
  <si>
    <t>I could probably make a page that summarizes the differences between all the weapon DPS.</t>
  </si>
  <si>
    <t>I might add a chart showcasing the DPS across weapon types, might be interesting. Could be worthwhile to make an entire comparison page.</t>
  </si>
  <si>
    <t>Published
Corrected Eyes of Tomorrow: Argent Ordnance -&gt; Adaptive Ordnance
Fixed shotgun equations considering reloading one extra shell than intended
Fixed merciless DPS equation
Fixed Bastion not having its correct delay between bursts
Fixed assumption that Acrius could fire faster than its base fire-rate with reload-cancelling
Fixed weapons considering one extra reload than intended in the "Time to Empty" column
Added Adaptive Fusion Rifles</t>
  </si>
  <si>
    <r>
      <rPr>
        <rFont val="Consolas"/>
      </rPr>
      <t xml:space="preserve">Fixed Thorn's Soul Devourer 1-mag DPS/True DPS using the wrong burn damage
Added One Thousand Voices without ignition
Fixed Fourth Horseman using the delay of the final shot in its 1-mag burst dps
Cheese Forever reports a damage bug with Fourth Horseman: </t>
    </r>
    <r>
      <rPr>
        <rFont val="Consolas"/>
        <color rgb="FF1155CC"/>
        <u/>
      </rPr>
      <t xml:space="preserve">https://www.youtube.com/watch?v=mThLMyPUNps&amp;ab_channel=CheeseForever
</t>
    </r>
    <r>
      <rPr>
        <rFont val="Consolas"/>
      </rPr>
      <t>Adjusted Specials 1-mag burst or "True DPS" column do better visual differences in DPS
Added Black Talon with catalyst
Fixed Legend of Acrius not having the same reload speed as the other shotguns
Added note about relationship between fire rate and reload speed for shotguns and how they play with reload-cancelling
Added Aggressive shotgun with Trench Barrel
Added Precision shotgun with Trench Barrel
Added Chaperone with Roadborn
Added Duality with On Black Wings
Added the time for the final round to fire its full burst for fusion rifles
Fixed time to empty equations to exclude the final round of the reserves</t>
    </r>
  </si>
  <si>
    <t>Fixed time to empty forgetting a reload on calculation and sometimes not considering the final round of the reserves
Altered time to empty column and triple tap and fourth time's the charm assumptions to use a single, custom equation instead of all using an instance of identical equations
Added an equations page to explain the equations used in this spreadsheet
Fixed Anarchy not considering it's shooting two shots on double stick when calculating theoretical total damage and 1-mag total
Fixed the weapons with Triple Tap and Fourth Time's the Charm not applying the respective perk to the final magazine of the reserves
Fixed Prospector assuming grenades refreshing the duration of the burn instead of each grenade applying a burn instance of their own
Added ignition damage to Polaris Lance and Skyburner's Oath. Added very approximate scorch DPS to Skyburner's Oath hip-fire.
Fixed Whisper of the Worm reserves not accounting for regenerating 1 ammo on three precision hits
Fixed Whisper of the Worm utilizing its reload speed in time to empty, when it should be utilizing its fire rate alone
Fixed Grand Overture total theoretical damage not considering rockets
Fixed Grand Overture time to empty only considering its reserves and not rockets</t>
  </si>
  <si>
    <t xml:space="preserve">Fixed Thunderlord using an incorrect fire rate
Fixed Eriana's Vow using an incorrect fire rate
Fixed Conditional Finality using an incorrect fire rate
Fixed Thunderlord's catalyst effectively increasing its magazine size, but not its reserves size
</t>
  </si>
  <si>
    <t>Adjusted double-fire grenade launcher having Vorpal active in its damage
Fixed lightweight grenade launcher not considering blast radius</t>
  </si>
  <si>
    <t>Fixed Double-Fire grenade launcher using Proximity Grenades, leading to a lower DPS calculation; re-tested without Proximity Grenades
Added a note to One Thousand Voices reserves indicating it does not benefit from reserves mods
Fixed Wave Frame special grenade launchers using the wrong damage values
Added new Lament DPS strategy (guard &gt; light x2 &gt; heavy &gt; drop guard &gt; light x2)
Added Hierarchy of Needs data (Note: still need to get the catalyst, but I finally got the bow)
Changed "Time to Empty" column for primaries to represent infinity instead of N/A to be slightly more accurate
Refined initial Lament DPS strategy: (guard &gt; light x3 &gt; heavy &gt; drop guard &gt; light until heavy recharges) -&gt; (guard &gt; light x3 &gt; heavy &gt; drop guard &gt; light x2)
Added a new Lament DPS strategy: guard &gt; light x4 &gt; heavy &gt; drop guard &gt; light x2
Re-tested Quicksilver Storm reloading and fixed DPS calculation for mixed modes DPS</t>
  </si>
  <si>
    <t>New Destiny patch, Guardian Games is back (go Titans)! No weapon changes from patch reported
Fixed time to empty for the respective Lament strategies</t>
  </si>
  <si>
    <t>Added ignitions to Two-Tailed Fox DPS
Expandeed Two-Tailed Fox DPS to consider both with and without ignitions for a better comparison of DPS when someone else is also applying scorch</t>
  </si>
  <si>
    <t>Added Guidance Ring with catalyst data for Hierarchy of Needs
Adjusted Duality's On Black Wings x5 not accounting for using the first 5 shots to build up the buff for theoretical total damage</t>
  </si>
  <si>
    <t>Split caster sword DPS, only two caster swords exist (Temptation's Hook and Sola's Scar), and both have different impact stats</t>
  </si>
  <si>
    <t>Added an abilities sheet to determine super DPS in anticipation of Season of the Deep super changes</t>
  </si>
  <si>
    <r>
      <rPr>
        <rFont val="Consolas"/>
      </rPr>
      <t xml:space="preserve">Season of the Deep (S21) Begins!
Notable </t>
    </r>
    <r>
      <rPr>
        <rFont val="Consolas"/>
        <color rgb="FF1155CC"/>
        <u/>
      </rPr>
      <t>changes</t>
    </r>
    <r>
      <rPr>
        <rFont val="Consolas"/>
      </rPr>
      <t>:
- Sniper rifle damage increased by 10% (minus Izinagi's 4x Honed Edge) (this also affected Cloudstrike's Lightning Strikes)
- Graviton Lance tweaked: 
  fire-rate 257 -&gt; 300
  body shot 
  precision 
- Jade Rabbit now refunds 3 ammo instead of 1 ammo on 3 precision hits
- Heartshadow now weakens on any damage while invisible and damage increase occurs 1s -&gt; 0.25s after being invisible
- Sweet Business now has explosive rounds every 20 rounds and more frequently after spooling up
- Legend of Acrius base reserves increased 12 -&gt; 16
- Tommy's Matchbook, while overheated, now applies 14+7 scorch every 5 shots
- Skyburner's Oath scorch application increased 3+2 -&gt; 5+5 stacks every non-ADS shot
- Salvation's Grip now has two firing modes:
  charged shot fires a collection of crystals
  uncharged fires a normal shot that deals bonus damage to crystals and frozen targets
  Also has a new perk: reloads magazine from reserves upon rapidly shattering three stasis crystals
- Worldline Zero sprinting heavy attack now consumes 100% -&gt; 50% sword energy and can be chained, heavy attack damage increased by 8.3%
- Winterbite's impact damage has been removed and redistributed into detonation damage (very negligible DPS loss)
- Thunderlord no longer provides increased frequency of lightning strikes when shot at a Divinity bubble
- Jolt damage reduced by 15%
Changes will be made soon, entries to be adjusted are highlighted in red</t>
    </r>
  </si>
  <si>
    <t>Added empty field for Centrifuse, adaptive rocket launcher with bipod, and adaptive rocket launcher with bipod and wolfpack rounds
Found a potentially undocumented patch note:
- Polaris Lance ignition damage reduced
Fixed Heir Apparent using a non-existent rapid-fire intrinsic reload perk</t>
  </si>
  <si>
    <t>Adjusted notation on Salvation's grip and D.A.R.C.I.</t>
  </si>
  <si>
    <t>Added clarifying note to triple tap and fourth times the charm sniper rifles that they assume precision hit counters are reset on reload.
Added empty field for the new The Navigator dungeon exotic trace rifle
Added a form link for users who may wish to express concerns or contribute data</t>
  </si>
  <si>
    <t>Fixed Lament theoretical total damage using the wrong equations
Appended data for bipod (currently I have data only for aggressive frames)</t>
  </si>
  <si>
    <t>Adjusted Home page text
Appended entry for titan-exclusive Aggressive frame sword considering light spam
Fixed Grand Overture w/ rockets using the wrong magazine capacity in Sustained DPS
Appended entry for Parasite: average DPS with first round at x20 Worm's Hunger
Implemented data provided by a community member for Heartshadow, courtesy of u/shadowninja981
Adjusted implementation of sword DPS; adjusted sword charge time to begin on heavy attack begin frame</t>
  </si>
  <si>
    <t>Fixed fusion rifles (including One-Thousand Voices) and linear fusion rifles subtracting the final round from sustained DPS calculation, when it should have instead been subtracting the shot delay of the final round
Adjusted fusion rifle delays between bursts; new measurement: 1 bolt every 2 frames at 60 FPS in a burst
Need to retest fusion rifle burst delays later today (more complicated than I expected)
Fixed Merciless equations; fixed sustained DPS adding DPS of both the initial magazine and the reserves at maximum Conserve Momentum; fixed equations adding inverses of charge times rather than the actual charge times
Fixed backend equations for Triple Tap and Fourth Time's the Charm providing slightly wrong values for effective magazine size
Implemented backend equation for combination of Fourth Time's the Charm and Triple Tap; Equations page adjusted accordingly</t>
  </si>
  <si>
    <t>Fixed the wrong equation being displayed for Fourth Time's the Charm and Triple Tap combination in the Equations page
New hotfix, updated game version number in home screen</t>
  </si>
  <si>
    <t>Appended an entry to the equations page, a link to a graph to visualize effects of damage buffs, TT, and FTTC</t>
  </si>
  <si>
    <t>Made some adjustments to the calculator for TT and FTTC linked in the equations page.</t>
  </si>
  <si>
    <t>Added a small clarifying note to the Ager's Scepter catalyst data entry</t>
  </si>
  <si>
    <t>New hotfix, updated number</t>
  </si>
  <si>
    <t>Updated Fusion Rifles fire rates to more accurated account for delay between charging bursts (i.e. account for time the time to fire burst + delay until next burst)</t>
  </si>
  <si>
    <t>Fixed Final Warning mentioning sever instead of unravel
Appended backend functions for finding super combo DPS
Appended some data for the supers page</t>
  </si>
  <si>
    <t>Adjusted home page text
Appended incomplete data to supers page</t>
  </si>
  <si>
    <t>Fixed a few data entries in the supers page</t>
  </si>
  <si>
    <t>Appended Legacy PR-55 frame to pulse rifles</t>
  </si>
  <si>
    <t>New patch, updated home page text; nothing new in realms of DPS</t>
  </si>
  <si>
    <t>Increased precision of the charge delay of precision linear and aggressive linear charge delats as well as the precision of the seconds per bolt for aggressive linears
Fixed aggressive linears assuming 774 charge time instead of intended 533
Appended a little bit of data to supers page</t>
  </si>
  <si>
    <t>Appended Wicked Implement data
Fixed certain legendary hand cannon entries using the wrong values</t>
  </si>
  <si>
    <t>Appended data for The Navigator exotic trace rifle
Appended data for Rapid-Fire legendary glaives
Appended data for Compressed Wave Frame heavy grenade launcher
Appended data for Edge of Conurrence hunter exotic glaive
Appended data for Edge of Intent warlock exotic glaive
Appended data for Whisper of Rending with Wicked Implement and Salvation's Grip
(^ props to community data for the above)
Fixed Prospector assuming slightly extra burn damage in true DPS
Adjusted notes on Prospector entry</t>
  </si>
  <si>
    <t xml:space="preserve">New Patch: 7.1.0.5
Notable changes:
Graviton Lance damage increased by 67% (B: 511+690 -&gt; 854+1152 ; P: 847+1143 -&gt; 1414+1909)
Removed erroneous entry for Whisper of Rending applying to Salvation's Grip </t>
  </si>
  <si>
    <t>New hotfix on the 25th, updated spreadsheet version to correspond.
Remnant II in the meanwhile has had all of my attention recently, pretty fun game I must say. I'll try to stay up to date at least with new weapon updates/releases.</t>
  </si>
  <si>
    <t>New hotfix: updated home screen to match version number; nothing noteworthy.</t>
  </si>
  <si>
    <t>Removed note from Fourth Horseman</t>
  </si>
  <si>
    <t>New hotfix: updated home screen to match version number; nothing noteworthy.
Added new entries to Lord of Wolves: body hits. This is to better compare (especially when Release the Wolves is active) the different in DPS when missing precision hits.</t>
  </si>
  <si>
    <t>(This entry is lengthy, use the formula bar to read all of it)
Okay, so new patch drops and I'm sitting here with my grubby hands waiting to work this all out. For now, I will mark everything that needs to be altered to be relevant.
Notable changes:
WEAPONS
Warden's Law
 &gt; Part of new family, Heavy Burst
Bows
 &gt; minimum reload speed reduction (0.5s -&gt; 0.3s)
Aggressive sidearms
 &gt; reduced base damage (32 -&gt; 30)
Fusion Rifles
 &gt; (not a part of the spreadsheet) Adept/enhanced intrinsics changing charge time no longer affects impact
Swords
 &gt; Guarding reworked!
 &gt; Recharges after a short delay, but charge much faster than before
 &gt; full-power heavy attacks may now be used if swords are partially charged
 &gt; Lament charge rate and delay unaffected
 &gt; (not a part of the spreadsheet) guard resistances overall increased for swords
 &gt; Now benefit from reserves mods
Quicksilver Storm
 &gt; Fxed an issue loading ammo slightly too late in reload animation
Two-Tailed Fox Catalyst
 &gt; Fires in a three-burst instead of a two-burst
 &gt; Arc rocket impact damage slightly increased
Le Monarque
 &gt; Draw time reduced (684 -&gt; 612)
 &gt; Reduced body damage (100 -&gt; 85)
 &gt; Increased Critical Multiplier (1.5 -&gt; 1.6)
 &gt; DoT duration reduced (3s -&gt; 1.75s, 8 ticks -&gt; 6 ticks)
 &gt; PvE burn damage increased by 50%
Vex Mythoclast
 &gt; RPM reduced (390 -&gt; 360)
 &gt; (not a part of the spreadsheet) +25% bonus damage towards minors and majors
Tommy's Matchbook
 &gt; Scorch application adjusted (14 +7 -&gt; 15 +5)
Touch of Malice
 &gt; This one's huge
 &gt; Final round damage increased by 20%
 &gt; (not a part of the spreadsheet) Self damage reduced
 &gt; (not a part of the spreadsheet) Final round can no longer kill the wilder
 &gt; (not a part of the spreadsheet) Increased health on multihealth (30 -&gt; 75)
 &gt; (not a part of the spreadsheet) Ball of darkness correctly deals arc damage and stuns unstoppable enemies
Wicked Implement
 &gt; Timing window for creeping attrition increased (3.5s -&gt; 4.5s)
PERKS
Bipod
 &gt; Damage penalty reduced (-40% -&gt; -25%)
Chill Clip
 &gt; (not a part of the spreadsheet) Stasis stacks reduced (60 -&gt; 40)
 &gt; Wolfpack rounds no longer activate Chill Clip
SO FAR
Adjusted Vex Mythoclast RPM
Adjusted Bipod Damage for rocket launchers
Adjusted Aggressive Burst sidearm damage
Appended empty entries for Tesselation and Ex Diris
Hiding the Supers page. Archiving it and doing some thinking about it. Let me know if you have any concerns about it being hidden.</t>
  </si>
  <si>
    <t>Completed entry for Ex Diris with and without enrage
Completed entry for Tessellation
(Undocumented in patch notes) Tommy's Matchbook ingition damage seemingly increased (6444 -&gt; 16810)
Updated Tommy's Matchbook (overall: w/o Ashes, slight increase in DPS, w/ ashes, slight decrease in DPS; compared to prior values)
No real change observed in Quicksilver Storm reload animation
Updated Touch of Malice
Cannot update Warden's Law entry (I do not have access to the weapon at this time, need someone to confirm if the information is still relevant after-patch)
Updated Le Monarque, DPS relative to older damage values has decreased (6571 -&gt; 5802 at 0.75 s reload); with all buffs considered, overall DPS still decreased (6571 -&gt; 6389)
Updated Bow reload speed, reload speed seems to have decreased (0.75 s -&gt; -.60 s); Hierarchy of Needs still observes no reload duration multiplier as potentially stated in the DDC; Leviathan's Breath receives yet another buff (cata DPS: 34765 -&gt; 38636)
Updated Two-Tailed Fox to reflect catalyst changes, slight DPS decrease (without ignitions, 22554 -&gt; 21665) (two-vollay used to be masured at 0.33 seconds, three-volley takes 0.44 seconds). Seems delay between rockets has been adjusted too (0.33 seconds for two-volley -&gt; 0.22 seconds)</t>
  </si>
  <si>
    <t>Fixed Leviathan's Breath time-to-empty being calculated incorrectly
Updated charge times for swords 
Updated a few formulas for sword DPS to reflect swords changes; will continue working on the rest tomorrow</t>
  </si>
  <si>
    <t>Removed some entries in swords for the 1-Mag Burst DPS or "True DPS" column, seeing it as irrelevant and confusing for the column</t>
  </si>
  <si>
    <t>There is a potential for swords to be split into their own sheet to showcase the difference in DPS between Lucent Blades count. Everything else should be good, but swords will require some work.</t>
  </si>
  <si>
    <t>New update, updated the home screen game version.
In the works of making a separate swords page, stay tuned.</t>
  </si>
  <si>
    <t>I did it, I finally implemented the swords page. It took a lot of data gathering (primarily it was Lament's fault).
Implemented swords page; as a result, deprecated sword entries in Heavies page
Appended preliminary Necrochasm entry to Primaries (shame I wasn't able to participate in the Day-One race, but hope it was fun for those that did)
Added Ko-fi link to home page; Had someone a few months back ask about donating a tip, now it's there if you want to throw in an investment
Added a Bounty Board page; if I require data, my requests will be listed there</t>
  </si>
  <si>
    <t>Appended double-slam entry for aggressive swords</t>
  </si>
  <si>
    <t>Fixed Aggressive swords assuming a higher theoretical total damage than they should have
Appended data for light spam time to empty
Adjusted comments on Worldline Zero entries
Had a few new forms come in:
 Fixed erroneous revved heavy calculation for Lament combos
 Fixed a few Lament DPS calculations missing revved heavy swing time
 Appended Heartshadow ammo data, without catalyst (tjsmith)</t>
  </si>
  <si>
    <t>Appended Malfeasance catalyst entry
Appended Malfeasance catalyst + Lucky Pants entry (insight provided by tjsmith)
Bounty claimed! Necrochasm data appended (provided by tjsmith)
Bounty claimed! Appended reserves data for Heartshadow with catalyst</t>
  </si>
  <si>
    <t>New form came in:
 Appended a few notes about what each column means in the swords page</t>
  </si>
  <si>
    <t>New form came in:
 Fixed Bequest listing more damage than it should have</t>
  </si>
  <si>
    <t>Added a few clarifying notes in the swords page
Adjusted Revision Zero; changed the mixed modes to assume Fourth Time's the Charm, now assumes fire 48 rounds &gt; activate Hunter's Trace
Fixed Aggressive SMGs using the wrong RPM value
Slightly adjusted Bipod ammo reserves values (different on Aggressive vs Adaptive, despite both having the same damage)
Had someone leave a comment:
 Fixed Witherhoard using incorrect timings for DPS
 Appended a few extra notes on Witherhoard</t>
  </si>
  <si>
    <t>Appended data for jump &gt; light &gt; heavy strat for swords (Editor's note: unless my calculations are wrong, my hypothesis on the notion of it "doing more damage" with Lightweights might be the fact that it allows for more consistent tracking, thus leading to more hits than usual on Crota)</t>
  </si>
  <si>
    <t>In honor of the new weapon crafting bug, made a dedicated page "Lol cannons" to showcase how rediculous the glitch is</t>
  </si>
  <si>
    <t>Appended a few more entries to the crafting bug page</t>
  </si>
  <si>
    <t>RIP funny guns</t>
  </si>
  <si>
    <t>Hidden funny guns page</t>
  </si>
  <si>
    <t>Removed irrelevant entry</t>
  </si>
  <si>
    <t>Updated game version on home screen
Updated Revision Zero entry, extended mag provides 52 rounds when 4-burst; updated mag size and remove FTTC requirement for mixed-mode DPS using 4 burst.
Setting up something back-end, someone gave me an interesing idea through the forms...</t>
  </si>
  <si>
    <t>Implemented a page to conglomerate all of the data into one spot; someone suggested a way to sort, and I found out about filter views, you should be able to sort the data to your heart's content (and without needing to download a personal copy of the spreadsheet)
Did a little bit of restructuring; made more concrete entries, removed arrows and implemented "N/A" as needed</t>
  </si>
  <si>
    <t>Was notified that Trace Rifles do not actually fire at 1000 RPM; Adjusted Trace Rifle RPM to correctly reflect its in-game performance</t>
  </si>
  <si>
    <t>Updated home screen game version</t>
  </si>
  <si>
    <t>Added/fixed a few missing notes in the All Weapons page
Removed irrelevant 1-mag damage for Touch of Malice</t>
  </si>
  <si>
    <t>Appended a note on Merciless in the All Weapons page</t>
  </si>
  <si>
    <t>Appended data for Heartshadow; finally managed to get my hands on a copy
I would like to thank the community members who had went out of their way to submit data for Heartshadow, but unfortunately I saw variation among the data provided that I thought it be best I would test it myself. 
I still appreciate the data provided, and I respect the dedication to the cause.
Redefined sustained DPS; more weapons should be properly comparable in the All Weapons page
Adjusted some notes in the home page</t>
  </si>
  <si>
    <t>Appended data for Heartshadow without buffs
it seems like DPS is big with this sword compared to the rest of the data, but that's only because it's inflated with buffs, so I decided to add a base damage to make it more comparable to the other swords, most of which do not assume damage buffs
Made a new desmos calculator: True DPS and Sustained DPS as functions of time, check it out in the Equations page</t>
  </si>
  <si>
    <t>Updated DPS over time calculator</t>
  </si>
  <si>
    <r>
      <rPr>
        <rFont val="Consolas"/>
        <color theme="1"/>
      </rPr>
      <t xml:space="preserve">Fixed Leviathan's Breath time-to-empty being calculated incorrectly
Appended a note to the DPS over time calculator
</t>
    </r>
    <r>
      <rPr>
        <rFont val="Consolas"/>
        <color theme="1"/>
        <u/>
      </rPr>
      <t xml:space="preserve">Update 7.2.5; notable changes:
</t>
    </r>
    <r>
      <rPr>
        <rFont val="Consolas"/>
        <color theme="1"/>
      </rPr>
      <t xml:space="preserve">&gt; Auto Rifles
Adaptive
Increased base damage: 14.25 -&gt; 15 (367 -&gt; 387)
decreased critical multiplier: 1.6 -&gt; 1.55 (587 -&gt; 603)
Hard Light
body: 367 -&gt; 387
precision: 587 -&gt; 603
Monte Carlo
body: 404 -&gt; 426
precision: 606 -&gt; 663
&gt; Sniper Rifles
Rapid-Fire
decreased body damage 90 -&gt; 85 (2662 -&gt; 2514)
increased critical multiplier 3.25 -&gt; 3.45 (8637 -&gt; 8649)
Adaptive
decreased body damage 131 -&gt; 119 (3874 -&gt; 3519)
increased critical multiplier 2.95 -&gt; 3.25 (11430 -&gt; 11418)
Aggressive
Decreased body damage 157.5 -&gt; 135 (4657 -&gt; 3992)
increased citical multiplier 3 -&gt; 3.5 (14017 -&gt; 13972)
Izinagi's Burden (base)
body: 4455 -&gt; 4047
precision: 13144 -&gt; 13131
Izinagi's Burden (4x Honed Edge)
body: 9719 -&gt; 10299
precision: 57072 -&gt; 61693
Cloudstrike
body: 2662 -&gt; 2514
precision: 8637 -&gt; 8649
Lightning strikes: 8871 + 5323 -&gt; 8871 + 5323
Borealis (base)
body: 2657 -&gt; 3992
precision: 14017 -&gt; 13972
Borealis (Ionic Return)
body: 5356 -&gt; 4591
precision: 19584 -&gt; 19128
DARCI
body: 3210 -&gt; 2765 (3334)
precision: 14027 -&gt; 9514 (15090)
jolt: 2466 -&gt; 2466
Whisper of the Worm
body: 5033 -&gt; 4998
precision: 23759 -&gt; 26135
"Fixed an issue where Aggressive Frame Sword’s airborne heavy attacks required full energy and did not start the energy recharge delay."
Aggressive Double slam is no longer a valid strategy. Removed Aggressive Double Slam Entries.
Some changes seem inconsistent with the update, I cannot confirm nor deny if initial data was poorly gathered, rather that it is what I observed.
</t>
    </r>
  </si>
  <si>
    <t>Added a few notes on the home page</t>
  </si>
  <si>
    <t>Fixed Leviathan's Breath without catalyst using the wrong reserves size</t>
  </si>
  <si>
    <t>New update, nothing of note, updated home page</t>
  </si>
  <si>
    <r>
      <rPr>
        <rFont val="Consolas"/>
      </rPr>
      <t xml:space="preserve">RIP Salvatori https://www.reddit.com/r/DestinyTheGame/s/dhq7oyo7QY: may you catch a big fish
RIP Micheal Sichrest </t>
    </r>
    <r>
      <rPr>
        <rFont val="Consolas"/>
        <color rgb="FF1155CC"/>
        <u/>
      </rPr>
      <t>https://dm.reddit.com/r/DestinyTheGame/comments/17kd4az/michael_sechrist_the_composer_of_deep_stone/?ref=share&amp;ref_source=link</t>
    </r>
    <r>
      <rPr>
        <rFont val="Consolas"/>
      </rPr>
      <t>; may you and Salvatori catch the biggest of fish
Heart goes out to the rest who were sent off.</t>
    </r>
  </si>
  <si>
    <t>New update, changed the home screen patch number; regarding the previous patch (7.2.5.2) with Lord of Wolves, no change was observed in damage</t>
  </si>
  <si>
    <t xml:space="preserve">(see formula bar to read entire changes)
New Season is out (7.3.0)
Apologies for the delay, but regardless, here are the changes of note
(for items capable of precision damage, it is listed as [body damage]/[precision damage])
&gt;Glaive projectile damage buff
Glaive projectile damage
rapid-fire 7108  -&gt; 8428
adaptive 8799 -&gt; 10723
aggressive 10873/9815 -&gt; 13035/12225
edge of action 8799 -&gt; 10723
vexcalibur 1939*5 -&gt; 2299*5
winterbite 1344+25536+4483 -&gt; 1344+31920+4483 (blast damage increased by +25%)
&gt;sniper damage buff
rapid-fire 2514/8649 -&gt; 2895/9960
adaptive 3519/11418 -&gt; 4052/13148
aggressive 3992/13972 -&gt; 4597/16089
cloudstrike 2514/8649 -&gt; 2895/9960
izinagi's 4047/13131 -&gt; 4660/15121
izinagi's 4x 10299/61693 -&gt; 11860/71040
borealis 3992/13972 -&gt; 4597/16089
ionic return 4591/19128 -&gt; 5287/22026
D.A.R.C.I. 3334/15090 -&gt; 3839/17377
D.A.R.C.I. base 2765/9514 -&gt; 3184/10955
Whisper 4998/26135 -&gt; 6375/30094
&gt;vex mythoclast damage buff
vex mythos 986/1575 -&gt; 1232/1969
&gt;osteo striga poison DoT scalar removed
old tick damage: 1225+1367+1505+1643+1781+1919+2058+2196+2338+2476+2614+2752+2890+3058+3614+4170+4725+5280+5853
new tick damage: 801+894+984+1077+1171+1263+1356+1449+1539+1630+1723+1816+1906+2067+2430+2793+3168+3530+3894
(around -35% to -37% damage nerf)
===
Adjusted entries as per new seasonal update
Appended entry for new rocket-assisted sidearm frame
Appended notes for Vex Mythoclast linear fusion mod
Appended entry for new stacking damage buff for Edge of Action exotic glaive
Removed old note associated with Aggressive rocket launcher with Bipod + Wolfpack Rounds
(small, unrelated note regarding new sparrow change with selectable speed: Always on Time is still better if you're an avid sparrow-flyer; it is capable of 5 dodges while boosting as compared to the normal 4 dodges while boosting with other sparrows)
</t>
  </si>
  <si>
    <t>Updated the game version on the home screen
Appended data for Buried Bloodline, thanks to Brebsticks
Updated notes to start with capitalized letters</t>
  </si>
  <si>
    <t>New patch, updated home screen game version
Nothing of note changed</t>
  </si>
  <si>
    <t>New patch; no changes to note; updated home screen patch number
Appended Monte Carlo bayonet melee damage</t>
  </si>
  <si>
    <t>Updated formatting on the DPS over time Desmos calculator
(plus, have you seen the new Warframe stuff? It's crazy!)</t>
  </si>
  <si>
    <t>Happy new year!
I see I still have an audience for this spreadsheet, thank you for still using it! Apologies for the delay, I have been feeling a bit burnt out of Destiny 2 and unfortunately got a little invested into Warframe again.
Aside from that, I have updated the spreadsheet:
New update, nothing of note changed
Appended data for Wish-Keeper
Appended data for Dragon's Breath
As usual, let me know of any problems through reddit or the associated Google Forms if you wish to stay anonymous!</t>
  </si>
  <si>
    <t>Use formula bar to read entire notes
Happy Guardian Games! New update came out and damage values have been adjusted.
Destiny 2 update 7.3.5
Scouts
lightweights        +5% base damage
B 889 -&gt; 933
P 1559 -&gt; 1636
Rocket Launchers
Precision        Reserves increased and damage penalty -10% -&gt; -5%
High impact        reserves increased and deal more AoE damage for less impact, for overall similar damage
Changes also extend to Deathbringer, Gjallarhorn, and Truth
Precision 9616*1/1.1+30634 -&gt; 8562+30005 (43 blast radius)
Reserves 9 -&gt; 13
Hakke Precision 8113+28426 -&gt; 8562+30005 (20 blast radius)
Reserves 10 -&gt; 13
High-Impact 9014+31584 -&gt; 4242+36848 (100 blast radius)
Reserves 10 -&gt; 11
Deathbringer min 7*7213 -&gt; 7*8831
Deathbringer max 7*12564 -&gt; 7*12564
Reserves 9 -&gt;
Gjallarhorn 6760+23638+(471+1010)*4 -&gt; 3182+27636+(471+1010)*4
Reserves 10 -&gt; 
Truth 31584 -&gt; 36848
Reserves 9 -&gt; 11
Heavy Grenade Launchers
Increased Reserves
Increased direct impact damage +10%
Increased detonation damage +5%
Increased Wave Frame damage +20%
Rapid-Fire 4065+11021 -&gt; 4467+11575 (20 blast radius)
Reserves 23 -&gt; 39
Adaptive 3558+15288 -&gt; 4467+15523 (50 blast radius)
Reserves 19 -&gt; 34
Wave Frame 16800 -&gt; 22176*1/1.1 (45 blast radius)
Reserves 19 -&gt; 34
The Prospector 2846+12231 -&gt; 3125+12844
initial burn tick 672 -&gt; 672
burn tick 485 -&gt; 485
reserves 23 -&gt; 43
Anarchy
impact 380 -&gt; 418
single stick 2646 -&gt; 2646
double stick 5296 -&gt; 5296
reserves 19 -&gt; 34
The Colony 4571+9408 -&gt; 5025+9408
reserves 18 -&gt; 36
Parasite
0 stacks 9751+37044 -&gt; 10728+38904
reserves 8 -&gt; 18
Salvation's Grip
no charge 3889+14952 -&gt; 4281+15701
full charge (freezing) 3922 -&gt; 3922
shatter 4483 -&gt; 4483
frozen impact 7064+25907
Crystals average 3884
5 crystals total
reserves 18 -&gt; 36
Swords
Caster Heavy cost reduced 5 -&gt; 4
Increased heavy attack damage +16%
Temptation's Hook 2417*10 -&gt; 2819*10
Others 2776*10 -&gt; 3239*10
Exotics
Ex Diris impact damage increased +50% (6340+3677 -&gt; 6657+5661)
Ex Diris maximum rate of fire increased +16% (96 -&gt; 95, re-measured)
Remeasured Aggressive SMGs
Aggressive SMG
B 515 -&gt; 480
H 742 -&gt; 720
Salvation's grip uses now uses an average of crystal damage
Adjusted some notes on swords page
Adjusted some notes on the home page</t>
  </si>
  <si>
    <t>It has been found that the manticore has been "stealth buffed" and now deals more damage while airborne than before, thus the weapon data point has been updated
Updated home screen game version.</t>
  </si>
  <si>
    <t>Adjusted heavy grenade launcher ammo counts
Updated the home page game version
Adjusted RPM and notes on Truth and Gjallarhorn
Thanks to an anonymous concern, heavy grenade launcher reserves should now be accurate.
Note: enclave provides more reserves than normal, and is not an accurate measure of reserve counts</t>
  </si>
  <si>
    <t>Changed Quicksilver Storm combo 1-mag damage to N/A since such data is not applicable</t>
  </si>
  <si>
    <t>Use formula bar to read entire notes
Update for Destiny 2 update 7.3.6
Quite the Final Shape gameplay reveal! Looks exciting, might need to revisit those abilities pages...
Notable changes due to patch notes:
Auto Rifles
Precision frame damage reduced
B 516 -&gt; 490
H 803 -&gt; 764
Applies to Symmetry
Hand Cannon
Precision frame damage increased
B 1165 -&gt; 1238
H 1748 -&gt; 1857
Adaptive frame damage increased
B 1355 -&gt; 1369
H 2235 -&gt; 2134
Crimson unaffected
Malfeasance
Base
B N/A -&gt; 1362
H N/A -&gt; 2043
Catalyst
B 1282 -&gt; 1634
H 1992 -&gt; 2451
Slug explosions unaffected
Sunshot unaffected
Hawkmoon, Lumina, Ace of Spades, Thorn
B 1490 -&gt; 1506
H 2235 -&gt; 2348
Thron burn unaffected
Sturm unaffected
Eriana's Vow unaffected
Pulse Rifles
Rapid-Fire frame damage increased
B 315 -&gt; 325
H 532 -&gt; 539
Lightweight frame damage increased
B 359 -&gt; 381
H 594 -&gt; 609
Adaptive frame damage increasd
B 426 -&gt; 448
H 706 -&gt; 716
Vigilance Wing unaffected
Bad juju
B 395 -&gt; 420
H 654 -&gt; 670
Outbreak Perfected
B 395 -&gt; 420
H 654 -&gt; 670
Nanite damage unaffected
Collective obligation
B 426 -&gt; 448
H 706 -&gt; 716
Revision Zero
4-Burst unaffected
2-burst unaffected
Hunter's trace unaffected
No Time To Explain unaffected
Graviton Lance
B 854+1152 -&gt; 898+1212
H 1414+1909 -&gt; 1435+1937
Scout Rifles
Rapid-Fire frame damage increased
B 801 -&gt; 816
H 1359 -&gt; 1383
Applies to Symmetry
Symmetry Revolution stacks unaffected
Applies to Touch of Malice
Base
B 876 -&gt; 897
H 1485 -&gt; 1521
1 round damage
B 1926 -&gt; 1973
H 3266 -&gt; 3346
Blight
B 7049+4*770 -&gt; 7174+864*4+65
Bows
Lightweight frame damage increased
B 2801 -&gt; 3075
H 4597 -&gt; 4913
Applies to Ticuu's
Ticuu's proccing arrows (light draw)
B 237 -&gt; 263
Grenade Launchers
Breech-loading frame direct impact damage increased
Double-Fire
B (2752+4935)*2 -&gt; (5181+4240)*2 (55 blast radius)
Lightweight frame
B 10036+2531 -&gt; 10537+3890 (100 blast radius)
Ex Diris
B 6657+5661 -&gt; 6657+7932
Fighting Lion
B 1807+10432 -&gt; 2775+10953
Exotics
Whisper of the Worm reserves increased
min (base) N/A -&gt; 24
max (base) 24 -&gt; 30
One Thousand Voices reserves increased
min N/A -&gt; 11
max 8 -&gt; 12
Now benefits from reserves mods
Quicksilver Storm 
Increased shots until rockets fire (every 11 rounds -&gt; every 14 rounds)
Reduced grenade blast damage
Impact 383 -&gt; 383
Blast 27203 -&gt; 170002
Last Word damage increased
B 1218 -&gt; 1294
H 2614 -&gt; 2777
Forerunner damage increased
B 1478 -&gt; 1570
H 7696 -&gt; 8179
Other changes:
adjusted note on reserves for Whisper of the Worm
updated reserves of rocket launchers to match their real values
fixed small error in damage for x5 Revolution mix
adjusted note on Touch of Malice
fixed malfeasance using the wrong values for non-catalyzed version
Replaced uninformative precision damage for Fighting Lion with N/A
Adjusted home page text
Adjusted values (possibly due to undocumented changes):
Precision frame Bows
B 3182 -&gt; 3375
H 5078 -&gt; 5062
Wish Ender
B 5032+5032+2653 -&gt; 2692+4623+4623
H 4759+5032+5032 -&gt; 4829+4623+4623
Verglass Curve
B 2877 -&gt; 3075
H 4597 -&gt; 4913
Wish-Keeper
B 3385 -&gt; 3375
H 5078 -&gt; 5062
On Suspended
B 4570 -&gt; 7213
H 7616 -&gt; 7593
Le Monarque
B 2878 -&gt; 2869
H 4598 -&gt; 4584
Burn damage unaffected
Trinity Ghoul
B 3724 -&gt; 1147*3
H 5250 -&gt; 1721*3
Hierarchy of Needs
B 3215 -&gt; 3262
H 5138 -&gt; 5213
Guidance Ring projectiles unchanged</t>
  </si>
  <si>
    <r>
      <rPr>
        <rFont val="Consolas"/>
        <color theme="1"/>
      </rPr>
      <t xml:space="preserve">Appended data for Whisper of the Worm with Field Prep
Adjusted data for Thunder Lord (thanks to an reddit private message), previously incorrectly assumed catalyst regenerated ammo from thin air whereas it refills from reserves
Appended data for breech-loading grenade launcher Micro-Missle frame
Appended missing entry for Buried Bloodline in the All Weapons page
Adjusted Grand Overture rocket entry, removed rockets adding to magazine and reserves (calculated damage values are unaffected)
Appended a filterable page to view effectiveness of reserves mods on various weapons; in consequence, notes mentioning reserves capacities due to mods have been removed
</t>
    </r>
    <r>
      <rPr>
        <rFont val="Consolas"/>
        <strike/>
        <color theme="1"/>
      </rPr>
      <t>If you would like to contribute data for the reserves mods data page, please feel free to do so though the provided Google Forms link or PM me on Reddit (information may be found on home page)</t>
    </r>
    <r>
      <rPr>
        <rFont val="Consolas"/>
        <color theme="1"/>
      </rPr>
      <t xml:space="preserve">
I have found a reliable resource for magazine and reserves sizes, see home page (thank you u/LegoWitch)
Fixed Buried Bloodline reporting more ammo than usual for reserves + magazine
Adjusted Promethus Lense reserves + magazine entry
Appended an extra note to homepage: changing the magazine stat of a weapon can change the reserves stat in tandem; a list of reference weapons for legendary weapons has been appended to the Reserves Mods Data page</t>
    </r>
  </si>
  <si>
    <t>Appended additional data to Reserves Mods Data
Fixed jump-heavy using the wrong reserves data in the swords page
Modified special and heavy weapon mag + reserves cells to correctly adhere to that provided by the Reserves Mods Data page; all magazine + reserves data is now linked to the reference page
Removed Tessalation's Proprty: Irreducible entry; moved damage data to Tessalation's body damage cell
Adjusted note on Ruinous Effigy's catalyst entry
Adjusted home page notes</t>
  </si>
  <si>
    <t>Appended a note on the home page to clarify that the values provided here are for ultra-tier (boss) enemies only
Appended data on affecting magazine perks for Reserves Mods Data reference page</t>
  </si>
  <si>
    <t>Destiny 2 Update 7.3.6.1
Nothing of note
Updated Home page game version
Appended reference swords in Reserves Mods Data
Adjusted some contact information; I noticed I received some chats on Reddit back in this spreadsheet's conception and I never received any notification for any of them, should you raise concerns, please attempt to send a message instead of starting a chat on Reddit.</t>
  </si>
  <si>
    <r>
      <rPr>
        <rFont val="Consolas"/>
        <color theme="1"/>
      </rPr>
      <t xml:space="preserve">Refined rocket launcher data
Rocket Launcher True DPS now uses True DPS instead of borrowing from Sustained DPS
Rocket launchers do not list their actualy RPM correctly, instead using some value that is either oddly calculated or totally made up
Refined Dragon's Breath data
Fixed Dragon's Breath x3 and x5 fuel sustained DPS using timing of smaller explosions when it should have been using ignition timings instead
</t>
    </r>
    <r>
      <rPr>
        <rFont val="Consolas"/>
        <b/>
        <color theme="1"/>
      </rPr>
      <t xml:space="preserve">Appended new graph for DPS as a function of time, this time with reloading on final round
</t>
    </r>
    <r>
      <rPr>
        <rFont val="Consolas"/>
        <color theme="1"/>
      </rPr>
      <t>If there's anything that is most important out of all of this data, it's the graphs of DPS as a function of time
Modified home page notes
Updated D.A.R.C.I body and precision values</t>
    </r>
  </si>
  <si>
    <t>Fixed Dragon's Breath x3 fuel sustained DPS figure; used to assume 1.5 seconds per ignition when it should be 3 seconds per ignition
Adusted Eyes of Tomorrow Sustained DPS figure by changing the burst timing</t>
  </si>
  <si>
    <t>Revisited and refined Salvation's Grip data
Refined data for breach-loading grenade launchers
Breach-loading grenade launchers now use proper True DPS instead of borrowing from Sustained DPS
Appended entry: making ground blights with Witherhoard
Appended data to Final Warning; included unravel damage</t>
  </si>
  <si>
    <t>Updated some reformatting in swords page
Updated Worldline's Tesseract damage number
Adjusted a few notes on a few swords in the swords page
Updated the DPS as a function of time Desmos graph to be more user-friendly
Deprecated the older graph that used RPM delay before reloading
Appended a calculator/graph for theoretical total damage as a function of time as a compliment to the true and sustained DPS as a function of time calculator graph
Fixed Devil's Ruin laser spam not considering the laser charge-up time
Updated Final Warning's charge time value</t>
  </si>
  <si>
    <t>Fixed Final Warning's charge time value (previously: erroneously removed the second charge that is required for the second-half of the magazine)</t>
  </si>
  <si>
    <t>Appended a note on Hawkmoon
Adjusted some visual formatting on Lament's data.
Fixed minor error with Thunderlord's effective magazine size with catalyst; thanks to tjsmith for pointing it out in the google forms</t>
  </si>
  <si>
    <r>
      <rPr>
        <rFont val="Consolas"/>
      </rPr>
      <t xml:space="preserve">Updated home screen game version
Changed Rapid-Fire sniper with Rewind + FTTC Sustained DPS to borrow from True DPS instead of stating N/A
Appended data for Hush in anticipation for the </t>
    </r>
    <r>
      <rPr>
        <rFont val="Consolas"/>
        <color rgb="FF1155CC"/>
        <u/>
      </rPr>
      <t xml:space="preserve">sunrising
</t>
    </r>
    <r>
      <rPr>
        <rFont val="Consolas"/>
      </rPr>
      <t>Adjusted Revision Zero; discovered Hunter's Trace benefits from Fourth Time's the Charm, now properly accounts for it</t>
    </r>
  </si>
  <si>
    <t>Adjusted Revision Zero Hunter's Trace mix with 4-round burst's magazine data point to benefit from FTTC</t>
  </si>
  <si>
    <t>Fixed Lord of Wolves, catalyst + Release the Wolves, all body hits Theoretical Total Damage calculation</t>
  </si>
  <si>
    <t>Updated game version on home page
Revisited and revised hand cannon reload data (only small changes made)
Obtained data for Heavy Burst hand cannon archetype; revised the corresponding data entry
Appended data for precision linear fusion rifles with Triple Tap and Fourth Time's the Charm</t>
  </si>
  <si>
    <t>Fixed Worldline Zero 3x Lucent Blades 2x Tesseract heavy charge time from assuming additional time than it needed to</t>
  </si>
  <si>
    <t>Fixed Heavy Burst hand cannon magazine size</t>
  </si>
  <si>
    <t>Fixed Lament's Theoretical Total Damage values using the wrong parameters; thanks to an anonymous tip via the Google Form</t>
  </si>
  <si>
    <t>Adjusted notes on double-fire grenade launcher
Revisited sidearm reloads; adjusted reload times for Final Warning and the special-ammo sidearms
Appended data for Salvation's Grip + Whisper of Fissures</t>
  </si>
  <si>
    <t>Implemented additional data for Merciless to consider Impetus
This one was a little challenging, since formulas would end up being too obtuse to implement, therefore the a model was required and a script has been written to calculate it
If you wish to review how the values were calculated, please download a personal version of this spreadsheet and navigate to Extension -&gt; Apps Script and then find the respective formulas
Adjusted Whisper Data
since Field Prep merely brings the floor of the weapon reserves closer to the maximum, it was redundant, and therefore has been changed to showcase the difference between with and without the catalyst (don't be lazy and go get the catalyst)</t>
  </si>
  <si>
    <t>Appended data slots for Outbreak rolls in anticipation for potential perk combinations</t>
  </si>
  <si>
    <t>Made minor formatting adjustments
Created a page to catalogue timestamps of when a weapon was last tested
Implemented some back-end stuff to record when certain weapon entries are adjusted or changed</t>
  </si>
  <si>
    <t>Revisiting some weapons to verify data points
Verified some damage numbers of certain weapons
Adjusted Wicked Implement data; removed additional damage instance from shatter being considered that cannot be replicated
Appended Wicked Implement with Whisper of Fissures and Whisper of Fissures + Rending
Revisited Cloudstrike damage; lightning strike damage increased
Revisited Whisper of the Worm; increased non-Whispered Breathing damage
Revisited Legend of Acrius; created formula for precision damage (no change in damage)
Revisited Aggressive sidearms; increased damage slightly
Removed Omolon Adaptive Sidearm data point (it's the same thing as a standard adaptive frame, damned corpos placing their names on everything)
Appended entry for Drang
Adjusted formatting on Lament, removed Surges box</t>
  </si>
  <si>
    <t>Appended entry for wave-frame heavy grenade launcher with cascade point
Minor adjustment on cascade point calculation
Appended entry for Controlled Burst on Rapid-Fire fusions (if you believe appending additional entries for Controlled Burst on the other Fusion Rifles, do let me know though the google form or Reddit)</t>
  </si>
  <si>
    <t>Revisited Merciless and its interaction with Impetus
Fixed Merciless assuming a fixed charge delay upon firing a burst for all stacks of Conserve Momentum (measured from the start of the burst to the start of charging the next burst)
Initially, this assumed that Merciless was unable to get all the bursts out with Impetus, but because re-evaluation leads to say otherwise, the other data point for Merciless + Impetus has been removed and one shall remain
Appended magazine data for Outbreak with Rewind Rounds + Extended Magazine
Appended reload data for Outbreak with Rapid Hit + Alloy Magazine
Updated home page game version
Updated the header message shown in the pages</t>
  </si>
  <si>
    <t>Revisited Lord of Wolves; increased damage slightly
Revisited Duality; increased damage slightly
Adjusted minor note on Merciless
Fixed Cascade Point Compressed Wave Frame using the wrong reserves</t>
  </si>
  <si>
    <t>Appended some preliminary entries in anticipation of the new weapons to be released in The Final Shape
Weapons appended thus far:
Still Hunt
Khvostov 7G-0X
Red Death Reformed
Microcosm
Ergo Sum
Support(?) auto rifle frame 
I unfortunately do not have the numbers for these items yet, as I am a humble spreadsheet enjoyer and not a content creator, and I rely on Barry testing instead of Carl testing</t>
  </si>
  <si>
    <r>
      <rPr>
        <rFont val="Consolas"/>
        <color rgb="FF1155CC"/>
        <u/>
      </rPr>
      <t>Fallout's new video</t>
    </r>
    <r>
      <rPr>
        <rFont val="Consolas"/>
      </rPr>
      <t xml:space="preserve"> provided some insight on the upcoming new legendary weapons
Appended additional data for new Support frame auto rifle
Appended dummy entry for upcoming Aggressive frame heavy machine gun
</t>
    </r>
    <r>
      <rPr>
        <rFont val="Consolas"/>
        <strike/>
      </rPr>
      <t>Appended dummy entry for upcoming Adaptive frame linear fusion (somehow Fallout entirely missed this in his video showcasing the new linear fusion???)</t>
    </r>
    <r>
      <rPr>
        <rFont val="Consolas"/>
      </rPr>
      <t xml:space="preserve"> Missed an entry in a prior TWAB/TWID
Appended column to reserves mods data reference page; should you decide to make a personal copy of this spreadsheet, this should aid you as it should allow for easier adjustment on the reserves mods used per weapon to find the theoretical total damage
Adjusted some minor formatting
</t>
    </r>
    <r>
      <rPr>
        <rFont val="Consolas"/>
        <b/>
        <i/>
        <sz val="14.0"/>
      </rPr>
      <t>ALSO TREAD CAREFULLY: Sony did a whoopsy-daisy and let Shadow of the Erdtree + Final Shape release too early on their cloud gaming service for a brief period of time (at around ~02:00 PST), early spoilers are out there, but a majority is still unkown about the Final Shape.</t>
    </r>
  </si>
  <si>
    <t>What are you doing still here? get out of here stalker, go stare at the sun or something</t>
  </si>
  <si>
    <r>
      <rPr>
        <rFont val="Consolas"/>
        <color theme="1"/>
        <sz val="20.0"/>
      </rPr>
      <t xml:space="preserve">FINAL SHAPE RELEASE
</t>
    </r>
    <r>
      <rPr>
        <rFont val="Consolas"/>
        <color theme="1"/>
        <sz val="10.0"/>
      </rPr>
      <t>For your consideration, not many serious changes will occur at this moment, I will be taking in the campaign and the plan is to test everything (or a majority) tomorrow.
Implemented new Area Denial breech grenade launcher frame
Adjusted a few names to reflect new naming conventions on burst weaponry
Implemented Final Warning catalyst empty slot</t>
    </r>
  </si>
  <si>
    <t>Implemented Final Warning Catalyst and updated its values (got lucky and managed to get it in 1 strike + 3 crucible games, blessed be thine RNGesus)</t>
  </si>
  <si>
    <r>
      <rPr>
        <rFont val="Consolas"/>
        <color theme="1"/>
      </rPr>
      <t xml:space="preserve">Updated sniper rifles to-date
Implemented data for Still Hunt (new hunter meta? celestial without solar makes sense?)
Implemented reserves data for the new Area Denial breech grenade launcher frame
Removed an extra round from Borealis, 1-mag burst DPS with Ionic Return, from being considered as it added additional time that could have been ignored
Servers went into maintenance before I could do additional testing
</t>
    </r>
    <r>
      <rPr>
        <rFont val="Consolas"/>
        <i/>
        <color theme="1"/>
      </rPr>
      <t xml:space="preserve">New data coming soon...
</t>
    </r>
    <r>
      <rPr>
        <rFont val="Consolas"/>
        <color theme="1"/>
      </rPr>
      <t>Updated Trace Rifles to-date
Missing The Navigator exotic damage data; if you have the exotic and are willing to provide data, please do reach out via forms or reddit
Updated Eriana's Vow, Arbalest, Lorentz Driver, Rocket-Assisted frame, Buried Bloodline, and Forerunner to-date
Updated fusion rifles to-date
Updated shotguns to-date
Updated breech grenade launcher to-date
&gt; modified some Witherhoard calculations
&gt; Appended entry: Witherhoard catalyst auto-loading, shooting the ground</t>
    </r>
  </si>
  <si>
    <r>
      <rPr>
        <rFont val="Consolas"/>
        <color theme="1"/>
        <sz val="24.0"/>
      </rPr>
      <t xml:space="preserve">Salvation's Edge is upon us...
</t>
    </r>
    <r>
      <rPr>
        <rFont val="Consolas"/>
        <color theme="1"/>
      </rPr>
      <t xml:space="preserve">Updated glaives to-date
</t>
    </r>
    <r>
      <rPr>
        <rFont val="Consolas"/>
        <i/>
        <color theme="1"/>
      </rPr>
      <t xml:space="preserve">Special weapons are now to-date
</t>
    </r>
    <r>
      <rPr>
        <rFont val="Consolas"/>
        <color theme="1"/>
      </rPr>
      <t>Updated Auto Rifles; they are mostly to-date
&gt; need further testing on Tommy's Matchbook ignitions
&gt; need data for new support frame auto rifle with extended mag + backup mag
&gt; need damage data for Khvostov</t>
    </r>
  </si>
  <si>
    <t>Fell asleep while attempting contest raid; congrats to the Aussies!
Finished updating heavy machine guns
Updated heavy sniper rifles to-date
Updated heavy shotguns to-date
Updated Leviathan's Breath to-date
Updated One Thousand Voices to-date
Updated heavy linear fusion rifles to-date</t>
  </si>
  <si>
    <t>Implemented data for Microcosm
Updated primary-ammo pulse rifles to-date
Updated SMGs to-date
Updated Scout Rifles to-date
Updated Hand Cannons to-date; modified Thorn poison damage calculation in DPS
Updated Sidearms to-date
Updated Bows to-date; 
&gt; replaced Hush's entry with a generic precision frame with Archer's Gambit
&gt; appended Archer's Gambit + Archer's Tempo perk combination for precision frame bows
Updated Fighting Lion to-date
Primary-ammo weapons are now to-date
Updated rockets to-date; revised Dragon's Breath</t>
  </si>
  <si>
    <t>Updated Winterbite to-date; revised damage calculation, previously assumed constant shatters when instead, its shatter every other shot
Appended Microcosm with damage buff trait
Adjusted Still Hunt notes</t>
  </si>
  <si>
    <t>Corrected minor error on shatter damage
Implemented Khvostov's damage data
Appended page for elemental effects; weapons that use elemental effects typically share the same damage with the said elemental effects. to simplify the spreadsheet a little and make it easier to work with, this new page has been added.
&gt; as a result, removed notes mentioning these effects unless strictly necessary for describing the weapon
Updated Salvation's Grip to-date; reworked some damage calculations
Updated swords (with exception of Ergo Sum, for now) are now to-date
&gt; new Lament changes have made combos more forgiving, opening up a few options
&gt; whereas before 2 Lucent Blades was the top-DPS prior, now it's basically tied between 1, 2, and 3 Lucent Blades, meaning that 1 Lucent Blades will be go-to and you can't build into DPS like you used to with additional Lucent blades; this feels like a questionable change, in addition to its healing nerf
Implemented some Ergo Sum data; Need to obtain vortex frame with Jagged Edge + Swordmaster's Guard
&gt; Seems that Aggressive frame might ironically be the worst option for Ergo Sum, as its light attack is the same as all the other frames and its heavy attack is also the same as Lightweights, it swings slower while doing the same damage</t>
  </si>
  <si>
    <t>Appended data for in-air lament to the notes
Appended data for auto rifle Support frame magazine size
Preliminary implementation of Wave Sword frame (currently exclusive to Ergo Sum and the raid sword Summum Bonum)</t>
  </si>
  <si>
    <t>Renamed Together Forever (Drang) to appropriate frame (Adaptive frame) thanks to a user
Appended damage data for The Navigator
Fixed minor formatting error</t>
  </si>
  <si>
    <t>Adjusted a few notes on rocket launchers with wolfpack rounds
Appended notes to Rapid-Fire and Precision auto rifles; I have been notified that I should add the lightweight auto rifles, The Ripose and Jiangshi AR1. So far, these are the only two lightweights, at 720 rpm and 450 rpm, respectively. It appears that Jiangshi does the same damage as a precision auto rifle, another 450 rpm auto rifle. I suspect The Riposte will likely also deal the same damage as a 720 Rapid-Fire, although I do require a confirmation on this. For now, these will be left as notes on the appropriate cells as it will be duplicated data.
Implemented some data thanks to a user providing it for Euphony. Partially incomplete for now.</t>
  </si>
  <si>
    <t>Implemented some data for wave sword frames thanks to a user. Partially incomplete for now.
New bounty posted, need additional data for the raid exotic Euphony.
Implemented Ergo Sum Lightweight frame charge timings.
Appended a few notes in the home page.
Implemented Ergo Sum Caster frame charge timings.
Implemented Area Denial breech grenade launcher frame.
Implemented Wave Sword frame reserves data thanks to a user.
Appended data for Khvostov's The Right Choice intrinsic providing increased damage every 7 rounds</t>
  </si>
  <si>
    <t>Appended entry for Euphony assuming threadlings instantly detonate on the boss when spawned; a user has provided insight that large bosses (such as Oryx) can spawn threadling inside of them, which detonate instantly
&gt; DPS cycle for threadling that fall to the ground (for smaller bosses such as the Explicator or Warpriest) is still required</t>
  </si>
  <si>
    <t>Implemented recharge timings for Vortex frame Ergo Sum
Note: Elden Ring: Shadow of the Erdtree is close to release (on console), a momentary hiatus is expected</t>
  </si>
  <si>
    <t>Implemented a scripted function to calculate time to empty for fusion rifles; as a result time to empty for fusion rifles has been slightly revised
Implemented DPS cycle of falling threadlings for Euphony; unfortunately this required a scripted function. To review the function in question, please download a personal copy of this spreadsheet and go to Extensions &gt; Apps Script and find it under "Equations.gs"
Also, as a tangent:
Divine Beast: really cool boss but felt a bit unfair. Amazing sountrack for him too.
Rellana: still stuck on her since two days ago, she feels fair, but I keep missing my parries with my curved sword; I managed to get her down to 1 riposte from death, but of course you need to walk up to her to do the riposte, and thus I missed the riposte and now am stuck with her for the next god knows how many hours.</t>
  </si>
  <si>
    <t>Destiny 2 Update 8.0.0.8 (the BOOB update)
Still Hunt with Celestial Nighthawk damage reduced by 33% (Cayde's Retribution damage 224313 -&gt; 150273)
Still need to get more Ergo Sums, just haven't been playing too much Destiny 2 lately, been playing Elden Ring and now some Warframe. Will get back to the task soon enough. In the meanwhile, thanks for your continued use of this spreadsheet, it keeps me motivated to keep on maintaining it and allows me to brainstorm some ideas for the future.</t>
  </si>
  <si>
    <t>Momentary vacation occurred
Shame to hear yet another layoff from Bungie
Appended damage data for vortex frame Ergo Sum</t>
  </si>
  <si>
    <t>Update 8.0.5
Minor formatting change
Appended missing heavy burst pulse rifle frame
aggressive scout rifle damage increased by +30% (B: 1859 -&gt; 2423) (H: 2751 -&gt; 3587)
Dead Man's Tale (B: 2241 -&gt; 2788) (H: 3318 -&gt; 4127)
Dead Man's Tale (B: 2871 -&gt; 3541) (H: 4250 -&gt; 5242)
Heavy Burst pulse rifles RPM corrected (395 -&gt; 300)
increased glaive melee damage by +20% (5560 -&gt; 5560) (no observed change)</t>
  </si>
  <si>
    <t>Fixed minor formula error with Deterministic Chaos (thanks to a private message)</t>
  </si>
  <si>
    <t>Update 8.0.5.2
Appended pulse rifle heavy burst damage data
Graviton Lance fire rate fixed
Glaive melee damage buff implemented</t>
  </si>
  <si>
    <t>Update 8.0.5.3
Appended Choir of One data (this thing looks to be OP, maybe a little too OP... let me know if there are any errors I missed, because this thing looks too good for its slot)</t>
  </si>
  <si>
    <t>Updated home page game version
Fixed lightweight and precision sidearms using the wrong damage values (thanks to a private message)
Adjusted aggressive glaive projectile damage and rapid-fire machine gun damage values (thanks to a private message)
Appended entry for Choir of One before the projectile splits in hip-fire
Adjusted reserves damage calculation for uneven reserves
Updated reserves mods data</t>
  </si>
  <si>
    <t xml:space="preserve">Update 8.1.0 (use formula bar to expand and read all the notes)
Miscellaneous
Updated reserves for Euphony (thanks to a private message)
Changed reference weapon for rocket-assisted sidearm from Indebted Kindness to Aberrant Action
Appended missing splash damage for Quicksilver Storm rockets
Appended base Symmetry Revolution damage
Adjusted implementation of Symmetry
Adjusted implementation of Wicked Implement
Adjusted implementation of Cerberus +1 catalyst entries
Appended ranged conditions for Cerberus +1 catalyst
Adjusted implementation of Riskrunner with Arc Conductor
Fixed minor grammatical errors
Adjusted Final Warning Implementation
Numbers have shifted again, updated weapons to match current sandbox
Fixed Anarchy 1x traps using a slight error in damage
Changed implementation of bipod on rocket launchers
Adjusted implementation of Parasite and 20x Worm's Hunger average DPS
Removed extra entry for Adaptive rocket launchers
Appended data for the other rocket launcher frames and bipod and/or wolfpack rounds
Updated formatting on Winterbite
Removed extra supposed precision damage for Tractor Cannon (unobserved)
Updated The Prospector to account for rework
&gt; Old grenade: 3693+15175 + (795+573*5) ticks of burn
&gt; New grenades: 4608+15358 + (159+3971)*3 bomblets
Appended The Prospector entry to assume no bomblets hitting the boss to provide a perspective of a DPS minimum
Updated Huckleberry to account for Kinetic Tremors
Updated Malfeasance+Lucky Pants entry to reflect nerf
Updated Osteo Striga poison DoT
&gt; Poison: (851+945+1042+1139+1236+1333+1430+1527+1624+1721+1818+1915+2011+2108+2465+2855+3245+3635+4025) -&gt; (869+969+1066+1163+1250+1357+1454+1554+1651+1748+1845+1945+2042+2196+2598+2988+3378+3769+4158)
Appended Alethonym
Appended Icebreaker
update 8.1.0 notable changes
Auto Rifles, Scout Rifles, Pulse Rifles, Submachine Guns, Sidearms, Hand Cannons
&gt; precision damage slightly increased, body damage slightly decreased
AUTO RIFLES
&gt; rapid-fire: B 409 -&gt; 383, H 613 -&gt; 649
&gt; adaptive: B 457 -&gt; 426, H 713 -&gt; 746
&gt; support: B 570 -&gt; 530, H 799 -&gt; 743 (damage decreased?)
&gt; precision: B 579 -&gt; 550, H 902 -&gt; 965
&gt; high-impact: B 670 -&gt; 652, H 1071 -&gt; 1169
&gt; Sweet Business: B 528 -&gt; 513, H 674 -&gt; 789, explosion 792 -&gt; 737
&gt; Suros Regime (SU): B 457 -&gt; 426, H 674 -&gt; 698
&gt; Suros Regime (DSR): B 670 -&gt; 652, H 1071 -&gt; 1170
&gt; Tommey's Matchbok: (while burning) B 811 -&gt; 760, H 1216 -&gt; 1289
&gt; Quicksilver storm: rockets unchanged, grenade 453+20093 -&gt; 424+18695 (grenade damage unintentionally further reduced?)
&gt; Vex Mythoclast: B 1456 -&gt; 1523, H 2327 -&gt; 2732; linear B 10193 -&gt; 10655, linear H 30677 -&gt; 34158
&gt; Cerberus +1 (normal, close): B 356*4 -&gt; 346*4, H 2274 -&gt; 2484
&gt; Cerberus +1 (normal, far): B 427*4 -&gt; 416*4, H 683*4 -&gt; 746*4
SCOUT RIFLES
rapid-fire: B 964 -&gt; 897, H 1634 -&gt; 1750
lightweight: B 1102 -&gt; 1026, H 1933 -&gt; 2061
precision: B 1308 -&gt; 1234, H 2090 -&gt; 2213
high-impact: B 1377 -&gt; 1346, H 2416 -&gt; 2704
aggressive: B 1859 -&gt; 2256, H 2751 -&gt; 3825
Touch of Malice: Charged with Blight 8478+76+910*7 -&gt; 7891+71+847*7
Skyburner's Oath (hipfire): B 895+694 -&gt; 875+678, H 895+1733 -&gt; 875+2040
Skyburner's Oath (ADS): B 895+689 -&gt; 875+673, H 895+1721 -&gt; 875+2025
PULSE RIFLES
Rapid Fire: B 464 -&gt; 432, H 769 -&gt; 817
Lightweight: B 544 -&gt; 506, H 869 -&gt; 938
Legacy PR-55: (same as Lightweight)
Adaptive: B 640 -&gt; 655, H 1022 -&gt; 1084
High-Impact: B 704 -&gt; 655, H 1022 -&gt; 1174
Aggressive Burst: B 496 -&gt; 461, H 841 -&gt; 900
Heavy Burst: B 1001 -&gt; 780, H 1738 -&gt; 1446
Vigilance Wing: B 635 -&gt; 591, H 928 -&gt; 956
Outbreak Perfected: Nanites 1194 -&gt; 1116
Revision Zero (4-burst): (same as aggressive burst)
Revision Zero (2-burst): B 1108 -&gt; 958, H 1770 -&gt; 1775
Revision Zero (Hunter's Trace): B 8839 -&gt; 8223, H 26603 -&gt; 26685
No Time To Explain (Time-Slip Portal): 805 -&gt; 749
Graviton Lance: B (1433+1061)/2 -&gt; (894+1209)/2, H (1696+2289)/2 -&gt; (1655+2240)/2
SUBMACHINE GUNS
precision: B 689 -&gt; 663, H 966 -&gt; 1060
aggressive: B 568 -&gt; 540, H 851 -&gt; 948
adaptive: B 456 -&gt; 457, H 684 -&gt; 757
lightweight: B 440 -&gt; 421, H 729 -&gt; 796
Osteo Striga: B 763 -&gt; 735, H 1070 -&gt; 1174
SIDEARMS
Adaptive Burst: B 821 -&gt; 764, H 1312 -&gt; 1415
Rapid-Fire: B 1026 -&gt; 955, H 1439 -&gt; 1526
Heavy Burst: B 1232 -&gt; 1146, H 1727 -&gt; 1831
Precision: B 1642 -&gt; 1527, H 2302 -&gt; 2441
Adaptive: B 1478 -&gt; 1375, H 2072 -&gt; 2197
Lightweight: B 1272 -&gt; 1184, H 1784 -&gt; 1892
Final Warning (base): B 2067 -&gt; 1923, H 2898 -&gt; 3073
Final Warning (base, burst, hip-fire): B 2480 -&gt; 2308, H 2894 -&gt; 2692
Final Warning (base, burst, ADS): B 2067 -&gt; 1923, H 5795 -&gt; 6145
Devil's Ruin (laser): B 1815 -&gt; 1689, H 2545 -&gt; 2698
HAND CANNONS
aggressive: B 1721 -&gt; 1606, H 2750 -&gt; 2975
precision: B 1463 -&gt; 1528, H 2195 -&gt; 2382
heavy burst: B 861 -&gt; 810, H 1544 -&gt; 1627
lightweight: (same as adaptive)
adaptive: B 1618 -&gt; 1501, H 2522 -&gt; 2693
Crimson: B 655 -&gt; 608, H 1046 -&gt; 1125
The Last Word: B 1390 -&gt; 1452, H 2983 -&gt; 4910 (ADS H 1921 -&gt; 2605)
Sunshot: B 940+723 -&gt; 921+709, H 940+1595 -&gt; 921+1910
Thorn (burn): 276 -&gt; 270
Thorn (Soul Devourer burn): 827 -&gt; 810
Pulse Rifles
&gt; heavy burst RPM increased (300 -&gt; 324)
&gt; heavy burst damage decreased
Rocket-Assisted Sidearm
&gt; decreased reserves
 - x0: 57 -&gt; 39
 - x1: 62 -&gt; 43
 - x2: 66 -&gt; 46
 - x3: 69 -&gt; 48
&gt; Buried Bloodline
 - x0: 70 -&gt; 52
 - x1: 75 -&gt; 56
 - x2: 80 -&gt; 60
 - x3: 82 -&gt; 62
High Impact Machine Guns
&gt; increased precision damage
Heavy Grenade Launcher
&gt; blast and impact damage redistributed
&gt; increased damage for rapid-fire grenade launchers
EXOTICS
Choir of One
&gt; reserves decreased 
 - x0: 250 -&gt; 200
 - x1: 303 -&gt; 241
 - x2: 355 -&gt; 280
 - x3: 382 -&gt; 300
&gt; decreased point-blank projectile damage (3248+15356 -&gt; 1581+14288)
&gt; (undocumented) slightly decreased split projectile damage (296+3072 -&gt; 275+2858)
&gt; redistributed damage between body and precision in ADS (B: 4018 -&gt; 3910, P: 6421 -&gt; 7015)
Duality
&gt; reduced max stacks
Ex Diris
&gt; increased damage
&gt; increased reserves
 - x0: 34 -&gt; 39
 - x1: 39 -&gt; 40
 - x2: 35 -&gt; 40
 - x3: 35 -&gt; 40
Fighting Lion
&gt; now applies volatile on direct hits
Prospector
&gt; now spawns three cluster bombs on detonation
&gt; magazine size decreased 8 -&gt; 6
&gt; no longer has sticky grenades, flame grenades, remote detonation
&gt; catalyst no longer provides inventory stat, instead provides reload speed stat
 - x0: 38 -&gt; 32
 - x1: 38 -&gt; 34
 - x2: 38 -&gt; 36
 - x3: 38 -&gt; 37
Chaperone
&gt; now able to trigger roadborn with two rapid precision hits
&gt; now has an additional +20 base inventory stat
PERKS
Slideways can now be refreshed after the initial slide
Auto-Loading Holster time between reloads increased by one second
Reconstruction time to start loading increased by two seconds
Sticky grenades shifted to focus on splash damaged
WEAPON FIXES
Sniper Rifles, Glaives, Trace Rifles, and Leviathan's Breath bonus reserves from previous tuning fixed
&gt; rapid-fire snipers
 - x0: 23 -&gt; 32
 - x1: 29 -&gt; 35
 - x2: 35 -&gt; 38
 - x3: 38 -&gt; 39
&gt; adaptive snipers
 - x0: 19 -&gt; 26
 - x1: 24 -&gt; 28
 - x2: 29 -&gt; 30
 - x3: 31 -&gt; 31
&gt; aggressive snipers
 - x0: 19 -&gt; 22
 - x1: 21 -&gt; 24
 - x2: 25 -&gt; 26
 - x3: 27 -&gt; 27
&gt; Cloudstrike
 - x0: 31 -&gt; 36
 - x1: 38 -&gt; 39
 - x2: 41 -&gt; 41
 - x3: 41 -&gt; 41
&gt; Izanagi's Burden
 - x0: 19 -&gt; 23
 - x1: 23 -&gt; 25
 - x2: 27 -&gt; 27
 - x3: 27 -&gt; 27
&gt; Still Hunt
 - x0: 21 -&gt; 24
 - x1: 25 -&gt; 26
 - x2: 27 -&gt; 27
 - x3: 27 -&gt; 27
&gt; Borealis
 - x0: 18 -&gt; 23
 - x1: 22 -&gt; 25
 - x2: 26 -&gt; 26
 - x3: 27 -&gt; 27
&gt; adaptive trace rifles
 - x0: 492 -&gt; 517
 - x1: 544 -&gt; 568
 - x2: 596 -&gt; 619
 - x3: 622 -&gt; 645
&gt; Ruinous Effigy
 - x0: 438 -&gt; 489
 - x1: 485 -&gt; 538
 - x2: 532 -&gt; 587
 - x3: 555 -&gt; 611
&gt; Divinity
 - x0: 447 -&gt; 499
 - x1: 494 -&gt; 548
 - x2: 541 -&gt; 596
 - x3: 564 -&gt; 621
&gt; Coldheart
 - x0: 505 -&gt; 562
 - x1: 556 -&gt; 615
 - x2: 606 -&gt; 667
 - x3: 606 -&gt; 667
&gt; Prometheus Lens
 - x0: 600 -&gt; 660
 - x1: 600 -&gt; 660
 - x2: 600 -&gt; 660
 - x3: 600 -&gt; 660
&gt; The Navigator (thanks to stella via forms)
 - x0: 485 -&gt; 540
 - x1: 534 -&gt; 590
 - x2: 582 -&gt; 641
 - x3: 582 -&gt; 641
&gt; Wavesplitter
 - x0: 475 -&gt; 530
 - x1: 525 -&gt; 582
 - x2: 575 -&gt; 634
 - x3: 600 -&gt; 660
&gt; Ager's Scepter
 - x0: 447 -&gt; 499
 - x1: 495 -&gt; 550
 - x2: 544 -&gt; 600
 - x3: 568 -&gt; 626
Outside of Patch Notes (potentially undocumented or slight shifts as a result of balance changes)
PRIMARIES
BOWS
lightweight bows: B 3634 -&gt; 3654, H 5806 -&gt; 5839
precision bows: B 3988 -&gt; 4130, H 5982 -&gt; 5951
Hierarchy of Needs: B 3855 -&gt; 3891, H 6161 -&gt; 6217, missiles unchanged
Ticuu's Divination (Sacred Flame): B 5787+3360 -&gt; 3654+3971, H 6720+9248 -&gt; 5839+7942, proccing arrows 263 -&gt; 333
Trinity Ghoul: B 1356*3 -&gt; 1404*3, H 2033*3 -&gt; 2023*3
Le Monarque: B 3390 -&gt; 3510, H 5417 -&gt; 5609, poison unchanged
Wish-Keeper: traps unchanged
Wish-Ender: B 2892+4966*2 -&gt; 2918+4700*2, H 5188+4966*2 -&gt; 5236+4700*2
PRIMARY BREECH GRENADE LAUNCHER
Fighting Lion: damage unchanged
SPECIALS
Sniper rifles unchanged
Trace rifles unchanged
Fusion Rifles
rapid-fire: B 2304*9 -&gt; 2409*9
adaptive: B 3252*7 -&gt; 3279*7
aggressive: B 3601*7 -&gt; 3642*7
precision: B 3373*7 -&gt; 3400*7
high-impact: B 5718*5 -&gt; 5709*5
Merciless:
Burst 1: 
(5804+5758+5712+5665+5619) -&gt; (5795+5757+5719+5681+5642)
Burst 2: 
(5574+5528+5482+5435+5389) -&gt; (5604+5565+5527+5488+5450)
Burst 3: 
(5343+5297+5250+5204+5158) -&gt; (5411+5373+5334+5296+5257)
Burst 4+: 
5112*5 -&gt; 5219*5
Jotunn: B 16888+4819 -&gt; 17022+4819, burn unchanged
Tesselation: 3189*7 -&gt; 3215*7
Delicate Tomb (hip-fire): B 1439*16 -&gt; 1445*16
Delicate Tomb (ADS): B 1199*2*8 -&gt; 1205*2*8
Telesto: B (89+3526)*7 -&gt; (113+3525)*7
Bastion: B 1711*7*3 -&gt; 1826*7*3
SHOTGUNS
rapid-fire: B 1124*12 -&gt; 1218*12, H 14949 -&gt; 16187
lightweight: B 1499*12 -&gt; 1510*12, H 19933 -&gt; 20074
precision: B 1560*12 -&gt; 1579*12, H 20746 -&gt; 20993
pinpoint slug: B 11910 -&gt; 11927, H 20900 -&gt; 20931
aggressive: B 1820*12 -&gt; 1834*12, H 24196 -&gt; 24377
The Fourth Horseman: B 1240*12 -&gt; 1380*12, H 16493 -&gt; 18340
Conditional Finality: B 1656*12 -&gt; 1669*12, H 22019 -&gt; 22183, ignition 19867 -&gt; 7947
The Chaperone: (same as pinpoint precision)
Lord of Wolves (base): B 2208 -&gt; 2208, H 3059 -&gt; 3657 
Duality (pellet): (same as precision)
Duality (slug): B 12791 -&gt; 16423, H 28481 -&gt; 28820
BREECH GRENADE LAUNCHERS
No oberved changes
GLAIVES
rapid-fire: B 10744 -&gt; 10635
melee: unchanged
adaptive: B 13559 -&gt; 13506
aggressive: unchanged
vexcalibur: B 2931*5 -&gt; 2901*5
LINEAR FUSION RIFLES
no changes observed
Eriana's Vow: B 8776 -&gt; 8601, H 14024 -&gt; 13744
SIDEARMS
rocket-assisted: B 1777+8207 -&gt; 1653+7635, H 2143+8207 -&gt; 1994+7635
Buried Bloodline: B 4340*2 -&gt; 4038*2, H 5233*2 -&gt; 4869*2
Forerunner: B 1614 -&gt; 1600, H 8405 -&gt; 8336
HEAVY
MACHINE GUNS
rapid-fire: unchanged 
aggressive: B 1716 -&gt; 1735, H 2238 -&gt; 2262
adaptive: B 1961 -&gt; 2000, H 2750 -&gt; 2803
high-impact: B 2270 -&gt; 2289, H 3183 -&gt; 3298
Heir Apparent: B 1544 -&gt; 1301, H 1862 -&gt; 1569
Thunderlord (lightning strikes): 4832 -&gt; 4072
Xenophage: B 3859+15963 -&gt; 4644+15963
Grand Overture: B 13241 -&gt; 15842, rockets 2478+9458 -&gt; 2478+11316
GRENADE LAUNCHERS
rapid-fire: B 5279+13679 -&gt; 5353+14683
adaptive: B 5279+18346 -&gt; 6085+17472
compressed-wave: unchanged
The prospector
Anarchy: impact 493 -&gt; 620, trap damage unchanged
The Colony: B 1188+16678 -&gt; 1349+16678
Parasite: B 12678+45977 -&gt; 15942+43779
Salvation's Grip: B 5060+18556 -&gt; 5865+17671, crystal damage unchanged, frozen damage 24143 -&gt; 24297
ROCKET LAUNCHERS
unchanged
LINEAR FUSION RIFLES
unchanged
GLAIVES
unchanged
SWORDS
unchanged
SNIPER RIFLES
unchanged
SHOTGUNS
Tractor Cannon: B 7021*2 -&gt; 7314*2
Legend of Acrius: B 2483*15 -&gt; 2502*15, H 38511 -&gt; 41579
FUSION RIFLES
unchanged
BOWS
Leviathan's Breath: B 15987+33852 -&gt; 15629+33852, H 25548+33852 -&gt; 24976+33852
</t>
  </si>
  <si>
    <t>Forgot to update Ex Diris: 7867+9375 (circa 6/6/2024) -&gt; 7867+9375 (no change, possible bug), now spawns a moth every 2 hits for 13237
Appended preliminary implementation for upcoming Heavy Burst frame shotgun
Minor adjustment to Duality's reload speed to account for Alloy Magazine
Appended additional information on Duality's reload speed</t>
  </si>
  <si>
    <t>Fixed Chaperone with Roadborn using body damage instead of precision damage for total damage (thanks to an anonymous form submission)</t>
  </si>
  <si>
    <t>Update 8.1.0.2
Heavy Burst Hand Cannons
&gt; "Fixed issue where they were dealing slightly reduced precision damage"
&gt; B 810 -&gt; 810, H 1627 -&gt; 1781
Implemented Ice Breaker body damage</t>
  </si>
  <si>
    <t>Implemented data for the new Heavy Burst shotguns</t>
  </si>
  <si>
    <t>Updated Leviathan's Breath reserves data
(no catalyst)
0x 10 -&gt; 12
1x 12 -&gt; 14
2x 12 -&gt; 14
3x 12 -&gt; 14
(catalyst)
0x 15 -&gt; 16
1x 15 -&gt; 18
2x 15 -&gt; 18
3x 15 -&gt; 18</t>
  </si>
  <si>
    <t>UPDATE 8.1.5 (Revenant Act II)
Precision bows increased body damage by 10%
Precision
&gt; B: 4130 -&gt; 4589, H: 5951 -&gt; 5983
Leviathan's Breath
&gt; No change
Increased aggressive hand cannon damage by 3%
Aggressives
&gt; B: 1606 -&gt; 1653, H: 2975 -&gt; 3063
Increased detonation damage of Telesto by 20%
&gt; bolts: (113+3525)*7 -&gt; (113+4230)*7
ADDITIONAL
Fixed minor digit error with Leviathan's Breath precision arrow damage</t>
  </si>
  <si>
    <t xml:space="preserve">Update 8.1.5.3
Use formula bar to expand notes
Will Implement new Slayer's Fang later
Sidearms
Heavy Burst
H 1831 -&gt; 2013
B 1146 -&gt; 1260
Submachine Guns
magazine sizes increased
Precision         33 -&gt; 30
Aggressive        32 -&gt; 30
Adaptive        39 -&gt; 41
Lightweight        39 -&gt; 40
Riskrunner        36 -&gt; 47
The Manticore        37 -&gt; 45
Huckleberry        31 -&gt; 42
Tarrabah        31 -&gt; 35
Osteo Striga        32 -&gt; 29
Pulse Rifles
High-Impact
H 1174 -&gt; 1147
B 655 -&gt; 640
Lightweights
H 938 -&gt; 946
B 506 -&gt; 607
Graviton Lance
RPM 324 -&gt; 300
Vigilance Wing (undocumented)
H 956 -&gt; 966
B 591 -&gt; 597
Scout Rifles
Lightweights
H 2061 -&gt; 2065
B 1026 -&gt; 1218
Auto Rifles
Rapid-Fire
H 649 -&gt; 654
B 383 -&gt; 386
</t>
  </si>
  <si>
    <t>Implemented Slayer's Fang</t>
  </si>
  <si>
    <t xml:space="preserve">Update 8.2.0
Use formula bar to expand notes
Aggressive frame fusion rifle reworked
3624*7 -&gt; 2000*12
Glaive melee damage
final hit of combo deals double damage
now: 6671 -&gt; 6671 -&gt; 11913 (not exactly double damage?)
Rocket Sidearms damage reduced
B: 1653+7635 -&gt; 3981+3512
H: 1994+7635 -&gt; 4800+3512
Buried Bloodline unaffected; precision damage increased
B: 4038*2 -&gt; 3737*2
H: 4869*2 -&gt; 4506*2
Linear Fusion Rifles damage increased
Arbalest/Lorentz
B: 6572 -&gt; 7246
H: 22614 -&gt; 24933
Euphony (I do not have access to Euphony yet)
B: 3059 -&gt; ???
H: 10524 -&gt; ???
Precision
B: 7732 -&gt; 8525
H: 26605 -&gt; 29333
Adaptive Burst
B: 3671*3 -&gt; 4047*3
H: 12630*3 -&gt; 13926*3
Sleeper
B: 38905 -&gt; 42896
H: 53781 -&gt; 59297
(refractive beams)
B: 487 -&gt; 487
Queenbreaker reworked
now fires a single bolt with marksman sights
B: 11112 -&gt; 12251
H: 38236 -&gt; 42156
now fires a burst with combat sights
B: 8025 -&gt; 5332*3
H: 27614 -&gt; 18346*3
Power Grenade Launchers damage reduced
Rapid                5353+14683 -&gt; 4817+13214
Adaptive        6085+17472 -&gt; 5477+15725
Compressed Wave        23825 -&gt; 21443
The Prospector        4608+15358 -&gt; 4147+13822
(Bomblets)        159+3971 -&gt; 143+3574
Anarchy                620 -&gt; 558
(1x Stick)        3218 -&gt; 2815 
(2x Stick)        6258 -&gt; 5630
Parasite        15942+43779 -&gt; 15942+43779 (unchanged)
Salvation's         5865+17671 -&gt; 5279+15904 
(Frozen imp)        24297 -&gt; 7255+ 21867 21867 20960 21025 21867
(Crystals avg)        4772 -&gt; 4682 (measured average, likely unaffected in patch)
(Nat. Shatter)        31787 -&gt; 28597
The Colony detonation damage increased
The Colony        1349+16678 -&gt; 1214+21014
Quicksilver Storm required less shots to fire rockets
Shots until rocket: 14 -&gt; 11
Rapid Fire reserves reduced
0x: 33 -&gt; 31
1x: 35 -&gt; 33
2x: 37 -&gt; 35
3x: 38 -&gt; 35
Centrifuse magazine size increased
magazine 38 -&gt; 45
Fourth Horseman fire rate slightly reduced
RPM 360 -&gt; 300
DARCI reworked
Catalyst now provides a precision damage bonus with successive hits
Lord of Wolves reworked
Catalyst no longer provides release the wolves, now it is tied to hip-fire
hip-fire (Release the Wolves)
B: 3901 -&gt; 5107
H: 5120 -&gt; 8462
ADS
B: 2207 -&gt; 2560
H: 3657 -&gt; 4844
(HOLY moly this thing is probably too spicy right now)
Wardcliff Coil
Appended Bolt Charge to nearby allies after every other rocket
Appended new Lodestar exotic weapon
Appended stub for Barrow-Dyad
Appended stub for Finality's Augur
OTHER
Minor reformatting of spreadsheet, new page appended: "Weapon Specifics," for weapon-specific damage values, specifically to reduce use of magic numbers and make documentation easier, for numbers that are less prone to being static.
</t>
  </si>
  <si>
    <t>Appended missing jolt damage in a few of the new D.A.R.C.I. formulae
Updated Euphony
B: 3059*3 -&gt; 3247*3
H: 10524*3 -&gt; 11172*3
Implemented basic data for Finality's Auger (thanks to an reddit private message)</t>
  </si>
  <si>
    <t>Implemented missing Finality's Auger reserves data</t>
  </si>
  <si>
    <t>Implemented Barrow Dyad damage data</t>
  </si>
  <si>
    <t>Implemented Barrow Dyad reload time</t>
  </si>
  <si>
    <t>UPDATE 8.2.5
Lightwieght Pulse Rifles
B 607 -&gt; 587
H 946 -&gt; 937</t>
  </si>
  <si>
    <r>
      <rPr>
        <rFont val="Consolas"/>
      </rPr>
      <t xml:space="preserve">UPDATE 8.2.6
</t>
    </r>
    <r>
      <rPr>
        <rFont val="Consolas"/>
        <color rgb="FF1155CC"/>
        <u/>
      </rPr>
      <t>https://www.bungie.net/7/en/News/Article/destiny_update_8_2_6</t>
    </r>
    <r>
      <rPr>
        <rFont val="Consolas"/>
      </rPr>
      <t xml:space="preserve">
Use formula bar or double-click this cell to expand notes
(FINALLY it is that we get proper testing ground in the next upcoming release. Rejoice!)
I will now use "P" in place of "H" to indicate "Precision" (before it was "Head").
Appended New Land Beyond
# Auto Rifles
High Impact
B: 652 -&gt; 680
P: 1169 -&gt; 1220
Precision
B: 550 -&gt; 567
P: 965 -&gt; 961
Cerberus +1
Close Range
B: 346*4 -&gt; 361*4
P: 2484 -&gt; 2590
Far Range
B: 416*4 -&gt; 434*4
P: 746*4 -&gt; 750*4
Suros Regime (Dual Speed Receiver ADS)
B: 652 -&gt; 680
P: 1170 -&gt; 1220
Vex Mythoclast
Base Weapon
B: 1523 -&gt; 1589
P: 2327 -&gt; 2850
Linear Fusion mode
B: 10655 -&gt; 11119
P: 34158 -&gt; 35644
# Pulse Rifles
Rapid-Fire
B: 432 -&gt; 447
P: 817 -&gt; 827
# Shotguns
Heavy Burst
B: 6560 -&gt; 6560
P: 11511 -&gt; 11511
(No change observed)
Lord of Wolves
ADS
B: 2560 -&gt; 2649
P: 4844 -&gt; 4909
Hip-Fire
B: 5107 -&gt; 3700
P: 8462 -&gt; 5912
# New
New Land Beyond
Damage
B: 10456
P: 28805
Reserves
0x: 45
1x: 48
2x: 52
3x: 53</t>
    </r>
  </si>
  <si>
    <t>Appended entry for New Land Beyond with a Rally Barricade and without. New Land Beyond bolt cycle animation is affected by Rally Barricade and possibly other reload speed buffs.</t>
  </si>
  <si>
    <t xml:space="preserve">Redid the homepage in light of the Destiny2.science website to make it look a little more modern and polished, and also to just in general make it more readable </t>
  </si>
  <si>
    <t>Fixed New Land Beyond using wrong time to empty calculation for rally barricade</t>
  </si>
  <si>
    <t>Fixed Queenbreaker Combat Sights using the wrong parameters in the time to empty (as per forms submission)
Fixed Still Hunt using the same time to empty for both with and without Celestial Nighthawk (as per forms submission)</t>
  </si>
  <si>
    <t>Appended note to home page definitions section</t>
  </si>
  <si>
    <t>Okay... now where do I start...
Added a TODO page to track what needs to be done
Retested auto rifles
Will test the other weapons later (holy moly there's a lot, I would do a change log but there's too much to log)
Something to note: all value will be with &lt;100 weapon stat (no bonus boss damage) and without the "new weapon" damage bonus</t>
  </si>
  <si>
    <t>Retested SMGs
Retested Scout Rifles
Retested Pulse Rifles
Retested Hand Cannons
Need to retest... a lot more
Note: the counter for damage is doing 30% less than the numbers on screen (it's a good question as to which one's wrong and how it will get fixed)
Finished general retesting of the Primaries
Revised Alethonym DPS calculations</t>
  </si>
  <si>
    <t>Tweaked Devil's Ruin laser
Tweaked Dead Man's Tale
Appended additional entries for Dead Man's Tale based on reloading the entire magazine or doing single reloads</t>
  </si>
  <si>
    <t>Retested Osteo Striga poison damage
Appended data for ricochet rounds on Khvostov
Appended most of Graviton Spike
Appended most of Third Iteration
Completed Graviton Spike implementation
Completed Third Iteration implementation
Appended Fighting Lion without Volatile
Retested Sniper Rifles
Retested Trace Rifles 
Retested Fusion Rifles
Retested Shotguns
Appended Lord of Wolves with catalyst
Retested Grenade Launchers
Finished retesting the specials (I will worry about Ergo Sum when I get to the sword at a later date)</t>
  </si>
  <si>
    <t>Appended High-Impact Longbow</t>
  </si>
  <si>
    <t>Appended exotic heavy weapon data thanks to some help (much appreciates)
Adjusted Thunderlord; (secret?) tweak now allows it to refill more ammo than it spends making lightning strikes
Modified One Thousand Voices Theoretical Total Damage Caluclation
Fixed Eyes of Tomorrow using the wrong value for its rocket damage</t>
  </si>
  <si>
    <t>Appended Spread Shot hand cannon</t>
  </si>
  <si>
    <t>Fixed Dead Man's Tale using outdated catalyst data</t>
  </si>
  <si>
    <r>
      <rPr>
        <rFont val="Consolas"/>
        <color theme="1"/>
      </rPr>
      <t xml:space="preserve">Fixed new weapon normalization using the wrong value
</t>
    </r>
    <r>
      <rPr>
        <rFont val="Consolas"/>
        <strike/>
        <color theme="1"/>
      </rPr>
      <t xml:space="preserve">Appended Whisper of the Worm without Field Prep reserves data
</t>
    </r>
    <r>
      <rPr>
        <rFont val="Consolas"/>
        <color theme="1"/>
      </rPr>
      <t>Removed now-redundant entry on Whisper of the Worm with Field Prep as it no longer grants additional reserves
Appended Euphony reserves data
Fixed up home page</t>
    </r>
  </si>
  <si>
    <t>Housekeeping</t>
  </si>
  <si>
    <t>Vex Mythoclast fire rate fixed
Reworking Salvation's Edge (still in progress)</t>
  </si>
  <si>
    <t>Reworked Salvation's Edge a bit</t>
  </si>
  <si>
    <t>Appended rocket-assisted pulse rifle
Re-tested swords damage (still need timing data for wave and some ergo sum rolls)</t>
  </si>
  <si>
    <t>Fixed minor spelling error</t>
  </si>
  <si>
    <t>Appended Wave Sword Frame Data (still need to get a 30 charge rate sword to test)
Appended Aggressive Ergo Sum recharge data
Updated Heartshadow to use 3 ammo per heavy instead of 4</t>
  </si>
  <si>
    <t>Appended rapid-fire slug shotgun
Fixed some shotguns using the wrong values in theoretical total damage</t>
  </si>
  <si>
    <t>I haven't given up on this spreadsheet yet, dammit; but I must warn that I have been incredibly busy and am unable to update at this time, expect some updates to the values come sometime early Renegades</t>
  </si>
  <si>
    <t>Created a TODO list, there's quite a few things to update, I apologize for the delay
Retested the (existing) legendaries
Mostly everything is consistent since the last update of this spreadsheet, some numbers are off by a tiny bit because back then the testing range was not a portal activity</t>
  </si>
  <si>
    <t>Sorted the Weapon Specifics page by weapon name (but now all the weapons that rely on that page point to the wrong value and it's too late to go back now, I need to repoint things)
Deprecated the weapons change log, use TODO page instead
Retested some weapons</t>
  </si>
  <si>
    <t>Retested some weapons</t>
  </si>
  <si>
    <t>Updated the title page goal version number; while the game is in a limbo, it's probably the best time to make sure everything is up to date. This will also build into a project I want to make out of this spreadsheet.
Updated the history date formate to YYYY-MM-DD (ISO 8601 is best and every other date format is wrong; Sheets has no way of setting default format, so this is now a canadian-english spreadsheet)
Retested legendary primary ammo weapons (no change)</t>
  </si>
  <si>
    <t>Retested legendary special ammo weapons (no change)</t>
  </si>
  <si>
    <t>Retested legendary heavy ammo weapons (no change)</t>
  </si>
  <si>
    <t>Class</t>
  </si>
  <si>
    <t>Super</t>
  </si>
  <si>
    <t>Modifiers</t>
  </si>
  <si>
    <t>Total Damage</t>
  </si>
  <si>
    <t>Burst DPS</t>
  </si>
  <si>
    <t>Damage Per Light Attack</t>
  </si>
  <si>
    <t>Drain Per Light Attack</t>
  </si>
  <si>
    <t>Light Attack Time</t>
  </si>
  <si>
    <t>Damage Per Heavy Attack</t>
  </si>
  <si>
    <t>Drain Per Heavy Attack</t>
  </si>
  <si>
    <t>Heavy Attack Time</t>
  </si>
  <si>
    <t>Base Duration</t>
  </si>
  <si>
    <t>Natural Drain Per Second</t>
  </si>
  <si>
    <t>Titan</t>
  </si>
  <si>
    <t>Thundercrash</t>
  </si>
  <si>
    <t>&lt;-</t>
  </si>
  <si>
    <t>Cuirass of the Falling Star</t>
  </si>
  <si>
    <t>Fists of Havoc</t>
  </si>
  <si>
    <t>Ward of Dawn</t>
  </si>
  <si>
    <t>Sentinel Shield</t>
  </si>
  <si>
    <t>3 allies behind Banner Shield</t>
  </si>
  <si>
    <t>Burning Maul</t>
  </si>
  <si>
    <t>Heavy spam</t>
  </si>
  <si>
    <t>Mix; light &gt; heavy &gt; repeat</t>
  </si>
  <si>
    <t>Hammer of Sol</t>
  </si>
  <si>
    <t>Sol Invictus</t>
  </si>
  <si>
    <t>Glacial Quake</t>
  </si>
  <si>
    <t>Bladefury</t>
  </si>
  <si>
    <t>Hunter</t>
  </si>
  <si>
    <t>STAR-EATER SCALES: +27.3% at 1x, +54.6% at 2x, +62.3% at 3x, +70% at 4x</t>
  </si>
  <si>
    <t>Arc Staff</t>
  </si>
  <si>
    <t>light spam</t>
  </si>
  <si>
    <t>heavy spam</t>
  </si>
  <si>
    <t>mix; light &gt; light &gt; heavy combo</t>
  </si>
  <si>
    <t>Gathering Storm</t>
  </si>
  <si>
    <t>Does not consider jolt</t>
  </si>
  <si>
    <t>Considers maximum jolt procs</t>
  </si>
  <si>
    <t>Golden Gun - Deadshot</t>
  </si>
  <si>
    <t>Celestial Nighthawk</t>
  </si>
  <si>
    <t>Golden Gun - Marksman</t>
  </si>
  <si>
    <t>Blade Barrage</t>
  </si>
  <si>
    <t>14 knives total</t>
  </si>
  <si>
    <t>Knock 'em Down</t>
  </si>
  <si>
    <t>20 knives total</t>
  </si>
  <si>
    <t>Shadow Shot - Deadfall</t>
  </si>
  <si>
    <t>Shadow Shot - Moebius Quiver</t>
  </si>
  <si>
    <t>Fires up to two volleys</t>
  </si>
  <si>
    <t>Orpheus Rig</t>
  </si>
  <si>
    <t>Fires up to three volleys</t>
  </si>
  <si>
    <t>Spectral Blades</t>
  </si>
  <si>
    <t>Considers weaken; light spam</t>
  </si>
  <si>
    <t>Considers weaken; heavy spam</t>
  </si>
  <si>
    <t>Considers weaken; light &gt; heavy &gt; repeat</t>
  </si>
  <si>
    <t>Silence and Squall</t>
  </si>
  <si>
    <t>Silkstrike</t>
  </si>
  <si>
    <t>Warlock</t>
  </si>
  <si>
    <t>Stormcaller</t>
  </si>
  <si>
    <t>Maximum ramp damage after 3 seconds</t>
  </si>
  <si>
    <t>Chaos Reach</t>
  </si>
  <si>
    <t>Geomag Stabilizers</t>
  </si>
  <si>
    <t>Daybreak</t>
  </si>
  <si>
    <t>Well of Radiance</t>
  </si>
  <si>
    <t>Nova Bomb: Vortex</t>
  </si>
  <si>
    <t>Nova Bomb: Cataclysm</t>
  </si>
  <si>
    <t>Nova Warp</t>
  </si>
  <si>
    <t>Considers volatile</t>
  </si>
  <si>
    <t>Winter's Wrath</t>
  </si>
  <si>
    <t>Needlestorm</t>
  </si>
  <si>
    <r>
      <rPr>
        <color rgb="FFFFFFFF"/>
      </rPr>
      <t xml:space="preserve">!!! IMPORTANT: ALL WEAPONS DO NOT ASSUME KINETIC DAMAGE BUFF UNLESS THEY ARE A KINETIC EXOTIC !!!
Want to contribute or have concerns? Tell me: </t>
    </r>
    <r>
      <rPr>
        <color rgb="FFC9DAF8"/>
        <u/>
      </rPr>
      <t>Google Forms</t>
    </r>
    <r>
      <rPr>
        <color rgb="FFFFFFFF"/>
      </rPr>
      <t xml:space="preserve"> or u/XboxUser123 on Reddit</t>
    </r>
  </si>
  <si>
    <t>Weapon_1 -&gt; Weapon_2</t>
  </si>
  <si>
    <t>1-Mag Burst DPS or "True DPS"</t>
  </si>
  <si>
    <t>Body Shot Damage</t>
  </si>
  <si>
    <t>Shotgun -&gt; Rapid-Fire Auto Rifle</t>
  </si>
  <si>
    <t>Shotgun -&gt; Adaptive Auto Rifle</t>
  </si>
  <si>
    <t>Vexcalibur -&gt; Precision Auto Rifle</t>
  </si>
  <si>
    <t>Shotgun -&gt; Lightweight SMG</t>
  </si>
  <si>
    <t>Pellet shotgun -&gt; Pinpoint Slug Shotgun</t>
  </si>
  <si>
    <t>Pellet shotgun -&gt; Rapid-Fire Sniper</t>
  </si>
  <si>
    <t>Pellet shotgun -&gt; Precision Linear Fusion</t>
  </si>
  <si>
    <t>Pellet shotgun -&gt; Aggressive Linear Fusion</t>
  </si>
  <si>
    <t>Pellet shotgun -&gt; Rapid-Fire Grenade Launcher</t>
  </si>
  <si>
    <t>Pellet shotgun -&gt; Adaptive Grenade Launcher</t>
  </si>
  <si>
    <t>Pellet shotgun -&gt; Special Grenade Launcher</t>
  </si>
  <si>
    <t>-&gt;</t>
  </si>
  <si>
    <t>Assumes bouncing with Mulligan</t>
  </si>
  <si>
    <t>RIP crafting bug | 9/17/2023</t>
  </si>
  <si>
    <t>EXPERIMENTAL</t>
  </si>
  <si>
    <t>This portion of the spreadsheet to assist predicting how weapon DPS will behave if you applied certain perks.</t>
  </si>
  <si>
    <t>Variables:
m - magazine
R - reload speed
F - fire rate</t>
  </si>
  <si>
    <t>Default DPS Calculation:
1-mag burst or "True DPS" = damage * m/ (m * 1/F * 60) = damage * F
Sustained DPS = damage * m / (m * 1/F * 60 + R)</t>
  </si>
  <si>
    <t>Perk</t>
  </si>
  <si>
    <t>New magazine size = floor(m/3) + mod(m, 3) + m</t>
  </si>
  <si>
    <t>where m0 is the initial magazine size and m1 is the new magazine size,
increase sustained DPS by m1/m0 * (m0+RF)/(m1+RF)</t>
  </si>
  <si>
    <t>New magazine size = floor(m/4) * 4 + m</t>
  </si>
  <si>
    <t>Focused Fury</t>
  </si>
  <si>
    <t>Effective DPS increase = (ceil(m/2) * -0.2 + m * 1.2) / m</t>
  </si>
  <si>
    <t>Firing Line</t>
  </si>
  <si>
    <t>Increase either DPS by +20% or 1.2x</t>
  </si>
  <si>
    <t>Increase 1-mag burst or "True DPS" by 5/3, or 1.667x, or by +66.7%.
Increase sustained DPS by (1+ RF/m) / (3/5+ RF/m)</t>
  </si>
  <si>
    <t>!!! IMPORTANT: ALL WEAPONS DO NOT ASSUME KINETIC DAMAGE BUFF UNLESS THEY ARE A KINETIC EXOTIC !!!</t>
  </si>
  <si>
    <r>
      <rPr>
        <rFont val="Arial"/>
        <color theme="1"/>
      </rPr>
      <t xml:space="preserve">Assume the following
- Under the effects of a Rally Barricade or Lunafactions
- All reloads using the same animation have the same timing, unless it is very niche situations (see: Dead Man's Tale vs long Arm).
- All swords and glaives have the same swing speed, with the exception of the now-ancient lightweight and aggressive frames.
- Linear fusion rifles have a delay between shots and charging. If a new archetype ever comes out, keep this in mind.
- Fusion rifles have a delay between shots and charging. If a new archetype ever comes out, keep this in mind.
- Linear fusions actually are capable of beginning charging </t>
    </r>
    <r>
      <rPr>
        <rFont val="Arial"/>
        <i/>
        <color theme="1"/>
      </rPr>
      <t>during</t>
    </r>
    <r>
      <rPr>
        <rFont val="Arial"/>
        <color theme="1"/>
      </rPr>
      <t xml:space="preserve"> the end of the reload </t>
    </r>
    <r>
      <rPr>
        <rFont val="Arial"/>
        <i/>
        <color theme="1"/>
      </rPr>
      <t>animation</t>
    </r>
    <r>
      <rPr>
        <rFont val="Arial"/>
        <color theme="1"/>
      </rPr>
      <t xml:space="preserve">. Keep this in mind when timing the reload animation.
- Swords can increase damage through </t>
    </r>
    <r>
      <rPr>
        <rFont val="Arial"/>
        <b/>
        <i/>
        <color theme="1"/>
        <u/>
      </rPr>
      <t>both</t>
    </r>
    <r>
      <rPr>
        <rFont val="Arial"/>
        <color theme="1"/>
      </rPr>
      <t xml:space="preserve"> masterwork </t>
    </r>
    <r>
      <rPr>
        <rFont val="Arial"/>
        <i/>
        <color theme="1"/>
      </rPr>
      <t>and</t>
    </r>
    <r>
      <rPr>
        <rFont val="Arial"/>
        <color theme="1"/>
      </rPr>
      <t xml:space="preserve"> blade perks. Always test swords with 10 masterwork and Jagged Edge.
- Swords do not benefit from reserves mods, use x3 Lucent Blades instead.
- Assume all reloads to occur the frame the last shot is fired (i.e. assume the timing of a magazine to take (m-1)*1/F+R seconds)
- Avoid including on-kill perks, they are unsustainable in DPS phases
- Shotguns have an initial shell reload that is longer than the normal shell reload, factor this in with the shotgun reload
- List everything in RPM as much as possible, Calculate bow/fusion/linear fusion RPM with 1/(charge/1000 * 1/60). Similar applies to glaives, where swings-per-minute is 1/(swings-per-second*1/60).</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</si>
</sst>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0.0"/>
    <numFmt numFmtId="166" formatCode="yyyy-MM-dd"/>
    <numFmt numFmtId="167" formatCode="&quot;$&quot;#,##0.00"/>
    <numFmt numFmtId="168" formatCode="0.0%"/>
  </numFmts>
  <fonts count="28">
    <font>
      <sz val="10.0"/>
      <color rgb="FF000000"/>
      <name val="Arial"/>
      <scheme val="minor"/>
    </font>
    <font>
      <color theme="1"/>
      <name val="Arial"/>
      <scheme val="minor"/>
    </font>
    <font>
      <b/>
      <i/>
      <sz val="22.0"/>
      <color theme="1"/>
      <name val="Times New Roman"/>
    </font>
    <font>
      <b/>
      <i/>
      <sz val="20.0"/>
      <color theme="1"/>
      <name val="Arial"/>
      <scheme val="minor"/>
    </font>
    <font>
      <b/>
      <sz val="14.0"/>
      <color theme="1"/>
      <name val="Times New Roman"/>
    </font>
    <font>
      <b/>
      <color theme="1"/>
      <name val="Arial"/>
      <scheme val="minor"/>
    </font>
    <font>
      <u/>
      <color rgb="FFBF9000"/>
    </font>
    <font/>
    <font>
      <u/>
      <color rgb="FF0000FF"/>
    </font>
    <font>
      <u/>
      <color rgb="FF0000FF"/>
    </font>
    <font>
      <b/>
      <i/>
      <color theme="1"/>
      <name val="Arial"/>
      <scheme val="minor"/>
    </font>
    <font>
      <b/>
      <i/>
      <strike/>
      <color rgb="FF0000FF"/>
    </font>
    <font>
      <u/>
      <color rgb="FF0000FF"/>
    </font>
    <font>
      <i/>
      <sz val="33.0"/>
      <color theme="1"/>
      <name val="Playfair Display"/>
    </font>
    <font>
      <i/>
      <color theme="1"/>
      <name val="Arial"/>
      <scheme val="minor"/>
    </font>
    <font>
      <u/>
      <color rgb="FFFFFFFF"/>
    </font>
    <font>
      <i/>
      <color rgb="FF666666"/>
      <name val="Arial"/>
      <scheme val="minor"/>
    </font>
    <font>
      <i/>
      <color rgb="FF666666"/>
      <name val="Arial"/>
    </font>
    <font>
      <color theme="1"/>
      <name val="Arial"/>
    </font>
    <font>
      <b/>
      <color rgb="FF000000"/>
      <name val="Arial"/>
      <scheme val="minor"/>
    </font>
    <font>
      <color theme="1"/>
      <name val="Consolas"/>
    </font>
    <font>
      <color rgb="FFFFFFFF"/>
      <name val="Arial"/>
      <scheme val="minor"/>
    </font>
    <font>
      <u/>
      <color rgb="FF0000FF"/>
    </font>
    <font>
      <color rgb="FF0000FF"/>
    </font>
    <font>
      <color rgb="FF000000"/>
      <name val="Consolas"/>
    </font>
    <font>
      <strike/>
      <color theme="1"/>
      <name val="Consolas"/>
    </font>
    <font>
      <u/>
      <color rgb="FF0000FF"/>
      <name val="Consolas"/>
    </font>
    <font>
      <sz val="20.0"/>
      <color theme="1"/>
      <name val="Consolas"/>
    </font>
  </fonts>
  <fills count="265">
    <fill>
      <patternFill patternType="none"/>
    </fill>
    <fill>
      <patternFill patternType="lightGray"/>
    </fill>
    <fill>
      <patternFill patternType="solid">
        <fgColor rgb="FFFFF2CC"/>
        <bgColor rgb="FFFFF2CC"/>
      </patternFill>
    </fill>
    <fill>
      <patternFill patternType="solid">
        <fgColor rgb="FFF3F3F3"/>
        <bgColor rgb="FFF3F3F3"/>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CCB183"/>
        <bgColor rgb="FFCCB183"/>
      </patternFill>
    </fill>
    <fill>
      <patternFill patternType="solid">
        <fgColor rgb="FFE2D3B8"/>
        <bgColor rgb="FFE2D3B8"/>
      </patternFill>
    </fill>
    <fill>
      <patternFill patternType="solid">
        <fgColor rgb="FF666666"/>
        <bgColor rgb="FF666666"/>
      </patternFill>
    </fill>
    <fill>
      <patternFill patternType="solid">
        <fgColor rgb="FFB4A7D6"/>
        <bgColor rgb="FFB4A7D6"/>
      </patternFill>
    </fill>
    <fill>
      <patternFill patternType="solid">
        <fgColor rgb="FFFF0000"/>
        <bgColor rgb="FFFF0000"/>
      </patternFill>
    </fill>
    <fill>
      <patternFill patternType="solid">
        <fgColor rgb="FFFFE599"/>
        <bgColor rgb="FFFFE599"/>
      </patternFill>
    </fill>
    <fill>
      <patternFill patternType="solid">
        <fgColor rgb="FFEAF7F1"/>
        <bgColor rgb="FFEAF7F1"/>
      </patternFill>
    </fill>
    <fill>
      <patternFill patternType="solid">
        <fgColor rgb="FFDDF2E8"/>
        <bgColor rgb="FFDDF2E8"/>
      </patternFill>
    </fill>
    <fill>
      <patternFill patternType="solid">
        <fgColor rgb="FFEDF8F2"/>
        <bgColor rgb="FFEDF8F2"/>
      </patternFill>
    </fill>
    <fill>
      <patternFill patternType="solid">
        <fgColor rgb="FFE4F4EC"/>
        <bgColor rgb="FFE4F4EC"/>
      </patternFill>
    </fill>
    <fill>
      <patternFill patternType="solid">
        <fgColor rgb="FFD5EEE2"/>
        <bgColor rgb="FFD5EEE2"/>
      </patternFill>
    </fill>
    <fill>
      <patternFill patternType="solid">
        <fgColor rgb="FFD6EFE2"/>
        <bgColor rgb="FFD6EFE2"/>
      </patternFill>
    </fill>
    <fill>
      <patternFill patternType="solid">
        <fgColor rgb="FFD3EDE0"/>
        <bgColor rgb="FFD3EDE0"/>
      </patternFill>
    </fill>
    <fill>
      <patternFill patternType="solid">
        <fgColor rgb="FFFEFFFE"/>
        <bgColor rgb="FFFEFFFE"/>
      </patternFill>
    </fill>
    <fill>
      <patternFill patternType="solid">
        <fgColor rgb="FFFFFFFF"/>
        <bgColor rgb="FFFFFFFF"/>
      </patternFill>
    </fill>
    <fill>
      <patternFill patternType="solid">
        <fgColor rgb="FFB2E0CA"/>
        <bgColor rgb="FFB2E0CA"/>
      </patternFill>
    </fill>
    <fill>
      <patternFill patternType="solid">
        <fgColor rgb="FFF8FCFA"/>
        <bgColor rgb="FFF8FCFA"/>
      </patternFill>
    </fill>
    <fill>
      <patternFill patternType="solid">
        <fgColor rgb="FFBCE4D0"/>
        <bgColor rgb="FFBCE4D0"/>
      </patternFill>
    </fill>
    <fill>
      <patternFill patternType="solid">
        <fgColor rgb="FFB2E0C9"/>
        <bgColor rgb="FFB2E0C9"/>
      </patternFill>
    </fill>
    <fill>
      <patternFill patternType="solid">
        <fgColor rgb="FFDAF0E5"/>
        <bgColor rgb="FFDAF0E5"/>
      </patternFill>
    </fill>
    <fill>
      <patternFill patternType="solid">
        <fgColor rgb="FFBDE5D1"/>
        <bgColor rgb="FFBDE5D1"/>
      </patternFill>
    </fill>
    <fill>
      <patternFill patternType="solid">
        <fgColor rgb="FFCAEADA"/>
        <bgColor rgb="FFCAEADA"/>
      </patternFill>
    </fill>
    <fill>
      <patternFill patternType="solid">
        <fgColor rgb="FF9ED8BB"/>
        <bgColor rgb="FF9ED8BB"/>
      </patternFill>
    </fill>
    <fill>
      <patternFill patternType="solid">
        <fgColor rgb="FFB9E3CE"/>
        <bgColor rgb="FFB9E3CE"/>
      </patternFill>
    </fill>
    <fill>
      <patternFill patternType="solid">
        <fgColor rgb="FFBAE3CF"/>
        <bgColor rgb="FFBAE3CF"/>
      </patternFill>
    </fill>
    <fill>
      <patternFill patternType="solid">
        <fgColor rgb="FFE2F4EB"/>
        <bgColor rgb="FFE2F4EB"/>
      </patternFill>
    </fill>
    <fill>
      <patternFill patternType="solid">
        <fgColor rgb="FF8FD2B1"/>
        <bgColor rgb="FF8FD2B1"/>
      </patternFill>
    </fill>
    <fill>
      <patternFill patternType="solid">
        <fgColor rgb="FFC0E6D4"/>
        <bgColor rgb="FFC0E6D4"/>
      </patternFill>
    </fill>
    <fill>
      <patternFill patternType="solid">
        <fgColor rgb="FFEBF7F1"/>
        <bgColor rgb="FFEBF7F1"/>
      </patternFill>
    </fill>
    <fill>
      <patternFill patternType="solid">
        <fgColor rgb="FFABDDC5"/>
        <bgColor rgb="FFABDDC5"/>
      </patternFill>
    </fill>
    <fill>
      <patternFill patternType="solid">
        <fgColor rgb="FF9BD7B9"/>
        <bgColor rgb="FF9BD7B9"/>
      </patternFill>
    </fill>
    <fill>
      <patternFill patternType="solid">
        <fgColor rgb="FFD3EEE1"/>
        <bgColor rgb="FFD3EEE1"/>
      </patternFill>
    </fill>
    <fill>
      <patternFill patternType="solid">
        <fgColor rgb="FF57BB8A"/>
        <bgColor rgb="FF57BB8A"/>
      </patternFill>
    </fill>
    <fill>
      <patternFill patternType="solid">
        <fgColor rgb="FFDEF2E8"/>
        <bgColor rgb="FFDEF2E8"/>
      </patternFill>
    </fill>
    <fill>
      <patternFill patternType="solid">
        <fgColor rgb="FF90D2B2"/>
        <bgColor rgb="FF90D2B2"/>
      </patternFill>
    </fill>
    <fill>
      <patternFill patternType="solid">
        <fgColor rgb="FFA4DAC0"/>
        <bgColor rgb="FFA4DAC0"/>
      </patternFill>
    </fill>
    <fill>
      <patternFill patternType="solid">
        <fgColor rgb="FF96D5B6"/>
        <bgColor rgb="FF96D5B6"/>
      </patternFill>
    </fill>
    <fill>
      <patternFill patternType="solid">
        <fgColor rgb="FFD7EFE3"/>
        <bgColor rgb="FFD7EFE3"/>
      </patternFill>
    </fill>
    <fill>
      <patternFill patternType="solid">
        <fgColor rgb="FF78C9A1"/>
        <bgColor rgb="FF78C9A1"/>
      </patternFill>
    </fill>
    <fill>
      <patternFill patternType="solid">
        <fgColor rgb="FFD6EFE3"/>
        <bgColor rgb="FFD6EFE3"/>
      </patternFill>
    </fill>
    <fill>
      <patternFill patternType="solid">
        <fgColor rgb="FF92D3B3"/>
        <bgColor rgb="FF92D3B3"/>
      </patternFill>
    </fill>
    <fill>
      <patternFill patternType="solid">
        <fgColor rgb="FFF7FCFA"/>
        <bgColor rgb="FFF7FCFA"/>
      </patternFill>
    </fill>
    <fill>
      <patternFill patternType="solid">
        <fgColor rgb="FFF0F9F5"/>
        <bgColor rgb="FFF0F9F5"/>
      </patternFill>
    </fill>
    <fill>
      <patternFill patternType="solid">
        <fgColor rgb="FFF3FAF7"/>
        <bgColor rgb="FFF3FAF7"/>
      </patternFill>
    </fill>
    <fill>
      <patternFill patternType="solid">
        <fgColor rgb="FFE7F5EE"/>
        <bgColor rgb="FFE7F5EE"/>
      </patternFill>
    </fill>
    <fill>
      <patternFill patternType="solid">
        <fgColor rgb="FFA6DBC1"/>
        <bgColor rgb="FFA6DBC1"/>
      </patternFill>
    </fill>
    <fill>
      <patternFill patternType="solid">
        <fgColor rgb="FFD9F0E5"/>
        <bgColor rgb="FFD9F0E5"/>
      </patternFill>
    </fill>
    <fill>
      <patternFill patternType="solid">
        <fgColor rgb="FFC4E7D6"/>
        <bgColor rgb="FFC4E7D6"/>
      </patternFill>
    </fill>
    <fill>
      <patternFill patternType="solid">
        <fgColor rgb="FFE5F5ED"/>
        <bgColor rgb="FFE5F5ED"/>
      </patternFill>
    </fill>
    <fill>
      <patternFill patternType="solid">
        <fgColor rgb="FFC1E6D4"/>
        <bgColor rgb="FFC1E6D4"/>
      </patternFill>
    </fill>
    <fill>
      <patternFill patternType="solid">
        <fgColor rgb="FFDCF1E7"/>
        <bgColor rgb="FFDCF1E7"/>
      </patternFill>
    </fill>
    <fill>
      <patternFill patternType="solid">
        <fgColor rgb="FFB5E1CB"/>
        <bgColor rgb="FFB5E1CB"/>
      </patternFill>
    </fill>
    <fill>
      <patternFill patternType="solid">
        <fgColor rgb="FF64C093"/>
        <bgColor rgb="FF64C093"/>
      </patternFill>
    </fill>
    <fill>
      <patternFill patternType="solid">
        <fgColor rgb="FFF6FCF9"/>
        <bgColor rgb="FFF6FCF9"/>
      </patternFill>
    </fill>
    <fill>
      <patternFill patternType="solid">
        <fgColor rgb="FFACDEC6"/>
        <bgColor rgb="FFACDEC6"/>
      </patternFill>
    </fill>
    <fill>
      <patternFill patternType="solid">
        <fgColor rgb="FF79C9A2"/>
        <bgColor rgb="FF79C9A2"/>
      </patternFill>
    </fill>
    <fill>
      <patternFill patternType="solid">
        <fgColor rgb="FFF7FCF9"/>
        <bgColor rgb="FFF7FCF9"/>
      </patternFill>
    </fill>
    <fill>
      <patternFill patternType="solid">
        <fgColor rgb="FFADDEC6"/>
        <bgColor rgb="FFADDEC6"/>
      </patternFill>
    </fill>
    <fill>
      <patternFill patternType="solid">
        <fgColor rgb="FFE8F6EF"/>
        <bgColor rgb="FFE8F6EF"/>
      </patternFill>
    </fill>
    <fill>
      <patternFill patternType="solid">
        <fgColor rgb="FFCFECDE"/>
        <bgColor rgb="FFCFECDE"/>
      </patternFill>
    </fill>
    <fill>
      <patternFill patternType="solid">
        <fgColor rgb="FFE0F3E9"/>
        <bgColor rgb="FFE0F3E9"/>
      </patternFill>
    </fill>
    <fill>
      <patternFill patternType="solid">
        <fgColor rgb="FFA4DBC0"/>
        <bgColor rgb="FFA4DBC0"/>
      </patternFill>
    </fill>
    <fill>
      <patternFill patternType="solid">
        <fgColor rgb="FFEEF8F3"/>
        <bgColor rgb="FFEEF8F3"/>
      </patternFill>
    </fill>
    <fill>
      <patternFill patternType="solid">
        <fgColor rgb="FF76C8A0"/>
        <bgColor rgb="FF76C8A0"/>
      </patternFill>
    </fill>
    <fill>
      <patternFill patternType="solid">
        <fgColor rgb="FFDBF1E6"/>
        <bgColor rgb="FFDBF1E6"/>
      </patternFill>
    </fill>
    <fill>
      <patternFill patternType="solid">
        <fgColor rgb="FFE6F5EE"/>
        <bgColor rgb="FFE6F5EE"/>
      </patternFill>
    </fill>
    <fill>
      <patternFill patternType="solid">
        <fgColor rgb="FFCEECDD"/>
        <bgColor rgb="FFCEECDD"/>
      </patternFill>
    </fill>
    <fill>
      <patternFill patternType="solid">
        <fgColor rgb="FFE3F4EC"/>
        <bgColor rgb="FFE3F4EC"/>
      </patternFill>
    </fill>
    <fill>
      <patternFill patternType="solid">
        <fgColor rgb="FF70C59B"/>
        <bgColor rgb="FF70C59B"/>
      </patternFill>
    </fill>
    <fill>
      <patternFill patternType="solid">
        <fgColor rgb="FFD8EFE4"/>
        <bgColor rgb="FFD8EFE4"/>
      </patternFill>
    </fill>
    <fill>
      <patternFill patternType="solid">
        <fgColor rgb="FFF4FBF8"/>
        <bgColor rgb="FFF4FBF8"/>
      </patternFill>
    </fill>
    <fill>
      <patternFill patternType="solid">
        <fgColor rgb="FFF8FDFB"/>
        <bgColor rgb="FFF8FDFB"/>
      </patternFill>
    </fill>
    <fill>
      <patternFill patternType="solid">
        <fgColor rgb="FFA7DCC2"/>
        <bgColor rgb="FFA7DCC2"/>
      </patternFill>
    </fill>
    <fill>
      <patternFill patternType="solid">
        <fgColor rgb="FFD2EDE0"/>
        <bgColor rgb="FFD2EDE0"/>
      </patternFill>
    </fill>
    <fill>
      <patternFill patternType="solid">
        <fgColor rgb="FF74C79F"/>
        <bgColor rgb="FF74C79F"/>
      </patternFill>
    </fill>
    <fill>
      <patternFill patternType="solid">
        <fgColor rgb="FFCCEBDC"/>
        <bgColor rgb="FFCCEBDC"/>
      </patternFill>
    </fill>
    <fill>
      <patternFill patternType="solid">
        <fgColor rgb="FFCCEADB"/>
        <bgColor rgb="FFCCEADB"/>
      </patternFill>
    </fill>
    <fill>
      <patternFill patternType="solid">
        <fgColor rgb="FFC5E8D7"/>
        <bgColor rgb="FFC5E8D7"/>
      </patternFill>
    </fill>
    <fill>
      <patternFill patternType="solid">
        <fgColor rgb="FF7AC9A2"/>
        <bgColor rgb="FF7AC9A2"/>
      </patternFill>
    </fill>
    <fill>
      <patternFill patternType="solid">
        <fgColor rgb="FFF0F9F4"/>
        <bgColor rgb="FFF0F9F4"/>
      </patternFill>
    </fill>
    <fill>
      <patternFill patternType="solid">
        <fgColor rgb="FFAFDFC8"/>
        <bgColor rgb="FFAFDFC8"/>
      </patternFill>
    </fill>
    <fill>
      <patternFill patternType="solid">
        <fgColor rgb="FFBCE4D1"/>
        <bgColor rgb="FFBCE4D1"/>
      </patternFill>
    </fill>
    <fill>
      <patternFill patternType="solid">
        <fgColor rgb="FFFDFEFE"/>
        <bgColor rgb="FFFDFEFE"/>
      </patternFill>
    </fill>
    <fill>
      <patternFill patternType="solid">
        <fgColor rgb="FFFCFEFD"/>
        <bgColor rgb="FFFCFEFD"/>
      </patternFill>
    </fill>
    <fill>
      <patternFill patternType="solid">
        <fgColor rgb="FFEDF8F3"/>
        <bgColor rgb="FFEDF8F3"/>
      </patternFill>
    </fill>
    <fill>
      <patternFill patternType="solid">
        <fgColor rgb="FFFDFEFD"/>
        <bgColor rgb="FFFDFEFD"/>
      </patternFill>
    </fill>
    <fill>
      <patternFill patternType="solid">
        <fgColor rgb="FFFBFEFD"/>
        <bgColor rgb="FFFBFEFD"/>
      </patternFill>
    </fill>
    <fill>
      <patternFill patternType="solid">
        <fgColor rgb="FF99D6B8"/>
        <bgColor rgb="FF99D6B8"/>
      </patternFill>
    </fill>
    <fill>
      <patternFill patternType="solid">
        <fgColor rgb="FFC3E7D5"/>
        <bgColor rgb="FFC3E7D5"/>
      </patternFill>
    </fill>
    <fill>
      <patternFill patternType="solid">
        <fgColor rgb="FFFBFDFC"/>
        <bgColor rgb="FFFBFDFC"/>
      </patternFill>
    </fill>
    <fill>
      <patternFill patternType="solid">
        <fgColor rgb="FFEEF9F4"/>
        <bgColor rgb="FFEEF9F4"/>
      </patternFill>
    </fill>
    <fill>
      <patternFill patternType="solid">
        <fgColor rgb="FFD1EDDF"/>
        <bgColor rgb="FFD1EDDF"/>
      </patternFill>
    </fill>
    <fill>
      <patternFill patternType="solid">
        <fgColor rgb="FFC6E8D7"/>
        <bgColor rgb="FFC6E8D7"/>
      </patternFill>
    </fill>
    <fill>
      <patternFill patternType="solid">
        <fgColor rgb="FFA9DCC3"/>
        <bgColor rgb="FFA9DCC3"/>
      </patternFill>
    </fill>
    <fill>
      <patternFill patternType="solid">
        <fgColor rgb="FFECF8F2"/>
        <bgColor rgb="FFECF8F2"/>
      </patternFill>
    </fill>
    <fill>
      <patternFill patternType="solid">
        <fgColor rgb="FF8DD1B0"/>
        <bgColor rgb="FF8DD1B0"/>
      </patternFill>
    </fill>
    <fill>
      <patternFill patternType="solid">
        <fgColor rgb="FFB6E2CD"/>
        <bgColor rgb="FFB6E2CD"/>
      </patternFill>
    </fill>
    <fill>
      <patternFill patternType="solid">
        <fgColor rgb="FF7BCAA3"/>
        <bgColor rgb="FF7BCAA3"/>
      </patternFill>
    </fill>
    <fill>
      <patternFill patternType="solid">
        <fgColor rgb="FFFDFFFE"/>
        <bgColor rgb="FFFDFFFE"/>
      </patternFill>
    </fill>
    <fill>
      <patternFill patternType="solid">
        <fgColor rgb="FFF1FAF6"/>
        <bgColor rgb="FFF1FAF6"/>
      </patternFill>
    </fill>
    <fill>
      <patternFill patternType="solid">
        <fgColor rgb="FFD7EFE4"/>
        <bgColor rgb="FFD7EFE4"/>
      </patternFill>
    </fill>
    <fill>
      <patternFill patternType="solid">
        <fgColor rgb="FFB1E0C9"/>
        <bgColor rgb="FFB1E0C9"/>
      </patternFill>
    </fill>
    <fill>
      <patternFill patternType="solid">
        <fgColor rgb="FFCEEBDD"/>
        <bgColor rgb="FFCEEBDD"/>
      </patternFill>
    </fill>
    <fill>
      <patternFill patternType="solid">
        <fgColor rgb="FFFEFFFF"/>
        <bgColor rgb="FFFEFFFF"/>
      </patternFill>
    </fill>
    <fill>
      <patternFill patternType="solid">
        <fgColor rgb="FFC7E9D8"/>
        <bgColor rgb="FFC7E9D8"/>
      </patternFill>
    </fill>
    <fill>
      <patternFill patternType="solid">
        <fgColor rgb="FF9FD8BC"/>
        <bgColor rgb="FF9FD8BC"/>
      </patternFill>
    </fill>
    <fill>
      <patternFill patternType="solid">
        <fgColor rgb="FFA5DBC1"/>
        <bgColor rgb="FFA5DBC1"/>
      </patternFill>
    </fill>
    <fill>
      <patternFill patternType="solid">
        <fgColor rgb="FF7FCCA6"/>
        <bgColor rgb="FF7FCCA6"/>
      </patternFill>
    </fill>
    <fill>
      <patternFill patternType="solid">
        <fgColor rgb="FF88CFAC"/>
        <bgColor rgb="FF88CFAC"/>
      </patternFill>
    </fill>
    <fill>
      <patternFill patternType="solid">
        <fgColor rgb="FFC0E6D3"/>
        <bgColor rgb="FFC0E6D3"/>
      </patternFill>
    </fill>
    <fill>
      <patternFill patternType="solid">
        <fgColor rgb="FFA9DDC3"/>
        <bgColor rgb="FFA9DDC3"/>
      </patternFill>
    </fill>
    <fill>
      <patternFill patternType="solid">
        <fgColor rgb="FFBEE5D2"/>
        <bgColor rgb="FFBEE5D2"/>
      </patternFill>
    </fill>
    <fill>
      <patternFill patternType="solid">
        <fgColor rgb="FFAADDC4"/>
        <bgColor rgb="FFAADDC4"/>
      </patternFill>
    </fill>
    <fill>
      <patternFill patternType="solid">
        <fgColor rgb="FF81CCA8"/>
        <bgColor rgb="FF81CCA8"/>
      </patternFill>
    </fill>
    <fill>
      <patternFill patternType="solid">
        <fgColor rgb="FFDAF1E6"/>
        <bgColor rgb="FFDAF1E6"/>
      </patternFill>
    </fill>
    <fill>
      <patternFill patternType="solid">
        <fgColor rgb="FFA5DBC0"/>
        <bgColor rgb="FFA5DBC0"/>
      </patternFill>
    </fill>
    <fill>
      <patternFill patternType="solid">
        <fgColor rgb="FFE0F3EA"/>
        <bgColor rgb="FFE0F3EA"/>
      </patternFill>
    </fill>
    <fill>
      <patternFill patternType="solid">
        <fgColor rgb="FFE9F6F0"/>
        <bgColor rgb="FFE9F6F0"/>
      </patternFill>
    </fill>
    <fill>
      <patternFill patternType="solid">
        <fgColor rgb="FFC6E8D8"/>
        <bgColor rgb="FFC6E8D8"/>
      </patternFill>
    </fill>
    <fill>
      <patternFill patternType="solid">
        <fgColor rgb="FFEFF9F4"/>
        <bgColor rgb="FFEFF9F4"/>
      </patternFill>
    </fill>
    <fill>
      <patternFill patternType="solid">
        <fgColor rgb="FFB8E2CD"/>
        <bgColor rgb="FFB8E2CD"/>
      </patternFill>
    </fill>
    <fill>
      <patternFill patternType="solid">
        <fgColor rgb="FFD9F0E4"/>
        <bgColor rgb="FFD9F0E4"/>
      </patternFill>
    </fill>
    <fill>
      <patternFill patternType="solid">
        <fgColor rgb="FFF4FBF7"/>
        <bgColor rgb="FFF4FBF7"/>
      </patternFill>
    </fill>
    <fill>
      <patternFill patternType="solid">
        <fgColor rgb="FF82CDA8"/>
        <bgColor rgb="FF82CDA8"/>
      </patternFill>
    </fill>
    <fill>
      <patternFill patternType="solid">
        <fgColor rgb="FFB7E2CD"/>
        <bgColor rgb="FFB7E2CD"/>
      </patternFill>
    </fill>
    <fill>
      <patternFill patternType="solid">
        <fgColor rgb="FFABDDC4"/>
        <bgColor rgb="FFABDDC4"/>
      </patternFill>
    </fill>
    <fill>
      <patternFill patternType="solid">
        <fgColor rgb="FFE4F5ED"/>
        <bgColor rgb="FFE4F5ED"/>
      </patternFill>
    </fill>
    <fill>
      <patternFill patternType="solid">
        <fgColor rgb="FFACDEC5"/>
        <bgColor rgb="FFACDEC5"/>
      </patternFill>
    </fill>
    <fill>
      <patternFill patternType="solid">
        <fgColor rgb="FFF5FBF8"/>
        <bgColor rgb="FFF5FBF8"/>
      </patternFill>
    </fill>
    <fill>
      <patternFill patternType="solid">
        <fgColor rgb="FFB5E1CC"/>
        <bgColor rgb="FFB5E1CC"/>
      </patternFill>
    </fill>
    <fill>
      <patternFill patternType="solid">
        <fgColor rgb="FFE1F3EA"/>
        <bgColor rgb="FFE1F3EA"/>
      </patternFill>
    </fill>
    <fill>
      <patternFill patternType="solid">
        <fgColor rgb="FFE3F4EB"/>
        <bgColor rgb="FFE3F4EB"/>
      </patternFill>
    </fill>
    <fill>
      <patternFill patternType="solid">
        <fgColor rgb="FFBBE4D0"/>
        <bgColor rgb="FFBBE4D0"/>
      </patternFill>
    </fill>
    <fill>
      <patternFill patternType="solid">
        <fgColor rgb="FF9DD8BB"/>
        <bgColor rgb="FF9DD8BB"/>
      </patternFill>
    </fill>
    <fill>
      <patternFill patternType="solid">
        <fgColor rgb="FFE9F7F0"/>
        <bgColor rgb="FFE9F7F0"/>
      </patternFill>
    </fill>
    <fill>
      <patternFill patternType="solid">
        <fgColor rgb="FF94D4B4"/>
        <bgColor rgb="FF94D4B4"/>
      </patternFill>
    </fill>
    <fill>
      <patternFill patternType="solid">
        <fgColor rgb="FF80CCA7"/>
        <bgColor rgb="FF80CCA7"/>
      </patternFill>
    </fill>
    <fill>
      <patternFill patternType="solid">
        <fgColor rgb="FFDDF1E7"/>
        <bgColor rgb="FFDDF1E7"/>
      </patternFill>
    </fill>
    <fill>
      <patternFill patternType="solid">
        <fgColor rgb="FF9FD9BC"/>
        <bgColor rgb="FF9FD9BC"/>
      </patternFill>
    </fill>
    <fill>
      <patternFill patternType="solid">
        <fgColor rgb="FF5DBE8F"/>
        <bgColor rgb="FF5DBE8F"/>
      </patternFill>
    </fill>
    <fill>
      <patternFill patternType="solid">
        <fgColor rgb="FFBFE6D3"/>
        <bgColor rgb="FFBFE6D3"/>
      </patternFill>
    </fill>
    <fill>
      <patternFill patternType="solid">
        <fgColor rgb="FF8BD0AE"/>
        <bgColor rgb="FF8BD0AE"/>
      </patternFill>
    </fill>
    <fill>
      <patternFill patternType="solid">
        <fgColor rgb="FFC2E7D5"/>
        <bgColor rgb="FFC2E7D5"/>
      </patternFill>
    </fill>
    <fill>
      <patternFill patternType="solid">
        <fgColor rgb="FF6EC59A"/>
        <bgColor rgb="FF6EC59A"/>
      </patternFill>
    </fill>
    <fill>
      <patternFill patternType="solid">
        <fgColor rgb="FFB0DFC8"/>
        <bgColor rgb="FFB0DFC8"/>
      </patternFill>
    </fill>
    <fill>
      <patternFill patternType="solid">
        <fgColor rgb="FFBAE4CF"/>
        <bgColor rgb="FFBAE4CF"/>
      </patternFill>
    </fill>
    <fill>
      <patternFill patternType="solid">
        <fgColor rgb="FFF1FAF5"/>
        <bgColor rgb="FFF1FAF5"/>
      </patternFill>
    </fill>
    <fill>
      <patternFill patternType="solid">
        <fgColor rgb="FF98D6B8"/>
        <bgColor rgb="FF98D6B8"/>
      </patternFill>
    </fill>
    <fill>
      <patternFill patternType="solid">
        <fgColor rgb="FFE4F4ED"/>
        <bgColor rgb="FFE4F4ED"/>
      </patternFill>
    </fill>
    <fill>
      <patternFill patternType="solid">
        <fgColor rgb="FFB3E0CA"/>
        <bgColor rgb="FFB3E0CA"/>
      </patternFill>
    </fill>
    <fill>
      <patternFill patternType="solid">
        <fgColor rgb="FFC3E7D6"/>
        <bgColor rgb="FFC3E7D6"/>
      </patternFill>
    </fill>
    <fill>
      <patternFill patternType="solid">
        <fgColor rgb="FFAEDEC7"/>
        <bgColor rgb="FFAEDEC7"/>
      </patternFill>
    </fill>
    <fill>
      <patternFill patternType="solid">
        <fgColor rgb="FFA8DCC3"/>
        <bgColor rgb="FFA8DCC3"/>
      </patternFill>
    </fill>
    <fill>
      <patternFill patternType="solid">
        <fgColor rgb="FFD0ECDE"/>
        <bgColor rgb="FFD0ECDE"/>
      </patternFill>
    </fill>
    <fill>
      <patternFill patternType="solid">
        <fgColor rgb="FF8CD1AF"/>
        <bgColor rgb="FF8CD1AF"/>
      </patternFill>
    </fill>
    <fill>
      <patternFill patternType="solid">
        <fgColor rgb="FF9ED8BC"/>
        <bgColor rgb="FF9ED8BC"/>
      </patternFill>
    </fill>
    <fill>
      <patternFill patternType="solid">
        <fgColor rgb="FF9AD6B9"/>
        <bgColor rgb="FF9AD6B9"/>
      </patternFill>
    </fill>
    <fill>
      <patternFill patternType="solid">
        <fgColor rgb="FFC8E9D9"/>
        <bgColor rgb="FFC8E9D9"/>
      </patternFill>
    </fill>
    <fill>
      <patternFill patternType="solid">
        <fgColor rgb="FFDFF2E9"/>
        <bgColor rgb="FFDFF2E9"/>
      </patternFill>
    </fill>
    <fill>
      <patternFill patternType="solid">
        <fgColor rgb="FFA1D9BE"/>
        <bgColor rgb="FFA1D9BE"/>
      </patternFill>
    </fill>
    <fill>
      <patternFill patternType="solid">
        <fgColor rgb="FF8AD0AE"/>
        <bgColor rgb="FF8AD0AE"/>
      </patternFill>
    </fill>
    <fill>
      <patternFill patternType="solid">
        <fgColor rgb="FF87CFAB"/>
        <bgColor rgb="FF87CFAB"/>
      </patternFill>
    </fill>
    <fill>
      <patternFill patternType="solid">
        <fgColor rgb="FF6FC59B"/>
        <bgColor rgb="FF6FC59B"/>
      </patternFill>
    </fill>
    <fill>
      <patternFill patternType="solid">
        <fgColor rgb="FFD8F0E4"/>
        <bgColor rgb="FFD8F0E4"/>
      </patternFill>
    </fill>
    <fill>
      <patternFill patternType="solid">
        <fgColor rgb="FF9DD7BB"/>
        <bgColor rgb="FF9DD7BB"/>
      </patternFill>
    </fill>
    <fill>
      <patternFill patternType="solid">
        <fgColor rgb="FFD4EEE2"/>
        <bgColor rgb="FFD4EEE2"/>
      </patternFill>
    </fill>
    <fill>
      <patternFill patternType="solid">
        <fgColor rgb="FFFAFDFC"/>
        <bgColor rgb="FFFAFDFC"/>
      </patternFill>
    </fill>
    <fill>
      <patternFill patternType="solid">
        <fgColor rgb="FFD4EEE1"/>
        <bgColor rgb="FFD4EEE1"/>
      </patternFill>
    </fill>
    <fill>
      <patternFill patternType="solid">
        <fgColor rgb="FFEEF9F3"/>
        <bgColor rgb="FFEEF9F3"/>
      </patternFill>
    </fill>
    <fill>
      <patternFill patternType="solid">
        <fgColor rgb="FFA3DABF"/>
        <bgColor rgb="FFA3DABF"/>
      </patternFill>
    </fill>
    <fill>
      <patternFill patternType="solid">
        <fgColor rgb="FFE7F6EF"/>
        <bgColor rgb="FFE7F6EF"/>
      </patternFill>
    </fill>
    <fill>
      <patternFill patternType="solid">
        <fgColor rgb="FFE7F6EE"/>
        <bgColor rgb="FFE7F6EE"/>
      </patternFill>
    </fill>
    <fill>
      <patternFill patternType="solid">
        <fgColor rgb="FFCFECDD"/>
        <bgColor rgb="FFCFECDD"/>
      </patternFill>
    </fill>
    <fill>
      <patternFill patternType="solid">
        <fgColor rgb="FF9BD7BA"/>
        <bgColor rgb="FF9BD7BA"/>
      </patternFill>
    </fill>
    <fill>
      <patternFill patternType="solid">
        <fgColor rgb="FF97D5B7"/>
        <bgColor rgb="FF97D5B7"/>
      </patternFill>
    </fill>
    <fill>
      <patternFill patternType="solid">
        <fgColor rgb="FF93D4B4"/>
        <bgColor rgb="FF93D4B4"/>
      </patternFill>
    </fill>
    <fill>
      <patternFill patternType="solid">
        <fgColor rgb="FFA8DCC2"/>
        <bgColor rgb="FFA8DCC2"/>
      </patternFill>
    </fill>
    <fill>
      <patternFill patternType="solid">
        <fgColor rgb="FFA0D9BD"/>
        <bgColor rgb="FFA0D9BD"/>
      </patternFill>
    </fill>
    <fill>
      <patternFill patternType="solid">
        <fgColor rgb="FFEAF7F0"/>
        <bgColor rgb="FFEAF7F0"/>
      </patternFill>
    </fill>
    <fill>
      <patternFill patternType="solid">
        <fgColor rgb="FFB8E2CE"/>
        <bgColor rgb="FFB8E2CE"/>
      </patternFill>
    </fill>
    <fill>
      <patternFill patternType="solid">
        <fgColor rgb="FFA9DDC4"/>
        <bgColor rgb="FFA9DDC4"/>
      </patternFill>
    </fill>
    <fill>
      <patternFill patternType="solid">
        <fgColor rgb="FFB3E1CA"/>
        <bgColor rgb="FFB3E1CA"/>
      </patternFill>
    </fill>
    <fill>
      <patternFill patternType="solid">
        <fgColor rgb="FFA2DABF"/>
        <bgColor rgb="FFA2DABF"/>
      </patternFill>
    </fill>
    <fill>
      <patternFill patternType="solid">
        <fgColor rgb="FFDDF2E7"/>
        <bgColor rgb="FFDDF2E7"/>
      </patternFill>
    </fill>
    <fill>
      <patternFill patternType="solid">
        <fgColor rgb="FF7BCAA4"/>
        <bgColor rgb="FF7BCAA4"/>
      </patternFill>
    </fill>
    <fill>
      <patternFill patternType="solid">
        <fgColor rgb="FF77C8A1"/>
        <bgColor rgb="FF77C8A1"/>
      </patternFill>
    </fill>
    <fill>
      <patternFill patternType="solid">
        <fgColor rgb="FF74C79E"/>
        <bgColor rgb="FF74C79E"/>
      </patternFill>
    </fill>
    <fill>
      <patternFill patternType="solid">
        <fgColor rgb="FFBDE4D1"/>
        <bgColor rgb="FFBDE4D1"/>
      </patternFill>
    </fill>
    <fill>
      <patternFill patternType="solid">
        <fgColor rgb="FFF1F9F5"/>
        <bgColor rgb="FFF1F9F5"/>
      </patternFill>
    </fill>
    <fill>
      <patternFill patternType="solid">
        <fgColor rgb="FFB8E3CE"/>
        <bgColor rgb="FFB8E3CE"/>
      </patternFill>
    </fill>
    <fill>
      <patternFill patternType="solid">
        <fgColor rgb="FFB6E2CC"/>
        <bgColor rgb="FFB6E2CC"/>
      </patternFill>
    </fill>
    <fill>
      <patternFill patternType="solid">
        <fgColor rgb="FFC2E7D4"/>
        <bgColor rgb="FFC2E7D4"/>
      </patternFill>
    </fill>
    <fill>
      <patternFill patternType="solid">
        <fgColor rgb="FFB4E1CB"/>
        <bgColor rgb="FFB4E1CB"/>
      </patternFill>
    </fill>
    <fill>
      <patternFill patternType="solid">
        <fgColor rgb="FF8ED2B0"/>
        <bgColor rgb="FF8ED2B0"/>
      </patternFill>
    </fill>
    <fill>
      <patternFill patternType="solid">
        <fgColor rgb="FF84CEAA"/>
        <bgColor rgb="FF84CEAA"/>
      </patternFill>
    </fill>
    <fill>
      <patternFill patternType="solid">
        <fgColor rgb="FF7DCBA4"/>
        <bgColor rgb="FF7DCBA4"/>
      </patternFill>
    </fill>
    <fill>
      <patternFill patternType="solid">
        <fgColor rgb="FF77C8A0"/>
        <bgColor rgb="FF77C8A0"/>
      </patternFill>
    </fill>
    <fill>
      <patternFill patternType="solid">
        <fgColor rgb="FF7CCAA4"/>
        <bgColor rgb="FF7CCAA4"/>
      </patternFill>
    </fill>
    <fill>
      <patternFill patternType="solid">
        <fgColor rgb="FF78C8A1"/>
        <bgColor rgb="FF78C8A1"/>
      </patternFill>
    </fill>
    <fill>
      <patternFill patternType="solid">
        <fgColor rgb="FF68C296"/>
        <bgColor rgb="FF68C296"/>
      </patternFill>
    </fill>
    <fill>
      <patternFill patternType="solid">
        <fgColor rgb="FF75C89F"/>
        <bgColor rgb="FF75C89F"/>
      </patternFill>
    </fill>
    <fill>
      <patternFill patternType="solid">
        <fgColor rgb="FF70C59C"/>
        <bgColor rgb="FF70C59C"/>
      </patternFill>
    </fill>
    <fill>
      <patternFill patternType="solid">
        <fgColor rgb="FF6BC398"/>
        <bgColor rgb="FF6BC398"/>
      </patternFill>
    </fill>
    <fill>
      <patternFill patternType="solid">
        <fgColor rgb="FFA2DABE"/>
        <bgColor rgb="FFA2DABE"/>
      </patternFill>
    </fill>
    <fill>
      <patternFill patternType="solid">
        <fgColor rgb="FFA2D9BE"/>
        <bgColor rgb="FFA2D9BE"/>
      </patternFill>
    </fill>
    <fill>
      <patternFill patternType="solid">
        <fgColor rgb="FFE2F3EB"/>
        <bgColor rgb="FFE2F3EB"/>
      </patternFill>
    </fill>
    <fill>
      <patternFill patternType="solid">
        <fgColor rgb="FF9FD9BD"/>
        <bgColor rgb="FF9FD9BD"/>
      </patternFill>
    </fill>
    <fill>
      <patternFill patternType="solid">
        <fgColor rgb="FFC7E8D8"/>
        <bgColor rgb="FFC7E8D8"/>
      </patternFill>
    </fill>
    <fill>
      <patternFill patternType="solid">
        <fgColor rgb="FFF3FBF7"/>
        <bgColor rgb="FFF3FBF7"/>
      </patternFill>
    </fill>
    <fill>
      <patternFill patternType="solid">
        <fgColor rgb="FFF8FDFA"/>
        <bgColor rgb="FFF8FDFA"/>
      </patternFill>
    </fill>
    <fill>
      <patternFill patternType="solid">
        <fgColor rgb="FFF9FDFB"/>
        <bgColor rgb="FFF9FDFB"/>
      </patternFill>
    </fill>
    <fill>
      <patternFill patternType="solid">
        <fgColor rgb="FFE6F5ED"/>
        <bgColor rgb="FFE6F5ED"/>
      </patternFill>
    </fill>
    <fill>
      <patternFill patternType="solid">
        <fgColor rgb="FFF2FAF6"/>
        <bgColor rgb="FFF2FAF6"/>
      </patternFill>
    </fill>
    <fill>
      <patternFill patternType="solid">
        <fgColor rgb="FFFBFEFC"/>
        <bgColor rgb="FFFBFEFC"/>
      </patternFill>
    </fill>
    <fill>
      <patternFill patternType="solid">
        <fgColor rgb="FFD0ECDF"/>
        <bgColor rgb="FFD0ECDF"/>
      </patternFill>
    </fill>
    <fill>
      <patternFill patternType="solid">
        <fgColor rgb="FFECF7F2"/>
        <bgColor rgb="FFECF7F2"/>
      </patternFill>
    </fill>
    <fill>
      <patternFill patternType="solid">
        <fgColor rgb="FFFAFDFB"/>
        <bgColor rgb="FFFAFDFB"/>
      </patternFill>
    </fill>
    <fill>
      <patternFill patternType="solid">
        <fgColor rgb="FFF6FBF9"/>
        <bgColor rgb="FFF6FBF9"/>
      </patternFill>
    </fill>
    <fill>
      <patternFill patternType="solid">
        <fgColor rgb="FFDCF1E6"/>
        <bgColor rgb="FFDCF1E6"/>
      </patternFill>
    </fill>
    <fill>
      <patternFill patternType="solid">
        <fgColor rgb="FFF5FBF9"/>
        <bgColor rgb="FFF5FBF9"/>
      </patternFill>
    </fill>
    <fill>
      <patternFill patternType="solid">
        <fgColor rgb="FFA1D9BD"/>
        <bgColor rgb="FFA1D9BD"/>
      </patternFill>
    </fill>
    <fill>
      <patternFill patternType="solid">
        <fgColor rgb="FFCDEBDD"/>
        <bgColor rgb="FFCDEBDD"/>
      </patternFill>
    </fill>
    <fill>
      <patternFill patternType="solid">
        <fgColor rgb="FFF3FAF6"/>
        <bgColor rgb="FFF3FAF6"/>
      </patternFill>
    </fill>
    <fill>
      <patternFill patternType="solid">
        <fgColor rgb="FF83CDA9"/>
        <bgColor rgb="FF83CDA9"/>
      </patternFill>
    </fill>
    <fill>
      <patternFill patternType="solid">
        <fgColor rgb="FFAFDFC7"/>
        <bgColor rgb="FFAFDFC7"/>
      </patternFill>
    </fill>
    <fill>
      <patternFill patternType="solid">
        <fgColor rgb="FF85CEAA"/>
        <bgColor rgb="FF85CEAA"/>
      </patternFill>
    </fill>
    <fill>
      <patternFill patternType="solid">
        <fgColor rgb="FFCDEBDC"/>
        <bgColor rgb="FFCDEBDC"/>
      </patternFill>
    </fill>
    <fill>
      <patternFill patternType="solid">
        <fgColor rgb="FFC9E9D9"/>
        <bgColor rgb="FFC9E9D9"/>
      </patternFill>
    </fill>
    <fill>
      <patternFill patternType="solid">
        <fgColor rgb="FFC9E9DA"/>
        <bgColor rgb="FFC9E9DA"/>
      </patternFill>
    </fill>
    <fill>
      <patternFill patternType="solid">
        <fgColor rgb="FFDEF2E9"/>
        <bgColor rgb="FFDEF2E9"/>
      </patternFill>
    </fill>
    <fill>
      <patternFill patternType="solid">
        <fgColor rgb="FFCBEADB"/>
        <bgColor rgb="FFCBEADB"/>
      </patternFill>
    </fill>
    <fill>
      <patternFill patternType="solid">
        <fgColor rgb="FFC4E8D6"/>
        <bgColor rgb="FFC4E8D6"/>
      </patternFill>
    </fill>
    <fill>
      <patternFill patternType="solid">
        <fgColor rgb="FFDAF0E6"/>
        <bgColor rgb="FFDAF0E6"/>
      </patternFill>
    </fill>
    <fill>
      <patternFill patternType="solid">
        <fgColor rgb="FFE1F3EB"/>
        <bgColor rgb="FFE1F3EB"/>
      </patternFill>
    </fill>
    <fill>
      <patternFill patternType="solid">
        <fgColor rgb="FF93D3B4"/>
        <bgColor rgb="FF93D3B4"/>
      </patternFill>
    </fill>
    <fill>
      <patternFill patternType="solid">
        <fgColor rgb="FF9CD7BA"/>
        <bgColor rgb="FF9CD7BA"/>
      </patternFill>
    </fill>
    <fill>
      <patternFill patternType="solid">
        <fgColor rgb="FFB5E2CC"/>
        <bgColor rgb="FFB5E2CC"/>
      </patternFill>
    </fill>
    <fill>
      <patternFill patternType="solid">
        <fgColor rgb="FF5DBE8E"/>
        <bgColor rgb="FF5DBE8E"/>
      </patternFill>
    </fill>
    <fill>
      <patternFill patternType="solid">
        <fgColor rgb="FFB9E3CF"/>
        <bgColor rgb="FFB9E3CF"/>
      </patternFill>
    </fill>
    <fill>
      <patternFill patternType="solid">
        <fgColor rgb="FFEBF7F2"/>
        <bgColor rgb="FFEBF7F2"/>
      </patternFill>
    </fill>
    <fill>
      <patternFill patternType="solid">
        <fgColor rgb="FF98D5B7"/>
        <bgColor rgb="FF98D5B7"/>
      </patternFill>
    </fill>
    <fill>
      <patternFill patternType="solid">
        <fgColor rgb="FF63C092"/>
        <bgColor rgb="FF63C092"/>
      </patternFill>
    </fill>
    <fill>
      <patternFill patternType="solid">
        <fgColor rgb="FFE9F6EF"/>
        <bgColor rgb="FFE9F6EF"/>
      </patternFill>
    </fill>
    <fill>
      <patternFill patternType="solid">
        <fgColor rgb="FFC9EADA"/>
        <bgColor rgb="FFC9EADA"/>
      </patternFill>
    </fill>
    <fill>
      <patternFill patternType="solid">
        <fgColor rgb="FF5ABD8D"/>
        <bgColor rgb="FF5ABD8D"/>
      </patternFill>
    </fill>
    <fill>
      <patternFill patternType="solid">
        <fgColor rgb="FFDFF3E9"/>
        <bgColor rgb="FFDFF3E9"/>
      </patternFill>
    </fill>
    <fill>
      <patternFill patternType="solid">
        <fgColor rgb="FFCAEADB"/>
        <bgColor rgb="FFCAEADB"/>
      </patternFill>
    </fill>
    <fill>
      <patternFill patternType="solid">
        <fgColor rgb="FF95D4B5"/>
        <bgColor rgb="FF95D4B5"/>
      </patternFill>
    </fill>
    <fill>
      <patternFill patternType="solid">
        <fgColor rgb="FFC5E8D6"/>
        <bgColor rgb="FFC5E8D6"/>
      </patternFill>
    </fill>
    <fill>
      <patternFill patternType="solid">
        <fgColor rgb="FF91D3B3"/>
        <bgColor rgb="FF91D3B3"/>
      </patternFill>
    </fill>
    <fill>
      <patternFill patternType="solid">
        <fgColor rgb="FF6AC398"/>
        <bgColor rgb="FF6AC398"/>
      </patternFill>
    </fill>
    <fill>
      <patternFill patternType="solid">
        <fgColor rgb="FFD9D9D9"/>
        <bgColor rgb="FFD9D9D9"/>
      </patternFill>
    </fill>
    <fill>
      <patternFill patternType="solid">
        <fgColor rgb="FFCCCCCC"/>
        <bgColor rgb="FFCCCCCC"/>
      </patternFill>
    </fill>
    <fill>
      <patternFill patternType="solid">
        <fgColor rgb="FFD9D2E9"/>
        <bgColor rgb="FFD9D2E9"/>
      </patternFill>
    </fill>
    <fill>
      <patternFill patternType="solid">
        <fgColor rgb="FFFCE5CD"/>
        <bgColor rgb="FFFCE5CD"/>
      </patternFill>
    </fill>
    <fill>
      <patternFill patternType="solid">
        <fgColor rgb="FFA4C2F4"/>
        <bgColor rgb="FFA4C2F4"/>
      </patternFill>
    </fill>
    <fill>
      <patternFill patternType="solid">
        <fgColor rgb="FF999999"/>
        <bgColor rgb="FF999999"/>
      </patternFill>
    </fill>
  </fills>
  <borders count="203">
    <border/>
    <border>
      <left style="thick">
        <color rgb="FFF1C232"/>
      </left>
      <right style="thick">
        <color rgb="FFF1C232"/>
      </right>
      <top style="hair">
        <color rgb="FFF1C232"/>
      </top>
      <bottom style="hair">
        <color rgb="FFF1C232"/>
      </bottom>
    </border>
    <border>
      <left style="thick">
        <color rgb="FFB7B7B7"/>
      </left>
      <top style="thick">
        <color rgb="FFB7B7B7"/>
      </top>
      <bottom style="thick">
        <color rgb="FFD9D9D9"/>
      </bottom>
    </border>
    <border>
      <top style="thick">
        <color rgb="FFB7B7B7"/>
      </top>
      <bottom style="thick">
        <color rgb="FFD9D9D9"/>
      </bottom>
    </border>
    <border>
      <right style="thick">
        <color rgb="FFD9D9D9"/>
      </right>
      <top style="thick">
        <color rgb="FFB7B7B7"/>
      </top>
      <bottom style="thick">
        <color rgb="FFD9D9D9"/>
      </bottom>
    </border>
    <border>
      <left style="thick">
        <color rgb="FF93C47D"/>
      </left>
      <top style="thick">
        <color rgb="FF93C47D"/>
      </top>
      <bottom style="thick">
        <color rgb="FFB6D7A8"/>
      </bottom>
    </border>
    <border>
      <top style="thick">
        <color rgb="FF93C47D"/>
      </top>
      <bottom style="thick">
        <color rgb="FFB6D7A8"/>
      </bottom>
    </border>
    <border>
      <right style="thick">
        <color rgb="FFB6D7A8"/>
      </right>
      <top style="thick">
        <color rgb="FF93C47D"/>
      </top>
      <bottom style="thick">
        <color rgb="FFB6D7A8"/>
      </bottom>
    </border>
    <border>
      <left style="thick">
        <color rgb="FFCC4125"/>
      </left>
      <top style="thick">
        <color rgb="FFCC4125"/>
      </top>
      <bottom style="thick">
        <color rgb="FFEA9999"/>
      </bottom>
    </border>
    <border>
      <top style="thick">
        <color rgb="FFCC4125"/>
      </top>
      <bottom style="thick">
        <color rgb="FFEA9999"/>
      </bottom>
    </border>
    <border>
      <right style="thick">
        <color rgb="FFEA9999"/>
      </right>
      <top style="thick">
        <color rgb="FFCC4125"/>
      </top>
      <bottom style="thick">
        <color rgb="FFEA9999"/>
      </bottom>
    </border>
    <border>
      <left style="dotted">
        <color rgb="FF0000FF"/>
      </left>
      <top style="dotted">
        <color rgb="FF0000FF"/>
      </top>
      <bottom style="dotted">
        <color rgb="FF0000FF"/>
      </bottom>
    </border>
    <border>
      <top style="dotted">
        <color rgb="FF0000FF"/>
      </top>
      <bottom style="dotted">
        <color rgb="FF0000FF"/>
      </bottom>
    </border>
    <border>
      <right style="dotted">
        <color rgb="FF0000FF"/>
      </right>
      <top style="dotted">
        <color rgb="FF0000FF"/>
      </top>
      <bottom style="dotted">
        <color rgb="FF0000FF"/>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right style="double">
        <color rgb="FF000000"/>
      </right>
    </border>
    <border>
      <left style="double">
        <color rgb="FF000000"/>
      </left>
      <right style="double">
        <color rgb="FF000000"/>
      </right>
    </border>
    <border>
      <left style="double">
        <color rgb="FF000000"/>
      </left>
      <right style="medium">
        <color rgb="FF000000"/>
      </right>
    </border>
    <border>
      <left style="medium">
        <color rgb="FF000000"/>
      </left>
      <top style="dotted">
        <color rgb="FF000000"/>
      </top>
      <bottom style="dotted">
        <color rgb="FF000000"/>
      </bottom>
    </border>
    <border>
      <top style="dotted">
        <color rgb="FF000000"/>
      </top>
      <bottom style="dotted">
        <color rgb="FF000000"/>
      </bottom>
    </border>
    <border>
      <right style="medium">
        <color rgb="FF000000"/>
      </right>
      <top style="dotted">
        <color rgb="FF000000"/>
      </top>
      <bottom style="dotted">
        <color rgb="FF000000"/>
      </bottom>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
      <left style="medium">
        <color rgb="FF000000"/>
      </left>
      <right style="hair">
        <color rgb="FF999999"/>
      </right>
      <top style="medium">
        <color rgb="FF000000"/>
      </top>
      <bottom style="hair">
        <color rgb="FF999999"/>
      </bottom>
    </border>
    <border>
      <left style="hair">
        <color rgb="FF999999"/>
      </left>
      <right style="hair">
        <color rgb="FF999999"/>
      </right>
      <top style="medium">
        <color rgb="FF000000"/>
      </top>
      <bottom style="hair">
        <color rgb="FF999999"/>
      </bottom>
    </border>
    <border>
      <left style="hair">
        <color rgb="FF999999"/>
      </left>
      <right style="medium">
        <color rgb="FF000000"/>
      </right>
      <top style="medium">
        <color rgb="FF000000"/>
      </top>
      <bottom style="hair">
        <color rgb="FF999999"/>
      </bottom>
    </border>
    <border>
      <left style="medium">
        <color rgb="FF000000"/>
      </left>
      <right style="hair">
        <color rgb="FF999999"/>
      </right>
      <top style="double">
        <color rgb="FF999999"/>
      </top>
      <bottom style="hair">
        <color rgb="FF999999"/>
      </bottom>
    </border>
    <border>
      <left style="hair">
        <color rgb="FF999999"/>
      </left>
      <top style="double">
        <color rgb="FF999999"/>
      </top>
      <bottom style="hair">
        <color rgb="FF999999"/>
      </bottom>
    </border>
    <border>
      <left style="thin">
        <color rgb="FF000000"/>
      </left>
      <right style="thin">
        <color rgb="FF000000"/>
      </right>
      <top style="double">
        <color rgb="FF999999"/>
      </top>
      <bottom style="hair">
        <color rgb="FF999999"/>
      </bottom>
    </border>
    <border>
      <left style="thin">
        <color rgb="FF000000"/>
      </left>
      <right style="medium">
        <color rgb="FF000000"/>
      </right>
      <top style="double">
        <color rgb="FF999999"/>
      </top>
      <bottom style="hair">
        <color rgb="FF999999"/>
      </bottom>
    </border>
    <border>
      <left style="medium">
        <color rgb="FF000000"/>
      </left>
      <top style="double">
        <color rgb="FF999999"/>
      </top>
      <bottom style="hair">
        <color rgb="FF999999"/>
      </bottom>
    </border>
    <border>
      <right style="hair">
        <color rgb="FF999999"/>
      </right>
      <top style="double">
        <color rgb="FF999999"/>
      </top>
      <bottom style="hair">
        <color rgb="FF999999"/>
      </bottom>
    </border>
    <border>
      <left style="hair">
        <color rgb="FF999999"/>
      </left>
      <right style="hair">
        <color rgb="FF999999"/>
      </right>
      <top style="double">
        <color rgb="FF999999"/>
      </top>
      <bottom style="hair">
        <color rgb="FF999999"/>
      </bottom>
    </border>
    <border>
      <left style="medium">
        <color rgb="FF000000"/>
      </left>
      <right style="hair">
        <color rgb="FF999999"/>
      </right>
      <top style="hair">
        <color rgb="FF999999"/>
      </top>
      <bottom style="hair">
        <color rgb="FF999999"/>
      </bottom>
    </border>
    <border>
      <left style="hair">
        <color rgb="FF999999"/>
      </left>
      <top style="hair">
        <color rgb="FF999999"/>
      </top>
      <bottom style="hair">
        <color rgb="FF999999"/>
      </bottom>
    </border>
    <border>
      <left style="thin">
        <color rgb="FF000000"/>
      </left>
      <right style="thin">
        <color rgb="FF000000"/>
      </right>
      <top style="hair">
        <color rgb="FF999999"/>
      </top>
      <bottom style="hair">
        <color rgb="FF999999"/>
      </bottom>
    </border>
    <border>
      <left style="thin">
        <color rgb="FF000000"/>
      </left>
      <right style="medium">
        <color rgb="FF000000"/>
      </right>
      <top style="hair">
        <color rgb="FF999999"/>
      </top>
      <bottom style="hair">
        <color rgb="FF999999"/>
      </bottom>
    </border>
    <border>
      <left style="medium">
        <color rgb="FF000000"/>
      </left>
      <top style="hair">
        <color rgb="FF999999"/>
      </top>
      <bottom style="hair">
        <color rgb="FF999999"/>
      </bottom>
    </border>
    <border>
      <right style="hair">
        <color rgb="FF999999"/>
      </right>
      <top style="hair">
        <color rgb="FF999999"/>
      </top>
      <bottom style="hair">
        <color rgb="FF999999"/>
      </bottom>
    </border>
    <border>
      <left style="hair">
        <color rgb="FF999999"/>
      </left>
      <right style="hair">
        <color rgb="FF999999"/>
      </right>
      <top style="hair">
        <color rgb="FF999999"/>
      </top>
      <bottom style="hair">
        <color rgb="FF999999"/>
      </bottom>
    </border>
    <border>
      <left style="medium">
        <color rgb="FF000000"/>
      </left>
      <right style="hair">
        <color rgb="FF999999"/>
      </right>
      <bottom style="hair">
        <color rgb="FF999999"/>
      </bottom>
    </border>
    <border>
      <left style="hair">
        <color rgb="FF999999"/>
      </left>
      <bottom style="hair">
        <color rgb="FF999999"/>
      </bottom>
    </border>
    <border>
      <left style="thin">
        <color rgb="FF000000"/>
      </left>
      <right style="thin">
        <color rgb="FF000000"/>
      </right>
      <bottom style="hair">
        <color rgb="FF999999"/>
      </bottom>
    </border>
    <border>
      <left style="thin">
        <color rgb="FF000000"/>
      </left>
      <right style="medium">
        <color rgb="FF000000"/>
      </right>
      <bottom style="hair">
        <color rgb="FF999999"/>
      </bottom>
    </border>
    <border>
      <left style="medium">
        <color rgb="FF000000"/>
      </left>
      <bottom style="hair">
        <color rgb="FF999999"/>
      </bottom>
    </border>
    <border>
      <right style="hair">
        <color rgb="FF999999"/>
      </right>
      <bottom style="hair">
        <color rgb="FF999999"/>
      </bottom>
    </border>
    <border>
      <left style="hair">
        <color rgb="FF999999"/>
      </left>
      <right style="hair">
        <color rgb="FF999999"/>
      </right>
      <bottom style="hair">
        <color rgb="FF999999"/>
      </bottom>
    </border>
    <border>
      <right style="medium">
        <color rgb="FF000000"/>
      </right>
    </border>
    <border>
      <left style="thin">
        <color rgb="FF000000"/>
      </left>
    </border>
    <border>
      <left style="medium">
        <color rgb="FF000000"/>
      </left>
      <right style="hair">
        <color rgb="FF999999"/>
      </right>
      <top style="hair">
        <color rgb="FF999999"/>
      </top>
    </border>
    <border>
      <left style="hair">
        <color rgb="FF999999"/>
      </left>
      <top style="hair">
        <color rgb="FF999999"/>
      </top>
    </border>
    <border>
      <left style="thin">
        <color rgb="FF000000"/>
      </left>
      <right style="thin">
        <color rgb="FF000000"/>
      </right>
      <top style="hair">
        <color rgb="FF999999"/>
      </top>
    </border>
    <border>
      <left style="thin">
        <color rgb="FF000000"/>
      </left>
      <right style="medium">
        <color rgb="FF000000"/>
      </right>
      <top style="hair">
        <color rgb="FF999999"/>
      </top>
    </border>
    <border>
      <left style="medium">
        <color rgb="FF000000"/>
      </left>
      <top style="hair">
        <color rgb="FF999999"/>
      </top>
    </border>
    <border>
      <right style="hair">
        <color rgb="FF999999"/>
      </right>
      <top style="hair">
        <color rgb="FF999999"/>
      </top>
    </border>
    <border>
      <left style="hair">
        <color rgb="FF999999"/>
      </left>
      <right style="hair">
        <color rgb="FF999999"/>
      </right>
      <top style="hair">
        <color rgb="FF999999"/>
      </top>
    </border>
    <border>
      <left style="medium">
        <color rgb="FF000000"/>
      </left>
      <right style="hair">
        <color rgb="FF999999"/>
      </right>
    </border>
    <border>
      <left style="hair">
        <color rgb="FF999999"/>
      </left>
    </border>
    <border>
      <left style="thin">
        <color rgb="FF000000"/>
      </left>
      <right style="thin">
        <color rgb="FF000000"/>
      </right>
    </border>
    <border>
      <left style="thin">
        <color rgb="FF000000"/>
      </left>
      <right style="medium">
        <color rgb="FF000000"/>
      </right>
    </border>
    <border>
      <left style="medium">
        <color rgb="FF000000"/>
      </left>
    </border>
    <border>
      <right style="hair">
        <color rgb="FF999999"/>
      </right>
    </border>
    <border>
      <left style="hair">
        <color rgb="FF999999"/>
      </left>
      <right style="hair">
        <color rgb="FF999999"/>
      </right>
    </border>
    <border>
      <left style="hair">
        <color rgb="FF999999"/>
      </left>
      <top style="hair">
        <color rgb="FF999999"/>
      </top>
      <bottom style="double">
        <color rgb="FF999999"/>
      </bottom>
    </border>
    <border>
      <left style="medium">
        <color rgb="FF000000"/>
      </left>
      <right style="hair">
        <color rgb="FF999999"/>
      </right>
      <top style="double">
        <color rgb="FF999999"/>
      </top>
    </border>
    <border>
      <left style="medium">
        <color rgb="FF000000"/>
      </left>
      <right style="hair">
        <color rgb="FF999999"/>
      </right>
      <top style="hair">
        <color rgb="FF999999"/>
      </top>
      <bottom style="double">
        <color rgb="FF999999"/>
      </bottom>
    </border>
    <border>
      <left style="thin">
        <color rgb="FF000000"/>
      </left>
      <right style="thin">
        <color rgb="FF000000"/>
      </right>
      <top style="hair">
        <color rgb="FF999999"/>
      </top>
      <bottom style="double">
        <color rgb="FF999999"/>
      </bottom>
    </border>
    <border>
      <left style="thin">
        <color rgb="FF000000"/>
      </left>
      <right style="medium">
        <color rgb="FF000000"/>
      </right>
      <top style="hair">
        <color rgb="FF999999"/>
      </top>
      <bottom style="double">
        <color rgb="FF999999"/>
      </bottom>
    </border>
    <border>
      <left style="medium">
        <color rgb="FF000000"/>
      </left>
      <top style="hair">
        <color rgb="FF999999"/>
      </top>
      <bottom style="double">
        <color rgb="FF999999"/>
      </bottom>
    </border>
    <border>
      <right style="hair">
        <color rgb="FF999999"/>
      </right>
      <top style="hair">
        <color rgb="FF999999"/>
      </top>
      <bottom style="double">
        <color rgb="FF999999"/>
      </bottom>
    </border>
    <border>
      <left style="hair">
        <color rgb="FF999999"/>
      </left>
      <right style="hair">
        <color rgb="FF999999"/>
      </right>
      <top style="hair">
        <color rgb="FF999999"/>
      </top>
      <bottom style="double">
        <color rgb="FF999999"/>
      </bottom>
    </border>
    <border>
      <left style="medium">
        <color rgb="FF000000"/>
      </left>
      <right style="hair">
        <color rgb="FF999999"/>
      </right>
      <bottom style="medium">
        <color rgb="FF000000"/>
      </bottom>
    </border>
    <border>
      <left style="hair">
        <color rgb="FF999999"/>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bottom style="medium">
        <color rgb="FF000000"/>
      </bottom>
    </border>
    <border>
      <right style="hair">
        <color rgb="FF999999"/>
      </right>
      <bottom style="medium">
        <color rgb="FF000000"/>
      </bottom>
    </border>
    <border>
      <left style="hair">
        <color rgb="FF999999"/>
      </left>
      <right style="hair">
        <color rgb="FF999999"/>
      </right>
      <bottom style="medium">
        <color rgb="FF000000"/>
      </bottom>
    </border>
    <border>
      <left style="medium">
        <color rgb="FF000000"/>
      </left>
      <right style="thin">
        <color rgb="FF000000"/>
      </right>
      <top style="double">
        <color rgb="FF999999"/>
      </top>
      <bottom style="hair">
        <color rgb="FF999999"/>
      </bottom>
    </border>
    <border>
      <left style="hair">
        <color rgb="FF999999"/>
      </left>
      <right style="medium">
        <color rgb="FF000000"/>
      </right>
      <top style="double">
        <color rgb="FF999999"/>
      </top>
      <bottom style="hair">
        <color rgb="FF999999"/>
      </bottom>
    </border>
    <border>
      <left style="medium">
        <color rgb="FF000000"/>
      </left>
      <right style="thin">
        <color rgb="FF000000"/>
      </right>
      <bottom style="hair">
        <color rgb="FF999999"/>
      </bottom>
    </border>
    <border>
      <left style="hair">
        <color rgb="FF999999"/>
      </left>
      <right style="medium">
        <color rgb="FF000000"/>
      </right>
      <bottom style="hair">
        <color rgb="FF999999"/>
      </bottom>
    </border>
    <border>
      <left style="medium">
        <color rgb="FF000000"/>
      </left>
      <right style="thin">
        <color rgb="FF000000"/>
      </right>
      <top style="hair">
        <color rgb="FF999999"/>
      </top>
      <bottom style="hair">
        <color rgb="FF999999"/>
      </bottom>
    </border>
    <border>
      <left style="hair">
        <color rgb="FF999999"/>
      </left>
      <right style="medium">
        <color rgb="FF000000"/>
      </right>
      <top style="hair">
        <color rgb="FF999999"/>
      </top>
      <bottom style="hair">
        <color rgb="FF999999"/>
      </bottom>
    </border>
    <border>
      <top style="hair">
        <color rgb="FF999999"/>
      </top>
      <bottom style="hair">
        <color rgb="FF999999"/>
      </bottom>
    </border>
    <border>
      <right style="thin">
        <color rgb="FF000000"/>
      </right>
      <top style="hair">
        <color rgb="FF999999"/>
      </top>
      <bottom style="hair">
        <color rgb="FF999999"/>
      </bottom>
    </border>
    <border>
      <right style="medium">
        <color rgb="FF000000"/>
      </right>
      <top style="hair">
        <color rgb="FF999999"/>
      </top>
      <bottom style="hair">
        <color rgb="FF999999"/>
      </bottom>
    </border>
    <border>
      <bottom style="hair">
        <color rgb="FF999999"/>
      </bottom>
    </border>
    <border>
      <right style="medium">
        <color rgb="FF000000"/>
      </right>
      <bottom style="hair">
        <color rgb="FF999999"/>
      </bottom>
    </border>
    <border>
      <left style="hair">
        <color rgb="FF999999"/>
      </left>
      <top style="hair">
        <color rgb="FFB7B7B7"/>
      </top>
      <bottom style="hair">
        <color rgb="FF999999"/>
      </bottom>
    </border>
    <border>
      <left style="thin">
        <color rgb="FF000000"/>
      </left>
      <right style="thin">
        <color rgb="FF000000"/>
      </right>
      <top style="hair">
        <color rgb="FFB7B7B7"/>
      </top>
      <bottom style="hair">
        <color rgb="FF999999"/>
      </bottom>
    </border>
    <border>
      <left style="thin">
        <color rgb="FF000000"/>
      </left>
      <right style="medium">
        <color rgb="FF000000"/>
      </right>
      <top style="hair">
        <color rgb="FFB7B7B7"/>
      </top>
      <bottom style="hair">
        <color rgb="FF999999"/>
      </bottom>
    </border>
    <border>
      <left style="medium">
        <color rgb="FF000000"/>
      </left>
      <right style="thin">
        <color rgb="FF000000"/>
      </right>
      <top style="hair">
        <color rgb="FFB7B7B7"/>
      </top>
      <bottom style="hair">
        <color rgb="FF999999"/>
      </bottom>
    </border>
    <border>
      <right style="hair">
        <color rgb="FF999999"/>
      </right>
      <top style="hair">
        <color rgb="FFB7B7B7"/>
      </top>
      <bottom style="hair">
        <color rgb="FF999999"/>
      </bottom>
    </border>
    <border>
      <left style="hair">
        <color rgb="FF999999"/>
      </left>
      <right style="hair">
        <color rgb="FF999999"/>
      </right>
      <top style="hair">
        <color rgb="FFB7B7B7"/>
      </top>
      <bottom style="hair">
        <color rgb="FF999999"/>
      </bottom>
    </border>
    <border>
      <left style="hair">
        <color rgb="FF999999"/>
      </left>
      <right style="medium">
        <color rgb="FF000000"/>
      </right>
      <top style="hair">
        <color rgb="FFB7B7B7"/>
      </top>
      <bottom style="hair">
        <color rgb="FF999999"/>
      </bottom>
    </border>
    <border>
      <left style="thin">
        <color rgb="FF000000"/>
      </left>
      <right style="thin">
        <color rgb="FF000000"/>
      </right>
      <top style="double">
        <color rgb="FF999999"/>
      </top>
    </border>
    <border>
      <left style="thin">
        <color rgb="FF000000"/>
      </left>
      <right style="medium">
        <color rgb="FF000000"/>
      </right>
      <top style="double">
        <color rgb="FF999999"/>
      </top>
    </border>
    <border>
      <left style="medium">
        <color rgb="FF000000"/>
      </left>
      <right style="thin">
        <color rgb="FF000000"/>
      </right>
      <top style="double">
        <color rgb="FF999999"/>
      </top>
    </border>
    <border>
      <right style="hair">
        <color rgb="FF999999"/>
      </right>
      <top style="double">
        <color rgb="FF999999"/>
      </top>
    </border>
    <border>
      <left style="hair">
        <color rgb="FF999999"/>
      </left>
      <right style="hair">
        <color rgb="FF999999"/>
      </right>
      <top style="double">
        <color rgb="FF999999"/>
      </top>
    </border>
    <border>
      <left style="hair">
        <color rgb="FF999999"/>
      </left>
      <right style="medium">
        <color rgb="FF000000"/>
      </right>
      <top style="double">
        <color rgb="FF999999"/>
      </top>
    </border>
    <border>
      <left style="medium">
        <color rgb="FF000000"/>
      </left>
      <right style="thin">
        <color rgb="FF000000"/>
      </right>
    </border>
    <border>
      <left style="hair">
        <color rgb="FF999999"/>
      </left>
      <right style="medium">
        <color rgb="FF000000"/>
      </right>
    </border>
    <border>
      <left style="medium">
        <color rgb="FF000000"/>
      </left>
      <right style="thin">
        <color rgb="FF000000"/>
      </right>
      <top style="hair">
        <color rgb="FF999999"/>
      </top>
    </border>
    <border>
      <left style="hair">
        <color rgb="FF999999"/>
      </left>
      <right style="medium">
        <color rgb="FF000000"/>
      </right>
      <top style="hair">
        <color rgb="FF999999"/>
      </top>
    </border>
    <border>
      <left style="medium">
        <color rgb="FF000000"/>
      </left>
      <right style="hair">
        <color rgb="FF999999"/>
      </right>
      <top style="double">
        <color rgb="FF999999"/>
      </top>
      <bottom style="medium">
        <color rgb="FF000000"/>
      </bottom>
    </border>
    <border>
      <left style="hair">
        <color rgb="FF999999"/>
      </left>
      <top style="double">
        <color rgb="FF999999"/>
      </top>
      <bottom style="medium">
        <color rgb="FF000000"/>
      </bottom>
    </border>
    <border>
      <top style="double">
        <color rgb="FF999999"/>
      </top>
      <bottom style="medium">
        <color rgb="FF000000"/>
      </bottom>
    </border>
    <border>
      <right style="medium">
        <color rgb="FF000000"/>
      </right>
      <top style="double">
        <color rgb="FF999999"/>
      </top>
      <bottom style="medium">
        <color rgb="FF000000"/>
      </bottom>
    </border>
    <border>
      <left style="medium">
        <color rgb="FF000000"/>
      </left>
      <top style="double">
        <color rgb="FF999999"/>
      </top>
      <bottom style="medium">
        <color rgb="FF000000"/>
      </bottom>
    </border>
    <border>
      <right style="medium">
        <color rgb="FF000000"/>
      </right>
      <top style="double">
        <color rgb="FF999999"/>
      </top>
      <bottom style="hair">
        <color rgb="FF999999"/>
      </bottom>
    </border>
    <border>
      <right style="medium">
        <color rgb="FF000000"/>
      </right>
      <top style="hair">
        <color rgb="FF999999"/>
      </top>
    </border>
    <border>
      <right style="medium">
        <color rgb="FF000000"/>
      </right>
      <top style="double">
        <color rgb="FF999999"/>
      </top>
    </border>
    <border>
      <left style="medium">
        <color rgb="FF000000"/>
      </left>
      <top style="double">
        <color rgb="FF999999"/>
      </top>
    </border>
    <border>
      <left style="hair">
        <color rgb="FF999999"/>
      </left>
      <top style="double">
        <color rgb="FF999999"/>
      </top>
    </border>
    <border>
      <right style="medium">
        <color rgb="FF000000"/>
      </right>
      <top style="hair">
        <color rgb="FFB7B7B7"/>
      </top>
      <bottom style="hair">
        <color rgb="FF999999"/>
      </bottom>
    </border>
    <border>
      <left style="medium">
        <color rgb="FF000000"/>
      </left>
      <top style="hair">
        <color rgb="FFB7B7B7"/>
      </top>
      <bottom style="hair">
        <color rgb="FF999999"/>
      </bottom>
    </border>
    <border>
      <top style="double">
        <color rgb="FF999999"/>
      </top>
      <bottom style="hair">
        <color rgb="FF999999"/>
      </bottom>
    </border>
    <border>
      <left style="medium">
        <color rgb="FF000000"/>
      </left>
      <right style="hair">
        <color rgb="FF999999"/>
      </right>
      <top style="hair">
        <color rgb="FF999999"/>
      </top>
      <bottom style="medium">
        <color rgb="FF000000"/>
      </bottom>
    </border>
    <border>
      <left style="hair">
        <color rgb="FF999999"/>
      </left>
      <top style="hair">
        <color rgb="FF999999"/>
      </top>
      <bottom style="medium">
        <color rgb="FF000000"/>
      </bottom>
    </border>
    <border>
      <left style="thin">
        <color rgb="FF000000"/>
      </left>
      <right style="thin">
        <color rgb="FF000000"/>
      </right>
      <top style="hair">
        <color rgb="FF999999"/>
      </top>
      <bottom style="medium">
        <color rgb="FF000000"/>
      </bottom>
    </border>
    <border>
      <right style="medium">
        <color rgb="FF000000"/>
      </right>
      <top style="hair">
        <color rgb="FF999999"/>
      </top>
      <bottom style="medium">
        <color rgb="FF000000"/>
      </bottom>
    </border>
    <border>
      <left style="medium">
        <color rgb="FF000000"/>
      </left>
      <top style="hair">
        <color rgb="FF999999"/>
      </top>
      <bottom style="medium">
        <color rgb="FF000000"/>
      </bottom>
    </border>
    <border>
      <right style="hair">
        <color rgb="FF999999"/>
      </right>
      <top style="hair">
        <color rgb="FF999999"/>
      </top>
      <bottom style="medium">
        <color rgb="FF000000"/>
      </bottom>
    </border>
    <border>
      <left style="hair">
        <color rgb="FF999999"/>
      </left>
      <right style="hair">
        <color rgb="FF999999"/>
      </right>
      <top style="hair">
        <color rgb="FF999999"/>
      </top>
      <bottom style="medium">
        <color rgb="FF000000"/>
      </bottom>
    </border>
    <border>
      <left style="medium">
        <color rgb="FF000000"/>
      </left>
      <right style="hair">
        <color rgb="FF999999"/>
      </right>
      <top style="medium">
        <color rgb="FF000000"/>
      </top>
    </border>
    <border>
      <left style="hair">
        <color rgb="FF999999"/>
      </left>
      <right style="hair">
        <color rgb="FF999999"/>
      </right>
      <top style="medium">
        <color rgb="FF000000"/>
      </top>
    </border>
    <border>
      <left style="hair">
        <color rgb="FF999999"/>
      </left>
      <right style="medium">
        <color rgb="FF000000"/>
      </right>
      <top style="medium">
        <color rgb="FF000000"/>
      </top>
    </border>
    <border>
      <top style="medium">
        <color rgb="FF000000"/>
      </top>
    </border>
    <border>
      <left style="medium">
        <color rgb="FF000000"/>
      </left>
      <right style="medium">
        <color rgb="FF000000"/>
      </right>
    </border>
    <border>
      <left style="hair">
        <color rgb="FF999999"/>
      </left>
      <right style="medium">
        <color rgb="FF000000"/>
      </right>
      <top style="hair">
        <color rgb="FF999999"/>
      </top>
      <bottom style="medium">
        <color rgb="FF000000"/>
      </bottom>
    </border>
    <border>
      <left style="thin">
        <color rgb="FF000000"/>
      </left>
      <top style="thin">
        <color rgb="FF000000"/>
      </top>
    </border>
    <border>
      <right style="thin">
        <color rgb="FF000000"/>
      </right>
      <top style="thin">
        <color rgb="FF000000"/>
      </top>
    </border>
    <border>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medium">
        <color rgb="FF000000"/>
      </left>
      <right style="hair">
        <color rgb="FF999999"/>
      </right>
      <top style="medium">
        <color rgb="FF000000"/>
      </top>
      <bottom style="double">
        <color rgb="FF000000"/>
      </bottom>
    </border>
    <border>
      <left style="hair">
        <color rgb="FF999999"/>
      </left>
      <right style="hair">
        <color rgb="FF999999"/>
      </right>
      <top style="medium">
        <color rgb="FF000000"/>
      </top>
      <bottom style="double">
        <color rgb="FF000000"/>
      </bottom>
    </border>
    <border>
      <left style="hair">
        <color rgb="FF999999"/>
      </left>
      <top style="medium">
        <color rgb="FF000000"/>
      </top>
      <bottom style="double">
        <color rgb="FF000000"/>
      </bottom>
    </border>
    <border>
      <right style="medium">
        <color rgb="FF000000"/>
      </right>
      <top style="medium">
        <color rgb="FF000000"/>
      </top>
      <bottom style="double">
        <color rgb="FF000000"/>
      </bottom>
    </border>
    <border>
      <left style="hair">
        <color rgb="FF999999"/>
      </left>
      <right style="medium">
        <color rgb="FF000000"/>
      </right>
      <top style="medium">
        <color rgb="FF000000"/>
      </top>
      <bottom style="double">
        <color rgb="FF000000"/>
      </bottom>
    </border>
    <border>
      <left style="hair">
        <color rgb="FF999999"/>
      </left>
      <right style="hair">
        <color rgb="FF999999"/>
      </right>
      <bottom style="double">
        <color rgb="FF999999"/>
      </bottom>
    </border>
    <border>
      <left style="hair">
        <color rgb="FF999999"/>
      </left>
      <bottom style="double">
        <color rgb="FF999999"/>
      </bottom>
    </border>
    <border>
      <left style="hair">
        <color rgb="FF999999"/>
      </left>
      <right style="medium">
        <color rgb="FF000000"/>
      </right>
      <top style="hair">
        <color rgb="FF999999"/>
      </top>
      <bottom style="double">
        <color rgb="FF999999"/>
      </bottom>
    </border>
    <border>
      <right style="thin">
        <color rgb="FF000000"/>
      </right>
      <top style="double">
        <color rgb="FF999999"/>
      </top>
      <bottom style="hair">
        <color rgb="FF999999"/>
      </bottom>
    </border>
    <border>
      <right style="thin">
        <color rgb="FF000000"/>
      </right>
      <bottom style="hair">
        <color rgb="FF999999"/>
      </bottom>
    </border>
    <border>
      <right style="medium">
        <color rgb="FF000000"/>
      </right>
      <top style="medium">
        <color rgb="FF000000"/>
      </top>
      <bottom style="hair">
        <color rgb="FF999999"/>
      </bottom>
    </border>
    <border>
      <top style="medium">
        <color rgb="FF000000"/>
      </top>
      <bottom style="hair">
        <color rgb="FF999999"/>
      </bottom>
    </border>
    <border>
      <right style="hair">
        <color rgb="FF999999"/>
      </right>
      <top style="medium">
        <color rgb="FF000000"/>
      </top>
      <bottom style="hair">
        <color rgb="FF999999"/>
      </bottom>
    </border>
    <border>
      <left style="medium">
        <color rgb="FF000000"/>
      </left>
      <top style="medium">
        <color rgb="FF000000"/>
      </top>
    </border>
    <border>
      <right style="medium">
        <color rgb="FF000000"/>
      </right>
      <top style="medium">
        <color rgb="FF000000"/>
      </top>
    </border>
    <border>
      <left style="medium">
        <color rgb="FF000000"/>
      </left>
      <right style="dotted">
        <color rgb="FFB7B7B7"/>
      </right>
      <top style="double">
        <color rgb="FFB7B7B7"/>
      </top>
      <bottom style="dotted">
        <color rgb="FFB7B7B7"/>
      </bottom>
    </border>
    <border>
      <left style="dotted">
        <color rgb="FFB7B7B7"/>
      </left>
      <right style="dotted">
        <color rgb="FFB7B7B7"/>
      </right>
      <top style="double">
        <color rgb="FFB7B7B7"/>
      </top>
      <bottom style="dotted">
        <color rgb="FFB7B7B7"/>
      </bottom>
    </border>
    <border>
      <left style="dotted">
        <color rgb="FFB7B7B7"/>
      </left>
      <right style="medium">
        <color rgb="FF000000"/>
      </right>
      <top style="double">
        <color rgb="FFB7B7B7"/>
      </top>
      <bottom style="dotted">
        <color rgb="FFB7B7B7"/>
      </bottom>
    </border>
    <border>
      <left style="medium">
        <color rgb="FF000000"/>
      </left>
      <bottom style="dotted">
        <color rgb="FFB7B7B7"/>
      </bottom>
    </border>
    <border>
      <bottom style="dotted">
        <color rgb="FFB7B7B7"/>
      </bottom>
    </border>
    <border>
      <right style="medium">
        <color rgb="FF000000"/>
      </right>
      <bottom style="dotted">
        <color rgb="FFB7B7B7"/>
      </bottom>
    </border>
    <border>
      <left style="medium">
        <color rgb="FF000000"/>
      </left>
      <right style="dotted">
        <color rgb="FFB7B7B7"/>
      </right>
      <top style="dotted">
        <color rgb="FFB7B7B7"/>
      </top>
      <bottom style="dotted">
        <color rgb="FFB7B7B7"/>
      </bottom>
    </border>
    <border>
      <left style="dotted">
        <color rgb="FFB7B7B7"/>
      </left>
      <right style="dotted">
        <color rgb="FFB7B7B7"/>
      </right>
      <top style="dotted">
        <color rgb="FFB7B7B7"/>
      </top>
      <bottom style="dotted">
        <color rgb="FFB7B7B7"/>
      </bottom>
    </border>
    <border>
      <left style="dotted">
        <color rgb="FFB7B7B7"/>
      </left>
      <right style="medium">
        <color rgb="FF000000"/>
      </right>
      <top style="dotted">
        <color rgb="FFB7B7B7"/>
      </top>
      <bottom style="dotted">
        <color rgb="FFB7B7B7"/>
      </bottom>
    </border>
    <border>
      <left style="medium">
        <color rgb="FF000000"/>
      </left>
      <top style="double">
        <color rgb="FFFFD966"/>
      </top>
      <bottom style="double">
        <color rgb="FFFFD966"/>
      </bottom>
    </border>
    <border>
      <top style="double">
        <color rgb="FFFFD966"/>
      </top>
      <bottom style="double">
        <color rgb="FFFFD966"/>
      </bottom>
    </border>
    <border>
      <right style="medium">
        <color rgb="FF000000"/>
      </right>
      <top style="double">
        <color rgb="FFFFD966"/>
      </top>
      <bottom style="double">
        <color rgb="FFFFD966"/>
      </bottom>
    </border>
    <border>
      <left style="medium">
        <color rgb="FF000000"/>
      </left>
      <right style="dotted">
        <color rgb="FFB7B7B7"/>
      </right>
      <bottom style="medium">
        <color rgb="FF000000"/>
      </bottom>
    </border>
    <border>
      <left style="dotted">
        <color rgb="FFB7B7B7"/>
      </left>
      <right style="dotted">
        <color rgb="FFB7B7B7"/>
      </right>
      <bottom style="medium">
        <color rgb="FF000000"/>
      </bottom>
    </border>
    <border>
      <left style="dotted">
        <color rgb="FFB7B7B7"/>
      </left>
      <right style="medium">
        <color rgb="FF000000"/>
      </right>
      <bottom style="medium">
        <color rgb="FF000000"/>
      </bottom>
    </border>
    <border>
      <left style="hair">
        <color rgb="FF999999"/>
      </left>
      <top style="medium">
        <color rgb="FF000000"/>
      </top>
    </border>
    <border>
      <right style="hair">
        <color rgb="FF999999"/>
      </right>
      <top style="medium">
        <color rgb="FF000000"/>
      </top>
    </border>
    <border>
      <left style="thin">
        <color rgb="FF000000"/>
      </lef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double">
        <color rgb="FF000000"/>
      </top>
    </border>
    <border>
      <right style="hair">
        <color rgb="FF999999"/>
      </right>
      <top style="double">
        <color rgb="FF000000"/>
      </top>
      <bottom style="hair">
        <color rgb="FF999999"/>
      </bottom>
    </border>
    <border>
      <left style="hair">
        <color rgb="FF999999"/>
      </left>
      <right style="hair">
        <color rgb="FF999999"/>
      </right>
      <top style="double">
        <color rgb="FF000000"/>
      </top>
      <bottom style="hair">
        <color rgb="FF999999"/>
      </bottom>
    </border>
    <border>
      <left style="hair">
        <color rgb="FF999999"/>
      </left>
      <top style="double">
        <color rgb="FF000000"/>
      </top>
      <bottom style="hair">
        <color rgb="FF999999"/>
      </bottom>
    </border>
    <border>
      <left style="hair">
        <color rgb="FF999999"/>
      </left>
      <right style="medium">
        <color rgb="FF000000"/>
      </right>
      <top style="double">
        <color rgb="FF000000"/>
      </top>
      <bottom style="hair">
        <color rgb="FF999999"/>
      </bottom>
    </border>
    <border>
      <right style="hair">
        <color rgb="FF999999"/>
      </right>
      <top style="hair">
        <color rgb="FF999999"/>
      </top>
      <bottom style="dotted">
        <color rgb="FF999999"/>
      </bottom>
    </border>
    <border>
      <left style="hair">
        <color rgb="FF999999"/>
      </left>
      <right style="hair">
        <color rgb="FF999999"/>
      </right>
      <top style="hair">
        <color rgb="FF999999"/>
      </top>
      <bottom style="dotted">
        <color rgb="FF999999"/>
      </bottom>
    </border>
    <border>
      <left style="hair">
        <color rgb="FF999999"/>
      </left>
      <top style="hair">
        <color rgb="FF999999"/>
      </top>
      <bottom style="dotted">
        <color rgb="FF999999"/>
      </bottom>
    </border>
    <border>
      <left style="hair">
        <color rgb="FF999999"/>
      </left>
      <right style="medium">
        <color rgb="FF000000"/>
      </right>
      <top style="hair">
        <color rgb="FF999999"/>
      </top>
      <bottom style="dotted">
        <color rgb="FF999999"/>
      </bottom>
    </border>
    <border>
      <right style="hair">
        <color rgb="FF999999"/>
      </right>
      <bottom style="dotted">
        <color rgb="FF999999"/>
      </bottom>
    </border>
    <border>
      <left style="hair">
        <color rgb="FF999999"/>
      </left>
      <right style="hair">
        <color rgb="FF999999"/>
      </right>
      <bottom style="dotted">
        <color rgb="FF999999"/>
      </bottom>
    </border>
    <border>
      <left style="hair">
        <color rgb="FF999999"/>
      </left>
      <bottom style="dotted">
        <color rgb="FF999999"/>
      </bottom>
    </border>
    <border>
      <left style="hair">
        <color rgb="FF999999"/>
      </left>
      <right style="medium">
        <color rgb="FF000000"/>
      </right>
      <bottom style="dotted">
        <color rgb="FF999999"/>
      </bottom>
    </border>
    <border>
      <top style="double">
        <color rgb="FF000000"/>
      </top>
      <bottom style="hair">
        <color rgb="FF999999"/>
      </bottom>
    </border>
    <border>
      <left style="thin">
        <color rgb="FF000000"/>
      </left>
      <right style="thin">
        <color rgb="FF000000"/>
      </right>
      <bottom style="double">
        <color rgb="FF000000"/>
      </bottom>
    </border>
    <border>
      <right style="hair">
        <color rgb="FF999999"/>
      </right>
      <top style="hair">
        <color rgb="FF999999"/>
      </top>
      <bottom style="double">
        <color rgb="FF000000"/>
      </bottom>
    </border>
    <border>
      <left style="hair">
        <color rgb="FF999999"/>
      </left>
      <right style="hair">
        <color rgb="FF999999"/>
      </right>
      <top style="hair">
        <color rgb="FF999999"/>
      </top>
      <bottom style="double">
        <color rgb="FF000000"/>
      </bottom>
    </border>
    <border>
      <left style="hair">
        <color rgb="FF999999"/>
      </left>
      <top style="hair">
        <color rgb="FF999999"/>
      </top>
      <bottom style="double">
        <color rgb="FF000000"/>
      </bottom>
    </border>
    <border>
      <left style="hair">
        <color rgb="FF999999"/>
      </left>
      <right style="medium">
        <color rgb="FF000000"/>
      </right>
      <top style="hair">
        <color rgb="FF999999"/>
      </top>
      <bottom style="double">
        <color rgb="FF000000"/>
      </bottom>
    </border>
    <border>
      <left style="hair">
        <color rgb="FF999999"/>
      </left>
      <right style="medium">
        <color rgb="FF000000"/>
      </right>
      <bottom style="medium">
        <color rgb="FF000000"/>
      </bottom>
    </border>
    <border>
      <left style="hair">
        <color rgb="FF999999"/>
      </left>
      <top style="medium">
        <color rgb="FF000000"/>
      </top>
      <bottom style="hair">
        <color rgb="FF999999"/>
      </bottom>
    </border>
    <border>
      <top style="hair">
        <color rgb="FF999999"/>
      </top>
      <bottom style="medium">
        <color rgb="FF000000"/>
      </bottom>
    </border>
    <border>
      <left style="thin">
        <color rgb="FF000000"/>
      </left>
      <right style="medium">
        <color rgb="FF000000"/>
      </right>
      <top style="hair">
        <color rgb="FF999999"/>
      </top>
      <bottom style="medium">
        <color rgb="FF000000"/>
      </bottom>
    </border>
  </borders>
  <cellStyleXfs count="1">
    <xf borderId="0" fillId="0" fontId="0" numFmtId="0" applyAlignment="1" applyFont="1"/>
  </cellStyleXfs>
  <cellXfs count="1080">
    <xf borderId="0" fillId="0" fontId="0" numFmtId="0" xfId="0" applyAlignment="1" applyFont="1">
      <alignment readingOrder="0" shrinkToFit="0" vertical="bottom" wrapText="0"/>
    </xf>
    <xf borderId="0" fillId="2" fontId="1" numFmtId="0" xfId="0" applyFill="1" applyFont="1"/>
    <xf borderId="0" fillId="3" fontId="1" numFmtId="0" xfId="0" applyAlignment="1" applyFill="1" applyFont="1">
      <alignment horizontal="center" readingOrder="0" shrinkToFit="0" vertical="center" wrapText="1"/>
    </xf>
    <xf borderId="0" fillId="3" fontId="2" numFmtId="0" xfId="0" applyAlignment="1" applyFont="1">
      <alignment horizontal="center" readingOrder="0" shrinkToFit="0" wrapText="1"/>
    </xf>
    <xf borderId="0" fillId="3" fontId="3" numFmtId="0" xfId="0" applyAlignment="1" applyFont="1">
      <alignment horizontal="center" readingOrder="0" shrinkToFit="0" vertical="center" wrapText="1"/>
    </xf>
    <xf borderId="0" fillId="3" fontId="4" numFmtId="0" xfId="0" applyAlignment="1" applyFont="1">
      <alignment horizontal="center" readingOrder="0" shrinkToFit="0" vertical="center" wrapText="1"/>
    </xf>
    <xf borderId="0" fillId="3" fontId="1" numFmtId="0" xfId="0" applyAlignment="1" applyFont="1">
      <alignment readingOrder="0" shrinkToFit="0" wrapText="1"/>
    </xf>
    <xf borderId="0" fillId="3" fontId="5" numFmtId="0" xfId="0" applyAlignment="1" applyFont="1">
      <alignment horizontal="center" readingOrder="0" shrinkToFit="0" wrapText="1"/>
    </xf>
    <xf borderId="1" fillId="2" fontId="6" numFmtId="0" xfId="0" applyAlignment="1" applyBorder="1" applyFont="1">
      <alignment horizontal="center" readingOrder="0" shrinkToFit="0" wrapText="1"/>
    </xf>
    <xf borderId="0" fillId="3" fontId="4" numFmtId="0" xfId="0" applyAlignment="1" applyFont="1">
      <alignment horizontal="center" readingOrder="0" shrinkToFit="0" wrapText="1"/>
    </xf>
    <xf borderId="2" fillId="4" fontId="1" numFmtId="0" xfId="0" applyAlignment="1" applyBorder="1" applyFill="1" applyFont="1">
      <alignment readingOrder="0" shrinkToFit="0" wrapText="1"/>
    </xf>
    <xf borderId="3" fillId="3" fontId="7" numFmtId="0" xfId="0" applyBorder="1" applyFont="1"/>
    <xf borderId="4" fillId="3" fontId="7" numFmtId="0" xfId="0" applyBorder="1" applyFont="1"/>
    <xf borderId="2" fillId="4" fontId="8" numFmtId="0" xfId="0" applyAlignment="1" applyBorder="1" applyFont="1">
      <alignment readingOrder="0" shrinkToFit="0" wrapText="1"/>
    </xf>
    <xf borderId="0" fillId="2" fontId="1" numFmtId="0" xfId="0" applyAlignment="1" applyFont="1">
      <alignment readingOrder="0" shrinkToFit="0" wrapText="1"/>
    </xf>
    <xf borderId="5" fillId="5" fontId="9" numFmtId="0" xfId="0" applyAlignment="1" applyBorder="1" applyFill="1" applyFont="1">
      <alignment readingOrder="0" shrinkToFit="0" wrapText="1"/>
    </xf>
    <xf borderId="6" fillId="0" fontId="7" numFmtId="0" xfId="0" applyBorder="1" applyFont="1"/>
    <xf borderId="7" fillId="0" fontId="7" numFmtId="0" xfId="0" applyBorder="1" applyFont="1"/>
    <xf borderId="0" fillId="3" fontId="1" numFmtId="0" xfId="0" applyAlignment="1" applyFont="1">
      <alignment readingOrder="0" shrinkToFit="0" wrapText="1"/>
    </xf>
    <xf borderId="0" fillId="3" fontId="1" numFmtId="0" xfId="0" applyAlignment="1" applyFont="1">
      <alignment horizontal="center" readingOrder="0" shrinkToFit="0" vertical="center" wrapText="1"/>
    </xf>
    <xf borderId="0" fillId="2" fontId="10" numFmtId="0" xfId="0" applyAlignment="1" applyFont="1">
      <alignment readingOrder="0" shrinkToFit="0" wrapText="1"/>
    </xf>
    <xf borderId="8" fillId="6" fontId="10" numFmtId="0" xfId="0" applyAlignment="1" applyBorder="1" applyFill="1" applyFont="1">
      <alignment readingOrder="0" shrinkToFit="0" wrapText="1"/>
    </xf>
    <xf borderId="9" fillId="0" fontId="7" numFmtId="0" xfId="0" applyBorder="1" applyFont="1"/>
    <xf borderId="10" fillId="0" fontId="7" numFmtId="0" xfId="0" applyBorder="1" applyFont="1"/>
    <xf borderId="8" fillId="6" fontId="11" numFmtId="0" xfId="0" applyAlignment="1" applyBorder="1" applyFont="1">
      <alignment readingOrder="0" shrinkToFit="0" wrapText="1"/>
    </xf>
    <xf borderId="0" fillId="2" fontId="1" numFmtId="0" xfId="0" applyAlignment="1" applyFont="1">
      <alignment shrinkToFit="0" wrapText="1"/>
    </xf>
    <xf borderId="0" fillId="2" fontId="1" numFmtId="0" xfId="0" applyFont="1"/>
    <xf borderId="0" fillId="2" fontId="1" numFmtId="0" xfId="0" applyAlignment="1" applyFont="1">
      <alignment readingOrder="0" shrinkToFit="0" wrapText="1"/>
    </xf>
    <xf borderId="11" fillId="7" fontId="12" numFmtId="0" xfId="0" applyAlignment="1" applyBorder="1" applyFill="1" applyFont="1">
      <alignment readingOrder="0" shrinkToFit="0" wrapText="1"/>
    </xf>
    <xf borderId="12" fillId="0" fontId="7" numFmtId="0" xfId="0" applyBorder="1" applyFont="1"/>
    <xf borderId="13" fillId="0" fontId="7" numFmtId="0" xfId="0" applyBorder="1" applyFont="1"/>
    <xf borderId="0" fillId="2" fontId="1" numFmtId="0" xfId="0" applyAlignment="1" applyFont="1">
      <alignment readingOrder="0"/>
    </xf>
    <xf borderId="0" fillId="0" fontId="1"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horizontal="center" vertical="center"/>
    </xf>
    <xf borderId="14" fillId="8" fontId="13" numFmtId="0" xfId="0" applyAlignment="1" applyBorder="1" applyFill="1" applyFont="1">
      <alignment horizontal="center" readingOrder="0" vertical="center"/>
    </xf>
    <xf borderId="15" fillId="0" fontId="7" numFmtId="0" xfId="0" applyBorder="1" applyFont="1"/>
    <xf borderId="16" fillId="0" fontId="7" numFmtId="0" xfId="0" applyBorder="1" applyFont="1"/>
    <xf borderId="17" fillId="8" fontId="5" numFmtId="0" xfId="0" applyAlignment="1" applyBorder="1" applyFont="1">
      <alignment horizontal="center" readingOrder="0" vertical="center"/>
    </xf>
    <xf borderId="18" fillId="8" fontId="5" numFmtId="0" xfId="0" applyAlignment="1" applyBorder="1" applyFont="1">
      <alignment horizontal="center" readingOrder="0" vertical="center"/>
    </xf>
    <xf borderId="19" fillId="8" fontId="5" numFmtId="0" xfId="0" applyAlignment="1" applyBorder="1" applyFont="1">
      <alignment horizontal="center" readingOrder="0" vertical="center"/>
    </xf>
    <xf borderId="20" fillId="9" fontId="14" numFmtId="0" xfId="0" applyAlignment="1" applyBorder="1" applyFill="1" applyFont="1">
      <alignment horizontal="center" readingOrder="0" vertical="center"/>
    </xf>
    <xf borderId="21" fillId="0" fontId="7" numFmtId="0" xfId="0" applyBorder="1" applyFont="1"/>
    <xf borderId="22" fillId="0" fontId="7" numFmtId="0" xfId="0" applyBorder="1" applyFont="1"/>
    <xf borderId="23" fillId="9" fontId="1" numFmtId="164" xfId="0" applyAlignment="1" applyBorder="1" applyFont="1" applyNumberFormat="1">
      <alignment horizontal="center" readingOrder="0" vertical="center"/>
    </xf>
    <xf borderId="24" fillId="9" fontId="1" numFmtId="0" xfId="0" applyAlignment="1" applyBorder="1" applyFont="1">
      <alignment horizontal="center" readingOrder="0" shrinkToFit="0" vertical="center" wrapText="1"/>
    </xf>
    <xf borderId="25" fillId="9" fontId="1" numFmtId="0" xfId="0" applyAlignment="1" applyBorder="1" applyFont="1">
      <alignment horizontal="center" readingOrder="0" shrinkToFit="0" vertical="center" wrapText="1"/>
    </xf>
    <xf borderId="24" fillId="9" fontId="1" numFmtId="0" xfId="0" applyAlignment="1" applyBorder="1" applyFont="1">
      <alignment readingOrder="0" shrinkToFit="0" wrapText="1"/>
    </xf>
    <xf borderId="25" fillId="9" fontId="1" numFmtId="0" xfId="0" applyAlignment="1" applyBorder="1" applyFont="1">
      <alignment readingOrder="0" shrinkToFit="0" wrapText="1"/>
    </xf>
    <xf borderId="23" fillId="9" fontId="1" numFmtId="0" xfId="0" applyAlignment="1" applyBorder="1" applyFont="1">
      <alignment horizontal="center" vertical="center"/>
    </xf>
    <xf borderId="24" fillId="9" fontId="1" numFmtId="0" xfId="0" applyAlignment="1" applyBorder="1" applyFont="1">
      <alignment horizontal="center" shrinkToFit="0" vertical="center" wrapText="1"/>
    </xf>
    <xf borderId="24" fillId="9" fontId="1" numFmtId="0" xfId="0" applyAlignment="1" applyBorder="1" applyFont="1">
      <alignment shrinkToFit="0" wrapText="1"/>
    </xf>
    <xf borderId="25" fillId="9" fontId="1" numFmtId="0" xfId="0" applyAlignment="1" applyBorder="1" applyFont="1">
      <alignment shrinkToFit="0" wrapText="1"/>
    </xf>
    <xf borderId="26" fillId="9" fontId="1" numFmtId="0" xfId="0" applyAlignment="1" applyBorder="1" applyFont="1">
      <alignment horizontal="center" vertical="center"/>
    </xf>
    <xf borderId="27" fillId="9" fontId="1" numFmtId="0" xfId="0" applyAlignment="1" applyBorder="1" applyFont="1">
      <alignment horizontal="center" shrinkToFit="0" vertical="center" wrapText="1"/>
    </xf>
    <xf borderId="27" fillId="9" fontId="1" numFmtId="0" xfId="0" applyAlignment="1" applyBorder="1" applyFont="1">
      <alignment shrinkToFit="0" wrapText="1"/>
    </xf>
    <xf borderId="28" fillId="9" fontId="1" numFmtId="0" xfId="0" applyAlignment="1" applyBorder="1" applyFont="1">
      <alignment shrinkToFit="0" wrapText="1"/>
    </xf>
    <xf borderId="0" fillId="0" fontId="1" numFmtId="0" xfId="0" applyAlignment="1" applyFont="1">
      <alignment horizontal="center"/>
    </xf>
    <xf borderId="0" fillId="0" fontId="1" numFmtId="0" xfId="0" applyAlignment="1" applyFont="1">
      <alignment shrinkToFit="0" wrapText="1"/>
    </xf>
    <xf borderId="0" fillId="10" fontId="15" numFmtId="0" xfId="0" applyAlignment="1" applyFill="1" applyFont="1">
      <alignment horizontal="center" readingOrder="0" shrinkToFit="0" textRotation="0" wrapText="1"/>
    </xf>
    <xf borderId="29" fillId="0" fontId="1" numFmtId="0" xfId="0" applyAlignment="1" applyBorder="1" applyFont="1">
      <alignment readingOrder="0" shrinkToFit="0" textRotation="0" wrapText="1"/>
    </xf>
    <xf borderId="30" fillId="0" fontId="5" numFmtId="0" xfId="0" applyAlignment="1" applyBorder="1" applyFont="1">
      <alignment readingOrder="0" shrinkToFit="0" wrapText="1"/>
    </xf>
    <xf borderId="31" fillId="0" fontId="5" numFmtId="0" xfId="0" applyAlignment="1" applyBorder="1" applyFont="1">
      <alignment readingOrder="0" shrinkToFit="0" wrapText="1"/>
    </xf>
    <xf borderId="0" fillId="0" fontId="5" numFmtId="0" xfId="0" applyAlignment="1" applyFont="1">
      <alignment readingOrder="0" shrinkToFit="0" wrapText="1"/>
    </xf>
    <xf borderId="29" fillId="0" fontId="5" numFmtId="0" xfId="0" applyAlignment="1" applyBorder="1" applyFont="1">
      <alignment readingOrder="0" shrinkToFit="0" wrapText="1"/>
    </xf>
    <xf borderId="32" fillId="0" fontId="5" numFmtId="0" xfId="0" applyAlignment="1" applyBorder="1" applyFont="1">
      <alignment horizontal="center" readingOrder="0" shrinkToFit="0" textRotation="0" vertical="center" wrapText="1"/>
    </xf>
    <xf borderId="33" fillId="11" fontId="1" numFmtId="0" xfId="0" applyAlignment="1" applyBorder="1" applyFill="1" applyFont="1">
      <alignment readingOrder="0"/>
    </xf>
    <xf borderId="34" fillId="0" fontId="1" numFmtId="1" xfId="0" applyAlignment="1" applyBorder="1" applyFont="1" applyNumberFormat="1">
      <alignment horizontal="center" readingOrder="0"/>
    </xf>
    <xf borderId="35" fillId="0" fontId="1" numFmtId="1" xfId="0" applyAlignment="1" applyBorder="1" applyFont="1" applyNumberFormat="1">
      <alignment horizontal="center"/>
    </xf>
    <xf borderId="36" fillId="0" fontId="1" numFmtId="0" xfId="0" applyAlignment="1" applyBorder="1" applyFont="1">
      <alignment horizontal="center" readingOrder="0"/>
    </xf>
    <xf borderId="34" fillId="0" fontId="1" numFmtId="1" xfId="0" applyAlignment="1" applyBorder="1" applyFont="1" applyNumberFormat="1">
      <alignment horizontal="center"/>
    </xf>
    <xf borderId="37" fillId="0" fontId="1" numFmtId="0" xfId="0" applyAlignment="1" applyBorder="1" applyFont="1">
      <alignment horizontal="center" readingOrder="0"/>
    </xf>
    <xf borderId="38" fillId="0" fontId="1" numFmtId="0" xfId="0" applyAlignment="1" applyBorder="1" applyFont="1">
      <alignment horizontal="center" readingOrder="0"/>
    </xf>
    <xf borderId="38" fillId="0" fontId="1" numFmtId="1" xfId="0" applyAlignment="1" applyBorder="1" applyFont="1" applyNumberFormat="1">
      <alignment horizontal="center" readingOrder="0"/>
    </xf>
    <xf borderId="38" fillId="0" fontId="1" numFmtId="2" xfId="0" applyAlignment="1" applyBorder="1" applyFont="1" applyNumberFormat="1">
      <alignment horizontal="center" readingOrder="0"/>
    </xf>
    <xf borderId="33" fillId="0" fontId="1" numFmtId="0" xfId="0" applyAlignment="1" applyBorder="1" applyFont="1">
      <alignment horizontal="center" readingOrder="0"/>
    </xf>
    <xf borderId="35" fillId="0" fontId="1" numFmtId="1" xfId="0" applyAlignment="1" applyBorder="1" applyFont="1" applyNumberFormat="1">
      <alignment horizontal="center" readingOrder="0"/>
    </xf>
    <xf borderId="39" fillId="0" fontId="16" numFmtId="0" xfId="0" applyAlignment="1" applyBorder="1" applyFont="1">
      <alignment horizontal="center" readingOrder="0" shrinkToFit="0" textRotation="0" vertical="center" wrapText="1"/>
    </xf>
    <xf borderId="40" fillId="11" fontId="1" numFmtId="0" xfId="0" applyAlignment="1" applyBorder="1" applyFont="1">
      <alignment readingOrder="0"/>
    </xf>
    <xf borderId="41" fillId="0" fontId="1" numFmtId="1" xfId="0" applyAlignment="1" applyBorder="1" applyFont="1" applyNumberFormat="1">
      <alignment horizontal="center"/>
    </xf>
    <xf borderId="42" fillId="0" fontId="1" numFmtId="1" xfId="0" applyAlignment="1" applyBorder="1" applyFont="1" applyNumberFormat="1">
      <alignment horizontal="center"/>
    </xf>
    <xf borderId="43" fillId="0" fontId="1" numFmtId="0" xfId="0" applyAlignment="1" applyBorder="1" applyFont="1">
      <alignment horizontal="center" readingOrder="0"/>
    </xf>
    <xf borderId="44" fillId="0" fontId="1" numFmtId="0" xfId="0" applyAlignment="1" applyBorder="1" applyFont="1">
      <alignment horizontal="center" readingOrder="0"/>
    </xf>
    <xf borderId="45" fillId="0" fontId="1" numFmtId="0" xfId="0" applyAlignment="1" applyBorder="1" applyFont="1">
      <alignment horizontal="center" readingOrder="0"/>
    </xf>
    <xf borderId="45" fillId="0" fontId="1" numFmtId="1" xfId="0" applyAlignment="1" applyBorder="1" applyFont="1" applyNumberFormat="1">
      <alignment horizontal="center" readingOrder="0"/>
    </xf>
    <xf borderId="45" fillId="0" fontId="1" numFmtId="2" xfId="0" applyAlignment="1" applyBorder="1" applyFont="1" applyNumberFormat="1">
      <alignment horizontal="center" readingOrder="0"/>
    </xf>
    <xf borderId="40" fillId="0" fontId="1" numFmtId="0" xfId="0" applyAlignment="1" applyBorder="1" applyFont="1">
      <alignment horizontal="center" readingOrder="0"/>
    </xf>
    <xf borderId="41" fillId="12" fontId="1" numFmtId="1" xfId="0" applyAlignment="1" applyBorder="1" applyFill="1" applyFont="1" applyNumberFormat="1">
      <alignment horizontal="center" readingOrder="0"/>
    </xf>
    <xf borderId="42" fillId="12" fontId="1" numFmtId="1" xfId="0" applyAlignment="1" applyBorder="1" applyFont="1" applyNumberFormat="1">
      <alignment horizontal="center" readingOrder="0"/>
    </xf>
    <xf borderId="41" fillId="0" fontId="1" numFmtId="1" xfId="0" applyAlignment="1" applyBorder="1" applyFont="1" applyNumberFormat="1">
      <alignment horizontal="center" readingOrder="0"/>
    </xf>
    <xf borderId="42" fillId="0" fontId="1" numFmtId="1" xfId="0" applyAlignment="1" applyBorder="1" applyFont="1" applyNumberFormat="1">
      <alignment horizontal="center" readingOrder="0"/>
    </xf>
    <xf borderId="40" fillId="13" fontId="1" numFmtId="0" xfId="0" applyAlignment="1" applyBorder="1" applyFill="1" applyFont="1">
      <alignment readingOrder="0"/>
    </xf>
    <xf borderId="45" fillId="0" fontId="1" numFmtId="0" xfId="0" applyAlignment="1" applyBorder="1" applyFont="1">
      <alignment horizontal="center" readingOrder="0"/>
    </xf>
    <xf borderId="45" fillId="0" fontId="1" numFmtId="1" xfId="0" applyAlignment="1" applyBorder="1" applyFont="1" applyNumberFormat="1">
      <alignment horizontal="center"/>
    </xf>
    <xf borderId="40" fillId="0" fontId="1" numFmtId="0" xfId="0" applyAlignment="1" applyBorder="1" applyFont="1">
      <alignment horizontal="center" readingOrder="0"/>
    </xf>
    <xf borderId="0" fillId="0" fontId="1" numFmtId="0" xfId="0" applyAlignment="1" applyFont="1">
      <alignment readingOrder="0"/>
    </xf>
    <xf borderId="46" fillId="0" fontId="16" numFmtId="0" xfId="0" applyAlignment="1" applyBorder="1" applyFont="1">
      <alignment horizontal="center" readingOrder="0" shrinkToFit="0" textRotation="0" vertical="center" wrapText="1"/>
    </xf>
    <xf borderId="47" fillId="13" fontId="1" numFmtId="0" xfId="0" applyAlignment="1" applyBorder="1" applyFont="1">
      <alignment readingOrder="0"/>
    </xf>
    <xf borderId="48" fillId="0" fontId="1" numFmtId="1" xfId="0" applyAlignment="1" applyBorder="1" applyFont="1" applyNumberFormat="1">
      <alignment horizontal="center" readingOrder="0"/>
    </xf>
    <xf borderId="49" fillId="0" fontId="1" numFmtId="1" xfId="0" applyAlignment="1" applyBorder="1" applyFont="1" applyNumberFormat="1">
      <alignment horizontal="center" readingOrder="0"/>
    </xf>
    <xf borderId="50" fillId="0" fontId="1" numFmtId="0" xfId="0" applyAlignment="1" applyBorder="1" applyFont="1">
      <alignment horizontal="center" readingOrder="0"/>
    </xf>
    <xf borderId="51" fillId="0" fontId="1" numFmtId="0" xfId="0" applyAlignment="1" applyBorder="1" applyFont="1">
      <alignment horizontal="center" readingOrder="0"/>
    </xf>
    <xf borderId="52" fillId="0" fontId="1" numFmtId="0" xfId="0" applyAlignment="1" applyBorder="1" applyFont="1">
      <alignment horizontal="center" readingOrder="0"/>
    </xf>
    <xf borderId="52" fillId="0" fontId="1" numFmtId="1" xfId="0" applyAlignment="1" applyBorder="1" applyFont="1" applyNumberFormat="1">
      <alignment horizontal="center" readingOrder="0"/>
    </xf>
    <xf borderId="47" fillId="0" fontId="1" numFmtId="0" xfId="0" applyAlignment="1" applyBorder="1" applyFont="1">
      <alignment horizontal="center" readingOrder="0"/>
    </xf>
    <xf borderId="38" fillId="0" fontId="1" numFmtId="0" xfId="0" applyAlignment="1" applyBorder="1" applyFont="1">
      <alignment horizontal="center" readingOrder="0"/>
    </xf>
    <xf borderId="33" fillId="0" fontId="1" numFmtId="0" xfId="0" applyAlignment="1" applyBorder="1" applyFont="1">
      <alignment horizontal="center" readingOrder="0"/>
    </xf>
    <xf borderId="39" fillId="0" fontId="5" numFmtId="0" xfId="0" applyAlignment="1" applyBorder="1" applyFont="1">
      <alignment horizontal="center" readingOrder="0" shrinkToFit="0" textRotation="0" vertical="center" wrapText="1"/>
    </xf>
    <xf borderId="44" fillId="0" fontId="1" numFmtId="1" xfId="0" applyAlignment="1" applyBorder="1" applyFont="1" applyNumberFormat="1">
      <alignment horizontal="center" readingOrder="0"/>
    </xf>
    <xf borderId="40" fillId="0" fontId="1" numFmtId="1" xfId="0" applyAlignment="1" applyBorder="1" applyFont="1" applyNumberFormat="1">
      <alignment horizontal="center" readingOrder="0"/>
    </xf>
    <xf borderId="44" fillId="0" fontId="1" numFmtId="0" xfId="0" applyAlignment="1" applyBorder="1" applyFont="1">
      <alignment horizontal="center"/>
    </xf>
    <xf borderId="45" fillId="0" fontId="1" numFmtId="2" xfId="0" applyAlignment="1" applyBorder="1" applyFont="1" applyNumberFormat="1">
      <alignment horizontal="center"/>
    </xf>
    <xf borderId="0" fillId="0" fontId="1" numFmtId="0" xfId="0" applyAlignment="1" applyFont="1">
      <alignment readingOrder="0"/>
    </xf>
    <xf borderId="39" fillId="0" fontId="17" numFmtId="0" xfId="0" applyAlignment="1" applyBorder="1" applyFont="1">
      <alignment horizontal="center" shrinkToFit="0" textRotation="0" wrapText="1"/>
    </xf>
    <xf borderId="40" fillId="13" fontId="18" numFmtId="0" xfId="0" applyAlignment="1" applyBorder="1" applyFont="1">
      <alignment vertical="bottom"/>
    </xf>
    <xf borderId="41" fillId="14" fontId="18" numFmtId="1" xfId="0" applyAlignment="1" applyBorder="1" applyFill="1" applyFont="1" applyNumberFormat="1">
      <alignment horizontal="center" vertical="bottom"/>
    </xf>
    <xf borderId="42" fillId="15" fontId="18" numFmtId="1" xfId="0" applyAlignment="1" applyBorder="1" applyFill="1" applyFont="1" applyNumberFormat="1">
      <alignment horizontal="center" vertical="bottom"/>
    </xf>
    <xf borderId="0" fillId="0" fontId="18" numFmtId="0" xfId="0" applyAlignment="1" applyFont="1">
      <alignment vertical="bottom"/>
    </xf>
    <xf borderId="43" fillId="0" fontId="18" numFmtId="0" xfId="0" applyAlignment="1" applyBorder="1" applyFont="1">
      <alignment horizontal="center" vertical="bottom"/>
    </xf>
    <xf borderId="41" fillId="16" fontId="18" numFmtId="1" xfId="0" applyAlignment="1" applyBorder="1" applyFill="1" applyFont="1" applyNumberFormat="1">
      <alignment horizontal="center" vertical="bottom"/>
    </xf>
    <xf borderId="44" fillId="0" fontId="18" numFmtId="0" xfId="0" applyAlignment="1" applyBorder="1" applyFont="1">
      <alignment horizontal="center" vertical="bottom"/>
    </xf>
    <xf borderId="45" fillId="0" fontId="18" numFmtId="0" xfId="0" applyAlignment="1" applyBorder="1" applyFont="1">
      <alignment horizontal="center" vertical="bottom"/>
    </xf>
    <xf borderId="45" fillId="0" fontId="18" numFmtId="1" xfId="0" applyAlignment="1" applyBorder="1" applyFont="1" applyNumberFormat="1">
      <alignment horizontal="center" vertical="bottom"/>
    </xf>
    <xf borderId="45" fillId="0" fontId="18" numFmtId="2" xfId="0" applyAlignment="1" applyBorder="1" applyFont="1" applyNumberFormat="1">
      <alignment horizontal="center" vertical="bottom"/>
    </xf>
    <xf borderId="40" fillId="0" fontId="18" numFmtId="0" xfId="0" applyAlignment="1" applyBorder="1" applyFont="1">
      <alignment horizontal="center" vertical="bottom"/>
    </xf>
    <xf borderId="41" fillId="17" fontId="18" numFmtId="1" xfId="0" applyAlignment="1" applyBorder="1" applyFill="1" applyFont="1" applyNumberFormat="1">
      <alignment horizontal="center" readingOrder="0" vertical="bottom"/>
    </xf>
    <xf borderId="42" fillId="18" fontId="18" numFmtId="1" xfId="0" applyAlignment="1" applyBorder="1" applyFill="1" applyFont="1" applyNumberFormat="1">
      <alignment horizontal="center" readingOrder="0" vertical="bottom"/>
    </xf>
    <xf borderId="0" fillId="0" fontId="18" numFmtId="0" xfId="0" applyAlignment="1" applyFont="1">
      <alignment readingOrder="0" vertical="bottom"/>
    </xf>
    <xf borderId="41" fillId="6" fontId="1" numFmtId="1" xfId="0" applyAlignment="1" applyBorder="1" applyFont="1" applyNumberFormat="1">
      <alignment horizontal="center"/>
    </xf>
    <xf borderId="42" fillId="6" fontId="1" numFmtId="1" xfId="0" applyAlignment="1" applyBorder="1" applyFont="1" applyNumberFormat="1">
      <alignment horizontal="center"/>
    </xf>
    <xf borderId="41" fillId="19" fontId="18" numFmtId="1" xfId="0" applyAlignment="1" applyBorder="1" applyFill="1" applyFont="1" applyNumberFormat="1">
      <alignment horizontal="center" vertical="bottom"/>
    </xf>
    <xf borderId="42" fillId="20" fontId="18" numFmtId="1" xfId="0" applyAlignment="1" applyBorder="1" applyFill="1" applyFont="1" applyNumberFormat="1">
      <alignment horizontal="center" vertical="bottom"/>
    </xf>
    <xf borderId="41" fillId="0" fontId="18" numFmtId="1" xfId="0" applyAlignment="1" applyBorder="1" applyFont="1" applyNumberFormat="1">
      <alignment horizontal="center" vertical="bottom"/>
    </xf>
    <xf borderId="39" fillId="0" fontId="1" numFmtId="0" xfId="0" applyAlignment="1" applyBorder="1" applyFont="1">
      <alignment textRotation="0"/>
    </xf>
    <xf borderId="53" fillId="0" fontId="1" numFmtId="1" xfId="0" applyAlignment="1" applyBorder="1" applyFont="1" applyNumberFormat="1">
      <alignment horizontal="center" readingOrder="0"/>
    </xf>
    <xf borderId="54" fillId="0" fontId="1" numFmtId="1" xfId="0" applyAlignment="1" applyBorder="1" applyFont="1" applyNumberFormat="1">
      <alignment horizontal="center" readingOrder="0"/>
    </xf>
    <xf borderId="55" fillId="0" fontId="5" numFmtId="0" xfId="0" applyAlignment="1" applyBorder="1" applyFont="1">
      <alignment horizontal="center" readingOrder="0" shrinkToFit="0" textRotation="0" vertical="center" wrapText="1"/>
    </xf>
    <xf borderId="56" fillId="13" fontId="1" numFmtId="0" xfId="0" applyAlignment="1" applyBorder="1" applyFont="1">
      <alignment readingOrder="0"/>
    </xf>
    <xf borderId="57" fillId="0" fontId="1" numFmtId="1" xfId="0" applyAlignment="1" applyBorder="1" applyFont="1" applyNumberFormat="1">
      <alignment horizontal="center" readingOrder="0"/>
    </xf>
    <xf borderId="58" fillId="0" fontId="1" numFmtId="1" xfId="0" applyAlignment="1" applyBorder="1" applyFont="1" applyNumberFormat="1">
      <alignment horizontal="center"/>
    </xf>
    <xf borderId="59" fillId="0" fontId="1" numFmtId="0" xfId="0" applyAlignment="1" applyBorder="1" applyFont="1">
      <alignment horizontal="center" readingOrder="0"/>
    </xf>
    <xf borderId="57" fillId="0" fontId="1" numFmtId="1" xfId="0" applyAlignment="1" applyBorder="1" applyFont="1" applyNumberFormat="1">
      <alignment horizontal="center"/>
    </xf>
    <xf borderId="60" fillId="0" fontId="1" numFmtId="0" xfId="0" applyAlignment="1" applyBorder="1" applyFont="1">
      <alignment horizontal="center" readingOrder="0"/>
    </xf>
    <xf borderId="61" fillId="0" fontId="1" numFmtId="0" xfId="0" applyAlignment="1" applyBorder="1" applyFont="1">
      <alignment horizontal="center" readingOrder="0"/>
    </xf>
    <xf borderId="61" fillId="0" fontId="1" numFmtId="1" xfId="0" applyAlignment="1" applyBorder="1" applyFont="1" applyNumberFormat="1">
      <alignment horizontal="center" readingOrder="0"/>
    </xf>
    <xf borderId="61" fillId="0" fontId="1" numFmtId="2" xfId="0" applyAlignment="1" applyBorder="1" applyFont="1" applyNumberFormat="1">
      <alignment horizontal="center" readingOrder="0"/>
    </xf>
    <xf borderId="56" fillId="0" fontId="1" numFmtId="0" xfId="0" applyAlignment="1" applyBorder="1" applyFont="1">
      <alignment horizontal="center" readingOrder="0"/>
    </xf>
    <xf borderId="58" fillId="0" fontId="1" numFmtId="1" xfId="0" applyAlignment="1" applyBorder="1" applyFont="1" applyNumberFormat="1">
      <alignment horizontal="center" readingOrder="0"/>
    </xf>
    <xf borderId="38" fillId="0" fontId="1" numFmtId="1" xfId="0" applyAlignment="1" applyBorder="1" applyFont="1" applyNumberFormat="1">
      <alignment horizontal="center"/>
    </xf>
    <xf borderId="62" fillId="0" fontId="16" numFmtId="0" xfId="0" applyAlignment="1" applyBorder="1" applyFont="1">
      <alignment horizontal="center" readingOrder="0" shrinkToFit="0" textRotation="0" vertical="center" wrapText="1"/>
    </xf>
    <xf borderId="63" fillId="13" fontId="1" numFmtId="0" xfId="0" applyAlignment="1" applyBorder="1" applyFont="1">
      <alignment readingOrder="0"/>
    </xf>
    <xf borderId="64" fillId="0" fontId="1" numFmtId="1" xfId="0" applyAlignment="1" applyBorder="1" applyFont="1" applyNumberFormat="1">
      <alignment horizontal="center" readingOrder="0"/>
    </xf>
    <xf borderId="65" fillId="0" fontId="1" numFmtId="1" xfId="0" applyAlignment="1" applyBorder="1" applyFont="1" applyNumberFormat="1">
      <alignment horizontal="center" readingOrder="0"/>
    </xf>
    <xf borderId="66" fillId="0" fontId="1" numFmtId="0" xfId="0" applyAlignment="1" applyBorder="1" applyFont="1">
      <alignment horizontal="center" readingOrder="0"/>
    </xf>
    <xf borderId="64" fillId="0" fontId="1" numFmtId="1" xfId="0" applyAlignment="1" applyBorder="1" applyFont="1" applyNumberFormat="1">
      <alignment horizontal="center"/>
    </xf>
    <xf borderId="67" fillId="0" fontId="1" numFmtId="0" xfId="0" applyAlignment="1" applyBorder="1" applyFont="1">
      <alignment horizontal="center" readingOrder="0"/>
    </xf>
    <xf borderId="68" fillId="0" fontId="1" numFmtId="0" xfId="0" applyAlignment="1" applyBorder="1" applyFont="1">
      <alignment horizontal="center" readingOrder="0"/>
    </xf>
    <xf borderId="68" fillId="0" fontId="1" numFmtId="1" xfId="0" applyAlignment="1" applyBorder="1" applyFont="1" applyNumberFormat="1">
      <alignment horizontal="center"/>
    </xf>
    <xf borderId="68" fillId="0" fontId="1" numFmtId="2" xfId="0" applyAlignment="1" applyBorder="1" applyFont="1" applyNumberFormat="1">
      <alignment horizontal="center" readingOrder="0"/>
    </xf>
    <xf borderId="63" fillId="0" fontId="1" numFmtId="0" xfId="0" applyAlignment="1" applyBorder="1" applyFont="1">
      <alignment horizontal="center" readingOrder="0"/>
    </xf>
    <xf borderId="55" fillId="0" fontId="16" numFmtId="0" xfId="0" applyAlignment="1" applyBorder="1" applyFont="1">
      <alignment horizontal="center" readingOrder="0" shrinkToFit="0" textRotation="0" vertical="center" wrapText="1"/>
    </xf>
    <xf borderId="61" fillId="0" fontId="1" numFmtId="1" xfId="0" applyAlignment="1" applyBorder="1" applyFont="1" applyNumberFormat="1">
      <alignment horizontal="center"/>
    </xf>
    <xf borderId="39" fillId="0" fontId="1" numFmtId="0" xfId="0" applyAlignment="1" applyBorder="1" applyFont="1">
      <alignment shrinkToFit="0" textRotation="0" wrapText="1"/>
    </xf>
    <xf borderId="69" fillId="13" fontId="1" numFmtId="0" xfId="0" applyAlignment="1" applyBorder="1" applyFont="1">
      <alignment readingOrder="0"/>
    </xf>
    <xf borderId="70" fillId="0" fontId="5" numFmtId="0" xfId="0" applyAlignment="1" applyBorder="1" applyFont="1">
      <alignment horizontal="center" readingOrder="0" shrinkToFit="0" textRotation="0" vertical="center" wrapText="1"/>
    </xf>
    <xf borderId="71" fillId="0" fontId="16" numFmtId="0" xfId="0" applyAlignment="1" applyBorder="1" applyFont="1">
      <alignment horizontal="center" readingOrder="0" shrinkToFit="0" textRotation="0" vertical="center" wrapText="1"/>
    </xf>
    <xf borderId="72" fillId="0" fontId="1" numFmtId="1" xfId="0" applyAlignment="1" applyBorder="1" applyFont="1" applyNumberFormat="1">
      <alignment horizontal="center" readingOrder="0"/>
    </xf>
    <xf borderId="73" fillId="0" fontId="1" numFmtId="1" xfId="0" applyAlignment="1" applyBorder="1" applyFont="1" applyNumberFormat="1">
      <alignment horizontal="center" readingOrder="0"/>
    </xf>
    <xf borderId="74" fillId="0" fontId="1" numFmtId="0" xfId="0" applyAlignment="1" applyBorder="1" applyFont="1">
      <alignment horizontal="center" readingOrder="0"/>
    </xf>
    <xf borderId="72" fillId="0" fontId="1" numFmtId="1" xfId="0" applyAlignment="1" applyBorder="1" applyFont="1" applyNumberFormat="1">
      <alignment horizontal="center"/>
    </xf>
    <xf borderId="75" fillId="0" fontId="1" numFmtId="0" xfId="0" applyAlignment="1" applyBorder="1" applyFont="1">
      <alignment horizontal="center" readingOrder="0"/>
    </xf>
    <xf borderId="76" fillId="0" fontId="1" numFmtId="0" xfId="0" applyAlignment="1" applyBorder="1" applyFont="1">
      <alignment horizontal="center" readingOrder="0"/>
    </xf>
    <xf borderId="76" fillId="0" fontId="1" numFmtId="1" xfId="0" applyAlignment="1" applyBorder="1" applyFont="1" applyNumberFormat="1">
      <alignment horizontal="center" readingOrder="0"/>
    </xf>
    <xf borderId="76" fillId="0" fontId="1" numFmtId="2" xfId="0" applyAlignment="1" applyBorder="1" applyFont="1" applyNumberFormat="1">
      <alignment horizontal="center" readingOrder="0"/>
    </xf>
    <xf borderId="69" fillId="0" fontId="1" numFmtId="0" xfId="0" applyAlignment="1" applyBorder="1" applyFont="1">
      <alignment horizontal="center" readingOrder="0"/>
    </xf>
    <xf borderId="62" fillId="0" fontId="5" numFmtId="0" xfId="0" applyAlignment="1" applyBorder="1" applyFont="1">
      <alignment horizontal="center" readingOrder="0" shrinkToFit="0" textRotation="0" vertical="center" wrapText="1"/>
    </xf>
    <xf borderId="68" fillId="0" fontId="1" numFmtId="0" xfId="0" applyAlignment="1" applyBorder="1" applyFont="1">
      <alignment horizontal="center" readingOrder="0"/>
    </xf>
    <xf borderId="68" fillId="0" fontId="1" numFmtId="1" xfId="0" applyAlignment="1" applyBorder="1" applyFont="1" applyNumberFormat="1">
      <alignment horizontal="center" readingOrder="0"/>
    </xf>
    <xf borderId="63" fillId="0" fontId="1" numFmtId="0" xfId="0" applyAlignment="1" applyBorder="1" applyFont="1">
      <alignment horizontal="center" readingOrder="0"/>
    </xf>
    <xf borderId="77" fillId="0" fontId="5" numFmtId="0" xfId="0" applyAlignment="1" applyBorder="1" applyFont="1">
      <alignment horizontal="center" readingOrder="0" shrinkToFit="0" textRotation="0" vertical="center" wrapText="1"/>
    </xf>
    <xf borderId="78" fillId="13" fontId="1" numFmtId="0" xfId="0" applyAlignment="1" applyBorder="1" applyFont="1">
      <alignment readingOrder="0"/>
    </xf>
    <xf borderId="79" fillId="0" fontId="1" numFmtId="1" xfId="0" applyAlignment="1" applyBorder="1" applyFont="1" applyNumberFormat="1">
      <alignment horizontal="center" readingOrder="0"/>
    </xf>
    <xf borderId="80" fillId="0" fontId="1" numFmtId="1" xfId="0" applyAlignment="1" applyBorder="1" applyFont="1" applyNumberFormat="1">
      <alignment horizontal="center" readingOrder="0"/>
    </xf>
    <xf borderId="81" fillId="0" fontId="1" numFmtId="0" xfId="0" applyAlignment="1" applyBorder="1" applyFont="1">
      <alignment horizontal="center" readingOrder="0"/>
    </xf>
    <xf borderId="79" fillId="0" fontId="1" numFmtId="1" xfId="0" applyAlignment="1" applyBorder="1" applyFont="1" applyNumberFormat="1">
      <alignment horizontal="center"/>
    </xf>
    <xf borderId="82" fillId="0" fontId="1" numFmtId="0" xfId="0" applyAlignment="1" applyBorder="1" applyFont="1">
      <alignment horizontal="center" readingOrder="0"/>
    </xf>
    <xf borderId="83" fillId="0" fontId="1" numFmtId="0" xfId="0" applyAlignment="1" applyBorder="1" applyFont="1">
      <alignment horizontal="center" readingOrder="0"/>
    </xf>
    <xf borderId="83" fillId="0" fontId="1" numFmtId="1" xfId="0" applyAlignment="1" applyBorder="1" applyFont="1" applyNumberFormat="1">
      <alignment horizontal="center" readingOrder="0"/>
    </xf>
    <xf borderId="83" fillId="0" fontId="1" numFmtId="2" xfId="0" applyAlignment="1" applyBorder="1" applyFont="1" applyNumberFormat="1">
      <alignment horizontal="center" readingOrder="0"/>
    </xf>
    <xf borderId="78" fillId="0" fontId="1" numFmtId="0" xfId="0" applyAlignment="1" applyBorder="1" applyFont="1">
      <alignment horizontal="center" readingOrder="0"/>
    </xf>
    <xf borderId="0" fillId="0" fontId="1" numFmtId="0" xfId="0" applyAlignment="1" applyFont="1">
      <alignment readingOrder="0" shrinkToFit="0" textRotation="0" wrapText="1"/>
    </xf>
    <xf borderId="0" fillId="0" fontId="1" numFmtId="0" xfId="0" applyAlignment="1" applyFont="1">
      <alignment shrinkToFit="0" textRotation="0" wrapText="1"/>
    </xf>
    <xf borderId="30" fillId="0" fontId="5" numFmtId="165" xfId="0" applyAlignment="1" applyBorder="1" applyFont="1" applyNumberFormat="1">
      <alignment readingOrder="0" shrinkToFit="0" wrapText="1"/>
    </xf>
    <xf borderId="84" fillId="0" fontId="1" numFmtId="1" xfId="0" applyAlignment="1" applyBorder="1" applyFont="1" applyNumberFormat="1">
      <alignment horizontal="center" readingOrder="0"/>
    </xf>
    <xf borderId="38" fillId="0" fontId="1" numFmtId="165" xfId="0" applyAlignment="1" applyBorder="1" applyFont="1" applyNumberFormat="1">
      <alignment horizontal="center" readingOrder="0"/>
    </xf>
    <xf borderId="85" fillId="0" fontId="1" numFmtId="1" xfId="0" applyAlignment="1" applyBorder="1" applyFont="1" applyNumberFormat="1">
      <alignment horizontal="center" readingOrder="0"/>
    </xf>
    <xf borderId="47" fillId="11" fontId="1" numFmtId="0" xfId="0" applyAlignment="1" applyBorder="1" applyFont="1">
      <alignment readingOrder="0"/>
    </xf>
    <xf borderId="48" fillId="0" fontId="1" numFmtId="1" xfId="0" applyAlignment="1" applyBorder="1" applyFont="1" applyNumberFormat="1">
      <alignment horizontal="center"/>
    </xf>
    <xf borderId="49" fillId="0" fontId="1" numFmtId="1" xfId="0" applyAlignment="1" applyBorder="1" applyFont="1" applyNumberFormat="1">
      <alignment horizontal="center"/>
    </xf>
    <xf borderId="86" fillId="0" fontId="1" numFmtId="1" xfId="0" applyAlignment="1" applyBorder="1" applyFont="1" applyNumberFormat="1">
      <alignment horizontal="center" readingOrder="0"/>
    </xf>
    <xf borderId="52" fillId="0" fontId="1" numFmtId="0" xfId="0" applyAlignment="1" applyBorder="1" applyFont="1">
      <alignment horizontal="center" readingOrder="0"/>
    </xf>
    <xf borderId="52" fillId="0" fontId="1" numFmtId="2" xfId="0" applyAlignment="1" applyBorder="1" applyFont="1" applyNumberFormat="1">
      <alignment horizontal="center" readingOrder="0"/>
    </xf>
    <xf borderId="52" fillId="0" fontId="1" numFmtId="165" xfId="0" applyAlignment="1" applyBorder="1" applyFont="1" applyNumberFormat="1">
      <alignment horizontal="center" readingOrder="0"/>
    </xf>
    <xf borderId="87" fillId="0" fontId="1" numFmtId="1" xfId="0" applyAlignment="1" applyBorder="1" applyFont="1" applyNumberFormat="1">
      <alignment horizontal="center" readingOrder="0"/>
    </xf>
    <xf borderId="88" fillId="0" fontId="1" numFmtId="1" xfId="0" applyAlignment="1" applyBorder="1" applyFont="1" applyNumberFormat="1">
      <alignment horizontal="center" readingOrder="0"/>
    </xf>
    <xf borderId="45" fillId="0" fontId="1" numFmtId="165" xfId="0" applyAlignment="1" applyBorder="1" applyFont="1" applyNumberFormat="1">
      <alignment horizontal="center" readingOrder="0"/>
    </xf>
    <xf borderId="89" fillId="0" fontId="1" numFmtId="1" xfId="0" applyAlignment="1" applyBorder="1" applyFont="1" applyNumberFormat="1">
      <alignment horizontal="center" readingOrder="0"/>
    </xf>
    <xf borderId="46" fillId="0" fontId="5" numFmtId="0" xfId="0" applyAlignment="1" applyBorder="1" applyFont="1">
      <alignment horizontal="center" readingOrder="0" shrinkToFit="0" textRotation="0" vertical="center" wrapText="1"/>
    </xf>
    <xf borderId="90" fillId="13" fontId="18" numFmtId="0" xfId="0" applyAlignment="1" applyBorder="1" applyFont="1">
      <alignment readingOrder="0" vertical="bottom"/>
    </xf>
    <xf borderId="42" fillId="0" fontId="18" numFmtId="1" xfId="0" applyAlignment="1" applyBorder="1" applyFont="1" applyNumberFormat="1">
      <alignment horizontal="center" vertical="bottom"/>
    </xf>
    <xf borderId="53" fillId="0" fontId="18" numFmtId="0" xfId="0" applyAlignment="1" applyBorder="1" applyFont="1">
      <alignment horizontal="center" vertical="bottom"/>
    </xf>
    <xf borderId="91" fillId="0" fontId="18" numFmtId="1" xfId="0" applyAlignment="1" applyBorder="1" applyFont="1" applyNumberFormat="1">
      <alignment horizontal="center" vertical="bottom"/>
    </xf>
    <xf borderId="44" fillId="0" fontId="18" numFmtId="0" xfId="0" applyAlignment="1" applyBorder="1" applyFont="1">
      <alignment horizontal="center" readingOrder="0" vertical="bottom"/>
    </xf>
    <xf borderId="44" fillId="0" fontId="18" numFmtId="1" xfId="0" applyAlignment="1" applyBorder="1" applyFont="1" applyNumberFormat="1">
      <alignment horizontal="center" readingOrder="0" vertical="bottom"/>
    </xf>
    <xf borderId="44" fillId="0" fontId="18" numFmtId="1" xfId="0" applyAlignment="1" applyBorder="1" applyFont="1" applyNumberFormat="1">
      <alignment horizontal="center" vertical="bottom"/>
    </xf>
    <xf borderId="44" fillId="0" fontId="18" numFmtId="2" xfId="0" applyAlignment="1" applyBorder="1" applyFont="1" applyNumberFormat="1">
      <alignment horizontal="center" vertical="bottom"/>
    </xf>
    <xf borderId="44" fillId="0" fontId="18" numFmtId="165" xfId="0" applyAlignment="1" applyBorder="1" applyFont="1" applyNumberFormat="1">
      <alignment horizontal="center" vertical="bottom"/>
    </xf>
    <xf borderId="92" fillId="0" fontId="18" numFmtId="1" xfId="0" applyAlignment="1" applyBorder="1" applyFont="1" applyNumberFormat="1">
      <alignment horizontal="center" readingOrder="0" vertical="bottom"/>
    </xf>
    <xf borderId="44" fillId="0" fontId="18" numFmtId="2" xfId="0" applyAlignment="1" applyBorder="1" applyFont="1" applyNumberFormat="1">
      <alignment horizontal="center" readingOrder="0" vertical="bottom"/>
    </xf>
    <xf borderId="93" fillId="11" fontId="18" numFmtId="0" xfId="0" applyAlignment="1" applyBorder="1" applyFont="1">
      <alignment readingOrder="0" vertical="bottom"/>
    </xf>
    <xf borderId="48" fillId="0" fontId="18" numFmtId="1" xfId="0" applyAlignment="1" applyBorder="1" applyFont="1" applyNumberFormat="1">
      <alignment horizontal="center" vertical="bottom"/>
    </xf>
    <xf borderId="49" fillId="0" fontId="18" numFmtId="1" xfId="0" applyAlignment="1" applyBorder="1" applyFont="1" applyNumberFormat="1">
      <alignment horizontal="center" vertical="bottom"/>
    </xf>
    <xf borderId="0" fillId="0" fontId="18" numFmtId="0" xfId="0" applyAlignment="1" applyFont="1">
      <alignment horizontal="center" vertical="bottom"/>
    </xf>
    <xf borderId="86" fillId="0" fontId="18" numFmtId="1" xfId="0" applyAlignment="1" applyBorder="1" applyFont="1" applyNumberFormat="1">
      <alignment horizontal="center" vertical="bottom"/>
    </xf>
    <xf borderId="51" fillId="0" fontId="18" numFmtId="0" xfId="0" applyAlignment="1" applyBorder="1" applyFont="1">
      <alignment horizontal="center" readingOrder="0" vertical="bottom"/>
    </xf>
    <xf borderId="51" fillId="0" fontId="18" numFmtId="1" xfId="0" applyAlignment="1" applyBorder="1" applyFont="1" applyNumberFormat="1">
      <alignment horizontal="center" readingOrder="0" vertical="bottom"/>
    </xf>
    <xf borderId="51" fillId="0" fontId="18" numFmtId="2" xfId="0" applyAlignment="1" applyBorder="1" applyFont="1" applyNumberFormat="1">
      <alignment horizontal="center" readingOrder="0" vertical="bottom"/>
    </xf>
    <xf borderId="51" fillId="0" fontId="18" numFmtId="165" xfId="0" applyAlignment="1" applyBorder="1" applyFont="1" applyNumberFormat="1">
      <alignment horizontal="center" vertical="bottom"/>
    </xf>
    <xf borderId="94" fillId="0" fontId="18" numFmtId="1" xfId="0" applyAlignment="1" applyBorder="1" applyFont="1" applyNumberFormat="1">
      <alignment horizontal="center" readingOrder="0" vertical="bottom"/>
    </xf>
    <xf borderId="90" fillId="11" fontId="18" numFmtId="0" xfId="0" applyAlignment="1" applyBorder="1" applyFont="1">
      <alignment readingOrder="0" vertical="bottom"/>
    </xf>
    <xf borderId="41" fillId="0" fontId="18" numFmtId="1" xfId="0" applyAlignment="1" applyBorder="1" applyFont="1" applyNumberFormat="1">
      <alignment horizontal="center" readingOrder="0" vertical="bottom"/>
    </xf>
    <xf borderId="94" fillId="0" fontId="1" numFmtId="1" xfId="0" applyAlignment="1" applyBorder="1" applyFont="1" applyNumberFormat="1">
      <alignment horizontal="center" readingOrder="0"/>
    </xf>
    <xf borderId="92" fillId="0" fontId="18" numFmtId="1" xfId="0" applyAlignment="1" applyBorder="1" applyFont="1" applyNumberFormat="1">
      <alignment horizontal="center" vertical="bottom"/>
    </xf>
    <xf borderId="41" fillId="21" fontId="18" numFmtId="1" xfId="0" applyAlignment="1" applyBorder="1" applyFill="1" applyFont="1" applyNumberFormat="1">
      <alignment horizontal="center" vertical="bottom"/>
    </xf>
    <xf borderId="39" fillId="0" fontId="17" numFmtId="0" xfId="0" applyAlignment="1" applyBorder="1" applyFont="1">
      <alignment horizontal="center" readingOrder="0" shrinkToFit="0" textRotation="0" wrapText="1"/>
    </xf>
    <xf borderId="90" fillId="13" fontId="18" numFmtId="0" xfId="0" applyAlignment="1" applyBorder="1" applyFont="1">
      <alignment vertical="bottom"/>
    </xf>
    <xf borderId="53" fillId="0" fontId="18" numFmtId="0" xfId="0" applyAlignment="1" applyBorder="1" applyFont="1">
      <alignment vertical="bottom"/>
    </xf>
    <xf borderId="91" fillId="21" fontId="18" numFmtId="1" xfId="0" applyAlignment="1" applyBorder="1" applyFont="1" applyNumberFormat="1">
      <alignment horizontal="center" vertical="bottom"/>
    </xf>
    <xf borderId="44" fillId="22" fontId="18" numFmtId="1" xfId="0" applyAlignment="1" applyBorder="1" applyFill="1" applyFont="1" applyNumberFormat="1">
      <alignment horizontal="center" vertical="bottom"/>
    </xf>
    <xf borderId="92" fillId="22" fontId="18" numFmtId="1" xfId="0" applyAlignment="1" applyBorder="1" applyFont="1" applyNumberFormat="1">
      <alignment horizontal="center" vertical="bottom"/>
    </xf>
    <xf borderId="95" fillId="11" fontId="1" numFmtId="0" xfId="0" applyAlignment="1" applyBorder="1" applyFont="1">
      <alignment readingOrder="0"/>
    </xf>
    <xf borderId="96" fillId="0" fontId="1" numFmtId="1" xfId="0" applyAlignment="1" applyBorder="1" applyFont="1" applyNumberFormat="1">
      <alignment horizontal="center" readingOrder="0"/>
    </xf>
    <xf borderId="97" fillId="0" fontId="1" numFmtId="1" xfId="0" applyAlignment="1" applyBorder="1" applyFont="1" applyNumberFormat="1">
      <alignment horizontal="center"/>
    </xf>
    <xf borderId="98" fillId="0" fontId="1" numFmtId="1" xfId="0" applyAlignment="1" applyBorder="1" applyFont="1" applyNumberFormat="1">
      <alignment horizontal="center" readingOrder="0"/>
    </xf>
    <xf borderId="96" fillId="0" fontId="1" numFmtId="1" xfId="0" applyAlignment="1" applyBorder="1" applyFont="1" applyNumberFormat="1">
      <alignment horizontal="center"/>
    </xf>
    <xf borderId="99" fillId="0" fontId="1" numFmtId="0" xfId="0" applyAlignment="1" applyBorder="1" applyFont="1">
      <alignment horizontal="center" readingOrder="0"/>
    </xf>
    <xf borderId="100" fillId="0" fontId="1" numFmtId="1" xfId="0" applyAlignment="1" applyBorder="1" applyFont="1" applyNumberFormat="1">
      <alignment horizontal="center" readingOrder="0"/>
    </xf>
    <xf borderId="100" fillId="0" fontId="1" numFmtId="2" xfId="0" applyAlignment="1" applyBorder="1" applyFont="1" applyNumberFormat="1">
      <alignment horizontal="center" readingOrder="0"/>
    </xf>
    <xf borderId="100" fillId="0" fontId="1" numFmtId="165" xfId="0" applyAlignment="1" applyBorder="1" applyFont="1" applyNumberFormat="1">
      <alignment horizontal="center" readingOrder="0"/>
    </xf>
    <xf borderId="101" fillId="0" fontId="1" numFmtId="1" xfId="0" applyAlignment="1" applyBorder="1" applyFont="1" applyNumberFormat="1">
      <alignment horizontal="center" readingOrder="0"/>
    </xf>
    <xf borderId="39" fillId="0" fontId="18" numFmtId="0" xfId="0" applyBorder="1" applyFont="1"/>
    <xf borderId="91" fillId="11" fontId="18" numFmtId="0" xfId="0" applyAlignment="1" applyBorder="1" applyFont="1">
      <alignment vertical="bottom"/>
    </xf>
    <xf borderId="91" fillId="22" fontId="18" numFmtId="1" xfId="0" applyAlignment="1" applyBorder="1" applyFont="1" applyNumberFormat="1">
      <alignment horizontal="center" readingOrder="0" vertical="bottom"/>
    </xf>
    <xf borderId="91" fillId="23" fontId="18" numFmtId="1" xfId="0" applyAlignment="1" applyBorder="1" applyFill="1" applyFont="1" applyNumberFormat="1">
      <alignment horizontal="center" vertical="bottom"/>
    </xf>
    <xf borderId="91" fillId="24" fontId="18" numFmtId="1" xfId="0" applyAlignment="1" applyBorder="1" applyFill="1" applyFont="1" applyNumberFormat="1">
      <alignment horizontal="center" vertical="bottom"/>
    </xf>
    <xf borderId="42" fillId="0" fontId="18" numFmtId="1" xfId="0" applyAlignment="1" applyBorder="1" applyFont="1" applyNumberFormat="1">
      <alignment horizontal="center" readingOrder="0" vertical="bottom"/>
    </xf>
    <xf borderId="0" fillId="11" fontId="1" numFmtId="0" xfId="0" applyAlignment="1" applyFont="1">
      <alignment readingOrder="0"/>
    </xf>
    <xf borderId="91" fillId="0" fontId="18" numFmtId="1" xfId="0" applyAlignment="1" applyBorder="1" applyFont="1" applyNumberFormat="1">
      <alignment horizontal="center" readingOrder="0" vertical="bottom"/>
    </xf>
    <xf borderId="44" fillId="0" fontId="18" numFmtId="165" xfId="0" applyAlignment="1" applyBorder="1" applyFont="1" applyNumberFormat="1">
      <alignment horizontal="center" readingOrder="0" vertical="bottom"/>
    </xf>
    <xf borderId="0" fillId="11" fontId="18" numFmtId="0" xfId="0" applyAlignment="1" applyFont="1">
      <alignment readingOrder="0" vertical="bottom"/>
    </xf>
    <xf borderId="39" fillId="0" fontId="19" numFmtId="0" xfId="0" applyAlignment="1" applyBorder="1" applyFont="1">
      <alignment horizontal="center" readingOrder="0" shrinkToFit="0" textRotation="0" vertical="center" wrapText="1"/>
    </xf>
    <xf borderId="33" fillId="13" fontId="1" numFmtId="0" xfId="0" applyAlignment="1" applyBorder="1" applyFont="1">
      <alignment readingOrder="0"/>
    </xf>
    <xf borderId="0" fillId="13" fontId="1" numFmtId="0" xfId="0" applyAlignment="1" applyFont="1">
      <alignment readingOrder="0"/>
    </xf>
    <xf borderId="93" fillId="13" fontId="1" numFmtId="0" xfId="0" applyAlignment="1" applyBorder="1" applyFont="1">
      <alignment readingOrder="0"/>
    </xf>
    <xf borderId="102" fillId="0" fontId="1" numFmtId="1" xfId="0" applyAlignment="1" applyBorder="1" applyFont="1" applyNumberFormat="1">
      <alignment horizontal="center" readingOrder="0"/>
    </xf>
    <xf borderId="103" fillId="0" fontId="1" numFmtId="1" xfId="0" applyAlignment="1" applyBorder="1" applyFont="1" applyNumberFormat="1">
      <alignment horizontal="center"/>
    </xf>
    <xf borderId="104" fillId="0" fontId="1" numFmtId="1" xfId="0" applyAlignment="1" applyBorder="1" applyFont="1" applyNumberFormat="1">
      <alignment horizontal="center" readingOrder="0"/>
    </xf>
    <xf borderId="102" fillId="0" fontId="1" numFmtId="1" xfId="0" applyAlignment="1" applyBorder="1" applyFont="1" applyNumberFormat="1">
      <alignment horizontal="center"/>
    </xf>
    <xf borderId="105" fillId="0" fontId="1" numFmtId="0" xfId="0" applyAlignment="1" applyBorder="1" applyFont="1">
      <alignment horizontal="center" readingOrder="0"/>
    </xf>
    <xf borderId="106" fillId="0" fontId="1" numFmtId="1" xfId="0" applyAlignment="1" applyBorder="1" applyFont="1" applyNumberFormat="1">
      <alignment horizontal="center" readingOrder="0"/>
    </xf>
    <xf borderId="106" fillId="0" fontId="1" numFmtId="2" xfId="0" applyAlignment="1" applyBorder="1" applyFont="1" applyNumberFormat="1">
      <alignment horizontal="center" readingOrder="0"/>
    </xf>
    <xf borderId="106" fillId="0" fontId="1" numFmtId="165" xfId="0" applyAlignment="1" applyBorder="1" applyFont="1" applyNumberFormat="1">
      <alignment horizontal="center" readingOrder="0"/>
    </xf>
    <xf borderId="107" fillId="0" fontId="1" numFmtId="1" xfId="0" applyAlignment="1" applyBorder="1" applyFont="1" applyNumberFormat="1">
      <alignment horizontal="center" readingOrder="0"/>
    </xf>
    <xf borderId="65" fillId="0" fontId="1" numFmtId="1" xfId="0" applyAlignment="1" applyBorder="1" applyFont="1" applyNumberFormat="1">
      <alignment horizontal="center"/>
    </xf>
    <xf borderId="108" fillId="0" fontId="1" numFmtId="1" xfId="0" applyAlignment="1" applyBorder="1" applyFont="1" applyNumberFormat="1">
      <alignment horizontal="center" readingOrder="0"/>
    </xf>
    <xf borderId="68" fillId="0" fontId="1" numFmtId="165" xfId="0" applyAlignment="1" applyBorder="1" applyFont="1" applyNumberFormat="1">
      <alignment horizontal="center" readingOrder="0"/>
    </xf>
    <xf borderId="109" fillId="0" fontId="1" numFmtId="1" xfId="0" applyAlignment="1" applyBorder="1" applyFont="1" applyNumberFormat="1">
      <alignment horizontal="center" readingOrder="0"/>
    </xf>
    <xf borderId="110" fillId="0" fontId="1" numFmtId="1" xfId="0" applyAlignment="1" applyBorder="1" applyFont="1" applyNumberFormat="1">
      <alignment horizontal="center" readingOrder="0"/>
    </xf>
    <xf borderId="61" fillId="0" fontId="1" numFmtId="165" xfId="0" applyAlignment="1" applyBorder="1" applyFont="1" applyNumberFormat="1">
      <alignment horizontal="center" readingOrder="0"/>
    </xf>
    <xf borderId="111" fillId="0" fontId="1" numFmtId="1" xfId="0" applyAlignment="1" applyBorder="1" applyFont="1" applyNumberFormat="1">
      <alignment horizontal="center" readingOrder="0"/>
    </xf>
    <xf borderId="112" fillId="0" fontId="5" numFmtId="0" xfId="0" applyAlignment="1" applyBorder="1" applyFont="1">
      <alignment horizontal="center" readingOrder="0" shrinkToFit="0" textRotation="0" vertical="center" wrapText="1"/>
    </xf>
    <xf borderId="113" fillId="0" fontId="1" numFmtId="0" xfId="0" applyAlignment="1" applyBorder="1" applyFont="1">
      <alignment horizontal="center" readingOrder="0"/>
    </xf>
    <xf borderId="114" fillId="0" fontId="7" numFmtId="0" xfId="0" applyBorder="1" applyFont="1"/>
    <xf borderId="115" fillId="0" fontId="7" numFmtId="0" xfId="0" applyBorder="1" applyFont="1"/>
    <xf borderId="116" fillId="0" fontId="1" numFmtId="0" xfId="0" applyAlignment="1" applyBorder="1" applyFont="1">
      <alignment horizontal="center" readingOrder="0"/>
    </xf>
    <xf borderId="0" fillId="0" fontId="1" numFmtId="165" xfId="0" applyFont="1" applyNumberFormat="1"/>
    <xf borderId="117" fillId="0" fontId="1" numFmtId="1" xfId="0" applyAlignment="1" applyBorder="1" applyFont="1" applyNumberFormat="1">
      <alignment horizontal="center"/>
    </xf>
    <xf borderId="36" fillId="0" fontId="1" numFmtId="1" xfId="0" applyAlignment="1" applyBorder="1" applyFont="1" applyNumberFormat="1">
      <alignment horizontal="center" readingOrder="0"/>
    </xf>
    <xf borderId="33" fillId="0" fontId="1" numFmtId="165" xfId="0" applyAlignment="1" applyBorder="1" applyFont="1" applyNumberFormat="1">
      <alignment horizontal="center" readingOrder="0"/>
    </xf>
    <xf borderId="117" fillId="0" fontId="1" numFmtId="1" xfId="0" applyAlignment="1" applyBorder="1" applyFont="1" applyNumberFormat="1">
      <alignment horizontal="center" readingOrder="0"/>
    </xf>
    <xf borderId="94" fillId="0" fontId="1" numFmtId="1" xfId="0" applyAlignment="1" applyBorder="1" applyFont="1" applyNumberFormat="1">
      <alignment horizontal="center"/>
    </xf>
    <xf borderId="50" fillId="0" fontId="1" numFmtId="1" xfId="0" applyAlignment="1" applyBorder="1" applyFont="1" applyNumberFormat="1">
      <alignment horizontal="center" readingOrder="0"/>
    </xf>
    <xf borderId="47" fillId="0" fontId="1" numFmtId="165" xfId="0" applyAlignment="1" applyBorder="1" applyFont="1" applyNumberFormat="1">
      <alignment horizontal="center" readingOrder="0"/>
    </xf>
    <xf borderId="92" fillId="0" fontId="1" numFmtId="1" xfId="0" applyAlignment="1" applyBorder="1" applyFont="1" applyNumberFormat="1">
      <alignment horizontal="center"/>
    </xf>
    <xf borderId="43" fillId="0" fontId="1" numFmtId="1" xfId="0" applyAlignment="1" applyBorder="1" applyFont="1" applyNumberFormat="1">
      <alignment horizontal="center" readingOrder="0"/>
    </xf>
    <xf borderId="40" fillId="0" fontId="1" numFmtId="165" xfId="0" applyAlignment="1" applyBorder="1" applyFont="1" applyNumberFormat="1">
      <alignment horizontal="center" readingOrder="0"/>
    </xf>
    <xf borderId="92" fillId="0" fontId="1" numFmtId="1" xfId="0" applyAlignment="1" applyBorder="1" applyFont="1" applyNumberFormat="1">
      <alignment horizontal="center" readingOrder="0"/>
    </xf>
    <xf borderId="48" fillId="25" fontId="18" numFmtId="1" xfId="0" applyAlignment="1" applyBorder="1" applyFill="1" applyFont="1" applyNumberFormat="1">
      <alignment horizontal="center" vertical="bottom"/>
    </xf>
    <xf borderId="94" fillId="26" fontId="18" numFmtId="1" xfId="0" applyAlignment="1" applyBorder="1" applyFill="1" applyFont="1" applyNumberFormat="1">
      <alignment horizontal="center" vertical="bottom"/>
    </xf>
    <xf borderId="48" fillId="27" fontId="18" numFmtId="1" xfId="0" applyAlignment="1" applyBorder="1" applyFill="1" applyFont="1" applyNumberFormat="1">
      <alignment horizontal="center" vertical="bottom"/>
    </xf>
    <xf borderId="94" fillId="28" fontId="18" numFmtId="1" xfId="0" applyAlignment="1" applyBorder="1" applyFill="1" applyFont="1" applyNumberFormat="1">
      <alignment horizontal="center" vertical="bottom"/>
    </xf>
    <xf borderId="48" fillId="29" fontId="18" numFmtId="1" xfId="0" applyAlignment="1" applyBorder="1" applyFill="1" applyFont="1" applyNumberFormat="1">
      <alignment horizontal="center" vertical="bottom"/>
    </xf>
    <xf borderId="94" fillId="30" fontId="18" numFmtId="1" xfId="0" applyAlignment="1" applyBorder="1" applyFill="1" applyFont="1" applyNumberFormat="1">
      <alignment horizontal="center" vertical="bottom"/>
    </xf>
    <xf borderId="118" fillId="0" fontId="1" numFmtId="1" xfId="0" applyAlignment="1" applyBorder="1" applyFont="1" applyNumberFormat="1">
      <alignment horizontal="center"/>
    </xf>
    <xf borderId="59" fillId="0" fontId="1" numFmtId="1" xfId="0" applyAlignment="1" applyBorder="1" applyFont="1" applyNumberFormat="1">
      <alignment horizontal="center" readingOrder="0"/>
    </xf>
    <xf borderId="56" fillId="0" fontId="1" numFmtId="165" xfId="0" applyAlignment="1" applyBorder="1" applyFont="1" applyNumberFormat="1">
      <alignment horizontal="center" readingOrder="0"/>
    </xf>
    <xf borderId="118" fillId="0" fontId="1" numFmtId="1" xfId="0" applyAlignment="1" applyBorder="1" applyFont="1" applyNumberFormat="1">
      <alignment horizontal="center" readingOrder="0"/>
    </xf>
    <xf borderId="119" fillId="0" fontId="1" numFmtId="1" xfId="0" applyAlignment="1" applyBorder="1" applyFont="1" applyNumberFormat="1">
      <alignment horizontal="center"/>
    </xf>
    <xf borderId="120" fillId="0" fontId="1" numFmtId="1" xfId="0" applyAlignment="1" applyBorder="1" applyFont="1" applyNumberFormat="1">
      <alignment horizontal="center" readingOrder="0"/>
    </xf>
    <xf borderId="121" fillId="0" fontId="1" numFmtId="165" xfId="0" applyAlignment="1" applyBorder="1" applyFont="1" applyNumberFormat="1">
      <alignment horizontal="center" readingOrder="0"/>
    </xf>
    <xf borderId="119" fillId="0" fontId="1" numFmtId="1" xfId="0" applyAlignment="1" applyBorder="1" applyFont="1" applyNumberFormat="1">
      <alignment horizontal="center" readingOrder="0"/>
    </xf>
    <xf borderId="61" fillId="0" fontId="1" numFmtId="0" xfId="0" applyAlignment="1" applyBorder="1" applyFont="1">
      <alignment horizontal="center" readingOrder="0"/>
    </xf>
    <xf borderId="122" fillId="0" fontId="1" numFmtId="1" xfId="0" applyAlignment="1" applyBorder="1" applyFont="1" applyNumberFormat="1">
      <alignment horizontal="center"/>
    </xf>
    <xf borderId="123" fillId="0" fontId="1" numFmtId="1" xfId="0" applyAlignment="1" applyBorder="1" applyFont="1" applyNumberFormat="1">
      <alignment horizontal="center" readingOrder="0"/>
    </xf>
    <xf borderId="95" fillId="0" fontId="1" numFmtId="165" xfId="0" applyAlignment="1" applyBorder="1" applyFont="1" applyNumberFormat="1">
      <alignment horizontal="center" readingOrder="0"/>
    </xf>
    <xf borderId="122" fillId="0" fontId="1" numFmtId="1" xfId="0" applyAlignment="1" applyBorder="1" applyFont="1" applyNumberFormat="1">
      <alignment horizontal="center" readingOrder="0"/>
    </xf>
    <xf borderId="124" fillId="0" fontId="7" numFmtId="0" xfId="0" applyBorder="1" applyFont="1"/>
    <xf borderId="117" fillId="0" fontId="7" numFmtId="0" xfId="0" applyBorder="1" applyFont="1"/>
    <xf borderId="51" fillId="0" fontId="1" numFmtId="1" xfId="0" applyAlignment="1" applyBorder="1" applyFont="1" applyNumberFormat="1">
      <alignment horizontal="center" readingOrder="0"/>
    </xf>
    <xf borderId="47" fillId="0" fontId="1" numFmtId="1" xfId="0" applyAlignment="1" applyBorder="1" applyFont="1" applyNumberFormat="1">
      <alignment horizontal="center" readingOrder="0"/>
    </xf>
    <xf borderId="66" fillId="0" fontId="1" numFmtId="1" xfId="0" applyAlignment="1" applyBorder="1" applyFont="1" applyNumberFormat="1">
      <alignment horizontal="center" readingOrder="0"/>
    </xf>
    <xf borderId="37" fillId="0" fontId="1" numFmtId="1" xfId="0" applyAlignment="1" applyBorder="1" applyFont="1" applyNumberFormat="1">
      <alignment horizontal="center"/>
    </xf>
    <xf borderId="33" fillId="0" fontId="1" numFmtId="165" xfId="0" applyAlignment="1" applyBorder="1" applyFont="1" applyNumberFormat="1">
      <alignment horizontal="center"/>
    </xf>
    <xf borderId="121" fillId="13" fontId="1" numFmtId="0" xfId="0" applyAlignment="1" applyBorder="1" applyFont="1">
      <alignment readingOrder="0"/>
    </xf>
    <xf borderId="125" fillId="0" fontId="16" numFmtId="0" xfId="0" applyAlignment="1" applyBorder="1" applyFont="1">
      <alignment horizontal="center" readingOrder="0" shrinkToFit="0" textRotation="0" vertical="center" wrapText="1"/>
    </xf>
    <xf borderId="126" fillId="13" fontId="1" numFmtId="0" xfId="0" applyAlignment="1" applyBorder="1" applyFont="1">
      <alignment readingOrder="0"/>
    </xf>
    <xf borderId="127" fillId="0" fontId="1" numFmtId="1" xfId="0" applyAlignment="1" applyBorder="1" applyFont="1" applyNumberFormat="1">
      <alignment horizontal="center" readingOrder="0"/>
    </xf>
    <xf borderId="128" fillId="0" fontId="1" numFmtId="1" xfId="0" applyAlignment="1" applyBorder="1" applyFont="1" applyNumberFormat="1">
      <alignment horizontal="center"/>
    </xf>
    <xf borderId="129" fillId="0" fontId="1" numFmtId="1" xfId="0" applyAlignment="1" applyBorder="1" applyFont="1" applyNumberFormat="1">
      <alignment horizontal="center" readingOrder="0"/>
    </xf>
    <xf borderId="127" fillId="0" fontId="1" numFmtId="1" xfId="0" applyAlignment="1" applyBorder="1" applyFont="1" applyNumberFormat="1">
      <alignment horizontal="center"/>
    </xf>
    <xf borderId="130" fillId="0" fontId="1" numFmtId="0" xfId="0" applyAlignment="1" applyBorder="1" applyFont="1">
      <alignment horizontal="center" readingOrder="0"/>
    </xf>
    <xf borderId="131" fillId="0" fontId="1" numFmtId="1" xfId="0" applyAlignment="1" applyBorder="1" applyFont="1" applyNumberFormat="1">
      <alignment horizontal="center" readingOrder="0"/>
    </xf>
    <xf borderId="131" fillId="0" fontId="1" numFmtId="2" xfId="0" applyAlignment="1" applyBorder="1" applyFont="1" applyNumberFormat="1">
      <alignment horizontal="center" readingOrder="0"/>
    </xf>
    <xf borderId="126" fillId="0" fontId="1" numFmtId="165" xfId="0" applyAlignment="1" applyBorder="1" applyFont="1" applyNumberFormat="1">
      <alignment horizontal="center" readingOrder="0"/>
    </xf>
    <xf borderId="128" fillId="0" fontId="1" numFmtId="1" xfId="0" applyAlignment="1" applyBorder="1" applyFont="1" applyNumberFormat="1">
      <alignment horizontal="center" readingOrder="0"/>
    </xf>
    <xf borderId="0" fillId="0" fontId="16" numFmtId="0" xfId="0" applyAlignment="1" applyFont="1">
      <alignment horizontal="center" readingOrder="0" shrinkToFit="0" textRotation="0" vertical="center" wrapText="1"/>
    </xf>
    <xf borderId="0" fillId="0" fontId="1" numFmtId="1" xfId="0" applyAlignment="1" applyFont="1" applyNumberFormat="1">
      <alignment horizontal="center"/>
    </xf>
    <xf borderId="0" fillId="0" fontId="1" numFmtId="0" xfId="0" applyAlignment="1" applyFont="1">
      <alignment horizontal="center" readingOrder="0"/>
    </xf>
    <xf borderId="0" fillId="0" fontId="1" numFmtId="0" xfId="0" applyAlignment="1" applyFont="1">
      <alignment horizontal="center" readingOrder="0"/>
    </xf>
    <xf borderId="0" fillId="0" fontId="1" numFmtId="1" xfId="0" applyAlignment="1" applyFont="1" applyNumberFormat="1">
      <alignment horizontal="center" readingOrder="0"/>
    </xf>
    <xf borderId="0" fillId="0" fontId="1" numFmtId="2" xfId="0" applyAlignment="1" applyFont="1" applyNumberFormat="1">
      <alignment horizontal="center" readingOrder="0"/>
    </xf>
    <xf borderId="0" fillId="0" fontId="1" numFmtId="165" xfId="0" applyAlignment="1" applyFont="1" applyNumberFormat="1">
      <alignment horizontal="center" readingOrder="0"/>
    </xf>
    <xf borderId="0" fillId="0" fontId="1" numFmtId="1" xfId="0" applyFont="1" applyNumberFormat="1"/>
    <xf borderId="132" fillId="0" fontId="5" numFmtId="0" xfId="0" applyAlignment="1" applyBorder="1" applyFont="1">
      <alignment readingOrder="0" shrinkToFit="0" wrapText="1"/>
    </xf>
    <xf borderId="133" fillId="0" fontId="5" numFmtId="0" xfId="0" applyAlignment="1" applyBorder="1" applyFont="1">
      <alignment readingOrder="0" shrinkToFit="0" wrapText="1"/>
    </xf>
    <xf borderId="134" fillId="0" fontId="5" numFmtId="0" xfId="0" applyAlignment="1" applyBorder="1" applyFont="1">
      <alignment readingOrder="0" shrinkToFit="0" wrapText="1"/>
    </xf>
    <xf borderId="135" fillId="0" fontId="5" numFmtId="0" xfId="0" applyAlignment="1" applyBorder="1" applyFont="1">
      <alignment readingOrder="0" shrinkToFit="0" wrapText="1"/>
    </xf>
    <xf borderId="32" fillId="11" fontId="1" numFmtId="1" xfId="0" applyAlignment="1" applyBorder="1" applyFont="1" applyNumberFormat="1">
      <alignment horizontal="left"/>
    </xf>
    <xf borderId="33" fillId="0" fontId="1" numFmtId="1" xfId="0" applyAlignment="1" applyBorder="1" applyFont="1" applyNumberFormat="1">
      <alignment horizontal="center"/>
    </xf>
    <xf borderId="136" fillId="0" fontId="1" numFmtId="1" xfId="0" applyAlignment="1" applyBorder="1" applyFont="1" applyNumberFormat="1">
      <alignment horizontal="center"/>
    </xf>
    <xf borderId="38" fillId="0" fontId="1" numFmtId="2" xfId="0" applyAlignment="1" applyBorder="1" applyFont="1" applyNumberFormat="1">
      <alignment horizontal="center"/>
    </xf>
    <xf borderId="85" fillId="0" fontId="1" numFmtId="1" xfId="0" applyAlignment="1" applyBorder="1" applyFont="1" applyNumberFormat="1">
      <alignment horizontal="center"/>
    </xf>
    <xf borderId="39" fillId="0" fontId="16" numFmtId="1" xfId="0" applyAlignment="1" applyBorder="1" applyFont="1" applyNumberFormat="1">
      <alignment horizontal="center" readingOrder="0"/>
    </xf>
    <xf borderId="40" fillId="0" fontId="1" numFmtId="1" xfId="0" applyAlignment="1" applyBorder="1" applyFont="1" applyNumberFormat="1">
      <alignment horizontal="center"/>
    </xf>
    <xf borderId="44" fillId="0" fontId="1" numFmtId="1" xfId="0" applyAlignment="1" applyBorder="1" applyFont="1" applyNumberFormat="1">
      <alignment horizontal="center"/>
    </xf>
    <xf borderId="89" fillId="0" fontId="1" numFmtId="1" xfId="0" applyAlignment="1" applyBorder="1" applyFont="1" applyNumberFormat="1">
      <alignment horizontal="center"/>
    </xf>
    <xf borderId="56" fillId="0" fontId="1" numFmtId="1" xfId="0" applyAlignment="1" applyBorder="1" applyFont="1" applyNumberFormat="1">
      <alignment horizontal="center"/>
    </xf>
    <xf borderId="60" fillId="0" fontId="1" numFmtId="1" xfId="0" applyAlignment="1" applyBorder="1" applyFont="1" applyNumberFormat="1">
      <alignment horizontal="center"/>
    </xf>
    <xf borderId="61" fillId="0" fontId="1" numFmtId="2" xfId="0" applyAlignment="1" applyBorder="1" applyFont="1" applyNumberFormat="1">
      <alignment horizontal="center"/>
    </xf>
    <xf borderId="111" fillId="0" fontId="1" numFmtId="1" xfId="0" applyAlignment="1" applyBorder="1" applyFont="1" applyNumberFormat="1">
      <alignment horizontal="center"/>
    </xf>
    <xf borderId="55" fillId="0" fontId="16" numFmtId="1" xfId="0" applyAlignment="1" applyBorder="1" applyFont="1" applyNumberFormat="1">
      <alignment horizontal="center" readingOrder="0"/>
    </xf>
    <xf borderId="63" fillId="0" fontId="1" numFmtId="1" xfId="0" applyAlignment="1" applyBorder="1" applyFont="1" applyNumberFormat="1">
      <alignment horizontal="center"/>
    </xf>
    <xf borderId="32" fillId="11" fontId="1" numFmtId="1" xfId="0" applyAlignment="1" applyBorder="1" applyFont="1" applyNumberFormat="1">
      <alignment horizontal="left" readingOrder="0"/>
    </xf>
    <xf borderId="38" fillId="6" fontId="1" numFmtId="2" xfId="0" applyAlignment="1" applyBorder="1" applyFont="1" applyNumberFormat="1">
      <alignment horizontal="center" readingOrder="0"/>
    </xf>
    <xf borderId="68" fillId="0" fontId="1" numFmtId="2" xfId="0" applyAlignment="1" applyBorder="1" applyFont="1" applyNumberFormat="1">
      <alignment horizontal="center"/>
    </xf>
    <xf borderId="45" fillId="6" fontId="1" numFmtId="2" xfId="0" applyAlignment="1" applyBorder="1" applyFont="1" applyNumberFormat="1">
      <alignment horizontal="center"/>
    </xf>
    <xf borderId="61" fillId="6" fontId="1" numFmtId="2" xfId="0" applyAlignment="1" applyBorder="1" applyFont="1" applyNumberFormat="1">
      <alignment horizontal="center"/>
    </xf>
    <xf borderId="39" fillId="0" fontId="17" numFmtId="1" xfId="0" applyAlignment="1" applyBorder="1" applyFont="1" applyNumberFormat="1">
      <alignment horizontal="center" vertical="bottom"/>
    </xf>
    <xf borderId="60" fillId="22" fontId="18" numFmtId="1" xfId="0" applyAlignment="1" applyBorder="1" applyFont="1" applyNumberFormat="1">
      <alignment horizontal="center" vertical="bottom"/>
    </xf>
    <xf borderId="118" fillId="22" fontId="18" numFmtId="1" xfId="0" applyAlignment="1" applyBorder="1" applyFont="1" applyNumberFormat="1">
      <alignment horizontal="center" vertical="bottom"/>
    </xf>
    <xf borderId="53" fillId="0" fontId="18" numFmtId="1" xfId="0" applyAlignment="1" applyBorder="1" applyFont="1" applyNumberFormat="1">
      <alignment vertical="bottom"/>
    </xf>
    <xf borderId="44" fillId="31" fontId="18" numFmtId="1" xfId="0" applyAlignment="1" applyBorder="1" applyFill="1" applyFont="1" applyNumberFormat="1">
      <alignment horizontal="center" vertical="bottom"/>
    </xf>
    <xf borderId="44" fillId="32" fontId="18" numFmtId="1" xfId="0" applyAlignment="1" applyBorder="1" applyFill="1" applyFont="1" applyNumberFormat="1">
      <alignment horizontal="center" vertical="bottom"/>
    </xf>
    <xf borderId="62" fillId="0" fontId="1" numFmtId="1" xfId="0" applyAlignment="1" applyBorder="1" applyFont="1" applyNumberFormat="1">
      <alignment horizontal="left"/>
    </xf>
    <xf borderId="67" fillId="0" fontId="1" numFmtId="1" xfId="0" applyAlignment="1" applyBorder="1" applyFont="1" applyNumberFormat="1">
      <alignment horizontal="center"/>
    </xf>
    <xf borderId="52" fillId="0" fontId="1" numFmtId="1" xfId="0" applyAlignment="1" applyBorder="1" applyFont="1" applyNumberFormat="1">
      <alignment horizontal="center"/>
    </xf>
    <xf borderId="39" fillId="0" fontId="1" numFmtId="1" xfId="0" applyAlignment="1" applyBorder="1" applyFont="1" applyNumberFormat="1">
      <alignment horizontal="center"/>
    </xf>
    <xf borderId="44" fillId="22" fontId="18" numFmtId="1" xfId="0" applyAlignment="1" applyBorder="1" applyFont="1" applyNumberFormat="1">
      <alignment horizontal="center" readingOrder="0" vertical="bottom"/>
    </xf>
    <xf borderId="92" fillId="22" fontId="18" numFmtId="1" xfId="0" applyAlignment="1" applyBorder="1" applyFont="1" applyNumberFormat="1">
      <alignment horizontal="center" readingOrder="0" vertical="bottom"/>
    </xf>
    <xf borderId="32" fillId="13" fontId="1" numFmtId="1" xfId="0" applyAlignment="1" applyBorder="1" applyFont="1" applyNumberFormat="1">
      <alignment horizontal="left"/>
    </xf>
    <xf borderId="76" fillId="0" fontId="1" numFmtId="1" xfId="0" applyAlignment="1" applyBorder="1" applyFont="1" applyNumberFormat="1">
      <alignment horizontal="center"/>
    </xf>
    <xf borderId="55" fillId="0" fontId="1" numFmtId="1" xfId="0" applyAlignment="1" applyBorder="1" applyFont="1" applyNumberFormat="1">
      <alignment horizontal="center"/>
    </xf>
    <xf borderId="32" fillId="13" fontId="1" numFmtId="1" xfId="0" applyAlignment="1" applyBorder="1" applyFont="1" applyNumberFormat="1">
      <alignment horizontal="left" readingOrder="0"/>
    </xf>
    <xf borderId="125" fillId="0" fontId="16" numFmtId="1" xfId="0" applyAlignment="1" applyBorder="1" applyFont="1" applyNumberFormat="1">
      <alignment horizontal="center" readingOrder="0"/>
    </xf>
    <xf borderId="83" fillId="0" fontId="1" numFmtId="1" xfId="0" applyAlignment="1" applyBorder="1" applyFont="1" applyNumberFormat="1">
      <alignment horizontal="center"/>
    </xf>
    <xf borderId="78" fillId="0" fontId="1" numFmtId="1" xfId="0" applyAlignment="1" applyBorder="1" applyFont="1" applyNumberFormat="1">
      <alignment horizontal="center"/>
    </xf>
    <xf borderId="130" fillId="0" fontId="1" numFmtId="1" xfId="0" applyAlignment="1" applyBorder="1" applyFont="1" applyNumberFormat="1">
      <alignment horizontal="center"/>
    </xf>
    <xf borderId="131" fillId="0" fontId="1" numFmtId="1" xfId="0" applyAlignment="1" applyBorder="1" applyFont="1" applyNumberFormat="1">
      <alignment horizontal="center"/>
    </xf>
    <xf borderId="131" fillId="0" fontId="1" numFmtId="2" xfId="0" applyAlignment="1" applyBorder="1" applyFont="1" applyNumberFormat="1">
      <alignment horizontal="center"/>
    </xf>
    <xf borderId="137" fillId="0" fontId="1" numFmtId="1" xfId="0" applyAlignment="1" applyBorder="1" applyFont="1" applyNumberFormat="1">
      <alignment horizontal="center" readingOrder="0"/>
    </xf>
    <xf borderId="0" fillId="13" fontId="1" numFmtId="0" xfId="0" applyAlignment="1" applyFont="1">
      <alignment horizontal="center" readingOrder="0"/>
    </xf>
    <xf borderId="138" fillId="0" fontId="1" numFmtId="0" xfId="0" applyAlignment="1" applyBorder="1" applyFont="1">
      <alignment horizontal="center" readingOrder="0"/>
    </xf>
    <xf borderId="139" fillId="0" fontId="7" numFmtId="0" xfId="0" applyBorder="1" applyFont="1"/>
    <xf borderId="140" fillId="0" fontId="1" numFmtId="0" xfId="0" applyAlignment="1" applyBorder="1" applyFont="1">
      <alignment horizontal="center" readingOrder="0"/>
    </xf>
    <xf borderId="140" fillId="0" fontId="7" numFmtId="0" xfId="0" applyBorder="1" applyFont="1"/>
    <xf borderId="54" fillId="0" fontId="1" numFmtId="0" xfId="0" applyAlignment="1" applyBorder="1" applyFont="1">
      <alignment horizontal="center" readingOrder="0"/>
    </xf>
    <xf borderId="54" fillId="0" fontId="1" numFmtId="0" xfId="0" applyAlignment="1" applyBorder="1" applyFont="1">
      <alignment readingOrder="0"/>
    </xf>
    <xf borderId="141" fillId="0" fontId="1" numFmtId="2" xfId="0" applyAlignment="1" applyBorder="1" applyFont="1" applyNumberFormat="1">
      <alignment readingOrder="0"/>
    </xf>
    <xf borderId="0" fillId="0" fontId="1" numFmtId="2" xfId="0" applyAlignment="1" applyFont="1" applyNumberFormat="1">
      <alignment readingOrder="0"/>
    </xf>
    <xf borderId="141" fillId="0" fontId="1" numFmtId="1" xfId="0" applyAlignment="1" applyBorder="1" applyFont="1" applyNumberFormat="1">
      <alignment readingOrder="0"/>
    </xf>
    <xf borderId="0" fillId="0" fontId="1" numFmtId="0" xfId="0" applyFont="1"/>
    <xf borderId="141" fillId="0" fontId="1" numFmtId="1" xfId="0" applyBorder="1" applyFont="1" applyNumberFormat="1"/>
    <xf borderId="141" fillId="0" fontId="1" numFmtId="0" xfId="0" applyBorder="1" applyFont="1"/>
    <xf borderId="54" fillId="0" fontId="1" numFmtId="0" xfId="0" applyBorder="1" applyFont="1"/>
    <xf borderId="142" fillId="0" fontId="1" numFmtId="0" xfId="0" applyBorder="1" applyFont="1"/>
    <xf borderId="143" fillId="0" fontId="1" numFmtId="0" xfId="0" applyBorder="1" applyFont="1"/>
    <xf borderId="144" fillId="0" fontId="1" numFmtId="0" xfId="0" applyAlignment="1" applyBorder="1" applyFont="1">
      <alignment readingOrder="0"/>
    </xf>
    <xf borderId="144" fillId="0" fontId="1" numFmtId="1" xfId="0" applyBorder="1" applyFont="1" applyNumberFormat="1"/>
    <xf borderId="144" fillId="0" fontId="1" numFmtId="0" xfId="0" applyBorder="1" applyFont="1"/>
    <xf borderId="145" fillId="0" fontId="5" numFmtId="0" xfId="0" applyAlignment="1" applyBorder="1" applyFont="1">
      <alignment readingOrder="0" shrinkToFit="0" wrapText="1"/>
    </xf>
    <xf borderId="146" fillId="0" fontId="5" numFmtId="0" xfId="0" applyAlignment="1" applyBorder="1" applyFont="1">
      <alignment readingOrder="0" shrinkToFit="0" wrapText="1"/>
    </xf>
    <xf borderId="147" fillId="0" fontId="5" numFmtId="0" xfId="0" applyAlignment="1" applyBorder="1" applyFont="1">
      <alignment readingOrder="0" shrinkToFit="0" wrapText="1"/>
    </xf>
    <xf borderId="148" fillId="0" fontId="7" numFmtId="0" xfId="0" applyBorder="1" applyFont="1"/>
    <xf borderId="149" fillId="0" fontId="5" numFmtId="0" xfId="0" applyAlignment="1" applyBorder="1" applyFont="1">
      <alignment readingOrder="0" shrinkToFit="0" wrapText="1"/>
    </xf>
    <xf borderId="0" fillId="0" fontId="5" numFmtId="2" xfId="0" applyAlignment="1" applyFont="1" applyNumberFormat="1">
      <alignment readingOrder="0" shrinkToFit="0" wrapText="1"/>
    </xf>
    <xf borderId="46" fillId="0" fontId="1" numFmtId="0" xfId="0" applyAlignment="1" applyBorder="1" applyFont="1">
      <alignment readingOrder="0"/>
    </xf>
    <xf borderId="47" fillId="0" fontId="1" numFmtId="1" xfId="0" applyAlignment="1" applyBorder="1" applyFont="1" applyNumberFormat="1">
      <alignment horizontal="center"/>
    </xf>
    <xf borderId="94" fillId="0" fontId="7" numFmtId="0" xfId="0" applyBorder="1" applyFont="1"/>
    <xf borderId="46" fillId="0" fontId="1" numFmtId="0" xfId="0" applyAlignment="1" applyBorder="1" applyFont="1">
      <alignment horizontal="center"/>
    </xf>
    <xf borderId="87" fillId="0" fontId="1" numFmtId="1" xfId="0" applyAlignment="1" applyBorder="1" applyFont="1" applyNumberFormat="1">
      <alignment horizontal="center"/>
    </xf>
    <xf borderId="0" fillId="0" fontId="1" numFmtId="2" xfId="0" applyAlignment="1" applyFont="1" applyNumberFormat="1">
      <alignment horizontal="center"/>
    </xf>
    <xf borderId="39" fillId="0" fontId="1" numFmtId="0" xfId="0" applyAlignment="1" applyBorder="1" applyFont="1">
      <alignment readingOrder="0"/>
    </xf>
    <xf borderId="92" fillId="0" fontId="7" numFmtId="0" xfId="0" applyBorder="1" applyFont="1"/>
    <xf borderId="39" fillId="0" fontId="1" numFmtId="0" xfId="0" applyAlignment="1" applyBorder="1" applyFont="1">
      <alignment horizontal="center"/>
    </xf>
    <xf borderId="45" fillId="0" fontId="1" numFmtId="0" xfId="0" applyAlignment="1" applyBorder="1" applyFont="1">
      <alignment horizontal="center"/>
    </xf>
    <xf borderId="125" fillId="0" fontId="1" numFmtId="0" xfId="0" applyAlignment="1" applyBorder="1" applyFont="1">
      <alignment readingOrder="0"/>
    </xf>
    <xf borderId="131" fillId="0" fontId="1" numFmtId="0" xfId="0" applyAlignment="1" applyBorder="1" applyFont="1">
      <alignment horizontal="center" readingOrder="0"/>
    </xf>
    <xf borderId="126" fillId="0" fontId="1" numFmtId="1" xfId="0" applyAlignment="1" applyBorder="1" applyFont="1" applyNumberFormat="1">
      <alignment horizontal="center"/>
    </xf>
    <xf borderId="128" fillId="0" fontId="7" numFmtId="0" xfId="0" applyBorder="1" applyFont="1"/>
    <xf borderId="125" fillId="0" fontId="1" numFmtId="1" xfId="0" applyAlignment="1" applyBorder="1" applyFont="1" applyNumberFormat="1">
      <alignment horizontal="center"/>
    </xf>
    <xf borderId="137" fillId="0" fontId="1" numFmtId="1" xfId="0" applyAlignment="1" applyBorder="1" applyFont="1" applyNumberFormat="1">
      <alignment horizontal="center"/>
    </xf>
    <xf borderId="71" fillId="0" fontId="16" numFmtId="1" xfId="0" applyAlignment="1" applyBorder="1" applyFont="1" applyNumberFormat="1">
      <alignment horizontal="center" readingOrder="0"/>
    </xf>
    <xf borderId="150" fillId="0" fontId="1" numFmtId="1" xfId="0" applyAlignment="1" applyBorder="1" applyFont="1" applyNumberFormat="1">
      <alignment horizontal="center"/>
    </xf>
    <xf borderId="151" fillId="0" fontId="1" numFmtId="1" xfId="0" applyAlignment="1" applyBorder="1" applyFont="1" applyNumberFormat="1">
      <alignment horizontal="center"/>
    </xf>
    <xf borderId="75" fillId="0" fontId="1" numFmtId="1" xfId="0" applyAlignment="1" applyBorder="1" applyFont="1" applyNumberFormat="1">
      <alignment horizontal="center"/>
    </xf>
    <xf borderId="152" fillId="0" fontId="1" numFmtId="1" xfId="0" applyAlignment="1" applyBorder="1" applyFont="1" applyNumberFormat="1">
      <alignment horizontal="center" readingOrder="0"/>
    </xf>
    <xf borderId="45" fillId="6" fontId="1" numFmtId="2" xfId="0" applyAlignment="1" applyBorder="1" applyFont="1" applyNumberFormat="1">
      <alignment horizontal="center" readingOrder="0"/>
    </xf>
    <xf borderId="37" fillId="0" fontId="20" numFmtId="0" xfId="0" applyAlignment="1" applyBorder="1" applyFont="1">
      <alignment horizontal="center" vertical="bottom"/>
    </xf>
    <xf borderId="153" fillId="13" fontId="18" numFmtId="0" xfId="0" applyAlignment="1" applyBorder="1" applyFont="1">
      <alignment vertical="bottom"/>
    </xf>
    <xf borderId="153" fillId="33" fontId="18" numFmtId="1" xfId="0" applyAlignment="1" applyBorder="1" applyFill="1" applyFont="1" applyNumberFormat="1">
      <alignment horizontal="center" vertical="bottom"/>
    </xf>
    <xf borderId="117" fillId="34" fontId="18" numFmtId="1" xfId="0" applyAlignment="1" applyBorder="1" applyFill="1" applyFont="1" applyNumberFormat="1">
      <alignment horizontal="center" vertical="bottom"/>
    </xf>
    <xf borderId="153" fillId="35" fontId="18" numFmtId="1" xfId="0" applyAlignment="1" applyBorder="1" applyFill="1" applyFont="1" applyNumberFormat="1">
      <alignment horizontal="center" vertical="bottom"/>
    </xf>
    <xf borderId="153" fillId="36" fontId="18" numFmtId="1" xfId="0" applyAlignment="1" applyBorder="1" applyFill="1" applyFont="1" applyNumberFormat="1">
      <alignment horizontal="center" vertical="bottom"/>
    </xf>
    <xf borderId="37" fillId="0" fontId="18" numFmtId="0" xfId="0" applyAlignment="1" applyBorder="1" applyFont="1">
      <alignment horizontal="center" vertical="bottom"/>
    </xf>
    <xf borderId="37" fillId="0" fontId="18" numFmtId="1" xfId="0" applyAlignment="1" applyBorder="1" applyFont="1" applyNumberFormat="1">
      <alignment horizontal="center" vertical="bottom"/>
    </xf>
    <xf borderId="37" fillId="0" fontId="18" numFmtId="2" xfId="0" applyAlignment="1" applyBorder="1" applyFont="1" applyNumberFormat="1">
      <alignment horizontal="center" vertical="bottom"/>
    </xf>
    <xf borderId="153" fillId="0" fontId="18" numFmtId="165" xfId="0" applyAlignment="1" applyBorder="1" applyFont="1" applyNumberFormat="1">
      <alignment horizontal="center" vertical="bottom"/>
    </xf>
    <xf borderId="153" fillId="37" fontId="18" numFmtId="1" xfId="0" applyAlignment="1" applyBorder="1" applyFill="1" applyFont="1" applyNumberFormat="1">
      <alignment horizontal="center" vertical="bottom"/>
    </xf>
    <xf borderId="117" fillId="38" fontId="18" numFmtId="1" xfId="0" applyAlignment="1" applyBorder="1" applyFill="1" applyFont="1" applyNumberFormat="1">
      <alignment horizontal="center" vertical="bottom"/>
    </xf>
    <xf borderId="51" fillId="0" fontId="20" numFmtId="0" xfId="0" applyAlignment="1" applyBorder="1" applyFont="1">
      <alignment horizontal="center" vertical="bottom"/>
    </xf>
    <xf borderId="154" fillId="13" fontId="18" numFmtId="0" xfId="0" applyAlignment="1" applyBorder="1" applyFont="1">
      <alignment vertical="bottom"/>
    </xf>
    <xf borderId="154" fillId="39" fontId="18" numFmtId="1" xfId="0" applyAlignment="1" applyBorder="1" applyFill="1" applyFont="1" applyNumberFormat="1">
      <alignment horizontal="center" vertical="bottom"/>
    </xf>
    <xf borderId="94" fillId="40" fontId="18" numFmtId="1" xfId="0" applyAlignment="1" applyBorder="1" applyFill="1" applyFont="1" applyNumberFormat="1">
      <alignment horizontal="center" vertical="bottom"/>
    </xf>
    <xf borderId="154" fillId="35" fontId="18" numFmtId="1" xfId="0" applyAlignment="1" applyBorder="1" applyFont="1" applyNumberFormat="1">
      <alignment horizontal="center" vertical="bottom"/>
    </xf>
    <xf borderId="154" fillId="36" fontId="18" numFmtId="1" xfId="0" applyAlignment="1" applyBorder="1" applyFont="1" applyNumberFormat="1">
      <alignment horizontal="center" vertical="bottom"/>
    </xf>
    <xf borderId="51" fillId="0" fontId="18" numFmtId="0" xfId="0" applyAlignment="1" applyBorder="1" applyFont="1">
      <alignment horizontal="center" vertical="bottom"/>
    </xf>
    <xf borderId="51" fillId="0" fontId="18" numFmtId="1" xfId="0" applyAlignment="1" applyBorder="1" applyFont="1" applyNumberFormat="1">
      <alignment horizontal="center" vertical="bottom"/>
    </xf>
    <xf borderId="51" fillId="0" fontId="18" numFmtId="2" xfId="0" applyAlignment="1" applyBorder="1" applyFont="1" applyNumberFormat="1">
      <alignment horizontal="center" vertical="bottom"/>
    </xf>
    <xf borderId="154" fillId="0" fontId="18" numFmtId="165" xfId="0" applyAlignment="1" applyBorder="1" applyFont="1" applyNumberFormat="1">
      <alignment horizontal="center" vertical="bottom"/>
    </xf>
    <xf borderId="154" fillId="37" fontId="18" numFmtId="1" xfId="0" applyAlignment="1" applyBorder="1" applyFont="1" applyNumberFormat="1">
      <alignment horizontal="center" vertical="bottom"/>
    </xf>
    <xf borderId="94" fillId="38" fontId="18" numFmtId="1" xfId="0" applyAlignment="1" applyBorder="1" applyFont="1" applyNumberFormat="1">
      <alignment horizontal="center" vertical="bottom"/>
    </xf>
    <xf borderId="51" fillId="0" fontId="20" numFmtId="0" xfId="0" applyAlignment="1" applyBorder="1" applyFont="1">
      <alignment horizontal="center" readingOrder="0" vertical="bottom"/>
    </xf>
    <xf borderId="154" fillId="41" fontId="18" numFmtId="1" xfId="0" applyAlignment="1" applyBorder="1" applyFill="1" applyFont="1" applyNumberFormat="1">
      <alignment horizontal="center" vertical="bottom"/>
    </xf>
    <xf borderId="94" fillId="42" fontId="18" numFmtId="1" xfId="0" applyAlignment="1" applyBorder="1" applyFill="1" applyFont="1" applyNumberFormat="1">
      <alignment horizontal="center" vertical="bottom"/>
    </xf>
    <xf borderId="154" fillId="43" fontId="18" numFmtId="1" xfId="0" applyAlignment="1" applyBorder="1" applyFill="1" applyFont="1" applyNumberFormat="1">
      <alignment horizontal="center" vertical="bottom"/>
    </xf>
    <xf borderId="154" fillId="44" fontId="18" numFmtId="1" xfId="0" applyAlignment="1" applyBorder="1" applyFill="1" applyFont="1" applyNumberFormat="1">
      <alignment horizontal="center" vertical="bottom"/>
    </xf>
    <xf borderId="94" fillId="0" fontId="18" numFmtId="1" xfId="0" applyAlignment="1" applyBorder="1" applyFont="1" applyNumberFormat="1">
      <alignment horizontal="center" vertical="bottom"/>
    </xf>
    <xf borderId="0" fillId="0" fontId="18" numFmtId="0" xfId="0" applyAlignment="1" applyFont="1">
      <alignment vertical="bottom"/>
    </xf>
    <xf borderId="154" fillId="45" fontId="18" numFmtId="1" xfId="0" applyAlignment="1" applyBorder="1" applyFill="1" applyFont="1" applyNumberFormat="1">
      <alignment horizontal="center" vertical="bottom"/>
    </xf>
    <xf borderId="94" fillId="46" fontId="18" numFmtId="1" xfId="0" applyAlignment="1" applyBorder="1" applyFill="1" applyFont="1" applyNumberFormat="1">
      <alignment horizontal="center" vertical="bottom"/>
    </xf>
    <xf borderId="154" fillId="47" fontId="18" numFmtId="1" xfId="0" applyAlignment="1" applyBorder="1" applyFill="1" applyFont="1" applyNumberFormat="1">
      <alignment horizontal="center" vertical="bottom"/>
    </xf>
    <xf borderId="154" fillId="48" fontId="18" numFmtId="1" xfId="0" applyAlignment="1" applyBorder="1" applyFill="1" applyFont="1" applyNumberFormat="1">
      <alignment horizontal="center" vertical="bottom"/>
    </xf>
    <xf borderId="154" fillId="24" fontId="18" numFmtId="1" xfId="0" applyAlignment="1" applyBorder="1" applyFont="1" applyNumberFormat="1">
      <alignment horizontal="center" vertical="bottom"/>
    </xf>
    <xf borderId="154" fillId="0" fontId="18" numFmtId="1" xfId="0" applyAlignment="1" applyBorder="1" applyFont="1" applyNumberFormat="1">
      <alignment horizontal="center" vertical="bottom"/>
    </xf>
    <xf borderId="154" fillId="49" fontId="18" numFmtId="1" xfId="0" applyAlignment="1" applyBorder="1" applyFill="1" applyFont="1" applyNumberFormat="1">
      <alignment horizontal="center" vertical="bottom"/>
    </xf>
    <xf borderId="154" fillId="50" fontId="18" numFmtId="1" xfId="0" applyAlignment="1" applyBorder="1" applyFill="1" applyFont="1" applyNumberFormat="1">
      <alignment horizontal="center" vertical="bottom"/>
    </xf>
    <xf borderId="154" fillId="51" fontId="18" numFmtId="1" xfId="0" applyAlignment="1" applyBorder="1" applyFill="1" applyFont="1" applyNumberFormat="1">
      <alignment horizontal="center" vertical="bottom"/>
    </xf>
    <xf borderId="154" fillId="52" fontId="18" numFmtId="1" xfId="0" applyAlignment="1" applyBorder="1" applyFill="1" applyFont="1" applyNumberFormat="1">
      <alignment horizontal="center" vertical="bottom"/>
    </xf>
    <xf borderId="94" fillId="53" fontId="18" numFmtId="1" xfId="0" applyAlignment="1" applyBorder="1" applyFill="1" applyFont="1" applyNumberFormat="1">
      <alignment horizontal="center" vertical="bottom"/>
    </xf>
    <xf borderId="154" fillId="19" fontId="18" numFmtId="1" xfId="0" applyAlignment="1" applyBorder="1" applyFont="1" applyNumberFormat="1">
      <alignment horizontal="center" vertical="bottom"/>
    </xf>
    <xf borderId="154" fillId="54" fontId="18" numFmtId="1" xfId="0" applyAlignment="1" applyBorder="1" applyFill="1" applyFont="1" applyNumberFormat="1">
      <alignment horizontal="center" vertical="bottom"/>
    </xf>
    <xf borderId="154" fillId="55" fontId="18" numFmtId="1" xfId="0" applyAlignment="1" applyBorder="1" applyFill="1" applyFont="1" applyNumberFormat="1">
      <alignment horizontal="center" vertical="bottom"/>
    </xf>
    <xf borderId="154" fillId="11" fontId="18" numFmtId="0" xfId="0" applyAlignment="1" applyBorder="1" applyFont="1">
      <alignment vertical="bottom"/>
    </xf>
    <xf borderId="154" fillId="18" fontId="18" numFmtId="1" xfId="0" applyAlignment="1" applyBorder="1" applyFont="1" applyNumberFormat="1">
      <alignment horizontal="center" vertical="bottom"/>
    </xf>
    <xf borderId="94" fillId="34" fontId="18" numFmtId="1" xfId="0" applyAlignment="1" applyBorder="1" applyFont="1" applyNumberFormat="1">
      <alignment horizontal="center" vertical="bottom"/>
    </xf>
    <xf borderId="154" fillId="56" fontId="18" numFmtId="1" xfId="0" applyAlignment="1" applyBorder="1" applyFill="1" applyFont="1" applyNumberFormat="1">
      <alignment horizontal="center" vertical="bottom"/>
    </xf>
    <xf borderId="154" fillId="57" fontId="18" numFmtId="1" xfId="0" applyAlignment="1" applyBorder="1" applyFill="1" applyFont="1" applyNumberFormat="1">
      <alignment horizontal="center" vertical="bottom"/>
    </xf>
    <xf borderId="154" fillId="58" fontId="18" numFmtId="1" xfId="0" applyAlignment="1" applyBorder="1" applyFill="1" applyFont="1" applyNumberFormat="1">
      <alignment horizontal="center" vertical="bottom"/>
    </xf>
    <xf borderId="154" fillId="59" fontId="18" numFmtId="1" xfId="0" applyAlignment="1" applyBorder="1" applyFill="1" applyFont="1" applyNumberFormat="1">
      <alignment horizontal="center" vertical="bottom"/>
    </xf>
    <xf borderId="94" fillId="60" fontId="18" numFmtId="1" xfId="0" applyAlignment="1" applyBorder="1" applyFill="1" applyFont="1" applyNumberFormat="1">
      <alignment horizontal="center" vertical="bottom"/>
    </xf>
    <xf borderId="154" fillId="21" fontId="18" numFmtId="1" xfId="0" applyAlignment="1" applyBorder="1" applyFont="1" applyNumberFormat="1">
      <alignment horizontal="center" vertical="bottom"/>
    </xf>
    <xf borderId="94" fillId="61" fontId="18" numFmtId="1" xfId="0" applyAlignment="1" applyBorder="1" applyFill="1" applyFont="1" applyNumberFormat="1">
      <alignment horizontal="center" vertical="bottom"/>
    </xf>
    <xf borderId="154" fillId="62" fontId="18" numFmtId="1" xfId="0" applyAlignment="1" applyBorder="1" applyFill="1" applyFont="1" applyNumberFormat="1">
      <alignment horizontal="center" vertical="bottom"/>
    </xf>
    <xf borderId="154" fillId="63" fontId="18" numFmtId="1" xfId="0" applyAlignment="1" applyBorder="1" applyFill="1" applyFont="1" applyNumberFormat="1">
      <alignment horizontal="center" vertical="bottom"/>
    </xf>
    <xf borderId="154" fillId="22" fontId="18" numFmtId="1" xfId="0" applyAlignment="1" applyBorder="1" applyFont="1" applyNumberFormat="1">
      <alignment horizontal="center" vertical="bottom"/>
    </xf>
    <xf borderId="0" fillId="0" fontId="18" numFmtId="0" xfId="0" applyAlignment="1" applyFont="1">
      <alignment shrinkToFit="0" vertical="bottom" wrapText="0"/>
    </xf>
    <xf borderId="154" fillId="64" fontId="18" numFmtId="1" xfId="0" applyAlignment="1" applyBorder="1" applyFill="1" applyFont="1" applyNumberFormat="1">
      <alignment horizontal="center" vertical="bottom"/>
    </xf>
    <xf borderId="94" fillId="15" fontId="18" numFmtId="1" xfId="0" applyAlignment="1" applyBorder="1" applyFont="1" applyNumberFormat="1">
      <alignment horizontal="center" vertical="bottom"/>
    </xf>
    <xf borderId="154" fillId="27" fontId="18" numFmtId="1" xfId="0" applyAlignment="1" applyBorder="1" applyFont="1" applyNumberFormat="1">
      <alignment horizontal="center" vertical="bottom"/>
    </xf>
    <xf borderId="94" fillId="65" fontId="18" numFmtId="1" xfId="0" applyAlignment="1" applyBorder="1" applyFill="1" applyFont="1" applyNumberFormat="1">
      <alignment horizontal="center" vertical="bottom"/>
    </xf>
    <xf borderId="154" fillId="66" fontId="18" numFmtId="1" xfId="0" applyAlignment="1" applyBorder="1" applyFill="1" applyFont="1" applyNumberFormat="1">
      <alignment horizontal="center" vertical="bottom"/>
    </xf>
    <xf borderId="154" fillId="67" fontId="18" numFmtId="1" xfId="0" applyAlignment="1" applyBorder="1" applyFill="1" applyFont="1" applyNumberFormat="1">
      <alignment horizontal="center" vertical="bottom"/>
    </xf>
    <xf borderId="154" fillId="68" fontId="18" numFmtId="1" xfId="0" applyAlignment="1" applyBorder="1" applyFill="1" applyFont="1" applyNumberFormat="1">
      <alignment horizontal="center" vertical="bottom"/>
    </xf>
    <xf borderId="94" fillId="69" fontId="18" numFmtId="1" xfId="0" applyAlignment="1" applyBorder="1" applyFill="1" applyFont="1" applyNumberFormat="1">
      <alignment horizontal="center" vertical="bottom"/>
    </xf>
    <xf borderId="154" fillId="17" fontId="18" numFmtId="1" xfId="0" applyAlignment="1" applyBorder="1" applyFont="1" applyNumberFormat="1">
      <alignment horizontal="center" vertical="bottom"/>
    </xf>
    <xf borderId="154" fillId="70" fontId="18" numFmtId="1" xfId="0" applyAlignment="1" applyBorder="1" applyFill="1" applyFont="1" applyNumberFormat="1">
      <alignment horizontal="center" vertical="bottom"/>
    </xf>
    <xf borderId="154" fillId="53" fontId="18" numFmtId="1" xfId="0" applyAlignment="1" applyBorder="1" applyFont="1" applyNumberFormat="1">
      <alignment horizontal="center" vertical="bottom"/>
    </xf>
    <xf borderId="94" fillId="71" fontId="18" numFmtId="1" xfId="0" applyAlignment="1" applyBorder="1" applyFill="1" applyFont="1" applyNumberFormat="1">
      <alignment horizontal="center" vertical="bottom"/>
    </xf>
    <xf borderId="154" fillId="72" fontId="18" numFmtId="1" xfId="0" applyAlignment="1" applyBorder="1" applyFill="1" applyFont="1" applyNumberFormat="1">
      <alignment horizontal="center" vertical="bottom"/>
    </xf>
    <xf borderId="94" fillId="44" fontId="18" numFmtId="1" xfId="0" applyAlignment="1" applyBorder="1" applyFont="1" applyNumberFormat="1">
      <alignment horizontal="center" vertical="bottom"/>
    </xf>
    <xf borderId="154" fillId="73" fontId="18" numFmtId="1" xfId="0" applyAlignment="1" applyBorder="1" applyFill="1" applyFont="1" applyNumberFormat="1">
      <alignment horizontal="center" vertical="bottom"/>
    </xf>
    <xf borderId="154" fillId="74" fontId="18" numFmtId="1" xfId="0" applyAlignment="1" applyBorder="1" applyFill="1" applyFont="1" applyNumberFormat="1">
      <alignment horizontal="center" vertical="bottom"/>
    </xf>
    <xf borderId="154" fillId="75" fontId="18" numFmtId="1" xfId="0" applyAlignment="1" applyBorder="1" applyFill="1" applyFont="1" applyNumberFormat="1">
      <alignment horizontal="center" vertical="bottom"/>
    </xf>
    <xf borderId="94" fillId="76" fontId="18" numFmtId="1" xfId="0" applyAlignment="1" applyBorder="1" applyFill="1" applyFont="1" applyNumberFormat="1">
      <alignment horizontal="center" vertical="bottom"/>
    </xf>
    <xf borderId="154" fillId="77" fontId="18" numFmtId="1" xfId="0" applyAlignment="1" applyBorder="1" applyFill="1" applyFont="1" applyNumberFormat="1">
      <alignment horizontal="center" vertical="bottom"/>
    </xf>
    <xf borderId="0" fillId="0" fontId="18" numFmtId="0" xfId="0" applyAlignment="1" applyFont="1">
      <alignment readingOrder="0" shrinkToFit="0" vertical="bottom" wrapText="0"/>
    </xf>
    <xf borderId="94" fillId="48" fontId="18" numFmtId="1" xfId="0" applyAlignment="1" applyBorder="1" applyFont="1" applyNumberFormat="1">
      <alignment horizontal="center" vertical="bottom"/>
    </xf>
    <xf borderId="0" fillId="0" fontId="18" numFmtId="0" xfId="0" applyAlignment="1" applyFont="1">
      <alignment shrinkToFit="0" vertical="bottom" wrapText="0"/>
    </xf>
    <xf borderId="94" fillId="22" fontId="18" numFmtId="1" xfId="0" applyAlignment="1" applyBorder="1" applyFont="1" applyNumberFormat="1">
      <alignment horizontal="center" vertical="bottom"/>
    </xf>
    <xf borderId="154" fillId="78" fontId="18" numFmtId="1" xfId="0" applyAlignment="1" applyBorder="1" applyFill="1" applyFont="1" applyNumberFormat="1">
      <alignment horizontal="center" vertical="bottom"/>
    </xf>
    <xf borderId="154" fillId="79" fontId="18" numFmtId="1" xfId="0" applyAlignment="1" applyBorder="1" applyFill="1" applyFont="1" applyNumberFormat="1">
      <alignment horizontal="center" vertical="bottom"/>
    </xf>
    <xf borderId="94" fillId="80" fontId="18" numFmtId="1" xfId="0" applyAlignment="1" applyBorder="1" applyFill="1" applyFont="1" applyNumberFormat="1">
      <alignment horizontal="center" vertical="bottom"/>
    </xf>
    <xf borderId="154" fillId="81" fontId="18" numFmtId="1" xfId="0" applyAlignment="1" applyBorder="1" applyFill="1" applyFont="1" applyNumberFormat="1">
      <alignment horizontal="center" vertical="bottom"/>
    </xf>
    <xf borderId="94" fillId="82" fontId="18" numFmtId="1" xfId="0" applyAlignment="1" applyBorder="1" applyFill="1" applyFont="1" applyNumberFormat="1">
      <alignment horizontal="center" vertical="bottom"/>
    </xf>
    <xf borderId="154" fillId="83" fontId="18" numFmtId="1" xfId="0" applyAlignment="1" applyBorder="1" applyFill="1" applyFont="1" applyNumberFormat="1">
      <alignment horizontal="center" vertical="bottom"/>
    </xf>
    <xf borderId="154" fillId="84" fontId="18" numFmtId="1" xfId="0" applyAlignment="1" applyBorder="1" applyFill="1" applyFont="1" applyNumberFormat="1">
      <alignment horizontal="center" vertical="bottom"/>
    </xf>
    <xf borderId="154" fillId="85" fontId="18" numFmtId="1" xfId="0" applyAlignment="1" applyBorder="1" applyFill="1" applyFont="1" applyNumberFormat="1">
      <alignment horizontal="center" vertical="bottom"/>
    </xf>
    <xf borderId="94" fillId="86" fontId="18" numFmtId="1" xfId="0" applyAlignment="1" applyBorder="1" applyFill="1" applyFont="1" applyNumberFormat="1">
      <alignment horizontal="center" vertical="bottom"/>
    </xf>
    <xf borderId="154" fillId="87" fontId="18" numFmtId="1" xfId="0" applyAlignment="1" applyBorder="1" applyFill="1" applyFont="1" applyNumberFormat="1">
      <alignment horizontal="center" vertical="bottom"/>
    </xf>
    <xf borderId="94" fillId="47" fontId="18" numFmtId="1" xfId="0" applyAlignment="1" applyBorder="1" applyFont="1" applyNumberFormat="1">
      <alignment horizontal="center" vertical="bottom"/>
    </xf>
    <xf borderId="154" fillId="88" fontId="18" numFmtId="1" xfId="0" applyAlignment="1" applyBorder="1" applyFill="1" applyFont="1" applyNumberFormat="1">
      <alignment horizontal="center" vertical="bottom"/>
    </xf>
    <xf borderId="154" fillId="89" fontId="18" numFmtId="1" xfId="0" applyAlignment="1" applyBorder="1" applyFill="1" applyFont="1" applyNumberFormat="1">
      <alignment horizontal="center" vertical="bottom"/>
    </xf>
    <xf borderId="154" fillId="90" fontId="18" numFmtId="1" xfId="0" applyAlignment="1" applyBorder="1" applyFill="1" applyFont="1" applyNumberFormat="1">
      <alignment horizontal="center" vertical="bottom"/>
    </xf>
    <xf borderId="94" fillId="91" fontId="18" numFmtId="1" xfId="0" applyAlignment="1" applyBorder="1" applyFill="1" applyFont="1" applyNumberFormat="1">
      <alignment horizontal="center" vertical="bottom"/>
    </xf>
    <xf borderId="154" fillId="92" fontId="18" numFmtId="1" xfId="0" applyAlignment="1" applyBorder="1" applyFill="1" applyFont="1" applyNumberFormat="1">
      <alignment horizontal="center" vertical="bottom"/>
    </xf>
    <xf borderId="94" fillId="20" fontId="18" numFmtId="1" xfId="0" applyAlignment="1" applyBorder="1" applyFont="1" applyNumberFormat="1">
      <alignment horizontal="center" vertical="bottom"/>
    </xf>
    <xf borderId="154" fillId="80" fontId="18" numFmtId="1" xfId="0" applyAlignment="1" applyBorder="1" applyFont="1" applyNumberFormat="1">
      <alignment horizontal="center" vertical="bottom"/>
    </xf>
    <xf borderId="154" fillId="93" fontId="18" numFmtId="1" xfId="0" applyAlignment="1" applyBorder="1" applyFill="1" applyFont="1" applyNumberFormat="1">
      <alignment horizontal="center" vertical="bottom"/>
    </xf>
    <xf borderId="94" fillId="94" fontId="18" numFmtId="1" xfId="0" applyAlignment="1" applyBorder="1" applyFill="1" applyFont="1" applyNumberFormat="1">
      <alignment horizontal="center" vertical="bottom"/>
    </xf>
    <xf borderId="94" fillId="81" fontId="18" numFmtId="1" xfId="0" applyAlignment="1" applyBorder="1" applyFont="1" applyNumberFormat="1">
      <alignment horizontal="center" vertical="bottom"/>
    </xf>
    <xf borderId="154" fillId="95" fontId="18" numFmtId="1" xfId="0" applyAlignment="1" applyBorder="1" applyFill="1" applyFont="1" applyNumberFormat="1">
      <alignment horizontal="center" vertical="bottom"/>
    </xf>
    <xf borderId="154" fillId="96" fontId="18" numFmtId="1" xfId="0" applyAlignment="1" applyBorder="1" applyFill="1" applyFont="1" applyNumberFormat="1">
      <alignment horizontal="center" vertical="bottom"/>
    </xf>
    <xf borderId="154" fillId="91" fontId="18" numFmtId="1" xfId="0" applyAlignment="1" applyBorder="1" applyFont="1" applyNumberFormat="1">
      <alignment horizontal="center" vertical="bottom"/>
    </xf>
    <xf borderId="94" fillId="97" fontId="18" numFmtId="1" xfId="0" applyAlignment="1" applyBorder="1" applyFill="1" applyFont="1" applyNumberFormat="1">
      <alignment horizontal="center" vertical="bottom"/>
    </xf>
    <xf borderId="154" fillId="98" fontId="18" numFmtId="1" xfId="0" applyAlignment="1" applyBorder="1" applyFill="1" applyFont="1" applyNumberFormat="1">
      <alignment horizontal="center" vertical="bottom"/>
    </xf>
    <xf borderId="94" fillId="99" fontId="18" numFmtId="1" xfId="0" applyAlignment="1" applyBorder="1" applyFill="1" applyFont="1" applyNumberFormat="1">
      <alignment horizontal="center" vertical="bottom"/>
    </xf>
    <xf borderId="154" fillId="100" fontId="18" numFmtId="1" xfId="0" applyAlignment="1" applyBorder="1" applyFill="1" applyFont="1" applyNumberFormat="1">
      <alignment horizontal="center" vertical="bottom"/>
    </xf>
    <xf borderId="154" fillId="101" fontId="18" numFmtId="1" xfId="0" applyAlignment="1" applyBorder="1" applyFill="1" applyFont="1" applyNumberFormat="1">
      <alignment horizontal="center" vertical="bottom"/>
    </xf>
    <xf borderId="154" fillId="102" fontId="18" numFmtId="1" xfId="0" applyAlignment="1" applyBorder="1" applyFill="1" applyFont="1" applyNumberFormat="1">
      <alignment horizontal="center" vertical="bottom"/>
    </xf>
    <xf borderId="154" fillId="40" fontId="18" numFmtId="1" xfId="0" applyAlignment="1" applyBorder="1" applyFont="1" applyNumberFormat="1">
      <alignment horizontal="center" vertical="bottom"/>
    </xf>
    <xf borderId="154" fillId="103" fontId="18" numFmtId="1" xfId="0" applyAlignment="1" applyBorder="1" applyFill="1" applyFont="1" applyNumberFormat="1">
      <alignment horizontal="center" vertical="bottom"/>
    </xf>
    <xf borderId="94" fillId="104" fontId="18" numFmtId="1" xfId="0" applyAlignment="1" applyBorder="1" applyFill="1" applyFont="1" applyNumberFormat="1">
      <alignment horizontal="center" vertical="bottom"/>
    </xf>
    <xf borderId="154" fillId="23" fontId="18" numFmtId="1" xfId="0" applyAlignment="1" applyBorder="1" applyFont="1" applyNumberFormat="1">
      <alignment horizontal="center" vertical="bottom"/>
    </xf>
    <xf borderId="154" fillId="105" fontId="18" numFmtId="1" xfId="0" applyAlignment="1" applyBorder="1" applyFill="1" applyFont="1" applyNumberFormat="1">
      <alignment horizontal="center" vertical="bottom"/>
    </xf>
    <xf borderId="154" fillId="106" fontId="18" numFmtId="1" xfId="0" applyAlignment="1" applyBorder="1" applyFill="1" applyFont="1" applyNumberFormat="1">
      <alignment horizontal="center" vertical="bottom"/>
    </xf>
    <xf borderId="94" fillId="106" fontId="18" numFmtId="1" xfId="0" applyAlignment="1" applyBorder="1" applyFont="1" applyNumberFormat="1">
      <alignment horizontal="center" vertical="bottom"/>
    </xf>
    <xf borderId="154" fillId="107" fontId="18" numFmtId="1" xfId="0" applyAlignment="1" applyBorder="1" applyFill="1" applyFont="1" applyNumberFormat="1">
      <alignment horizontal="center" vertical="bottom"/>
    </xf>
    <xf borderId="94" fillId="108" fontId="18" numFmtId="1" xfId="0" applyAlignment="1" applyBorder="1" applyFill="1" applyFont="1" applyNumberFormat="1">
      <alignment horizontal="center" vertical="bottom"/>
    </xf>
    <xf borderId="154" fillId="69" fontId="18" numFmtId="1" xfId="0" applyAlignment="1" applyBorder="1" applyFont="1" applyNumberFormat="1">
      <alignment horizontal="center" vertical="bottom"/>
    </xf>
    <xf borderId="154" fillId="109" fontId="18" numFmtId="1" xfId="0" applyAlignment="1" applyBorder="1" applyFill="1" applyFont="1" applyNumberFormat="1">
      <alignment horizontal="center" vertical="bottom"/>
    </xf>
    <xf borderId="94" fillId="110" fontId="18" numFmtId="1" xfId="0" applyAlignment="1" applyBorder="1" applyFill="1" applyFont="1" applyNumberFormat="1">
      <alignment horizontal="center" vertical="bottom"/>
    </xf>
    <xf borderId="154" fillId="111" fontId="18" numFmtId="1" xfId="0" applyAlignment="1" applyBorder="1" applyFill="1" applyFont="1" applyNumberFormat="1">
      <alignment horizontal="center" vertical="bottom"/>
    </xf>
    <xf borderId="94" fillId="21" fontId="18" numFmtId="1" xfId="0" applyAlignment="1" applyBorder="1" applyFont="1" applyNumberFormat="1">
      <alignment horizontal="center" vertical="bottom"/>
    </xf>
    <xf borderId="94" fillId="112" fontId="18" numFmtId="1" xfId="0" applyAlignment="1" applyBorder="1" applyFill="1" applyFont="1" applyNumberFormat="1">
      <alignment horizontal="center" vertical="bottom"/>
    </xf>
    <xf borderId="154" fillId="113" fontId="18" numFmtId="1" xfId="0" applyAlignment="1" applyBorder="1" applyFill="1" applyFont="1" applyNumberFormat="1">
      <alignment horizontal="center" vertical="bottom"/>
    </xf>
    <xf borderId="154" fillId="114" fontId="18" numFmtId="1" xfId="0" applyAlignment="1" applyBorder="1" applyFill="1" applyFont="1" applyNumberFormat="1">
      <alignment horizontal="center" vertical="bottom"/>
    </xf>
    <xf borderId="51" fillId="0" fontId="18" numFmtId="0" xfId="0" applyAlignment="1" applyBorder="1" applyFont="1">
      <alignment horizontal="center" vertical="bottom"/>
    </xf>
    <xf borderId="94" fillId="55" fontId="18" numFmtId="1" xfId="0" applyAlignment="1" applyBorder="1" applyFont="1" applyNumberFormat="1">
      <alignment horizontal="center" vertical="bottom"/>
    </xf>
    <xf borderId="154" fillId="115" fontId="18" numFmtId="1" xfId="0" applyAlignment="1" applyBorder="1" applyFill="1" applyFont="1" applyNumberFormat="1">
      <alignment horizontal="center" vertical="bottom"/>
    </xf>
    <xf borderId="154" fillId="116" fontId="18" numFmtId="1" xfId="0" applyAlignment="1" applyBorder="1" applyFill="1" applyFont="1" applyNumberFormat="1">
      <alignment horizontal="center" vertical="bottom"/>
    </xf>
    <xf borderId="154" fillId="15" fontId="18" numFmtId="1" xfId="0" applyAlignment="1" applyBorder="1" applyFont="1" applyNumberFormat="1">
      <alignment horizontal="center" vertical="bottom"/>
    </xf>
    <xf borderId="94" fillId="117" fontId="18" numFmtId="1" xfId="0" applyAlignment="1" applyBorder="1" applyFill="1" applyFont="1" applyNumberFormat="1">
      <alignment horizontal="center" vertical="bottom"/>
    </xf>
    <xf borderId="154" fillId="118" fontId="18" numFmtId="1" xfId="0" applyAlignment="1" applyBorder="1" applyFill="1" applyFont="1" applyNumberFormat="1">
      <alignment horizontal="center" vertical="bottom"/>
    </xf>
    <xf borderId="154" fillId="119" fontId="18" numFmtId="1" xfId="0" applyAlignment="1" applyBorder="1" applyFill="1" applyFont="1" applyNumberFormat="1">
      <alignment horizontal="center" vertical="bottom"/>
    </xf>
    <xf borderId="94" fillId="120" fontId="18" numFmtId="1" xfId="0" applyAlignment="1" applyBorder="1" applyFill="1" applyFont="1" applyNumberFormat="1">
      <alignment horizontal="center" vertical="bottom"/>
    </xf>
    <xf borderId="154" fillId="121" fontId="18" numFmtId="1" xfId="0" applyAlignment="1" applyBorder="1" applyFill="1" applyFont="1" applyNumberFormat="1">
      <alignment horizontal="center" vertical="bottom"/>
    </xf>
    <xf borderId="154" fillId="122" fontId="18" numFmtId="1" xfId="0" applyAlignment="1" applyBorder="1" applyFill="1" applyFont="1" applyNumberFormat="1">
      <alignment horizontal="center" vertical="bottom"/>
    </xf>
    <xf borderId="94" fillId="123" fontId="18" numFmtId="1" xfId="0" applyAlignment="1" applyBorder="1" applyFill="1" applyFont="1" applyNumberFormat="1">
      <alignment horizontal="center" vertical="bottom"/>
    </xf>
    <xf borderId="154" fillId="124" fontId="18" numFmtId="1" xfId="0" applyAlignment="1" applyBorder="1" applyFill="1" applyFont="1" applyNumberFormat="1">
      <alignment horizontal="center" vertical="bottom"/>
    </xf>
    <xf borderId="154" fillId="125" fontId="18" numFmtId="1" xfId="0" applyAlignment="1" applyBorder="1" applyFill="1" applyFont="1" applyNumberFormat="1">
      <alignment horizontal="center" vertical="bottom"/>
    </xf>
    <xf borderId="94" fillId="109" fontId="18" numFmtId="1" xfId="0" applyAlignment="1" applyBorder="1" applyFont="1" applyNumberFormat="1">
      <alignment horizontal="center" vertical="bottom"/>
    </xf>
    <xf borderId="154" fillId="126" fontId="18" numFmtId="1" xfId="0" applyAlignment="1" applyBorder="1" applyFill="1" applyFont="1" applyNumberFormat="1">
      <alignment horizontal="center" vertical="bottom"/>
    </xf>
    <xf borderId="154" fillId="127" fontId="18" numFmtId="1" xfId="0" applyAlignment="1" applyBorder="1" applyFill="1" applyFont="1" applyNumberFormat="1">
      <alignment horizontal="center" vertical="bottom"/>
    </xf>
    <xf borderId="154" fillId="14" fontId="18" numFmtId="1" xfId="0" applyAlignment="1" applyBorder="1" applyFont="1" applyNumberFormat="1">
      <alignment horizontal="center" vertical="bottom"/>
    </xf>
    <xf borderId="94" fillId="128" fontId="18" numFmtId="1" xfId="0" applyAlignment="1" applyBorder="1" applyFill="1" applyFont="1" applyNumberFormat="1">
      <alignment horizontal="center" vertical="bottom"/>
    </xf>
    <xf borderId="154" fillId="129" fontId="18" numFmtId="1" xfId="0" applyAlignment="1" applyBorder="1" applyFill="1" applyFont="1" applyNumberFormat="1">
      <alignment horizontal="center" vertical="bottom"/>
    </xf>
    <xf borderId="154" fillId="130" fontId="18" numFmtId="1" xfId="0" applyAlignment="1" applyBorder="1" applyFill="1" applyFont="1" applyNumberFormat="1">
      <alignment horizontal="center" vertical="bottom"/>
    </xf>
    <xf borderId="94" fillId="131" fontId="18" numFmtId="1" xfId="0" applyAlignment="1" applyBorder="1" applyFill="1" applyFont="1" applyNumberFormat="1">
      <alignment horizontal="center" vertical="bottom"/>
    </xf>
    <xf borderId="154" fillId="112" fontId="18" numFmtId="1" xfId="0" applyAlignment="1" applyBorder="1" applyFont="1" applyNumberFormat="1">
      <alignment horizontal="center" vertical="bottom"/>
    </xf>
    <xf borderId="154" fillId="132" fontId="18" numFmtId="1" xfId="0" applyAlignment="1" applyBorder="1" applyFill="1" applyFont="1" applyNumberFormat="1">
      <alignment horizontal="center" vertical="bottom"/>
    </xf>
    <xf borderId="94" fillId="133" fontId="18" numFmtId="1" xfId="0" applyAlignment="1" applyBorder="1" applyFill="1" applyFont="1" applyNumberFormat="1">
      <alignment horizontal="center" vertical="bottom"/>
    </xf>
    <xf borderId="154" fillId="134" fontId="18" numFmtId="1" xfId="0" applyAlignment="1" applyBorder="1" applyFill="1" applyFont="1" applyNumberFormat="1">
      <alignment horizontal="center" vertical="bottom"/>
    </xf>
    <xf borderId="94" fillId="135" fontId="18" numFmtId="1" xfId="0" applyAlignment="1" applyBorder="1" applyFill="1" applyFont="1" applyNumberFormat="1">
      <alignment horizontal="center" vertical="bottom"/>
    </xf>
    <xf borderId="154" fillId="136" fontId="18" numFmtId="1" xfId="0" applyAlignment="1" applyBorder="1" applyFill="1" applyFont="1" applyNumberFormat="1">
      <alignment horizontal="center" vertical="bottom"/>
    </xf>
    <xf borderId="94" fillId="54" fontId="18" numFmtId="1" xfId="0" applyAlignment="1" applyBorder="1" applyFont="1" applyNumberFormat="1">
      <alignment horizontal="center" vertical="bottom"/>
    </xf>
    <xf borderId="94" fillId="118" fontId="18" numFmtId="1" xfId="0" applyAlignment="1" applyBorder="1" applyFont="1" applyNumberFormat="1">
      <alignment horizontal="center" vertical="bottom"/>
    </xf>
    <xf borderId="154" fillId="29" fontId="18" numFmtId="1" xfId="0" applyAlignment="1" applyBorder="1" applyFont="1" applyNumberFormat="1">
      <alignment horizontal="center" vertical="bottom"/>
    </xf>
    <xf borderId="94" fillId="29" fontId="18" numFmtId="1" xfId="0" applyAlignment="1" applyBorder="1" applyFont="1" applyNumberFormat="1">
      <alignment horizontal="center" vertical="bottom"/>
    </xf>
    <xf borderId="94" fillId="137" fontId="18" numFmtId="1" xfId="0" applyAlignment="1" applyBorder="1" applyFill="1" applyFont="1" applyNumberFormat="1">
      <alignment horizontal="center" vertical="bottom"/>
    </xf>
    <xf borderId="154" fillId="138" fontId="18" numFmtId="1" xfId="0" applyAlignment="1" applyBorder="1" applyFill="1" applyFont="1" applyNumberFormat="1">
      <alignment horizontal="center" vertical="bottom"/>
    </xf>
    <xf borderId="154" fillId="120" fontId="18" numFmtId="1" xfId="0" applyAlignment="1" applyBorder="1" applyFont="1" applyNumberFormat="1">
      <alignment horizontal="center" vertical="bottom"/>
    </xf>
    <xf borderId="94" fillId="43" fontId="18" numFmtId="1" xfId="0" applyAlignment="1" applyBorder="1" applyFont="1" applyNumberFormat="1">
      <alignment horizontal="center" vertical="bottom"/>
    </xf>
    <xf borderId="154" fillId="139" fontId="18" numFmtId="1" xfId="0" applyAlignment="1" applyBorder="1" applyFill="1" applyFont="1" applyNumberFormat="1">
      <alignment horizontal="center" vertical="bottom"/>
    </xf>
    <xf borderId="154" fillId="140" fontId="18" numFmtId="1" xfId="0" applyAlignment="1" applyBorder="1" applyFill="1" applyFont="1" applyNumberFormat="1">
      <alignment horizontal="center" vertical="bottom"/>
    </xf>
    <xf borderId="94" fillId="141" fontId="18" numFmtId="1" xfId="0" applyAlignment="1" applyBorder="1" applyFill="1" applyFont="1" applyNumberFormat="1">
      <alignment horizontal="center" vertical="bottom"/>
    </xf>
    <xf borderId="154" fillId="142" fontId="18" numFmtId="1" xfId="0" applyAlignment="1" applyBorder="1" applyFill="1" applyFont="1" applyNumberFormat="1">
      <alignment horizontal="center" vertical="bottom"/>
    </xf>
    <xf borderId="154" fillId="143" fontId="18" numFmtId="1" xfId="0" applyAlignment="1" applyBorder="1" applyFill="1" applyFont="1" applyNumberFormat="1">
      <alignment horizontal="center" vertical="bottom"/>
    </xf>
    <xf borderId="94" fillId="144" fontId="18" numFmtId="1" xfId="0" applyAlignment="1" applyBorder="1" applyFill="1" applyFont="1" applyNumberFormat="1">
      <alignment horizontal="center" vertical="bottom"/>
    </xf>
    <xf borderId="154" fillId="28" fontId="18" numFmtId="1" xfId="0" applyAlignment="1" applyBorder="1" applyFont="1" applyNumberFormat="1">
      <alignment horizontal="center" vertical="bottom"/>
    </xf>
    <xf borderId="154" fillId="145" fontId="18" numFmtId="1" xfId="0" applyAlignment="1" applyBorder="1" applyFill="1" applyFont="1" applyNumberFormat="1">
      <alignment horizontal="center" vertical="bottom"/>
    </xf>
    <xf borderId="154" fillId="146" fontId="18" numFmtId="1" xfId="0" applyAlignment="1" applyBorder="1" applyFill="1" applyFont="1" applyNumberFormat="1">
      <alignment horizontal="center" vertical="bottom"/>
    </xf>
    <xf borderId="94" fillId="147" fontId="18" numFmtId="1" xfId="0" applyAlignment="1" applyBorder="1" applyFill="1" applyFont="1" applyNumberFormat="1">
      <alignment horizontal="center" vertical="bottom"/>
    </xf>
    <xf borderId="154" fillId="148" fontId="18" numFmtId="1" xfId="0" applyAlignment="1" applyBorder="1" applyFill="1" applyFont="1" applyNumberFormat="1">
      <alignment horizontal="center" vertical="bottom"/>
    </xf>
    <xf borderId="154" fillId="16" fontId="18" numFmtId="1" xfId="0" applyAlignment="1" applyBorder="1" applyFont="1" applyNumberFormat="1">
      <alignment horizontal="center" vertical="bottom"/>
    </xf>
    <xf borderId="154" fillId="149" fontId="18" numFmtId="1" xfId="0" applyAlignment="1" applyBorder="1" applyFill="1" applyFont="1" applyNumberFormat="1">
      <alignment horizontal="center" vertical="bottom"/>
    </xf>
    <xf borderId="94" fillId="95" fontId="18" numFmtId="1" xfId="0" applyAlignment="1" applyBorder="1" applyFont="1" applyNumberFormat="1">
      <alignment horizontal="center" vertical="bottom"/>
    </xf>
    <xf borderId="154" fillId="150" fontId="18" numFmtId="1" xfId="0" applyAlignment="1" applyBorder="1" applyFill="1" applyFont="1" applyNumberFormat="1">
      <alignment horizontal="center" vertical="bottom"/>
    </xf>
    <xf borderId="154" fillId="151" fontId="18" numFmtId="1" xfId="0" applyAlignment="1" applyBorder="1" applyFill="1" applyFont="1" applyNumberFormat="1">
      <alignment horizontal="center" vertical="bottom"/>
    </xf>
    <xf borderId="94" fillId="152" fontId="18" numFmtId="1" xfId="0" applyAlignment="1" applyBorder="1" applyFill="1" applyFont="1" applyNumberFormat="1">
      <alignment horizontal="center" vertical="bottom"/>
    </xf>
    <xf borderId="154" fillId="153" fontId="18" numFmtId="1" xfId="0" applyAlignment="1" applyBorder="1" applyFill="1" applyFont="1" applyNumberFormat="1">
      <alignment horizontal="center" vertical="bottom"/>
    </xf>
    <xf borderId="154" fillId="154" fontId="18" numFmtId="1" xfId="0" applyAlignment="1" applyBorder="1" applyFill="1" applyFont="1" applyNumberFormat="1">
      <alignment horizontal="center" vertical="bottom"/>
    </xf>
    <xf borderId="94" fillId="140" fontId="18" numFmtId="1" xfId="0" applyAlignment="1" applyBorder="1" applyFont="1" applyNumberFormat="1">
      <alignment horizontal="center" vertical="bottom"/>
    </xf>
    <xf borderId="154" fillId="155" fontId="18" numFmtId="1" xfId="0" applyAlignment="1" applyBorder="1" applyFill="1" applyFont="1" applyNumberFormat="1">
      <alignment horizontal="center" vertical="bottom"/>
    </xf>
    <xf borderId="154" fillId="156" fontId="18" numFmtId="1" xfId="0" applyAlignment="1" applyBorder="1" applyFill="1" applyFont="1" applyNumberFormat="1">
      <alignment horizontal="center" vertical="bottom"/>
    </xf>
    <xf borderId="94" fillId="157" fontId="18" numFmtId="1" xfId="0" applyAlignment="1" applyBorder="1" applyFill="1" applyFont="1" applyNumberFormat="1">
      <alignment horizontal="center" vertical="bottom"/>
    </xf>
    <xf borderId="154" fillId="158" fontId="18" numFmtId="1" xfId="0" applyAlignment="1" applyBorder="1" applyFill="1" applyFont="1" applyNumberFormat="1">
      <alignment horizontal="center" vertical="bottom"/>
    </xf>
    <xf borderId="94" fillId="159" fontId="18" numFmtId="1" xfId="0" applyAlignment="1" applyBorder="1" applyFill="1" applyFont="1" applyNumberFormat="1">
      <alignment horizontal="center" vertical="bottom"/>
    </xf>
    <xf borderId="154" fillId="38" fontId="18" numFmtId="1" xfId="0" applyAlignment="1" applyBorder="1" applyFont="1" applyNumberFormat="1">
      <alignment horizontal="center" vertical="bottom"/>
    </xf>
    <xf borderId="94" fillId="160" fontId="18" numFmtId="1" xfId="0" applyAlignment="1" applyBorder="1" applyFill="1" applyFont="1" applyNumberFormat="1">
      <alignment horizontal="center" vertical="bottom"/>
    </xf>
    <xf borderId="154" fillId="161" fontId="18" numFmtId="1" xfId="0" applyAlignment="1" applyBorder="1" applyFill="1" applyFont="1" applyNumberFormat="1">
      <alignment horizontal="center" vertical="bottom"/>
    </xf>
    <xf borderId="154" fillId="162" fontId="18" numFmtId="1" xfId="0" applyAlignment="1" applyBorder="1" applyFill="1" applyFont="1" applyNumberFormat="1">
      <alignment horizontal="center" vertical="bottom"/>
    </xf>
    <xf borderId="94" fillId="163" fontId="18" numFmtId="1" xfId="0" applyAlignment="1" applyBorder="1" applyFill="1" applyFont="1" applyNumberFormat="1">
      <alignment horizontal="center" vertical="bottom"/>
    </xf>
    <xf borderId="94" fillId="164" fontId="18" numFmtId="1" xfId="0" applyAlignment="1" applyBorder="1" applyFill="1" applyFont="1" applyNumberFormat="1">
      <alignment horizontal="center" vertical="bottom"/>
    </xf>
    <xf borderId="154" fillId="165" fontId="18" numFmtId="1" xfId="0" applyAlignment="1" applyBorder="1" applyFill="1" applyFont="1" applyNumberFormat="1">
      <alignment horizontal="center" vertical="bottom"/>
    </xf>
    <xf borderId="154" fillId="166" fontId="18" numFmtId="1" xfId="0" applyAlignment="1" applyBorder="1" applyFill="1" applyFont="1" applyNumberFormat="1">
      <alignment horizontal="center" vertical="bottom"/>
    </xf>
    <xf borderId="94" fillId="167" fontId="18" numFmtId="1" xfId="0" applyAlignment="1" applyBorder="1" applyFill="1" applyFont="1" applyNumberFormat="1">
      <alignment horizontal="center" vertical="bottom"/>
    </xf>
    <xf borderId="154" fillId="152" fontId="18" numFmtId="1" xfId="0" applyAlignment="1" applyBorder="1" applyFont="1" applyNumberFormat="1">
      <alignment horizontal="center" vertical="bottom"/>
    </xf>
    <xf borderId="94" fillId="168" fontId="18" numFmtId="1" xfId="0" applyAlignment="1" applyBorder="1" applyFill="1" applyFont="1" applyNumberFormat="1">
      <alignment horizontal="center" vertical="bottom"/>
    </xf>
    <xf borderId="154" fillId="169" fontId="18" numFmtId="1" xfId="0" applyAlignment="1" applyBorder="1" applyFill="1" applyFont="1" applyNumberFormat="1">
      <alignment horizontal="center" vertical="bottom"/>
    </xf>
    <xf borderId="94" fillId="155" fontId="18" numFmtId="1" xfId="0" applyAlignment="1" applyBorder="1" applyFont="1" applyNumberFormat="1">
      <alignment horizontal="center" vertical="bottom"/>
    </xf>
    <xf borderId="94" fillId="170" fontId="18" numFmtId="1" xfId="0" applyAlignment="1" applyBorder="1" applyFill="1" applyFont="1" applyNumberFormat="1">
      <alignment horizontal="center" vertical="bottom"/>
    </xf>
    <xf borderId="94" fillId="41" fontId="18" numFmtId="1" xfId="0" applyAlignment="1" applyBorder="1" applyFont="1" applyNumberFormat="1">
      <alignment horizontal="center" vertical="bottom"/>
    </xf>
    <xf borderId="154" fillId="171" fontId="18" numFmtId="1" xfId="0" applyAlignment="1" applyBorder="1" applyFill="1" applyFont="1" applyNumberFormat="1">
      <alignment horizontal="center" vertical="bottom"/>
    </xf>
    <xf borderId="94" fillId="172" fontId="18" numFmtId="1" xfId="0" applyAlignment="1" applyBorder="1" applyFill="1" applyFont="1" applyNumberFormat="1">
      <alignment horizontal="center" vertical="bottom"/>
    </xf>
    <xf borderId="154" fillId="173" fontId="18" numFmtId="1" xfId="0" applyAlignment="1" applyBorder="1" applyFill="1" applyFont="1" applyNumberFormat="1">
      <alignment horizontal="center" vertical="bottom"/>
    </xf>
    <xf borderId="154" fillId="174" fontId="18" numFmtId="1" xfId="0" applyAlignment="1" applyBorder="1" applyFill="1" applyFont="1" applyNumberFormat="1">
      <alignment horizontal="center" vertical="bottom"/>
    </xf>
    <xf borderId="94" fillId="56" fontId="18" numFmtId="1" xfId="0" applyAlignment="1" applyBorder="1" applyFont="1" applyNumberFormat="1">
      <alignment horizontal="center" vertical="bottom"/>
    </xf>
    <xf borderId="154" fillId="61" fontId="18" numFmtId="1" xfId="0" applyAlignment="1" applyBorder="1" applyFont="1" applyNumberFormat="1">
      <alignment horizontal="center" vertical="bottom"/>
    </xf>
    <xf borderId="51" fillId="0" fontId="20" numFmtId="1" xfId="0" applyAlignment="1" applyBorder="1" applyFont="1" applyNumberFormat="1">
      <alignment horizontal="center" vertical="bottom"/>
    </xf>
    <xf borderId="154" fillId="11" fontId="18" numFmtId="1" xfId="0" applyAlignment="1" applyBorder="1" applyFont="1" applyNumberFormat="1">
      <alignment vertical="bottom"/>
    </xf>
    <xf borderId="94" fillId="175" fontId="18" numFmtId="1" xfId="0" applyAlignment="1" applyBorder="1" applyFill="1" applyFont="1" applyNumberFormat="1">
      <alignment horizontal="center" vertical="bottom"/>
    </xf>
    <xf borderId="154" fillId="108" fontId="18" numFmtId="1" xfId="0" applyAlignment="1" applyBorder="1" applyFont="1" applyNumberFormat="1">
      <alignment horizontal="center" vertical="bottom"/>
    </xf>
    <xf borderId="94" fillId="127" fontId="18" numFmtId="1" xfId="0" applyAlignment="1" applyBorder="1" applyFont="1" applyNumberFormat="1">
      <alignment horizontal="center" vertical="bottom"/>
    </xf>
    <xf borderId="154" fillId="176" fontId="18" numFmtId="1" xfId="0" applyAlignment="1" applyBorder="1" applyFill="1" applyFont="1" applyNumberFormat="1">
      <alignment horizontal="center" vertical="bottom"/>
    </xf>
    <xf borderId="94" fillId="96" fontId="18" numFmtId="1" xfId="0" applyAlignment="1" applyBorder="1" applyFont="1" applyNumberFormat="1">
      <alignment horizontal="center" vertical="bottom"/>
    </xf>
    <xf borderId="94" fillId="114" fontId="18" numFmtId="1" xfId="0" applyAlignment="1" applyBorder="1" applyFont="1" applyNumberFormat="1">
      <alignment horizontal="center" vertical="bottom"/>
    </xf>
    <xf borderId="154" fillId="175" fontId="18" numFmtId="1" xfId="0" applyAlignment="1" applyBorder="1" applyFont="1" applyNumberFormat="1">
      <alignment horizontal="center" vertical="bottom"/>
    </xf>
    <xf borderId="94" fillId="177" fontId="18" numFmtId="1" xfId="0" applyAlignment="1" applyBorder="1" applyFill="1" applyFont="1" applyNumberFormat="1">
      <alignment horizontal="center" vertical="bottom"/>
    </xf>
    <xf borderId="154" fillId="178" fontId="18" numFmtId="1" xfId="0" applyAlignment="1" applyBorder="1" applyFill="1" applyFont="1" applyNumberFormat="1">
      <alignment horizontal="center" vertical="bottom"/>
    </xf>
    <xf borderId="154" fillId="179" fontId="18" numFmtId="1" xfId="0" applyAlignment="1" applyBorder="1" applyFill="1" applyFont="1" applyNumberFormat="1">
      <alignment horizontal="center" vertical="bottom"/>
    </xf>
    <xf borderId="94" fillId="101" fontId="18" numFmtId="1" xfId="0" applyAlignment="1" applyBorder="1" applyFont="1" applyNumberFormat="1">
      <alignment horizontal="center" vertical="bottom"/>
    </xf>
    <xf borderId="154" fillId="99" fontId="18" numFmtId="1" xfId="0" applyAlignment="1" applyBorder="1" applyFont="1" applyNumberFormat="1">
      <alignment horizontal="center" vertical="bottom"/>
    </xf>
    <xf borderId="94" fillId="180" fontId="18" numFmtId="1" xfId="0" applyAlignment="1" applyBorder="1" applyFill="1" applyFont="1" applyNumberFormat="1">
      <alignment horizontal="center" vertical="bottom"/>
    </xf>
    <xf borderId="94" fillId="70" fontId="18" numFmtId="1" xfId="0" applyAlignment="1" applyBorder="1" applyFont="1" applyNumberFormat="1">
      <alignment horizontal="center" vertical="bottom"/>
    </xf>
    <xf borderId="94" fillId="181" fontId="18" numFmtId="1" xfId="0" applyAlignment="1" applyBorder="1" applyFill="1" applyFont="1" applyNumberFormat="1">
      <alignment horizontal="center" vertical="bottom"/>
    </xf>
    <xf borderId="94" fillId="182" fontId="18" numFmtId="1" xfId="0" applyAlignment="1" applyBorder="1" applyFill="1" applyFont="1" applyNumberFormat="1">
      <alignment horizontal="center" vertical="bottom"/>
    </xf>
    <xf borderId="154" fillId="20" fontId="18" numFmtId="1" xfId="0" applyAlignment="1" applyBorder="1" applyFont="1" applyNumberFormat="1">
      <alignment horizontal="center" vertical="bottom"/>
    </xf>
    <xf borderId="94" fillId="183" fontId="18" numFmtId="1" xfId="0" applyAlignment="1" applyBorder="1" applyFill="1" applyFont="1" applyNumberFormat="1">
      <alignment horizontal="center" vertical="bottom"/>
    </xf>
    <xf borderId="154" fillId="110" fontId="18" numFmtId="1" xfId="0" applyAlignment="1" applyBorder="1" applyFont="1" applyNumberFormat="1">
      <alignment horizontal="center" vertical="bottom"/>
    </xf>
    <xf borderId="94" fillId="184" fontId="18" numFmtId="1" xfId="0" applyAlignment="1" applyBorder="1" applyFill="1" applyFont="1" applyNumberFormat="1">
      <alignment horizontal="center" vertical="bottom"/>
    </xf>
    <xf borderId="94" fillId="88" fontId="18" numFmtId="1" xfId="0" applyAlignment="1" applyBorder="1" applyFont="1" applyNumberFormat="1">
      <alignment horizontal="center" vertical="bottom"/>
    </xf>
    <xf borderId="94" fillId="185" fontId="18" numFmtId="1" xfId="0" applyAlignment="1" applyBorder="1" applyFill="1" applyFont="1" applyNumberFormat="1">
      <alignment horizontal="center" vertical="bottom"/>
    </xf>
    <xf borderId="94" fillId="146" fontId="18" numFmtId="1" xfId="0" applyAlignment="1" applyBorder="1" applyFont="1" applyNumberFormat="1">
      <alignment horizontal="center" vertical="bottom"/>
    </xf>
    <xf borderId="154" fillId="186" fontId="18" numFmtId="1" xfId="0" applyAlignment="1" applyBorder="1" applyFill="1" applyFont="1" applyNumberFormat="1">
      <alignment horizontal="center" vertical="bottom"/>
    </xf>
    <xf borderId="94" fillId="37" fontId="18" numFmtId="1" xfId="0" applyAlignment="1" applyBorder="1" applyFont="1" applyNumberFormat="1">
      <alignment horizontal="center" vertical="bottom"/>
    </xf>
    <xf borderId="94" fillId="187" fontId="18" numFmtId="1" xfId="0" applyAlignment="1" applyBorder="1" applyFill="1" applyFont="1" applyNumberFormat="1">
      <alignment horizontal="center" vertical="bottom"/>
    </xf>
    <xf borderId="154" fillId="13" fontId="18" numFmtId="1" xfId="0" applyAlignment="1" applyBorder="1" applyFont="1" applyNumberFormat="1">
      <alignment vertical="bottom"/>
    </xf>
    <xf borderId="94" fillId="188" fontId="18" numFmtId="1" xfId="0" applyAlignment="1" applyBorder="1" applyFill="1" applyFont="1" applyNumberFormat="1">
      <alignment horizontal="center" vertical="bottom"/>
    </xf>
    <xf borderId="94" fillId="189" fontId="18" numFmtId="1" xfId="0" applyAlignment="1" applyBorder="1" applyFill="1" applyFont="1" applyNumberFormat="1">
      <alignment horizontal="center" vertical="bottom"/>
    </xf>
    <xf borderId="94" fillId="190" fontId="18" numFmtId="1" xfId="0" applyAlignment="1" applyBorder="1" applyFill="1" applyFont="1" applyNumberFormat="1">
      <alignment horizontal="center" vertical="bottom"/>
    </xf>
    <xf borderId="94" fillId="162" fontId="18" numFmtId="1" xfId="0" applyAlignment="1" applyBorder="1" applyFont="1" applyNumberFormat="1">
      <alignment horizontal="center" vertical="bottom"/>
    </xf>
    <xf borderId="154" fillId="191" fontId="18" numFmtId="1" xfId="0" applyAlignment="1" applyBorder="1" applyFill="1" applyFont="1" applyNumberFormat="1">
      <alignment horizontal="center" vertical="bottom"/>
    </xf>
    <xf borderId="94" fillId="192" fontId="18" numFmtId="1" xfId="0" applyAlignment="1" applyBorder="1" applyFill="1" applyFont="1" applyNumberFormat="1">
      <alignment horizontal="center" vertical="bottom"/>
    </xf>
    <xf borderId="94" fillId="193" fontId="18" numFmtId="1" xfId="0" applyAlignment="1" applyBorder="1" applyFill="1" applyFont="1" applyNumberFormat="1">
      <alignment horizontal="center" vertical="bottom"/>
    </xf>
    <xf borderId="94" fillId="194" fontId="18" numFmtId="1" xfId="0" applyAlignment="1" applyBorder="1" applyFill="1" applyFont="1" applyNumberFormat="1">
      <alignment horizontal="center" vertical="bottom"/>
    </xf>
    <xf borderId="94" fillId="58" fontId="18" numFmtId="1" xfId="0" applyAlignment="1" applyBorder="1" applyFont="1" applyNumberFormat="1">
      <alignment horizontal="center" vertical="bottom"/>
    </xf>
    <xf borderId="94" fillId="107" fontId="18" numFmtId="1" xfId="0" applyAlignment="1" applyBorder="1" applyFont="1" applyNumberFormat="1">
      <alignment horizontal="center" vertical="bottom"/>
    </xf>
    <xf borderId="94" fillId="195" fontId="18" numFmtId="1" xfId="0" applyAlignment="1" applyBorder="1" applyFill="1" applyFont="1" applyNumberFormat="1">
      <alignment horizontal="center" vertical="bottom"/>
    </xf>
    <xf borderId="154" fillId="196" fontId="18" numFmtId="1" xfId="0" applyAlignment="1" applyBorder="1" applyFill="1" applyFont="1" applyNumberFormat="1">
      <alignment horizontal="center" vertical="bottom"/>
    </xf>
    <xf borderId="94" fillId="132" fontId="18" numFmtId="1" xfId="0" applyAlignment="1" applyBorder="1" applyFont="1" applyNumberFormat="1">
      <alignment horizontal="center" vertical="bottom"/>
    </xf>
    <xf borderId="94" fillId="197" fontId="18" numFmtId="1" xfId="0" applyAlignment="1" applyBorder="1" applyFill="1" applyFont="1" applyNumberFormat="1">
      <alignment horizontal="center" vertical="bottom"/>
    </xf>
    <xf borderId="94" fillId="198" fontId="18" numFmtId="1" xfId="0" applyAlignment="1" applyBorder="1" applyFill="1" applyFont="1" applyNumberFormat="1">
      <alignment horizontal="center" vertical="bottom"/>
    </xf>
    <xf borderId="94" fillId="199" fontId="18" numFmtId="1" xfId="0" applyAlignment="1" applyBorder="1" applyFill="1" applyFont="1" applyNumberFormat="1">
      <alignment horizontal="center" vertical="bottom"/>
    </xf>
    <xf borderId="94" fillId="200" fontId="18" numFmtId="1" xfId="0" applyAlignment="1" applyBorder="1" applyFill="1" applyFont="1" applyNumberFormat="1">
      <alignment horizontal="center" vertical="bottom"/>
    </xf>
    <xf borderId="94" fillId="119" fontId="18" numFmtId="1" xfId="0" applyAlignment="1" applyBorder="1" applyFont="1" applyNumberFormat="1">
      <alignment horizontal="center" vertical="bottom"/>
    </xf>
    <xf borderId="94" fillId="27" fontId="18" numFmtId="1" xfId="0" applyAlignment="1" applyBorder="1" applyFont="1" applyNumberFormat="1">
      <alignment horizontal="center" vertical="bottom"/>
    </xf>
    <xf borderId="94" fillId="165" fontId="18" numFmtId="1" xfId="0" applyAlignment="1" applyBorder="1" applyFont="1" applyNumberFormat="1">
      <alignment horizontal="center" vertical="bottom"/>
    </xf>
    <xf borderId="154" fillId="33" fontId="18" numFmtId="1" xfId="0" applyAlignment="1" applyBorder="1" applyFont="1" applyNumberFormat="1">
      <alignment horizontal="center" vertical="bottom"/>
    </xf>
    <xf borderId="94" fillId="201" fontId="18" numFmtId="1" xfId="0" applyAlignment="1" applyBorder="1" applyFill="1" applyFont="1" applyNumberFormat="1">
      <alignment horizontal="center" vertical="bottom"/>
    </xf>
    <xf borderId="94" fillId="202" fontId="18" numFmtId="1" xfId="0" applyAlignment="1" applyBorder="1" applyFill="1" applyFont="1" applyNumberFormat="1">
      <alignment horizontal="center" vertical="bottom"/>
    </xf>
    <xf borderId="94" fillId="203" fontId="18" numFmtId="1" xfId="0" applyAlignment="1" applyBorder="1" applyFill="1" applyFont="1" applyNumberFormat="1">
      <alignment horizontal="center" vertical="bottom"/>
    </xf>
    <xf borderId="154" fillId="117" fontId="18" numFmtId="1" xfId="0" applyAlignment="1" applyBorder="1" applyFont="1" applyNumberFormat="1">
      <alignment horizontal="center" vertical="bottom"/>
    </xf>
    <xf borderId="94" fillId="63" fontId="18" numFmtId="1" xfId="0" applyAlignment="1" applyBorder="1" applyFont="1" applyNumberFormat="1">
      <alignment horizontal="center" vertical="bottom"/>
    </xf>
    <xf borderId="154" fillId="189" fontId="18" numFmtId="1" xfId="0" applyAlignment="1" applyBorder="1" applyFont="1" applyNumberFormat="1">
      <alignment horizontal="center" vertical="bottom"/>
    </xf>
    <xf borderId="94" fillId="204" fontId="18" numFmtId="1" xfId="0" applyAlignment="1" applyBorder="1" applyFill="1" applyFont="1" applyNumberFormat="1">
      <alignment horizontal="center" vertical="bottom"/>
    </xf>
    <xf borderId="154" fillId="197" fontId="18" numFmtId="1" xfId="0" applyAlignment="1" applyBorder="1" applyFont="1" applyNumberFormat="1">
      <alignment horizontal="center" vertical="bottom"/>
    </xf>
    <xf borderId="94" fillId="205" fontId="18" numFmtId="1" xfId="0" applyAlignment="1" applyBorder="1" applyFill="1" applyFont="1" applyNumberFormat="1">
      <alignment horizontal="center" vertical="bottom"/>
    </xf>
    <xf borderId="94" fillId="206" fontId="18" numFmtId="1" xfId="0" applyAlignment="1" applyBorder="1" applyFill="1" applyFont="1" applyNumberFormat="1">
      <alignment horizontal="center" vertical="bottom"/>
    </xf>
    <xf borderId="94" fillId="207" fontId="18" numFmtId="1" xfId="0" applyAlignment="1" applyBorder="1" applyFill="1" applyFont="1" applyNumberFormat="1">
      <alignment horizontal="center" vertical="bottom"/>
    </xf>
    <xf borderId="94" fillId="208" fontId="18" numFmtId="1" xfId="0" applyAlignment="1" applyBorder="1" applyFill="1" applyFont="1" applyNumberFormat="1">
      <alignment horizontal="center" vertical="bottom"/>
    </xf>
    <xf borderId="94" fillId="209" fontId="18" numFmtId="1" xfId="0" applyAlignment="1" applyBorder="1" applyFill="1" applyFont="1" applyNumberFormat="1">
      <alignment horizontal="center" vertical="bottom"/>
    </xf>
    <xf borderId="154" fillId="177" fontId="18" numFmtId="1" xfId="0" applyAlignment="1" applyBorder="1" applyFont="1" applyNumberFormat="1">
      <alignment horizontal="center" vertical="bottom"/>
    </xf>
    <xf borderId="94" fillId="210" fontId="18" numFmtId="1" xfId="0" applyAlignment="1" applyBorder="1" applyFill="1" applyFont="1" applyNumberFormat="1">
      <alignment horizontal="center" vertical="bottom"/>
    </xf>
    <xf borderId="94" fillId="211" fontId="18" numFmtId="1" xfId="0" applyAlignment="1" applyBorder="1" applyFill="1" applyFont="1" applyNumberFormat="1">
      <alignment horizontal="center" vertical="bottom"/>
    </xf>
    <xf borderId="94" fillId="212" fontId="18" numFmtId="1" xfId="0" applyAlignment="1" applyBorder="1" applyFill="1" applyFont="1" applyNumberFormat="1">
      <alignment horizontal="center" vertical="bottom"/>
    </xf>
    <xf borderId="94" fillId="113" fontId="18" numFmtId="1" xfId="0" applyAlignment="1" applyBorder="1" applyFont="1" applyNumberFormat="1">
      <alignment horizontal="center" vertical="bottom"/>
    </xf>
    <xf borderId="154" fillId="213" fontId="18" numFmtId="1" xfId="0" applyAlignment="1" applyBorder="1" applyFill="1" applyFont="1" applyNumberFormat="1">
      <alignment horizontal="center" vertical="bottom"/>
    </xf>
    <xf borderId="94" fillId="214" fontId="18" numFmtId="1" xfId="0" applyAlignment="1" applyBorder="1" applyFill="1" applyFont="1" applyNumberFormat="1">
      <alignment horizontal="center" vertical="bottom"/>
    </xf>
    <xf borderId="94" fillId="31" fontId="18" numFmtId="1" xfId="0" applyAlignment="1" applyBorder="1" applyFont="1" applyNumberFormat="1">
      <alignment horizontal="center" vertical="bottom"/>
    </xf>
    <xf borderId="94" fillId="215" fontId="18" numFmtId="1" xfId="0" applyAlignment="1" applyBorder="1" applyFill="1" applyFont="1" applyNumberFormat="1">
      <alignment horizontal="center" vertical="bottom"/>
    </xf>
    <xf borderId="94" fillId="24" fontId="18" numFmtId="1" xfId="0" applyAlignment="1" applyBorder="1" applyFont="1" applyNumberFormat="1">
      <alignment horizontal="center" vertical="bottom"/>
    </xf>
    <xf borderId="154" fillId="216" fontId="18" numFmtId="1" xfId="0" applyAlignment="1" applyBorder="1" applyFill="1" applyFont="1" applyNumberFormat="1">
      <alignment horizontal="center" vertical="bottom"/>
    </xf>
    <xf borderId="94" fillId="136" fontId="18" numFmtId="1" xfId="0" applyAlignment="1" applyBorder="1" applyFont="1" applyNumberFormat="1">
      <alignment horizontal="center" vertical="bottom"/>
    </xf>
    <xf borderId="94" fillId="87" fontId="18" numFmtId="1" xfId="0" applyAlignment="1" applyBorder="1" applyFont="1" applyNumberFormat="1">
      <alignment horizontal="center" vertical="bottom"/>
    </xf>
    <xf borderId="154" fillId="217" fontId="18" numFmtId="1" xfId="0" applyAlignment="1" applyBorder="1" applyFill="1" applyFont="1" applyNumberFormat="1">
      <alignment horizontal="center" vertical="bottom"/>
    </xf>
    <xf borderId="94" fillId="142" fontId="18" numFmtId="1" xfId="0" applyAlignment="1" applyBorder="1" applyFont="1" applyNumberFormat="1">
      <alignment horizontal="center" vertical="bottom"/>
    </xf>
    <xf borderId="154" fillId="218" fontId="18" numFmtId="1" xfId="0" applyAlignment="1" applyBorder="1" applyFill="1" applyFont="1" applyNumberFormat="1">
      <alignment horizontal="center" vertical="bottom"/>
    </xf>
    <xf borderId="94" fillId="178" fontId="18" numFmtId="1" xfId="0" applyAlignment="1" applyBorder="1" applyFont="1" applyNumberFormat="1">
      <alignment horizontal="center" vertical="bottom"/>
    </xf>
    <xf borderId="94" fillId="218" fontId="18" numFmtId="1" xfId="0" applyAlignment="1" applyBorder="1" applyFont="1" applyNumberFormat="1">
      <alignment horizontal="center" vertical="bottom"/>
    </xf>
    <xf borderId="94" fillId="166" fontId="18" numFmtId="1" xfId="0" applyAlignment="1" applyBorder="1" applyFont="1" applyNumberFormat="1">
      <alignment horizontal="center" vertical="bottom"/>
    </xf>
    <xf borderId="94" fillId="145" fontId="18" numFmtId="1" xfId="0" applyAlignment="1" applyBorder="1" applyFont="1" applyNumberFormat="1">
      <alignment horizontal="center" vertical="bottom"/>
    </xf>
    <xf borderId="154" fillId="219" fontId="18" numFmtId="1" xfId="0" applyAlignment="1" applyBorder="1" applyFill="1" applyFont="1" applyNumberFormat="1">
      <alignment horizontal="center" vertical="bottom"/>
    </xf>
    <xf borderId="94" fillId="111" fontId="18" numFmtId="1" xfId="0" applyAlignment="1" applyBorder="1" applyFont="1" applyNumberFormat="1">
      <alignment horizontal="center" vertical="bottom"/>
    </xf>
    <xf borderId="94" fillId="217" fontId="18" numFmtId="1" xfId="0" applyAlignment="1" applyBorder="1" applyFont="1" applyNumberFormat="1">
      <alignment horizontal="center" vertical="bottom"/>
    </xf>
    <xf borderId="94" fillId="49" fontId="18" numFmtId="1" xfId="0" applyAlignment="1" applyBorder="1" applyFont="1" applyNumberFormat="1">
      <alignment horizontal="center" vertical="bottom"/>
    </xf>
    <xf borderId="154" fillId="220" fontId="18" numFmtId="1" xfId="0" applyAlignment="1" applyBorder="1" applyFill="1" applyFont="1" applyNumberFormat="1">
      <alignment horizontal="center" vertical="bottom"/>
    </xf>
    <xf borderId="154" fillId="221" fontId="18" numFmtId="1" xfId="0" applyAlignment="1" applyBorder="1" applyFill="1" applyFont="1" applyNumberFormat="1">
      <alignment horizontal="center" vertical="bottom"/>
    </xf>
    <xf borderId="94" fillId="75" fontId="18" numFmtId="1" xfId="0" applyAlignment="1" applyBorder="1" applyFont="1" applyNumberFormat="1">
      <alignment horizontal="center" vertical="bottom"/>
    </xf>
    <xf borderId="154" fillId="222" fontId="18" numFmtId="1" xfId="0" applyAlignment="1" applyBorder="1" applyFill="1" applyFont="1" applyNumberFormat="1">
      <alignment horizontal="center" vertical="bottom"/>
    </xf>
    <xf borderId="94" fillId="57" fontId="18" numFmtId="1" xfId="0" applyAlignment="1" applyBorder="1" applyFont="1" applyNumberFormat="1">
      <alignment horizontal="center" vertical="bottom"/>
    </xf>
    <xf borderId="94" fillId="36" fontId="18" numFmtId="1" xfId="0" applyAlignment="1" applyBorder="1" applyFont="1" applyNumberFormat="1">
      <alignment horizontal="center" vertical="bottom"/>
    </xf>
    <xf borderId="94" fillId="33" fontId="18" numFmtId="1" xfId="0" applyAlignment="1" applyBorder="1" applyFont="1" applyNumberFormat="1">
      <alignment horizontal="center" vertical="bottom"/>
    </xf>
    <xf borderId="94" fillId="85" fontId="18" numFmtId="1" xfId="0" applyAlignment="1" applyBorder="1" applyFont="1" applyNumberFormat="1">
      <alignment horizontal="center" vertical="bottom"/>
    </xf>
    <xf borderId="94" fillId="221" fontId="18" numFmtId="1" xfId="0" applyAlignment="1" applyBorder="1" applyFont="1" applyNumberFormat="1">
      <alignment horizontal="center" vertical="bottom"/>
    </xf>
    <xf borderId="94" fillId="138" fontId="18" numFmtId="1" xfId="0" applyAlignment="1" applyBorder="1" applyFont="1" applyNumberFormat="1">
      <alignment horizontal="center" vertical="bottom"/>
    </xf>
    <xf borderId="94" fillId="67" fontId="18" numFmtId="1" xfId="0" applyAlignment="1" applyBorder="1" applyFont="1" applyNumberFormat="1">
      <alignment horizontal="center" vertical="bottom"/>
    </xf>
    <xf borderId="94" fillId="223" fontId="18" numFmtId="1" xfId="0" applyAlignment="1" applyBorder="1" applyFill="1" applyFont="1" applyNumberFormat="1">
      <alignment horizontal="center" vertical="bottom"/>
    </xf>
    <xf borderId="94" fillId="66" fontId="18" numFmtId="1" xfId="0" applyAlignment="1" applyBorder="1" applyFont="1" applyNumberFormat="1">
      <alignment horizontal="center" vertical="bottom"/>
    </xf>
    <xf borderId="94" fillId="93" fontId="18" numFmtId="1" xfId="0" applyAlignment="1" applyBorder="1" applyFont="1" applyNumberFormat="1">
      <alignment horizontal="center" vertical="bottom"/>
    </xf>
    <xf borderId="94" fillId="224" fontId="18" numFmtId="1" xfId="0" applyAlignment="1" applyBorder="1" applyFill="1" applyFont="1" applyNumberFormat="1">
      <alignment horizontal="center" vertical="bottom"/>
    </xf>
    <xf borderId="94" fillId="90" fontId="18" numFmtId="1" xfId="0" applyAlignment="1" applyBorder="1" applyFont="1" applyNumberFormat="1">
      <alignment horizontal="center" vertical="bottom"/>
    </xf>
    <xf borderId="94" fillId="174" fontId="18" numFmtId="1" xfId="0" applyAlignment="1" applyBorder="1" applyFont="1" applyNumberFormat="1">
      <alignment horizontal="center" vertical="bottom"/>
    </xf>
    <xf borderId="154" fillId="225" fontId="18" numFmtId="1" xfId="0" applyAlignment="1" applyBorder="1" applyFill="1" applyFont="1" applyNumberFormat="1">
      <alignment horizontal="center" vertical="bottom"/>
    </xf>
    <xf borderId="94" fillId="226" fontId="18" numFmtId="1" xfId="0" applyAlignment="1" applyBorder="1" applyFill="1" applyFont="1" applyNumberFormat="1">
      <alignment horizontal="center" vertical="bottom"/>
    </xf>
    <xf borderId="94" fillId="222" fontId="18" numFmtId="1" xfId="0" applyAlignment="1" applyBorder="1" applyFont="1" applyNumberFormat="1">
      <alignment horizontal="center" vertical="bottom"/>
    </xf>
    <xf borderId="94" fillId="227" fontId="18" numFmtId="1" xfId="0" applyAlignment="1" applyBorder="1" applyFill="1" applyFont="1" applyNumberFormat="1">
      <alignment horizontal="center" vertical="bottom"/>
    </xf>
    <xf borderId="154" fillId="94" fontId="18" numFmtId="1" xfId="0" applyAlignment="1" applyBorder="1" applyFont="1" applyNumberFormat="1">
      <alignment horizontal="center" vertical="bottom"/>
    </xf>
    <xf borderId="94" fillId="51" fontId="18" numFmtId="1" xfId="0" applyAlignment="1" applyBorder="1" applyFont="1" applyNumberFormat="1">
      <alignment horizontal="center" vertical="bottom"/>
    </xf>
    <xf borderId="94" fillId="220" fontId="18" numFmtId="1" xfId="0" applyAlignment="1" applyBorder="1" applyFont="1" applyNumberFormat="1">
      <alignment horizontal="center" vertical="bottom"/>
    </xf>
    <xf borderId="94" fillId="228" fontId="18" numFmtId="1" xfId="0" applyAlignment="1" applyBorder="1" applyFill="1" applyFont="1" applyNumberFormat="1">
      <alignment horizontal="center" vertical="bottom"/>
    </xf>
    <xf borderId="154" fillId="229" fontId="18" numFmtId="1" xfId="0" applyAlignment="1" applyBorder="1" applyFill="1" applyFont="1" applyNumberFormat="1">
      <alignment horizontal="center" vertical="bottom"/>
    </xf>
    <xf borderId="94" fillId="92" fontId="18" numFmtId="1" xfId="0" applyAlignment="1" applyBorder="1" applyFont="1" applyNumberFormat="1">
      <alignment horizontal="center" vertical="bottom"/>
    </xf>
    <xf borderId="154" fillId="224" fontId="18" numFmtId="1" xfId="0" applyAlignment="1" applyBorder="1" applyFont="1" applyNumberFormat="1">
      <alignment horizontal="center" vertical="bottom"/>
    </xf>
    <xf borderId="94" fillId="64" fontId="18" numFmtId="1" xfId="0" applyAlignment="1" applyBorder="1" applyFont="1" applyNumberFormat="1">
      <alignment horizontal="center" vertical="bottom"/>
    </xf>
    <xf borderId="94" fillId="196" fontId="18" numFmtId="1" xfId="0" applyAlignment="1" applyBorder="1" applyFont="1" applyNumberFormat="1">
      <alignment horizontal="center" vertical="bottom"/>
    </xf>
    <xf borderId="94" fillId="17" fontId="18" numFmtId="1" xfId="0" applyAlignment="1" applyBorder="1" applyFont="1" applyNumberFormat="1">
      <alignment horizontal="center" vertical="bottom"/>
    </xf>
    <xf borderId="94" fillId="176" fontId="18" numFmtId="1" xfId="0" applyAlignment="1" applyBorder="1" applyFont="1" applyNumberFormat="1">
      <alignment horizontal="center" vertical="bottom"/>
    </xf>
    <xf borderId="154" fillId="230" fontId="18" numFmtId="1" xfId="0" applyAlignment="1" applyBorder="1" applyFill="1" applyFont="1" applyNumberFormat="1">
      <alignment horizontal="center" vertical="bottom"/>
    </xf>
    <xf borderId="94" fillId="102" fontId="18" numFmtId="1" xfId="0" applyAlignment="1" applyBorder="1" applyFont="1" applyNumberFormat="1">
      <alignment horizontal="center" vertical="bottom"/>
    </xf>
    <xf borderId="94" fillId="179" fontId="18" numFmtId="1" xfId="0" applyAlignment="1" applyBorder="1" applyFont="1" applyNumberFormat="1">
      <alignment horizontal="center" vertical="bottom"/>
    </xf>
    <xf borderId="94" fillId="139" fontId="18" numFmtId="1" xfId="0" applyAlignment="1" applyBorder="1" applyFont="1" applyNumberFormat="1">
      <alignment horizontal="center" vertical="bottom"/>
    </xf>
    <xf borderId="94" fillId="154" fontId="18" numFmtId="1" xfId="0" applyAlignment="1" applyBorder="1" applyFont="1" applyNumberFormat="1">
      <alignment horizontal="center" vertical="bottom"/>
    </xf>
    <xf borderId="94" fillId="73" fontId="18" numFmtId="1" xfId="0" applyAlignment="1" applyBorder="1" applyFont="1" applyNumberFormat="1">
      <alignment horizontal="center" vertical="bottom"/>
    </xf>
    <xf borderId="94" fillId="130" fontId="18" numFmtId="1" xfId="0" applyAlignment="1" applyBorder="1" applyFont="1" applyNumberFormat="1">
      <alignment horizontal="center" vertical="bottom"/>
    </xf>
    <xf borderId="94" fillId="124" fontId="18" numFmtId="1" xfId="0" applyAlignment="1" applyBorder="1" applyFont="1" applyNumberFormat="1">
      <alignment horizontal="center" vertical="bottom"/>
    </xf>
    <xf borderId="94" fillId="158" fontId="18" numFmtId="1" xfId="0" applyAlignment="1" applyBorder="1" applyFont="1" applyNumberFormat="1">
      <alignment horizontal="center" vertical="bottom"/>
    </xf>
    <xf borderId="154" fillId="231" fontId="18" numFmtId="1" xfId="0" applyAlignment="1" applyBorder="1" applyFill="1" applyFont="1" applyNumberFormat="1">
      <alignment horizontal="center" vertical="bottom"/>
    </xf>
    <xf borderId="94" fillId="186" fontId="18" numFmtId="1" xfId="0" applyAlignment="1" applyBorder="1" applyFont="1" applyNumberFormat="1">
      <alignment horizontal="center" vertical="bottom"/>
    </xf>
    <xf borderId="154" fillId="232" fontId="18" numFmtId="1" xfId="0" applyAlignment="1" applyBorder="1" applyFill="1" applyFont="1" applyNumberFormat="1">
      <alignment horizontal="center" vertical="bottom"/>
    </xf>
    <xf borderId="94" fillId="100" fontId="18" numFmtId="1" xfId="0" applyAlignment="1" applyBorder="1" applyFont="1" applyNumberFormat="1">
      <alignment horizontal="center" vertical="bottom"/>
    </xf>
    <xf borderId="154" fillId="233" fontId="18" numFmtId="1" xfId="0" applyAlignment="1" applyBorder="1" applyFill="1" applyFont="1" applyNumberFormat="1">
      <alignment horizontal="center" vertical="bottom"/>
    </xf>
    <xf borderId="94" fillId="35" fontId="18" numFmtId="1" xfId="0" applyAlignment="1" applyBorder="1" applyFont="1" applyNumberFormat="1">
      <alignment horizontal="center" vertical="bottom"/>
    </xf>
    <xf borderId="94" fillId="234" fontId="18" numFmtId="1" xfId="0" applyAlignment="1" applyBorder="1" applyFill="1" applyFont="1" applyNumberFormat="1">
      <alignment horizontal="center" vertical="bottom"/>
    </xf>
    <xf borderId="94" fillId="32" fontId="18" numFmtId="1" xfId="0" applyAlignment="1" applyBorder="1" applyFont="1" applyNumberFormat="1">
      <alignment horizontal="center" vertical="bottom"/>
    </xf>
    <xf borderId="154" fillId="235" fontId="18" numFmtId="1" xfId="0" applyAlignment="1" applyBorder="1" applyFill="1" applyFont="1" applyNumberFormat="1">
      <alignment horizontal="center" vertical="bottom"/>
    </xf>
    <xf borderId="154" fillId="200" fontId="18" numFmtId="1" xfId="0" applyAlignment="1" applyBorder="1" applyFont="1" applyNumberFormat="1">
      <alignment horizontal="center" vertical="bottom"/>
    </xf>
    <xf borderId="94" fillId="236" fontId="18" numFmtId="1" xfId="0" applyAlignment="1" applyBorder="1" applyFill="1" applyFont="1" applyNumberFormat="1">
      <alignment horizontal="center" vertical="bottom"/>
    </xf>
    <xf borderId="94" fillId="237" fontId="18" numFmtId="1" xfId="0" applyAlignment="1" applyBorder="1" applyFill="1" applyFont="1" applyNumberFormat="1">
      <alignment horizontal="center" vertical="bottom"/>
    </xf>
    <xf borderId="94" fillId="161" fontId="18" numFmtId="1" xfId="0" applyAlignment="1" applyBorder="1" applyFont="1" applyNumberFormat="1">
      <alignment horizontal="center" vertical="bottom"/>
    </xf>
    <xf borderId="94" fillId="39" fontId="18" numFmtId="1" xfId="0" applyAlignment="1" applyBorder="1" applyFont="1" applyNumberFormat="1">
      <alignment horizontal="center" vertical="bottom"/>
    </xf>
    <xf borderId="94" fillId="216" fontId="18" numFmtId="1" xfId="0" applyAlignment="1" applyBorder="1" applyFont="1" applyNumberFormat="1">
      <alignment horizontal="center" vertical="bottom"/>
    </xf>
    <xf borderId="94" fillId="125" fontId="18" numFmtId="1" xfId="0" applyAlignment="1" applyBorder="1" applyFont="1" applyNumberFormat="1">
      <alignment horizontal="center" vertical="bottom"/>
    </xf>
    <xf borderId="44" fillId="0" fontId="20" numFmtId="0" xfId="0" applyAlignment="1" applyBorder="1" applyFont="1">
      <alignment horizontal="center" vertical="bottom"/>
    </xf>
    <xf borderId="91" fillId="13" fontId="18" numFmtId="0" xfId="0" applyAlignment="1" applyBorder="1" applyFont="1">
      <alignment vertical="bottom"/>
    </xf>
    <xf borderId="91" fillId="92" fontId="18" numFmtId="1" xfId="0" applyAlignment="1" applyBorder="1" applyFont="1" applyNumberFormat="1">
      <alignment horizontal="center" vertical="bottom"/>
    </xf>
    <xf borderId="92" fillId="99" fontId="18" numFmtId="1" xfId="0" applyAlignment="1" applyBorder="1" applyFont="1" applyNumberFormat="1">
      <alignment horizontal="center" vertical="bottom"/>
    </xf>
    <xf borderId="91" fillId="72" fontId="18" numFmtId="1" xfId="0" applyAlignment="1" applyBorder="1" applyFont="1" applyNumberFormat="1">
      <alignment horizontal="center" vertical="bottom"/>
    </xf>
    <xf borderId="91" fillId="0" fontId="18" numFmtId="165" xfId="0" applyAlignment="1" applyBorder="1" applyFont="1" applyNumberFormat="1">
      <alignment horizontal="center" vertical="bottom"/>
    </xf>
    <xf borderId="91" fillId="136" fontId="18" numFmtId="1" xfId="0" applyAlignment="1" applyBorder="1" applyFont="1" applyNumberFormat="1">
      <alignment horizontal="center" vertical="bottom"/>
    </xf>
    <xf borderId="92" fillId="124" fontId="18" numFmtId="1" xfId="0" applyAlignment="1" applyBorder="1" applyFont="1" applyNumberFormat="1">
      <alignment horizontal="center" vertical="bottom"/>
    </xf>
    <xf borderId="154" fillId="238" fontId="18" numFmtId="1" xfId="0" applyAlignment="1" applyBorder="1" applyFill="1" applyFont="1" applyNumberFormat="1">
      <alignment horizontal="center" vertical="bottom"/>
    </xf>
    <xf borderId="94" fillId="45" fontId="18" numFmtId="1" xfId="0" applyAlignment="1" applyBorder="1" applyFont="1" applyNumberFormat="1">
      <alignment horizontal="center" vertical="bottom"/>
    </xf>
    <xf borderId="94" fillId="239" fontId="18" numFmtId="1" xfId="0" applyAlignment="1" applyBorder="1" applyFill="1" applyFont="1" applyNumberFormat="1">
      <alignment horizontal="center" vertical="bottom"/>
    </xf>
    <xf borderId="154" fillId="234" fontId="18" numFmtId="1" xfId="0" applyAlignment="1" applyBorder="1" applyFont="1" applyNumberFormat="1">
      <alignment horizontal="center" vertical="bottom"/>
    </xf>
    <xf borderId="154" fillId="240" fontId="18" numFmtId="1" xfId="0" applyAlignment="1" applyBorder="1" applyFill="1" applyFont="1" applyNumberFormat="1">
      <alignment horizontal="center" vertical="bottom"/>
    </xf>
    <xf borderId="94" fillId="18" fontId="18" numFmtId="1" xfId="0" applyAlignment="1" applyBorder="1" applyFont="1" applyNumberFormat="1">
      <alignment horizontal="center" vertical="bottom"/>
    </xf>
    <xf borderId="154" fillId="241" fontId="18" numFmtId="1" xfId="0" applyAlignment="1" applyBorder="1" applyFill="1" applyFont="1" applyNumberFormat="1">
      <alignment horizontal="center" vertical="bottom"/>
    </xf>
    <xf borderId="94" fillId="72" fontId="18" numFmtId="1" xfId="0" applyAlignment="1" applyBorder="1" applyFont="1" applyNumberFormat="1">
      <alignment horizontal="center" vertical="bottom"/>
    </xf>
    <xf borderId="94" fillId="235" fontId="18" numFmtId="1" xfId="0" applyAlignment="1" applyBorder="1" applyFont="1" applyNumberFormat="1">
      <alignment horizontal="center" vertical="bottom"/>
    </xf>
    <xf borderId="94" fillId="242" fontId="18" numFmtId="1" xfId="0" applyAlignment="1" applyBorder="1" applyFill="1" applyFont="1" applyNumberFormat="1">
      <alignment horizontal="center" vertical="bottom"/>
    </xf>
    <xf borderId="94" fillId="243" fontId="18" numFmtId="1" xfId="0" applyAlignment="1" applyBorder="1" applyFill="1" applyFont="1" applyNumberFormat="1">
      <alignment horizontal="center" vertical="bottom"/>
    </xf>
    <xf borderId="154" fillId="244" fontId="18" numFmtId="1" xfId="0" applyAlignment="1" applyBorder="1" applyFill="1" applyFont="1" applyNumberFormat="1">
      <alignment horizontal="center" vertical="bottom"/>
    </xf>
    <xf borderId="94" fillId="245" fontId="18" numFmtId="1" xfId="0" applyAlignment="1" applyBorder="1" applyFill="1" applyFont="1" applyNumberFormat="1">
      <alignment horizontal="center" vertical="bottom"/>
    </xf>
    <xf borderId="94" fillId="213" fontId="18" numFmtId="1" xfId="0" applyAlignment="1" applyBorder="1" applyFont="1" applyNumberFormat="1">
      <alignment horizontal="center" vertical="bottom"/>
    </xf>
    <xf borderId="154" fillId="223" fontId="18" numFmtId="1" xfId="0" applyAlignment="1" applyBorder="1" applyFont="1" applyNumberFormat="1">
      <alignment horizontal="center" vertical="bottom"/>
    </xf>
    <xf borderId="154" fillId="246" fontId="18" numFmtId="1" xfId="0" applyAlignment="1" applyBorder="1" applyFill="1" applyFont="1" applyNumberFormat="1">
      <alignment horizontal="center" vertical="bottom"/>
    </xf>
    <xf borderId="154" fillId="247" fontId="18" numFmtId="1" xfId="0" applyAlignment="1" applyBorder="1" applyFill="1" applyFont="1" applyNumberFormat="1">
      <alignment horizontal="center" vertical="bottom"/>
    </xf>
    <xf borderId="94" fillId="238" fontId="18" numFmtId="1" xfId="0" applyAlignment="1" applyBorder="1" applyFont="1" applyNumberFormat="1">
      <alignment horizontal="center" vertical="bottom"/>
    </xf>
    <xf borderId="94" fillId="248" fontId="18" numFmtId="1" xfId="0" applyAlignment="1" applyBorder="1" applyFill="1" applyFont="1" applyNumberFormat="1">
      <alignment horizontal="center" vertical="bottom"/>
    </xf>
    <xf borderId="154" fillId="239" fontId="18" numFmtId="1" xfId="0" applyAlignment="1" applyBorder="1" applyFont="1" applyNumberFormat="1">
      <alignment horizontal="center" vertical="bottom"/>
    </xf>
    <xf borderId="94" fillId="249" fontId="18" numFmtId="1" xfId="0" applyAlignment="1" applyBorder="1" applyFill="1" applyFont="1" applyNumberFormat="1">
      <alignment horizontal="center" vertical="bottom"/>
    </xf>
    <xf borderId="94" fillId="171" fontId="18" numFmtId="1" xfId="0" applyAlignment="1" applyBorder="1" applyFont="1" applyNumberFormat="1">
      <alignment horizontal="center" vertical="bottom"/>
    </xf>
    <xf borderId="94" fillId="89" fontId="18" numFmtId="1" xfId="0" applyAlignment="1" applyBorder="1" applyFont="1" applyNumberFormat="1">
      <alignment horizontal="center" vertical="bottom"/>
    </xf>
    <xf borderId="154" fillId="250" fontId="18" numFmtId="1" xfId="0" applyAlignment="1" applyBorder="1" applyFill="1" applyFont="1" applyNumberFormat="1">
      <alignment horizontal="center" vertical="bottom"/>
    </xf>
    <xf borderId="154" fillId="251" fontId="18" numFmtId="1" xfId="0" applyAlignment="1" applyBorder="1" applyFill="1" applyFont="1" applyNumberFormat="1">
      <alignment horizontal="center" vertical="bottom"/>
    </xf>
    <xf borderId="154" fillId="245" fontId="18" numFmtId="1" xfId="0" applyAlignment="1" applyBorder="1" applyFont="1" applyNumberFormat="1">
      <alignment horizontal="center" vertical="bottom"/>
    </xf>
    <xf borderId="94" fillId="68" fontId="18" numFmtId="1" xfId="0" applyAlignment="1" applyBorder="1" applyFont="1" applyNumberFormat="1">
      <alignment horizontal="center" vertical="bottom"/>
    </xf>
    <xf borderId="154" fillId="252" fontId="18" numFmtId="1" xfId="0" applyAlignment="1" applyBorder="1" applyFill="1" applyFont="1" applyNumberFormat="1">
      <alignment horizontal="center" vertical="bottom"/>
    </xf>
    <xf borderId="94" fillId="233" fontId="18" numFmtId="1" xfId="0" applyAlignment="1" applyBorder="1" applyFont="1" applyNumberFormat="1">
      <alignment horizontal="center" vertical="bottom"/>
    </xf>
    <xf borderId="154" fillId="253" fontId="18" numFmtId="1" xfId="0" applyAlignment="1" applyBorder="1" applyFill="1" applyFont="1" applyNumberFormat="1">
      <alignment horizontal="center" vertical="bottom"/>
    </xf>
    <xf borderId="94" fillId="254" fontId="18" numFmtId="1" xfId="0" applyAlignment="1" applyBorder="1" applyFill="1" applyFont="1" applyNumberFormat="1">
      <alignment horizontal="center" vertical="bottom"/>
    </xf>
    <xf borderId="94" fillId="255" fontId="18" numFmtId="1" xfId="0" applyAlignment="1" applyBorder="1" applyFill="1" applyFont="1" applyNumberFormat="1">
      <alignment horizontal="center" vertical="bottom"/>
    </xf>
    <xf borderId="154" fillId="256" fontId="18" numFmtId="1" xfId="0" applyAlignment="1" applyBorder="1" applyFill="1" applyFont="1" applyNumberFormat="1">
      <alignment horizontal="center" vertical="bottom"/>
    </xf>
    <xf borderId="94" fillId="52" fontId="18" numFmtId="1" xfId="0" applyAlignment="1" applyBorder="1" applyFont="1" applyNumberFormat="1">
      <alignment horizontal="center" vertical="bottom"/>
    </xf>
    <xf borderId="94" fillId="257" fontId="18" numFmtId="1" xfId="0" applyAlignment="1" applyBorder="1" applyFill="1" applyFont="1" applyNumberFormat="1">
      <alignment horizontal="center" vertical="bottom"/>
    </xf>
    <xf borderId="154" fillId="258" fontId="18" numFmtId="1" xfId="0" applyAlignment="1" applyBorder="1" applyFill="1" applyFont="1" applyNumberFormat="1">
      <alignment horizontal="center" vertical="bottom"/>
    </xf>
    <xf borderId="154" fillId="185" fontId="18" numFmtId="1" xfId="0" applyAlignment="1" applyBorder="1" applyFont="1" applyNumberFormat="1">
      <alignment horizontal="center" vertical="bottom"/>
    </xf>
    <xf borderId="67" fillId="0" fontId="20" numFmtId="0" xfId="0" applyAlignment="1" applyBorder="1" applyFont="1">
      <alignment horizontal="center" vertical="bottom"/>
    </xf>
    <xf borderId="141" fillId="13" fontId="18" numFmtId="0" xfId="0" applyAlignment="1" applyBorder="1" applyFont="1">
      <alignment vertical="bottom"/>
    </xf>
    <xf borderId="141" fillId="102" fontId="18" numFmtId="1" xfId="0" applyAlignment="1" applyBorder="1" applyFont="1" applyNumberFormat="1">
      <alignment horizontal="center" vertical="bottom"/>
    </xf>
    <xf borderId="53" fillId="100" fontId="18" numFmtId="1" xfId="0" applyAlignment="1" applyBorder="1" applyFont="1" applyNumberFormat="1">
      <alignment horizontal="center" vertical="bottom"/>
    </xf>
    <xf borderId="141" fillId="235" fontId="18" numFmtId="1" xfId="0" applyAlignment="1" applyBorder="1" applyFont="1" applyNumberFormat="1">
      <alignment horizontal="center" vertical="bottom"/>
    </xf>
    <xf borderId="141" fillId="99" fontId="18" numFmtId="1" xfId="0" applyAlignment="1" applyBorder="1" applyFont="1" applyNumberFormat="1">
      <alignment horizontal="center" vertical="bottom"/>
    </xf>
    <xf borderId="67" fillId="0" fontId="18" numFmtId="0" xfId="0" applyAlignment="1" applyBorder="1" applyFont="1">
      <alignment horizontal="center" vertical="bottom"/>
    </xf>
    <xf borderId="67" fillId="0" fontId="18" numFmtId="1" xfId="0" applyAlignment="1" applyBorder="1" applyFont="1" applyNumberFormat="1">
      <alignment horizontal="center" vertical="bottom"/>
    </xf>
    <xf borderId="67" fillId="0" fontId="18" numFmtId="2" xfId="0" applyAlignment="1" applyBorder="1" applyFont="1" applyNumberFormat="1">
      <alignment horizontal="center" vertical="bottom"/>
    </xf>
    <xf borderId="141" fillId="0" fontId="18" numFmtId="165" xfId="0" applyAlignment="1" applyBorder="1" applyFont="1" applyNumberFormat="1">
      <alignment horizontal="center" vertical="bottom"/>
    </xf>
    <xf borderId="141" fillId="111" fontId="18" numFmtId="1" xfId="0" applyAlignment="1" applyBorder="1" applyFont="1" applyNumberFormat="1">
      <alignment horizontal="center" vertical="bottom"/>
    </xf>
    <xf borderId="53" fillId="21" fontId="18" numFmtId="1" xfId="0" applyAlignment="1" applyBorder="1" applyFont="1" applyNumberFormat="1">
      <alignment horizontal="center" vertical="bottom"/>
    </xf>
    <xf borderId="155" fillId="0" fontId="5" numFmtId="0" xfId="0" applyAlignment="1" applyBorder="1" applyFont="1">
      <alignment readingOrder="0" shrinkToFit="0" wrapText="1"/>
    </xf>
    <xf borderId="156" fillId="0" fontId="5" numFmtId="0" xfId="0" applyAlignment="1" applyBorder="1" applyFont="1">
      <alignment readingOrder="0" shrinkToFit="0" wrapText="1"/>
    </xf>
    <xf borderId="157" fillId="0" fontId="5" numFmtId="0" xfId="0" applyAlignment="1" applyBorder="1" applyFont="1">
      <alignment readingOrder="0" shrinkToFit="0" wrapText="1"/>
    </xf>
    <xf borderId="53" fillId="0" fontId="1" numFmtId="0" xfId="0" applyAlignment="1" applyBorder="1" applyFont="1">
      <alignment readingOrder="0"/>
    </xf>
    <xf borderId="53" fillId="0" fontId="1" numFmtId="0" xfId="0" applyBorder="1" applyFont="1"/>
    <xf borderId="0" fillId="0" fontId="1" numFmtId="0" xfId="0" applyFont="1"/>
    <xf borderId="154" fillId="13" fontId="18" numFmtId="0" xfId="0" applyAlignment="1" applyBorder="1" applyFont="1">
      <alignment readingOrder="0" vertical="bottom"/>
    </xf>
    <xf borderId="154" fillId="11" fontId="18" numFmtId="0" xfId="0" applyAlignment="1" applyBorder="1" applyFont="1">
      <alignment readingOrder="0" vertical="bottom"/>
    </xf>
    <xf borderId="94" fillId="6" fontId="18" numFmtId="1" xfId="0" applyAlignment="1" applyBorder="1" applyFont="1" applyNumberFormat="1">
      <alignment horizontal="center" readingOrder="0" vertical="bottom"/>
    </xf>
    <xf borderId="0" fillId="0" fontId="1" numFmtId="1" xfId="0" applyAlignment="1" applyFont="1" applyNumberFormat="1">
      <alignment readingOrder="0"/>
    </xf>
    <xf borderId="154" fillId="11" fontId="18" numFmtId="1" xfId="0" applyAlignment="1" applyBorder="1" applyFont="1" applyNumberFormat="1">
      <alignment readingOrder="0" vertical="bottom"/>
    </xf>
    <xf borderId="154" fillId="13" fontId="18" numFmtId="1" xfId="0" applyAlignment="1" applyBorder="1" applyFont="1" applyNumberFormat="1">
      <alignment readingOrder="0" vertical="bottom"/>
    </xf>
    <xf borderId="132" fillId="0" fontId="5" numFmtId="0" xfId="0" applyAlignment="1" applyBorder="1" applyFont="1">
      <alignment readingOrder="0" shrinkToFit="0" textRotation="0" wrapText="1"/>
    </xf>
    <xf borderId="132" fillId="0" fontId="5" numFmtId="165" xfId="0" applyAlignment="1" applyBorder="1" applyFont="1" applyNumberFormat="1">
      <alignment readingOrder="0" shrinkToFit="0" wrapText="1"/>
    </xf>
    <xf borderId="32" fillId="0" fontId="1" numFmtId="0" xfId="0" applyAlignment="1" applyBorder="1" applyFont="1">
      <alignment horizontal="center" readingOrder="0" shrinkToFit="0" textRotation="0" vertical="center" wrapText="1"/>
    </xf>
    <xf borderId="85" fillId="0" fontId="1" numFmtId="0" xfId="0" applyAlignment="1" applyBorder="1" applyFont="1">
      <alignment readingOrder="0"/>
    </xf>
    <xf borderId="36" fillId="0" fontId="1" numFmtId="165" xfId="0" applyAlignment="1" applyBorder="1" applyFont="1" applyNumberFormat="1">
      <alignment horizontal="center" readingOrder="0"/>
    </xf>
    <xf borderId="46" fillId="0" fontId="1" numFmtId="0" xfId="0" applyAlignment="1" applyBorder="1" applyFont="1">
      <alignment horizontal="center" readingOrder="0" shrinkToFit="0" textRotation="0" vertical="center" wrapText="1"/>
    </xf>
    <xf borderId="87" fillId="0" fontId="1" numFmtId="0" xfId="0" applyAlignment="1" applyBorder="1" applyFont="1">
      <alignment readingOrder="0"/>
    </xf>
    <xf borderId="50" fillId="0" fontId="1" numFmtId="165" xfId="0" applyAlignment="1" applyBorder="1" applyFont="1" applyNumberFormat="1">
      <alignment horizontal="center" readingOrder="0"/>
    </xf>
    <xf borderId="46" fillId="0" fontId="1" numFmtId="165" xfId="0" applyAlignment="1" applyBorder="1" applyFont="1" applyNumberFormat="1">
      <alignment horizontal="center" readingOrder="0"/>
    </xf>
    <xf borderId="62" fillId="0" fontId="1" numFmtId="0" xfId="0" applyAlignment="1" applyBorder="1" applyFont="1">
      <alignment horizontal="center" readingOrder="0" shrinkToFit="0" textRotation="0" vertical="center" wrapText="1"/>
    </xf>
    <xf borderId="109" fillId="0" fontId="1" numFmtId="0" xfId="0" applyAlignment="1" applyBorder="1" applyFont="1">
      <alignment readingOrder="0"/>
    </xf>
    <xf borderId="62" fillId="0" fontId="1" numFmtId="165" xfId="0" applyAlignment="1" applyBorder="1" applyFont="1" applyNumberFormat="1">
      <alignment horizontal="center" readingOrder="0"/>
    </xf>
    <xf borderId="39" fillId="0" fontId="1" numFmtId="0" xfId="0" applyAlignment="1" applyBorder="1" applyFont="1">
      <alignment horizontal="center" readingOrder="0" shrinkToFit="0" textRotation="0" vertical="center" wrapText="1"/>
    </xf>
    <xf borderId="89" fillId="0" fontId="1" numFmtId="0" xfId="0" applyAlignment="1" applyBorder="1" applyFont="1">
      <alignment readingOrder="0"/>
    </xf>
    <xf borderId="43" fillId="0" fontId="1" numFmtId="165" xfId="0" applyAlignment="1" applyBorder="1" applyFont="1" applyNumberFormat="1">
      <alignment horizontal="center" readingOrder="0"/>
    </xf>
    <xf borderId="55" fillId="0" fontId="1" numFmtId="0" xfId="0" applyAlignment="1" applyBorder="1" applyFont="1">
      <alignment horizontal="center" readingOrder="0" shrinkToFit="0" textRotation="0" vertical="center" wrapText="1"/>
    </xf>
    <xf borderId="111" fillId="0" fontId="1" numFmtId="0" xfId="0" applyAlignment="1" applyBorder="1" applyFont="1">
      <alignment readingOrder="0"/>
    </xf>
    <xf borderId="55" fillId="0" fontId="1" numFmtId="165" xfId="0" applyAlignment="1" applyBorder="1" applyFont="1" applyNumberFormat="1">
      <alignment horizontal="center" readingOrder="0"/>
    </xf>
    <xf borderId="59" fillId="0" fontId="1" numFmtId="165" xfId="0" applyAlignment="1" applyBorder="1" applyFont="1" applyNumberFormat="1">
      <alignment horizontal="center" readingOrder="0"/>
    </xf>
    <xf borderId="125" fillId="0" fontId="1" numFmtId="0" xfId="0" applyAlignment="1" applyBorder="1" applyFont="1">
      <alignment horizontal="center" readingOrder="0" shrinkToFit="0" textRotation="0" vertical="center" wrapText="1"/>
    </xf>
    <xf borderId="137" fillId="0" fontId="1" numFmtId="0" xfId="0" applyAlignment="1" applyBorder="1" applyFont="1">
      <alignment readingOrder="0"/>
    </xf>
    <xf borderId="129" fillId="0" fontId="1" numFmtId="165" xfId="0" applyAlignment="1" applyBorder="1" applyFont="1" applyNumberFormat="1">
      <alignment horizontal="center" readingOrder="0"/>
    </xf>
    <xf borderId="158" fillId="0" fontId="5" numFmtId="0" xfId="0" applyAlignment="1" applyBorder="1" applyFont="1">
      <alignment readingOrder="0" shrinkToFit="0" wrapText="1"/>
    </xf>
    <xf borderId="65" fillId="0" fontId="5" numFmtId="0" xfId="0" applyAlignment="1" applyBorder="1" applyFont="1">
      <alignment readingOrder="0"/>
    </xf>
    <xf borderId="65" fillId="0" fontId="1" numFmtId="0" xfId="0" applyAlignment="1" applyBorder="1" applyFont="1">
      <alignment readingOrder="0"/>
    </xf>
    <xf borderId="59" fillId="0" fontId="1" numFmtId="2" xfId="0" applyAlignment="1" applyBorder="1" applyFont="1" applyNumberFormat="1">
      <alignment horizontal="center" readingOrder="0"/>
    </xf>
    <xf borderId="0" fillId="0" fontId="1" numFmtId="0" xfId="0" applyAlignment="1" applyFont="1">
      <alignment horizontal="center" readingOrder="0" shrinkToFit="0" textRotation="0" vertical="center" wrapText="1"/>
    </xf>
    <xf borderId="118" fillId="0" fontId="1" numFmtId="0" xfId="0" applyAlignment="1" applyBorder="1" applyFont="1">
      <alignment readingOrder="0"/>
    </xf>
    <xf borderId="65" fillId="0" fontId="18" numFmtId="0" xfId="0" applyAlignment="1" applyBorder="1" applyFont="1">
      <alignment vertical="bottom"/>
    </xf>
    <xf borderId="55" fillId="0" fontId="18" numFmtId="0" xfId="0" applyAlignment="1" applyBorder="1" applyFont="1">
      <alignment horizontal="center" shrinkToFit="0" textRotation="0" wrapText="1"/>
    </xf>
    <xf borderId="111" fillId="0" fontId="18" numFmtId="0" xfId="0" applyAlignment="1" applyBorder="1" applyFont="1">
      <alignment readingOrder="0" vertical="bottom"/>
    </xf>
    <xf borderId="80" fillId="0" fontId="1" numFmtId="0" xfId="0" applyBorder="1" applyFont="1"/>
    <xf borderId="0" fillId="10" fontId="21" numFmtId="0" xfId="0" applyAlignment="1" applyFont="1">
      <alignment horizontal="center" readingOrder="0" shrinkToFit="0" textRotation="0" wrapText="1"/>
    </xf>
    <xf borderId="158" fillId="0" fontId="5" numFmtId="0" xfId="0" applyAlignment="1" applyBorder="1" applyFont="1">
      <alignment readingOrder="0"/>
    </xf>
    <xf borderId="135" fillId="0" fontId="5" numFmtId="0" xfId="0" applyAlignment="1" applyBorder="1" applyFont="1">
      <alignment readingOrder="0"/>
    </xf>
    <xf borderId="159" fillId="0" fontId="5" numFmtId="0" xfId="0" applyAlignment="1" applyBorder="1" applyFont="1">
      <alignment readingOrder="0"/>
    </xf>
    <xf borderId="160" fillId="0" fontId="1" numFmtId="0" xfId="0" applyAlignment="1" applyBorder="1" applyFont="1">
      <alignment horizontal="center" readingOrder="0" vertical="center"/>
    </xf>
    <xf borderId="161" fillId="0" fontId="1" numFmtId="0" xfId="0" applyAlignment="1" applyBorder="1" applyFont="1">
      <alignment horizontal="center"/>
    </xf>
    <xf borderId="162" fillId="0" fontId="1" numFmtId="0" xfId="0" applyAlignment="1" applyBorder="1" applyFont="1">
      <alignment readingOrder="0" shrinkToFit="0" wrapText="1"/>
    </xf>
    <xf borderId="163" fillId="0" fontId="1" numFmtId="0" xfId="0" applyAlignment="1" applyBorder="1" applyFont="1">
      <alignment horizontal="center" readingOrder="0" vertical="center"/>
    </xf>
    <xf borderId="164" fillId="0" fontId="14" numFmtId="0" xfId="0" applyAlignment="1" applyBorder="1" applyFont="1">
      <alignment horizontal="center" readingOrder="0" vertical="center"/>
    </xf>
    <xf borderId="165" fillId="0" fontId="1" numFmtId="0" xfId="0" applyAlignment="1" applyBorder="1" applyFont="1">
      <alignment horizontal="center" readingOrder="0" vertical="center"/>
    </xf>
    <xf borderId="163" fillId="259" fontId="22" numFmtId="0" xfId="0" applyAlignment="1" applyBorder="1" applyFill="1" applyFont="1">
      <alignment horizontal="center" readingOrder="0" vertical="center"/>
    </xf>
    <xf borderId="164" fillId="0" fontId="7" numFmtId="0" xfId="0" applyBorder="1" applyFont="1"/>
    <xf borderId="165" fillId="0" fontId="7" numFmtId="0" xfId="0" applyBorder="1" applyFont="1"/>
    <xf borderId="166" fillId="0" fontId="1" numFmtId="0" xfId="0" applyAlignment="1" applyBorder="1" applyFont="1">
      <alignment horizontal="center" readingOrder="0" vertical="center"/>
    </xf>
    <xf borderId="167" fillId="0" fontId="1" numFmtId="0" xfId="0" applyAlignment="1" applyBorder="1" applyFont="1">
      <alignment horizontal="center"/>
    </xf>
    <xf borderId="168" fillId="0" fontId="1" numFmtId="0" xfId="0" applyAlignment="1" applyBorder="1" applyFont="1">
      <alignment readingOrder="0" shrinkToFit="0" wrapText="1"/>
    </xf>
    <xf borderId="66" fillId="0" fontId="1" numFmtId="0" xfId="0" applyAlignment="1" applyBorder="1" applyFont="1">
      <alignment horizontal="center" readingOrder="0" vertical="center"/>
    </xf>
    <xf borderId="0" fillId="0" fontId="14" numFmtId="0" xfId="0" applyAlignment="1" applyFont="1">
      <alignment horizontal="center" readingOrder="0" vertical="center"/>
    </xf>
    <xf borderId="53" fillId="0" fontId="1" numFmtId="0" xfId="0" applyAlignment="1" applyBorder="1" applyFont="1">
      <alignment horizontal="center" readingOrder="0" vertical="center"/>
    </xf>
    <xf borderId="169" fillId="2" fontId="1" numFmtId="0" xfId="0" applyAlignment="1" applyBorder="1" applyFont="1">
      <alignment horizontal="center" readingOrder="0" vertical="center"/>
    </xf>
    <xf borderId="170" fillId="0" fontId="7" numFmtId="0" xfId="0" applyBorder="1" applyFont="1"/>
    <xf borderId="171" fillId="0" fontId="7" numFmtId="0" xfId="0" applyBorder="1" applyFont="1"/>
    <xf borderId="169" fillId="2" fontId="23" numFmtId="0" xfId="0" applyAlignment="1" applyBorder="1" applyFont="1">
      <alignment horizontal="center" readingOrder="0" vertical="center"/>
    </xf>
    <xf borderId="172" fillId="0" fontId="1" numFmtId="0" xfId="0" applyAlignment="1" applyBorder="1" applyFont="1">
      <alignment horizontal="center" vertical="center"/>
    </xf>
    <xf borderId="173" fillId="0" fontId="1" numFmtId="0" xfId="0" applyAlignment="1" applyBorder="1" applyFont="1">
      <alignment horizontal="center"/>
    </xf>
    <xf borderId="174" fillId="0" fontId="1" numFmtId="0" xfId="0" applyAlignment="1" applyBorder="1" applyFont="1">
      <alignment shrinkToFit="0" wrapText="1"/>
    </xf>
    <xf borderId="0" fillId="260" fontId="1" numFmtId="0" xfId="0" applyAlignment="1" applyFill="1" applyFont="1">
      <alignment readingOrder="0"/>
    </xf>
    <xf borderId="0" fillId="260" fontId="1" numFmtId="166" xfId="0" applyAlignment="1" applyFont="1" applyNumberFormat="1">
      <alignment horizontal="center" readingOrder="0"/>
    </xf>
    <xf borderId="0" fillId="0" fontId="5" numFmtId="0" xfId="0" applyAlignment="1" applyFont="1">
      <alignment horizontal="center" readingOrder="0"/>
    </xf>
    <xf borderId="0" fillId="0" fontId="1" numFmtId="166" xfId="0" applyAlignment="1" applyFont="1" applyNumberFormat="1">
      <alignment horizontal="center"/>
    </xf>
    <xf borderId="0" fillId="0" fontId="1" numFmtId="167" xfId="0" applyAlignment="1" applyFont="1" applyNumberFormat="1">
      <alignment readingOrder="0"/>
    </xf>
    <xf borderId="0" fillId="0" fontId="1" numFmtId="167" xfId="0" applyFont="1" applyNumberFormat="1"/>
    <xf borderId="0" fillId="0" fontId="1" numFmtId="166" xfId="0" applyAlignment="1" applyFont="1" applyNumberFormat="1">
      <alignment horizontal="center" readingOrder="0"/>
    </xf>
    <xf borderId="0" fillId="22" fontId="24" numFmtId="166" xfId="0" applyAlignment="1" applyFont="1" applyNumberFormat="1">
      <alignment horizontal="left" readingOrder="0"/>
    </xf>
    <xf borderId="0" fillId="0" fontId="20" numFmtId="0" xfId="0" applyAlignment="1" applyFont="1">
      <alignment readingOrder="0" shrinkToFit="0" wrapText="1"/>
    </xf>
    <xf borderId="0" fillId="0" fontId="20" numFmtId="0" xfId="0" applyFont="1"/>
    <xf borderId="0" fillId="0" fontId="20" numFmtId="166" xfId="0" applyAlignment="1" applyFont="1" applyNumberFormat="1">
      <alignment horizontal="left" readingOrder="0"/>
    </xf>
    <xf borderId="0" fillId="0" fontId="25" numFmtId="0" xfId="0" applyAlignment="1" applyFont="1">
      <alignment readingOrder="0" shrinkToFit="0" wrapText="1"/>
    </xf>
    <xf borderId="0" fillId="0" fontId="26" numFmtId="0" xfId="0" applyAlignment="1" applyFont="1">
      <alignment readingOrder="0" shrinkToFit="0" wrapText="1"/>
    </xf>
    <xf borderId="0" fillId="0" fontId="20" numFmtId="0" xfId="0" applyAlignment="1" applyFont="1">
      <alignment shrinkToFit="0" wrapText="1"/>
    </xf>
    <xf borderId="0" fillId="0" fontId="27" numFmtId="0" xfId="0" applyAlignment="1" applyFont="1">
      <alignment readingOrder="0" shrinkToFit="0" wrapText="1"/>
    </xf>
    <xf borderId="0" fillId="0" fontId="20" numFmtId="166" xfId="0" applyAlignment="1" applyFont="1" applyNumberFormat="1">
      <alignment horizontal="left"/>
    </xf>
    <xf borderId="0" fillId="0" fontId="20" numFmtId="166" xfId="0" applyFont="1" applyNumberFormat="1"/>
    <xf borderId="175" fillId="0" fontId="5" numFmtId="0" xfId="0" applyAlignment="1" applyBorder="1" applyFont="1">
      <alignment readingOrder="0" shrinkToFit="0" wrapText="1"/>
    </xf>
    <xf borderId="176" fillId="0" fontId="5" numFmtId="0" xfId="0" applyAlignment="1" applyBorder="1" applyFont="1">
      <alignment readingOrder="0" shrinkToFit="0" wrapText="1"/>
    </xf>
    <xf borderId="177" fillId="0" fontId="5" numFmtId="1" xfId="0" applyAlignment="1" applyBorder="1" applyFont="1" applyNumberFormat="1">
      <alignment readingOrder="0" shrinkToFit="0" wrapText="1"/>
    </xf>
    <xf borderId="136" fillId="0" fontId="5" numFmtId="0" xfId="0" applyAlignment="1" applyBorder="1" applyFont="1">
      <alignment shrinkToFit="0" wrapText="1"/>
    </xf>
    <xf borderId="178" fillId="0" fontId="5" numFmtId="0" xfId="0" applyAlignment="1" applyBorder="1" applyFont="1">
      <alignment readingOrder="0" shrinkToFit="0" wrapText="1"/>
    </xf>
    <xf borderId="175" fillId="0" fontId="5" numFmtId="2" xfId="0" applyAlignment="1" applyBorder="1" applyFont="1" applyNumberFormat="1">
      <alignment readingOrder="0" shrinkToFit="0" wrapText="1"/>
    </xf>
    <xf borderId="179" fillId="0" fontId="5" numFmtId="0" xfId="0" applyAlignment="1" applyBorder="1" applyFont="1">
      <alignment readingOrder="0" shrinkToFit="0" wrapText="1"/>
    </xf>
    <xf borderId="135" fillId="0" fontId="5" numFmtId="168" xfId="0" applyAlignment="1" applyBorder="1" applyFont="1" applyNumberFormat="1">
      <alignment readingOrder="0" shrinkToFit="0" wrapText="1"/>
    </xf>
    <xf borderId="159" fillId="0" fontId="5" numFmtId="0" xfId="0" applyAlignment="1" applyBorder="1" applyFont="1">
      <alignment readingOrder="0" shrinkToFit="0" wrapText="1"/>
    </xf>
    <xf borderId="180" fillId="6" fontId="1" numFmtId="0" xfId="0" applyAlignment="1" applyBorder="1" applyFont="1">
      <alignment horizontal="center" readingOrder="0" vertical="center"/>
    </xf>
    <xf borderId="181" fillId="7" fontId="1" numFmtId="0" xfId="0" applyAlignment="1" applyBorder="1" applyFont="1">
      <alignment horizontal="center" readingOrder="0" textRotation="0" vertical="center"/>
    </xf>
    <xf borderId="182" fillId="0" fontId="1" numFmtId="0" xfId="0" applyAlignment="1" applyBorder="1" applyFont="1">
      <alignment readingOrder="0"/>
    </xf>
    <xf borderId="182" fillId="0" fontId="1" numFmtId="1" xfId="0" applyAlignment="1" applyBorder="1" applyFont="1" applyNumberFormat="1">
      <alignment horizontal="center" readingOrder="0"/>
    </xf>
    <xf borderId="183" fillId="0" fontId="1" numFmtId="1" xfId="0" applyAlignment="1" applyBorder="1" applyFont="1" applyNumberFormat="1">
      <alignment horizontal="center" readingOrder="0"/>
    </xf>
    <xf borderId="136" fillId="0" fontId="1" numFmtId="0" xfId="0" applyAlignment="1" applyBorder="1" applyFont="1">
      <alignment horizontal="center"/>
    </xf>
    <xf borderId="181" fillId="0" fontId="1" numFmtId="0" xfId="0" applyAlignment="1" applyBorder="1" applyFont="1">
      <alignment horizontal="center" readingOrder="0"/>
    </xf>
    <xf borderId="182" fillId="0" fontId="1" numFmtId="168" xfId="0" applyAlignment="1" applyBorder="1" applyFont="1" applyNumberFormat="1">
      <alignment horizontal="center" readingOrder="0"/>
    </xf>
    <xf borderId="182" fillId="0" fontId="1" numFmtId="2" xfId="0" applyAlignment="1" applyBorder="1" applyFont="1" applyNumberFormat="1">
      <alignment horizontal="center" readingOrder="0"/>
    </xf>
    <xf borderId="182" fillId="0" fontId="1" numFmtId="0" xfId="0" applyAlignment="1" applyBorder="1" applyFont="1">
      <alignment horizontal="center" readingOrder="0"/>
    </xf>
    <xf borderId="182" fillId="0" fontId="1" numFmtId="0" xfId="0" applyAlignment="1" applyBorder="1" applyFont="1">
      <alignment horizontal="center" readingOrder="0"/>
    </xf>
    <xf borderId="182" fillId="0" fontId="1" numFmtId="165" xfId="0" applyAlignment="1" applyBorder="1" applyFont="1" applyNumberFormat="1">
      <alignment horizontal="center" readingOrder="0"/>
    </xf>
    <xf borderId="184" fillId="0" fontId="1" numFmtId="10" xfId="0" applyAlignment="1" applyBorder="1" applyFont="1" applyNumberFormat="1">
      <alignment horizontal="center"/>
    </xf>
    <xf borderId="64" fillId="0" fontId="7" numFmtId="0" xfId="0" applyBorder="1" applyFont="1"/>
    <xf borderId="44" fillId="7" fontId="1" numFmtId="0" xfId="0" applyAlignment="1" applyBorder="1" applyFont="1">
      <alignment horizontal="center" readingOrder="0" textRotation="0" vertical="center"/>
    </xf>
    <xf borderId="45" fillId="0" fontId="1" numFmtId="0" xfId="0" applyAlignment="1" applyBorder="1" applyFont="1">
      <alignment readingOrder="0"/>
    </xf>
    <xf borderId="44" fillId="0" fontId="1" numFmtId="0" xfId="0" applyAlignment="1" applyBorder="1" applyFont="1">
      <alignment horizontal="center" readingOrder="0"/>
    </xf>
    <xf borderId="45" fillId="0" fontId="1" numFmtId="168" xfId="0" applyAlignment="1" applyBorder="1" applyFont="1" applyNumberFormat="1">
      <alignment horizontal="center" readingOrder="0"/>
    </xf>
    <xf borderId="89" fillId="0" fontId="1" numFmtId="10" xfId="0" applyAlignment="1" applyBorder="1" applyFont="1" applyNumberFormat="1">
      <alignment horizontal="center"/>
    </xf>
    <xf borderId="185" fillId="7" fontId="1" numFmtId="0" xfId="0" applyAlignment="1" applyBorder="1" applyFont="1">
      <alignment horizontal="center" readingOrder="0" textRotation="0" vertical="center"/>
    </xf>
    <xf borderId="186" fillId="0" fontId="1" numFmtId="0" xfId="0" applyAlignment="1" applyBorder="1" applyFont="1">
      <alignment readingOrder="0"/>
    </xf>
    <xf borderId="186" fillId="0" fontId="1" numFmtId="1" xfId="0" applyAlignment="1" applyBorder="1" applyFont="1" applyNumberFormat="1">
      <alignment horizontal="center"/>
    </xf>
    <xf borderId="187" fillId="0" fontId="1" numFmtId="1" xfId="0" applyAlignment="1" applyBorder="1" applyFont="1" applyNumberFormat="1">
      <alignment horizontal="center"/>
    </xf>
    <xf borderId="185" fillId="0" fontId="1" numFmtId="0" xfId="0" applyAlignment="1" applyBorder="1" applyFont="1">
      <alignment horizontal="center"/>
    </xf>
    <xf borderId="186" fillId="0" fontId="1" numFmtId="168" xfId="0" applyAlignment="1" applyBorder="1" applyFont="1" applyNumberFormat="1">
      <alignment horizontal="center" readingOrder="0"/>
    </xf>
    <xf borderId="186" fillId="0" fontId="1" numFmtId="2" xfId="0" applyAlignment="1" applyBorder="1" applyFont="1" applyNumberFormat="1">
      <alignment horizontal="center" readingOrder="0"/>
    </xf>
    <xf borderId="186" fillId="0" fontId="1" numFmtId="0" xfId="0" applyAlignment="1" applyBorder="1" applyFont="1">
      <alignment horizontal="center"/>
    </xf>
    <xf borderId="186" fillId="0" fontId="1" numFmtId="165" xfId="0" applyAlignment="1" applyBorder="1" applyFont="1" applyNumberFormat="1">
      <alignment horizontal="center" readingOrder="0"/>
    </xf>
    <xf borderId="188" fillId="0" fontId="1" numFmtId="10" xfId="0" applyAlignment="1" applyBorder="1" applyFont="1" applyNumberFormat="1">
      <alignment horizontal="center"/>
    </xf>
    <xf borderId="51" fillId="261" fontId="1" numFmtId="0" xfId="0" applyAlignment="1" applyBorder="1" applyFill="1" applyFont="1">
      <alignment horizontal="center" readingOrder="0" textRotation="0" vertical="center"/>
    </xf>
    <xf borderId="52" fillId="0" fontId="1" numFmtId="0" xfId="0" applyAlignment="1" applyBorder="1" applyFont="1">
      <alignment readingOrder="0"/>
    </xf>
    <xf borderId="51" fillId="0" fontId="1" numFmtId="0" xfId="0" applyAlignment="1" applyBorder="1" applyFont="1">
      <alignment horizontal="center" readingOrder="0"/>
    </xf>
    <xf borderId="52" fillId="0" fontId="1" numFmtId="168" xfId="0" applyAlignment="1" applyBorder="1" applyFont="1" applyNumberFormat="1">
      <alignment horizontal="center" readingOrder="0"/>
    </xf>
    <xf borderId="87" fillId="0" fontId="1" numFmtId="0" xfId="0" applyAlignment="1" applyBorder="1" applyFont="1">
      <alignment horizontal="center" readingOrder="0"/>
    </xf>
    <xf borderId="44" fillId="261" fontId="1" numFmtId="0" xfId="0" applyAlignment="1" applyBorder="1" applyFont="1">
      <alignment horizontal="center" readingOrder="0" textRotation="0" vertical="center"/>
    </xf>
    <xf borderId="45" fillId="0" fontId="1" numFmtId="168" xfId="0" applyAlignment="1" applyBorder="1" applyFont="1" applyNumberFormat="1">
      <alignment horizontal="center"/>
    </xf>
    <xf borderId="185" fillId="261" fontId="1" numFmtId="0" xfId="0" applyAlignment="1" applyBorder="1" applyFont="1">
      <alignment horizontal="center" readingOrder="0" textRotation="0" vertical="center"/>
    </xf>
    <xf borderId="186" fillId="0" fontId="1" numFmtId="1" xfId="0" applyAlignment="1" applyBorder="1" applyFont="1" applyNumberFormat="1">
      <alignment horizontal="center" readingOrder="0"/>
    </xf>
    <xf borderId="187" fillId="0" fontId="1" numFmtId="1" xfId="0" applyAlignment="1" applyBorder="1" applyFont="1" applyNumberFormat="1">
      <alignment horizontal="center" readingOrder="0"/>
    </xf>
    <xf borderId="185" fillId="0" fontId="1" numFmtId="0" xfId="0" applyAlignment="1" applyBorder="1" applyFont="1">
      <alignment horizontal="center" readingOrder="0"/>
    </xf>
    <xf borderId="186" fillId="0" fontId="1" numFmtId="0" xfId="0" applyAlignment="1" applyBorder="1" applyFont="1">
      <alignment horizontal="center" readingOrder="0"/>
    </xf>
    <xf borderId="51" fillId="262" fontId="1" numFmtId="0" xfId="0" applyAlignment="1" applyBorder="1" applyFill="1" applyFont="1">
      <alignment horizontal="center" readingOrder="0" textRotation="0" vertical="center"/>
    </xf>
    <xf borderId="51" fillId="0" fontId="1" numFmtId="0" xfId="0" applyAlignment="1" applyBorder="1" applyFont="1">
      <alignment horizontal="center"/>
    </xf>
    <xf borderId="52" fillId="0" fontId="1" numFmtId="2" xfId="0" applyAlignment="1" applyBorder="1" applyFont="1" applyNumberFormat="1">
      <alignment horizontal="center"/>
    </xf>
    <xf borderId="52" fillId="0" fontId="1" numFmtId="0" xfId="0" applyAlignment="1" applyBorder="1" applyFont="1">
      <alignment horizontal="center"/>
    </xf>
    <xf borderId="87" fillId="0" fontId="1" numFmtId="10" xfId="0" applyAlignment="1" applyBorder="1" applyFont="1" applyNumberFormat="1">
      <alignment horizontal="center"/>
    </xf>
    <xf borderId="44" fillId="262" fontId="1" numFmtId="0" xfId="0" applyAlignment="1" applyBorder="1" applyFont="1">
      <alignment horizontal="center" readingOrder="0" textRotation="0" vertical="center"/>
    </xf>
    <xf borderId="185" fillId="262" fontId="1" numFmtId="0" xfId="0" applyAlignment="1" applyBorder="1" applyFont="1">
      <alignment horizontal="center" readingOrder="0" textRotation="0" vertical="center"/>
    </xf>
    <xf borderId="185" fillId="0" fontId="1" numFmtId="0" xfId="0" applyAlignment="1" applyBorder="1" applyFont="1">
      <alignment horizontal="center" readingOrder="0"/>
    </xf>
    <xf borderId="186" fillId="0" fontId="1" numFmtId="165" xfId="0" applyAlignment="1" applyBorder="1" applyFont="1" applyNumberFormat="1">
      <alignment horizontal="center"/>
    </xf>
    <xf borderId="189" fillId="263" fontId="1" numFmtId="0" xfId="0" applyAlignment="1" applyBorder="1" applyFill="1" applyFont="1">
      <alignment horizontal="center" readingOrder="0" textRotation="0" vertical="center"/>
    </xf>
    <xf borderId="190" fillId="0" fontId="1" numFmtId="0" xfId="0" applyAlignment="1" applyBorder="1" applyFont="1">
      <alignment readingOrder="0"/>
    </xf>
    <xf borderId="190" fillId="0" fontId="1" numFmtId="1" xfId="0" applyAlignment="1" applyBorder="1" applyFont="1" applyNumberFormat="1">
      <alignment horizontal="center"/>
    </xf>
    <xf borderId="191" fillId="0" fontId="1" numFmtId="1" xfId="0" applyAlignment="1" applyBorder="1" applyFont="1" applyNumberFormat="1">
      <alignment horizontal="center"/>
    </xf>
    <xf borderId="189" fillId="0" fontId="1" numFmtId="0" xfId="0" applyAlignment="1" applyBorder="1" applyFont="1">
      <alignment horizontal="center"/>
    </xf>
    <xf borderId="190" fillId="0" fontId="1" numFmtId="168" xfId="0" applyAlignment="1" applyBorder="1" applyFont="1" applyNumberFormat="1">
      <alignment horizontal="center" readingOrder="0"/>
    </xf>
    <xf borderId="190" fillId="0" fontId="1" numFmtId="2" xfId="0" applyAlignment="1" applyBorder="1" applyFont="1" applyNumberFormat="1">
      <alignment horizontal="center"/>
    </xf>
    <xf borderId="190" fillId="0" fontId="1" numFmtId="0" xfId="0" applyAlignment="1" applyBorder="1" applyFont="1">
      <alignment horizontal="center" readingOrder="0"/>
    </xf>
    <xf borderId="190" fillId="0" fontId="1" numFmtId="0" xfId="0" applyAlignment="1" applyBorder="1" applyFont="1">
      <alignment horizontal="center"/>
    </xf>
    <xf borderId="190" fillId="0" fontId="1" numFmtId="165" xfId="0" applyAlignment="1" applyBorder="1" applyFont="1" applyNumberFormat="1">
      <alignment horizontal="center" readingOrder="0"/>
    </xf>
    <xf borderId="192" fillId="0" fontId="1" numFmtId="10" xfId="0" applyAlignment="1" applyBorder="1" applyFont="1" applyNumberFormat="1">
      <alignment horizontal="center"/>
    </xf>
    <xf borderId="48" fillId="0" fontId="7" numFmtId="0" xfId="0" applyBorder="1" applyFont="1"/>
    <xf borderId="67" fillId="5" fontId="1" numFmtId="0" xfId="0" applyAlignment="1" applyBorder="1" applyFont="1">
      <alignment horizontal="center" readingOrder="0" textRotation="0" vertical="center"/>
    </xf>
    <xf borderId="68" fillId="0" fontId="1" numFmtId="0" xfId="0" applyAlignment="1" applyBorder="1" applyFont="1">
      <alignment readingOrder="0"/>
    </xf>
    <xf borderId="67" fillId="0" fontId="1" numFmtId="0" xfId="0" applyAlignment="1" applyBorder="1" applyFont="1">
      <alignment horizontal="center"/>
    </xf>
    <xf borderId="68" fillId="0" fontId="1" numFmtId="168" xfId="0" applyAlignment="1" applyBorder="1" applyFont="1" applyNumberFormat="1">
      <alignment horizontal="center" readingOrder="0"/>
    </xf>
    <xf borderId="68" fillId="0" fontId="1" numFmtId="0" xfId="0" applyAlignment="1" applyBorder="1" applyFont="1">
      <alignment horizontal="center"/>
    </xf>
    <xf borderId="109" fillId="0" fontId="1" numFmtId="10" xfId="0" applyAlignment="1" applyBorder="1" applyFont="1" applyNumberFormat="1">
      <alignment horizontal="center"/>
    </xf>
    <xf borderId="180" fillId="7" fontId="1" numFmtId="0" xfId="0" applyAlignment="1" applyBorder="1" applyFont="1">
      <alignment horizontal="center" readingOrder="0" vertical="center"/>
    </xf>
    <xf borderId="193" fillId="264" fontId="21" numFmtId="0" xfId="0" applyAlignment="1" applyBorder="1" applyFill="1" applyFont="1">
      <alignment horizontal="center" readingOrder="0" textRotation="0" vertical="center"/>
    </xf>
    <xf borderId="193" fillId="0" fontId="7" numFmtId="0" xfId="0" applyBorder="1" applyFont="1"/>
    <xf borderId="181" fillId="0" fontId="7" numFmtId="0" xfId="0" applyBorder="1" applyFont="1"/>
    <xf borderId="181" fillId="264" fontId="1" numFmtId="0" xfId="0" applyAlignment="1" applyBorder="1" applyFont="1">
      <alignment horizontal="center"/>
    </xf>
    <xf borderId="182" fillId="264" fontId="1" numFmtId="168" xfId="0" applyAlignment="1" applyBorder="1" applyFont="1" applyNumberFormat="1">
      <alignment horizontal="center"/>
    </xf>
    <xf borderId="182" fillId="264" fontId="1" numFmtId="2" xfId="0" applyAlignment="1" applyBorder="1" applyFont="1" applyNumberFormat="1">
      <alignment horizontal="center"/>
    </xf>
    <xf borderId="182" fillId="264" fontId="1" numFmtId="0" xfId="0" applyAlignment="1" applyBorder="1" applyFont="1">
      <alignment horizontal="center"/>
    </xf>
    <xf borderId="182" fillId="264" fontId="1" numFmtId="165" xfId="0" applyAlignment="1" applyBorder="1" applyFont="1" applyNumberFormat="1">
      <alignment horizontal="center"/>
    </xf>
    <xf borderId="184" fillId="264" fontId="1" numFmtId="10" xfId="0" applyAlignment="1" applyBorder="1" applyFont="1" applyNumberFormat="1">
      <alignment horizontal="center"/>
    </xf>
    <xf borderId="67" fillId="7" fontId="1" numFmtId="0" xfId="0" applyAlignment="1" applyBorder="1" applyFont="1">
      <alignment horizontal="center" readingOrder="0" textRotation="0" vertical="center"/>
    </xf>
    <xf borderId="67" fillId="0" fontId="1" numFmtId="0" xfId="0" applyAlignment="1" applyBorder="1" applyFont="1">
      <alignment horizontal="center" readingOrder="0"/>
    </xf>
    <xf borderId="68" fillId="0" fontId="1" numFmtId="165" xfId="0" applyAlignment="1" applyBorder="1" applyFont="1" applyNumberFormat="1">
      <alignment horizontal="center"/>
    </xf>
    <xf borderId="186" fillId="0" fontId="1" numFmtId="0" xfId="0" applyAlignment="1" applyBorder="1" applyFont="1">
      <alignment horizontal="center" readingOrder="0"/>
    </xf>
    <xf borderId="188" fillId="0" fontId="1" numFmtId="0" xfId="0" applyAlignment="1" applyBorder="1" applyFont="1">
      <alignment horizontal="center" readingOrder="0"/>
    </xf>
    <xf borderId="109" fillId="0" fontId="1" numFmtId="0" xfId="0" applyAlignment="1" applyBorder="1" applyFont="1">
      <alignment horizontal="center" readingOrder="0"/>
    </xf>
    <xf borderId="52" fillId="0" fontId="1" numFmtId="165" xfId="0" applyAlignment="1" applyBorder="1" applyFont="1" applyNumberFormat="1">
      <alignment horizontal="center"/>
    </xf>
    <xf borderId="45" fillId="0" fontId="1" numFmtId="165" xfId="0" applyAlignment="1" applyBorder="1" applyFont="1" applyNumberFormat="1">
      <alignment horizontal="center"/>
    </xf>
    <xf borderId="189" fillId="0" fontId="1" numFmtId="0" xfId="0" applyAlignment="1" applyBorder="1" applyFont="1">
      <alignment horizontal="center" readingOrder="0"/>
    </xf>
    <xf borderId="190" fillId="0" fontId="1" numFmtId="2" xfId="0" applyAlignment="1" applyBorder="1" applyFont="1" applyNumberFormat="1">
      <alignment horizontal="center" readingOrder="0"/>
    </xf>
    <xf borderId="190" fillId="0" fontId="1" numFmtId="0" xfId="0" applyAlignment="1" applyBorder="1" applyFont="1">
      <alignment horizontal="center" readingOrder="0"/>
    </xf>
    <xf borderId="192" fillId="0" fontId="1" numFmtId="0" xfId="0" applyAlignment="1" applyBorder="1" applyFont="1">
      <alignment horizontal="center" readingOrder="0"/>
    </xf>
    <xf borderId="51" fillId="5" fontId="1" numFmtId="0" xfId="0" applyAlignment="1" applyBorder="1" applyFont="1">
      <alignment horizontal="center" readingOrder="0" textRotation="0" vertical="center"/>
    </xf>
    <xf borderId="44" fillId="5" fontId="1" numFmtId="0" xfId="0" applyAlignment="1" applyBorder="1" applyFont="1">
      <alignment horizontal="center" readingOrder="0" textRotation="0" vertical="center"/>
    </xf>
    <xf borderId="194" fillId="0" fontId="7" numFmtId="0" xfId="0" applyBorder="1" applyFont="1"/>
    <xf borderId="195" fillId="5" fontId="1" numFmtId="0" xfId="0" applyAlignment="1" applyBorder="1" applyFont="1">
      <alignment horizontal="center" readingOrder="0" textRotation="0" vertical="center"/>
    </xf>
    <xf borderId="196" fillId="0" fontId="1" numFmtId="0" xfId="0" applyAlignment="1" applyBorder="1" applyFont="1">
      <alignment readingOrder="0"/>
    </xf>
    <xf borderId="196" fillId="0" fontId="1" numFmtId="1" xfId="0" applyAlignment="1" applyBorder="1" applyFont="1" applyNumberFormat="1">
      <alignment horizontal="center"/>
    </xf>
    <xf borderId="197" fillId="0" fontId="1" numFmtId="1" xfId="0" applyAlignment="1" applyBorder="1" applyFont="1" applyNumberFormat="1">
      <alignment horizontal="center"/>
    </xf>
    <xf borderId="195" fillId="0" fontId="1" numFmtId="0" xfId="0" applyAlignment="1" applyBorder="1" applyFont="1">
      <alignment horizontal="center" readingOrder="0"/>
    </xf>
    <xf borderId="196" fillId="0" fontId="1" numFmtId="168" xfId="0" applyAlignment="1" applyBorder="1" applyFont="1" applyNumberFormat="1">
      <alignment horizontal="center" readingOrder="0"/>
    </xf>
    <xf borderId="196" fillId="0" fontId="1" numFmtId="2" xfId="0" applyAlignment="1" applyBorder="1" applyFont="1" applyNumberFormat="1">
      <alignment horizontal="center" readingOrder="0"/>
    </xf>
    <xf borderId="196" fillId="0" fontId="1" numFmtId="0" xfId="0" applyAlignment="1" applyBorder="1" applyFont="1">
      <alignment horizontal="center" readingOrder="0"/>
    </xf>
    <xf borderId="196" fillId="0" fontId="1" numFmtId="0" xfId="0" applyAlignment="1" applyBorder="1" applyFont="1">
      <alignment horizontal="center" readingOrder="0"/>
    </xf>
    <xf borderId="196" fillId="0" fontId="1" numFmtId="165" xfId="0" applyAlignment="1" applyBorder="1" applyFont="1" applyNumberFormat="1">
      <alignment horizontal="center" readingOrder="0"/>
    </xf>
    <xf borderId="198" fillId="0" fontId="1" numFmtId="10" xfId="0" applyAlignment="1" applyBorder="1" applyFont="1" applyNumberFormat="1">
      <alignment horizontal="center"/>
    </xf>
    <xf borderId="64" fillId="2" fontId="1" numFmtId="0" xfId="0" applyAlignment="1" applyBorder="1" applyFont="1">
      <alignment horizontal="center" readingOrder="0" vertical="center"/>
    </xf>
    <xf borderId="51" fillId="7" fontId="1" numFmtId="0" xfId="0" applyAlignment="1" applyBorder="1" applyFont="1">
      <alignment horizontal="center" readingOrder="0" textRotation="0" vertical="center"/>
    </xf>
    <xf borderId="52" fillId="0" fontId="1" numFmtId="168" xfId="0" applyAlignment="1" applyBorder="1" applyFont="1" applyNumberFormat="1">
      <alignment horizontal="center"/>
    </xf>
    <xf borderId="186" fillId="0" fontId="1" numFmtId="168" xfId="0" applyAlignment="1" applyBorder="1" applyFont="1" applyNumberFormat="1">
      <alignment horizontal="center"/>
    </xf>
    <xf borderId="186" fillId="0" fontId="1" numFmtId="2" xfId="0" applyAlignment="1" applyBorder="1" applyFont="1" applyNumberFormat="1">
      <alignment horizontal="center"/>
    </xf>
    <xf borderId="190" fillId="0" fontId="1" numFmtId="165" xfId="0" applyAlignment="1" applyBorder="1" applyFont="1" applyNumberFormat="1">
      <alignment horizontal="center"/>
    </xf>
    <xf borderId="79" fillId="0" fontId="7" numFmtId="0" xfId="0" applyBorder="1" applyFont="1"/>
    <xf borderId="82" fillId="5" fontId="1" numFmtId="0" xfId="0" applyAlignment="1" applyBorder="1" applyFont="1">
      <alignment horizontal="center" readingOrder="0" textRotation="0" vertical="center"/>
    </xf>
    <xf borderId="83" fillId="0" fontId="1" numFmtId="0" xfId="0" applyAlignment="1" applyBorder="1" applyFont="1">
      <alignment readingOrder="0"/>
    </xf>
    <xf borderId="78" fillId="0" fontId="1" numFmtId="1" xfId="0" applyAlignment="1" applyBorder="1" applyFont="1" applyNumberFormat="1">
      <alignment horizontal="center" readingOrder="0"/>
    </xf>
    <xf borderId="82" fillId="0" fontId="1" numFmtId="0" xfId="0" applyAlignment="1" applyBorder="1" applyFont="1">
      <alignment horizontal="center" readingOrder="0"/>
    </xf>
    <xf borderId="83" fillId="0" fontId="1" numFmtId="168" xfId="0" applyAlignment="1" applyBorder="1" applyFont="1" applyNumberFormat="1">
      <alignment horizontal="center" readingOrder="0"/>
    </xf>
    <xf borderId="83" fillId="0" fontId="1" numFmtId="0" xfId="0" applyAlignment="1" applyBorder="1" applyFont="1">
      <alignment horizontal="center" readingOrder="0"/>
    </xf>
    <xf borderId="83" fillId="0" fontId="1" numFmtId="165" xfId="0" applyAlignment="1" applyBorder="1" applyFont="1" applyNumberFormat="1">
      <alignment horizontal="center" readingOrder="0"/>
    </xf>
    <xf borderId="199" fillId="0" fontId="1" numFmtId="10" xfId="0" applyAlignment="1" applyBorder="1" applyFont="1" applyNumberFormat="1">
      <alignment horizontal="center"/>
    </xf>
    <xf borderId="0" fillId="0" fontId="1" numFmtId="2" xfId="0" applyFont="1" applyNumberFormat="1"/>
    <xf borderId="200" fillId="0" fontId="5" numFmtId="0" xfId="0" applyAlignment="1" applyBorder="1" applyFont="1">
      <alignment readingOrder="0" shrinkToFit="0" wrapText="1"/>
    </xf>
    <xf borderId="157" fillId="0" fontId="7" numFmtId="0" xfId="0" applyBorder="1" applyFont="1"/>
    <xf borderId="40" fillId="0" fontId="1" numFmtId="0" xfId="0" applyAlignment="1" applyBorder="1" applyFont="1">
      <alignment readingOrder="0"/>
    </xf>
    <xf borderId="90" fillId="0" fontId="7" numFmtId="0" xfId="0" applyBorder="1" applyFont="1"/>
    <xf borderId="33" fillId="0" fontId="1" numFmtId="1" xfId="0" applyAlignment="1" applyBorder="1" applyFont="1" applyNumberFormat="1">
      <alignment horizontal="center" readingOrder="0"/>
    </xf>
    <xf borderId="56" fillId="0" fontId="1" numFmtId="1" xfId="0" applyAlignment="1" applyBorder="1" applyFont="1" applyNumberFormat="1">
      <alignment horizontal="center" readingOrder="0"/>
    </xf>
    <xf borderId="100" fillId="0" fontId="1" numFmtId="0" xfId="0" applyAlignment="1" applyBorder="1" applyFont="1">
      <alignment horizontal="center" readingOrder="0"/>
    </xf>
    <xf borderId="126" fillId="0" fontId="1" numFmtId="0" xfId="0" applyAlignment="1" applyBorder="1" applyFont="1">
      <alignment readingOrder="0"/>
    </xf>
    <xf borderId="201" fillId="0" fontId="7" numFmtId="0" xfId="0" applyBorder="1" applyFont="1"/>
    <xf borderId="202" fillId="0" fontId="1" numFmtId="1" xfId="0" applyAlignment="1" applyBorder="1" applyFont="1" applyNumberFormat="1">
      <alignment horizontal="center"/>
    </xf>
    <xf borderId="129" fillId="0" fontId="1" numFmtId="0" xfId="0" applyAlignment="1" applyBorder="1" applyFont="1">
      <alignment horizontal="center" readingOrder="0"/>
    </xf>
    <xf borderId="131" fillId="0" fontId="1" numFmtId="0" xfId="0" applyAlignment="1" applyBorder="1" applyFont="1">
      <alignment horizontal="center" readingOrder="0"/>
    </xf>
    <xf borderId="126" fillId="0" fontId="1" numFmtId="1" xfId="0" applyAlignment="1" applyBorder="1" applyFont="1" applyNumberFormat="1">
      <alignment horizontal="center" readingOrder="0"/>
    </xf>
    <xf borderId="202" fillId="0" fontId="1" numFmtId="1" xfId="0" applyAlignment="1" applyBorder="1" applyFont="1" applyNumberFormat="1">
      <alignment horizontal="center" readingOrder="0"/>
    </xf>
    <xf borderId="0" fillId="10" fontId="21" numFmtId="0" xfId="0" applyAlignment="1" applyFont="1">
      <alignment horizontal="center" readingOrder="0" shrinkToFit="0" textRotation="0" wrapText="1"/>
    </xf>
  </cellXfs>
  <cellStyles count="1">
    <cellStyle xfId="0" name="Normal" builtinId="0"/>
  </cellStyles>
  <dxfs count="4">
    <dxf>
      <font/>
      <fill>
        <patternFill patternType="none"/>
      </fill>
      <border/>
    </dxf>
    <dxf>
      <font/>
      <fill>
        <patternFill patternType="none"/>
      </fill>
      <border/>
    </dxf>
    <dxf>
      <font/>
      <fill>
        <patternFill patternType="solid">
          <fgColor rgb="FFB4A7D6"/>
          <bgColor rgb="FFB4A7D6"/>
        </patternFill>
      </fill>
      <border/>
    </dxf>
    <dxf>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6591300" cy="4286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xdr:row>
      <xdr:rowOff>0</xdr:rowOff>
    </xdr:from>
    <xdr:ext cx="4019550" cy="4286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6</xdr:row>
      <xdr:rowOff>0</xdr:rowOff>
    </xdr:from>
    <xdr:ext cx="4962525" cy="29527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7</xdr:row>
      <xdr:rowOff>0</xdr:rowOff>
    </xdr:from>
    <xdr:ext cx="7172325" cy="4191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ko-fi.com/xboxuser123" TargetMode="External"/><Relationship Id="rId2" Type="http://schemas.openxmlformats.org/officeDocument/2006/relationships/hyperlink" Target="https://old.reddit.com/r/DestinyTheGame/comments/umnoex/exhaustive_breakdown_of_every_outgoing_damage/" TargetMode="External"/><Relationship Id="rId3" Type="http://schemas.openxmlformats.org/officeDocument/2006/relationships/hyperlink" Target="https://docs.google.com/forms/d/e/1FAIpQLSeI9OpJ7SOa_CIeNKvpZwl5xJVn7u_VrXyxuKcr4mnEdEU6yA/viewform?usp=sf_link" TargetMode="External"/><Relationship Id="rId4" Type="http://schemas.openxmlformats.org/officeDocument/2006/relationships/hyperlink" Target="https://www.reddit.com/r/DestinyTheGame/comments/11tyynq/syntho_glaive_doesnt_do_less_damage_than/" TargetMode="External"/><Relationship Id="rId5" Type="http://schemas.openxmlformats.org/officeDocument/2006/relationships/hyperlink" Target="https://d2foundry.gg/"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old.reddit.com/r/DestinyTheGame/comments/1b8z9ge/massive_breakdown_of_ammo_capacity_and_brick/" TargetMode="External"/><Relationship Id="rId3" Type="http://schemas.openxmlformats.org/officeDocument/2006/relationships/drawing" Target="../drawings/drawing8.xml"/><Relationship Id="rId4"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desmos.com/calculator/nqpj83bofj" TargetMode="External"/><Relationship Id="rId2" Type="http://schemas.openxmlformats.org/officeDocument/2006/relationships/hyperlink" Target="https://www.desmos.com/calculator/oldlhrorxi" TargetMode="External"/><Relationship Id="rId3" Type="http://schemas.openxmlformats.org/officeDocument/2006/relationships/hyperlink" Target="https://www.desmos.com/calculator/datpqv7o41"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youtube.com/watch?v=mThLMyPUNps&amp;ab_channel=CheeseForever" TargetMode="External"/><Relationship Id="rId2" Type="http://schemas.openxmlformats.org/officeDocument/2006/relationships/hyperlink" Target="https://www.bungie.net/7/en/News/Article/season-deep-update-7-1-0" TargetMode="External"/><Relationship Id="rId3" Type="http://schemas.openxmlformats.org/officeDocument/2006/relationships/hyperlink" Target="https://dm.reddit.com/r/DestinyTheGame/comments/17kd4az/michael_sechrist_the_composer_of_deep_stone/?ref=share&amp;ref_source=link" TargetMode="External"/><Relationship Id="rId4" Type="http://schemas.openxmlformats.org/officeDocument/2006/relationships/hyperlink" Target="https://www.bungie.net/7/en/News/article/this_week_in_destiny_04_25_24" TargetMode="External"/><Relationship Id="rId5" Type="http://schemas.openxmlformats.org/officeDocument/2006/relationships/hyperlink" Target="https://www.youtube.com/watch?v=Dj81OFhTYi4&amp;ab_channel=FalloutPlays" TargetMode="External"/><Relationship Id="rId6" Type="http://schemas.openxmlformats.org/officeDocument/2006/relationships/hyperlink" Target="https://www.bungie.net/7/en/News/Article/destiny_update_8_2_6"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4.xml"/><Relationship Id="rId3"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docs.google.com/forms/d/e/1FAIpQLSeI9OpJ7SOa_CIeNKvpZwl5xJVn7u_VrXyxuKcr4mnEdEU6yA/viewform" TargetMode="External"/><Relationship Id="rId3" Type="http://schemas.openxmlformats.org/officeDocument/2006/relationships/drawing" Target="../drawings/drawing15.xml"/><Relationship Id="rId4"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6" width="40.75"/>
    <col customWidth="1" min="7" max="7" width="3.88"/>
    <col hidden="1" min="8" max="32" width="12.63"/>
  </cols>
  <sheetData>
    <row r="1">
      <c r="A1" s="1"/>
      <c r="B1" s="2"/>
      <c r="C1" s="3" t="s">
        <v>0</v>
      </c>
      <c r="F1" s="4"/>
      <c r="G1" s="1"/>
    </row>
    <row r="2">
      <c r="A2" s="1"/>
      <c r="B2" s="5" t="str">
        <f>image("https://www.bungie.net/common/destiny2_content/icons/f385fda03b8ab139f6c2179844685fcf.jpg",
4, 65, 65)</f>
        <v/>
      </c>
      <c r="C2" s="6"/>
      <c r="D2" s="7" t="s">
        <v>1</v>
      </c>
      <c r="E2" s="6"/>
      <c r="F2" s="4" t="str">
        <f>image("https://www.bungie.net/common/destiny2_content/icons/a93e3f872c8e0af699f09d59e09603c6.jpg",
4, 65, 65)</f>
        <v/>
      </c>
      <c r="G2" s="1"/>
    </row>
    <row r="3">
      <c r="A3" s="1"/>
      <c r="C3" s="6"/>
      <c r="D3" s="8" t="s">
        <v>2</v>
      </c>
      <c r="E3" s="6"/>
      <c r="G3" s="1"/>
    </row>
    <row r="4" ht="26.25" customHeight="1">
      <c r="A4" s="1"/>
      <c r="C4" s="9" t="s">
        <v>3</v>
      </c>
      <c r="G4" s="1"/>
    </row>
    <row r="5">
      <c r="A5" s="1"/>
      <c r="B5" s="2"/>
      <c r="C5" s="10" t="s">
        <v>4</v>
      </c>
      <c r="D5" s="11"/>
      <c r="E5" s="12"/>
      <c r="F5" s="2"/>
      <c r="G5" s="1"/>
    </row>
    <row r="6" ht="26.25" customHeight="1">
      <c r="A6" s="1"/>
      <c r="B6" s="5"/>
      <c r="C6" s="9" t="s">
        <v>5</v>
      </c>
      <c r="F6" s="5"/>
      <c r="G6" s="1"/>
    </row>
    <row r="7">
      <c r="A7" s="1"/>
      <c r="B7" s="2"/>
      <c r="C7" s="10" t="s">
        <v>6</v>
      </c>
      <c r="D7" s="11"/>
      <c r="E7" s="12"/>
      <c r="F7" s="2"/>
      <c r="G7" s="1"/>
    </row>
    <row r="8" ht="26.25" customHeight="1">
      <c r="A8" s="1"/>
      <c r="B8" s="5"/>
      <c r="C8" s="9" t="s">
        <v>7</v>
      </c>
      <c r="F8" s="5"/>
      <c r="G8" s="1"/>
    </row>
    <row r="9">
      <c r="A9" s="1"/>
      <c r="B9" s="2" t="str">
        <f>image("https://www.bungie.net/common/destiny2_content/icons/f87eddefbcbc59f22ba3cb8c4af7c824.jpg", 4, 65, 65)</f>
        <v/>
      </c>
      <c r="C9" s="10" t="s">
        <v>8</v>
      </c>
      <c r="D9" s="11"/>
      <c r="E9" s="12"/>
      <c r="F9" s="2" t="str">
        <f>image("https://www.bungie.net/common/destiny2_content/icons/73819c52be4d6d983470c16141d4ea59.jpg", 4, 65, 65)</f>
        <v/>
      </c>
      <c r="G9" s="1"/>
    </row>
    <row r="10" ht="26.25" customHeight="1">
      <c r="A10" s="1"/>
      <c r="B10" s="5"/>
      <c r="C10" s="9" t="s">
        <v>9</v>
      </c>
      <c r="F10" s="5"/>
      <c r="G10" s="1"/>
    </row>
    <row r="11">
      <c r="A11" s="1"/>
      <c r="B11" s="2"/>
      <c r="C11" s="13" t="s">
        <v>10</v>
      </c>
      <c r="D11" s="11"/>
      <c r="E11" s="12"/>
      <c r="F11" s="2"/>
      <c r="G11" s="1"/>
    </row>
    <row r="12" ht="26.25" customHeight="1">
      <c r="A12" s="1"/>
      <c r="B12" s="5"/>
      <c r="C12" s="9" t="s">
        <v>11</v>
      </c>
      <c r="F12" s="5"/>
      <c r="G12" s="1"/>
    </row>
    <row r="13">
      <c r="A13" s="1"/>
      <c r="B13" s="2" t="str">
        <f>image("https://www.bungie.net/common/destiny2_content/icons/ef22dad66075d196eb70d63b553bbc37.jpg",
4, 65, 65)</f>
        <v/>
      </c>
      <c r="C13" s="13" t="s">
        <v>12</v>
      </c>
      <c r="D13" s="11"/>
      <c r="E13" s="12"/>
      <c r="F13" s="2" t="str">
        <f>image("https://www.bungie.net/common/destiny2_content/icons/d0757ce420245c12bd9e57d2e7a1f3bc.jpg", 4, 65, 65)</f>
        <v/>
      </c>
      <c r="G13" s="1"/>
    </row>
    <row r="14" ht="26.25" customHeight="1">
      <c r="A14" s="1"/>
      <c r="B14" s="5"/>
      <c r="C14" s="9" t="s">
        <v>13</v>
      </c>
      <c r="F14" s="5"/>
      <c r="G14" s="1"/>
    </row>
    <row r="15">
      <c r="A15" s="14"/>
      <c r="B15" s="5" t="str">
        <f>image("https://www.bungie.net/common/destiny2_content/icons/0f4ca23c2d932ed784c7710a5b1c37d7.jpg", 4, 65, 65)</f>
        <v/>
      </c>
      <c r="C15" s="15" t="s">
        <v>14</v>
      </c>
      <c r="D15" s="16"/>
      <c r="E15" s="17"/>
      <c r="F15" s="5" t="str">
        <f>image("https://www.bungie.net/common/destiny2_content/icons/e55041686045a487bc46bc3f4cf0fe0f.jpg", 4, 65, 65)</f>
        <v/>
      </c>
      <c r="G15" s="1"/>
    </row>
    <row r="16" ht="26.25" customHeight="1">
      <c r="A16" s="14"/>
      <c r="B16" s="5" t="str">
        <f>image("https://www.bungie.net/common/destiny2_content/icons/2e3161404a48ca6f7326d4010f79bc13.jpg", 4, 65, 65)</f>
        <v/>
      </c>
      <c r="C16" s="18"/>
      <c r="F16" s="19" t="str">
        <f>image("https://www.bungie.net/common/destiny2_content/icons/940fbc426dcd7048d31160c92d5d5708.jpg", 4, 65, 65)</f>
        <v/>
      </c>
      <c r="G16" s="1"/>
    </row>
    <row r="17">
      <c r="A17" s="20"/>
      <c r="C17" s="21" t="s">
        <v>15</v>
      </c>
      <c r="D17" s="22"/>
      <c r="E17" s="23"/>
      <c r="G17" s="1"/>
    </row>
    <row r="18">
      <c r="A18" s="20"/>
      <c r="C18" s="24" t="s">
        <v>16</v>
      </c>
      <c r="D18" s="22"/>
      <c r="E18" s="23"/>
      <c r="G18" s="1"/>
    </row>
    <row r="19" ht="26.25" customHeight="1">
      <c r="A19" s="25"/>
      <c r="C19" s="18"/>
      <c r="D19" s="18"/>
      <c r="E19" s="18"/>
      <c r="G19" s="26"/>
    </row>
    <row r="20" ht="26.25" customHeight="1">
      <c r="A20" s="25"/>
      <c r="B20" s="5"/>
      <c r="C20" s="9" t="s">
        <v>17</v>
      </c>
      <c r="F20" s="19"/>
      <c r="G20" s="26"/>
    </row>
    <row r="21">
      <c r="A21" s="27"/>
      <c r="B21" s="5" t="str">
        <f>image("https://www.bungie.net/common/destiny2_content/icons/96fa99298a501e77a4f51337d3c12867.jpg", 4, 65, 65)</f>
        <v/>
      </c>
      <c r="C21" s="28" t="s">
        <v>18</v>
      </c>
      <c r="D21" s="29"/>
      <c r="E21" s="30"/>
      <c r="F21" s="19" t="str">
        <f>image("https://www.bungie.net/common/destiny2_content/icons/41b410dbf888f3256867c011a4e955e5.jpg", 4, 65, 65)</f>
        <v/>
      </c>
      <c r="G21" s="1"/>
    </row>
    <row r="22">
      <c r="A22" s="25"/>
      <c r="B22" s="5"/>
      <c r="C22" s="9"/>
      <c r="D22" s="9"/>
      <c r="E22" s="9"/>
      <c r="F22" s="5"/>
      <c r="G22" s="26"/>
    </row>
    <row r="23" hidden="1">
      <c r="A23" s="31"/>
      <c r="B23" s="32"/>
      <c r="C23" s="33"/>
      <c r="D23" s="33"/>
      <c r="E23" s="33"/>
      <c r="F23" s="32"/>
      <c r="G23" s="1"/>
    </row>
    <row r="24" hidden="1">
      <c r="A24" s="26"/>
      <c r="B24" s="34"/>
      <c r="F24" s="34"/>
      <c r="G24" s="26"/>
    </row>
    <row r="25" hidden="1">
      <c r="A25" s="26"/>
      <c r="B25" s="34"/>
      <c r="F25" s="34"/>
      <c r="G25" s="26"/>
    </row>
    <row r="26" hidden="1">
      <c r="A26" s="26"/>
      <c r="B26" s="34"/>
      <c r="F26" s="34"/>
      <c r="G26" s="26"/>
    </row>
    <row r="27" hidden="1">
      <c r="A27" s="26"/>
      <c r="B27" s="34"/>
      <c r="F27" s="34"/>
      <c r="G27" s="26"/>
    </row>
    <row r="28" hidden="1">
      <c r="A28" s="26"/>
      <c r="B28" s="34"/>
      <c r="F28" s="34"/>
      <c r="G28" s="26"/>
    </row>
    <row r="29" hidden="1">
      <c r="A29" s="26"/>
      <c r="B29" s="34"/>
      <c r="F29" s="34"/>
      <c r="G29" s="26"/>
    </row>
    <row r="30" hidden="1">
      <c r="A30" s="26"/>
      <c r="B30" s="34"/>
      <c r="F30" s="34"/>
      <c r="G30" s="26"/>
    </row>
    <row r="31" hidden="1">
      <c r="A31" s="26"/>
      <c r="B31" s="34"/>
      <c r="F31" s="34"/>
      <c r="G31" s="26"/>
    </row>
    <row r="32" hidden="1">
      <c r="A32" s="26"/>
      <c r="B32" s="34"/>
      <c r="F32" s="34"/>
      <c r="G32" s="26"/>
    </row>
    <row r="33" hidden="1">
      <c r="A33" s="26"/>
      <c r="B33" s="34"/>
      <c r="F33" s="34"/>
      <c r="G33" s="26"/>
    </row>
    <row r="34" hidden="1">
      <c r="A34" s="26"/>
      <c r="B34" s="34"/>
      <c r="F34" s="34"/>
      <c r="G34" s="26"/>
    </row>
    <row r="35" hidden="1">
      <c r="A35" s="26"/>
      <c r="B35" s="34"/>
      <c r="F35" s="34"/>
      <c r="G35" s="26"/>
    </row>
    <row r="36" hidden="1">
      <c r="A36" s="26"/>
      <c r="B36" s="34"/>
      <c r="F36" s="34"/>
      <c r="G36" s="26"/>
    </row>
    <row r="37" hidden="1">
      <c r="A37" s="26"/>
      <c r="B37" s="34"/>
      <c r="F37" s="34"/>
      <c r="G37" s="26"/>
    </row>
    <row r="38" hidden="1">
      <c r="A38" s="26"/>
      <c r="B38" s="34"/>
      <c r="F38" s="34"/>
      <c r="G38" s="26"/>
    </row>
    <row r="39" hidden="1">
      <c r="A39" s="26"/>
      <c r="B39" s="34"/>
      <c r="F39" s="34"/>
      <c r="G39" s="26"/>
    </row>
    <row r="40" hidden="1">
      <c r="A40" s="26"/>
      <c r="B40" s="34"/>
      <c r="F40" s="34"/>
      <c r="G40" s="26"/>
    </row>
    <row r="41" hidden="1">
      <c r="A41" s="26"/>
      <c r="B41" s="34"/>
      <c r="F41" s="34"/>
      <c r="G41" s="26"/>
    </row>
    <row r="42" hidden="1">
      <c r="A42" s="26"/>
      <c r="B42" s="34"/>
      <c r="F42" s="34"/>
      <c r="G42" s="26"/>
    </row>
    <row r="43" hidden="1">
      <c r="A43" s="26"/>
      <c r="B43" s="34"/>
      <c r="F43" s="34"/>
      <c r="G43" s="26"/>
    </row>
    <row r="44" hidden="1">
      <c r="A44" s="26"/>
      <c r="B44" s="34"/>
      <c r="F44" s="34"/>
      <c r="G44" s="26"/>
    </row>
    <row r="45" hidden="1">
      <c r="A45" s="26"/>
      <c r="B45" s="34"/>
      <c r="F45" s="34"/>
      <c r="G45" s="26"/>
    </row>
    <row r="46" hidden="1">
      <c r="A46" s="26"/>
      <c r="B46" s="34"/>
      <c r="F46" s="34"/>
      <c r="G46" s="26"/>
    </row>
    <row r="47" hidden="1">
      <c r="A47" s="26"/>
      <c r="B47" s="34"/>
      <c r="F47" s="34"/>
      <c r="G47" s="26"/>
    </row>
    <row r="48" hidden="1">
      <c r="A48" s="26"/>
      <c r="B48" s="34"/>
      <c r="F48" s="34"/>
      <c r="G48" s="26"/>
    </row>
    <row r="49" hidden="1">
      <c r="A49" s="26"/>
      <c r="B49" s="34"/>
      <c r="F49" s="34"/>
      <c r="G49" s="26"/>
    </row>
    <row r="50" hidden="1">
      <c r="A50" s="26"/>
      <c r="B50" s="34"/>
      <c r="F50" s="34"/>
      <c r="G50" s="26"/>
    </row>
    <row r="51" hidden="1">
      <c r="A51" s="26"/>
      <c r="B51" s="34"/>
      <c r="F51" s="34"/>
      <c r="G51" s="26"/>
    </row>
    <row r="52" hidden="1">
      <c r="A52" s="26"/>
      <c r="B52" s="34"/>
      <c r="F52" s="34"/>
      <c r="G52" s="26"/>
    </row>
    <row r="53" hidden="1">
      <c r="A53" s="26"/>
      <c r="B53" s="34"/>
      <c r="F53" s="34"/>
      <c r="G53" s="26"/>
    </row>
    <row r="54" hidden="1">
      <c r="A54" s="26"/>
      <c r="B54" s="34"/>
      <c r="F54" s="34"/>
      <c r="G54" s="26"/>
    </row>
    <row r="55" hidden="1">
      <c r="A55" s="26"/>
      <c r="B55" s="34"/>
      <c r="F55" s="34"/>
      <c r="G55" s="26"/>
    </row>
    <row r="56" hidden="1">
      <c r="A56" s="26"/>
      <c r="B56" s="34"/>
      <c r="F56" s="34"/>
      <c r="G56" s="26"/>
    </row>
    <row r="57" hidden="1">
      <c r="A57" s="26"/>
      <c r="B57" s="34"/>
      <c r="F57" s="34"/>
      <c r="G57" s="26"/>
    </row>
    <row r="58" hidden="1">
      <c r="A58" s="26"/>
      <c r="B58" s="34"/>
      <c r="F58" s="34"/>
      <c r="G58" s="26"/>
    </row>
    <row r="59" hidden="1">
      <c r="A59" s="26"/>
      <c r="B59" s="34"/>
      <c r="F59" s="34"/>
      <c r="G59" s="26"/>
    </row>
    <row r="60" hidden="1">
      <c r="A60" s="26"/>
      <c r="B60" s="34"/>
      <c r="F60" s="34"/>
      <c r="G60" s="26"/>
    </row>
    <row r="61" hidden="1">
      <c r="A61" s="26"/>
      <c r="B61" s="34"/>
      <c r="F61" s="34"/>
      <c r="G61" s="26"/>
    </row>
    <row r="62" hidden="1">
      <c r="A62" s="26"/>
      <c r="B62" s="34"/>
      <c r="F62" s="34"/>
      <c r="G62" s="26"/>
    </row>
    <row r="63" hidden="1">
      <c r="A63" s="26"/>
      <c r="B63" s="34"/>
      <c r="F63" s="34"/>
      <c r="G63" s="26"/>
    </row>
    <row r="64" hidden="1">
      <c r="A64" s="26"/>
      <c r="B64" s="34"/>
      <c r="F64" s="34"/>
      <c r="G64" s="26"/>
    </row>
    <row r="65" hidden="1">
      <c r="A65" s="26"/>
      <c r="B65" s="34"/>
      <c r="F65" s="34"/>
      <c r="G65" s="26"/>
    </row>
    <row r="66" hidden="1">
      <c r="A66" s="26"/>
      <c r="B66" s="34"/>
      <c r="F66" s="34"/>
      <c r="G66" s="26"/>
    </row>
    <row r="67" hidden="1">
      <c r="A67" s="26"/>
      <c r="B67" s="34"/>
      <c r="F67" s="34"/>
      <c r="G67" s="26"/>
    </row>
    <row r="68" hidden="1">
      <c r="A68" s="26"/>
      <c r="B68" s="34"/>
      <c r="F68" s="34"/>
      <c r="G68" s="26"/>
    </row>
    <row r="69" hidden="1">
      <c r="A69" s="26"/>
      <c r="B69" s="34"/>
      <c r="F69" s="34"/>
      <c r="G69" s="26"/>
    </row>
    <row r="70" hidden="1">
      <c r="A70" s="26"/>
      <c r="B70" s="34"/>
      <c r="F70" s="34"/>
      <c r="G70" s="26"/>
    </row>
    <row r="71" hidden="1">
      <c r="A71" s="26"/>
      <c r="B71" s="34"/>
      <c r="F71" s="34"/>
      <c r="G71" s="26"/>
    </row>
    <row r="72" hidden="1">
      <c r="A72" s="26"/>
      <c r="B72" s="34"/>
      <c r="F72" s="34"/>
      <c r="G72" s="26"/>
    </row>
    <row r="73" hidden="1">
      <c r="A73" s="26"/>
      <c r="B73" s="34"/>
      <c r="F73" s="34"/>
      <c r="G73" s="26"/>
    </row>
    <row r="74" hidden="1">
      <c r="A74" s="26"/>
      <c r="B74" s="34"/>
      <c r="F74" s="34"/>
      <c r="G74" s="26"/>
    </row>
    <row r="75" hidden="1">
      <c r="A75" s="26"/>
      <c r="B75" s="34"/>
      <c r="F75" s="34"/>
      <c r="G75" s="26"/>
    </row>
    <row r="76" hidden="1">
      <c r="A76" s="26"/>
      <c r="B76" s="34"/>
      <c r="F76" s="34"/>
      <c r="G76" s="26"/>
    </row>
    <row r="77" hidden="1">
      <c r="A77" s="26"/>
      <c r="B77" s="34"/>
      <c r="F77" s="34"/>
      <c r="G77" s="26"/>
    </row>
    <row r="78" hidden="1">
      <c r="A78" s="26"/>
      <c r="B78" s="34"/>
      <c r="F78" s="34"/>
      <c r="G78" s="26"/>
    </row>
    <row r="79" hidden="1">
      <c r="A79" s="26"/>
      <c r="B79" s="34"/>
      <c r="F79" s="34"/>
      <c r="G79" s="26"/>
    </row>
    <row r="80" hidden="1">
      <c r="A80" s="26"/>
      <c r="B80" s="34"/>
      <c r="F80" s="34"/>
      <c r="G80" s="26"/>
    </row>
    <row r="81" hidden="1">
      <c r="A81" s="26"/>
      <c r="B81" s="34"/>
      <c r="F81" s="34"/>
      <c r="G81" s="26"/>
    </row>
    <row r="82" hidden="1">
      <c r="A82" s="26"/>
      <c r="B82" s="34"/>
      <c r="F82" s="34"/>
      <c r="G82" s="26"/>
    </row>
    <row r="83" hidden="1">
      <c r="A83" s="26"/>
      <c r="B83" s="34"/>
      <c r="F83" s="34"/>
      <c r="G83" s="26"/>
    </row>
    <row r="84" hidden="1">
      <c r="A84" s="26"/>
      <c r="B84" s="34"/>
      <c r="F84" s="34"/>
      <c r="G84" s="26"/>
    </row>
    <row r="85" hidden="1">
      <c r="A85" s="26"/>
      <c r="B85" s="34"/>
      <c r="F85" s="34"/>
      <c r="G85" s="26"/>
    </row>
    <row r="86" hidden="1">
      <c r="A86" s="26"/>
      <c r="B86" s="34"/>
      <c r="F86" s="34"/>
      <c r="G86" s="26"/>
    </row>
    <row r="87" hidden="1">
      <c r="A87" s="26"/>
      <c r="B87" s="34"/>
      <c r="F87" s="34"/>
      <c r="G87" s="26"/>
    </row>
    <row r="88" hidden="1">
      <c r="A88" s="26"/>
      <c r="B88" s="34"/>
      <c r="F88" s="34"/>
      <c r="G88" s="26"/>
    </row>
    <row r="89" hidden="1">
      <c r="A89" s="26"/>
      <c r="B89" s="34"/>
      <c r="F89" s="34"/>
      <c r="G89" s="26"/>
    </row>
    <row r="90" hidden="1">
      <c r="A90" s="26"/>
      <c r="B90" s="34"/>
      <c r="F90" s="34"/>
      <c r="G90" s="26"/>
    </row>
    <row r="91" hidden="1">
      <c r="A91" s="26"/>
      <c r="B91" s="34"/>
      <c r="F91" s="34"/>
      <c r="G91" s="26"/>
    </row>
    <row r="92" hidden="1">
      <c r="A92" s="26"/>
      <c r="B92" s="34"/>
      <c r="F92" s="34"/>
      <c r="G92" s="26"/>
    </row>
    <row r="93" hidden="1">
      <c r="A93" s="26"/>
      <c r="B93" s="34"/>
      <c r="F93" s="34"/>
      <c r="G93" s="26"/>
    </row>
    <row r="94" hidden="1">
      <c r="A94" s="26"/>
      <c r="B94" s="34"/>
      <c r="F94" s="34"/>
      <c r="G94" s="26"/>
    </row>
    <row r="95" hidden="1">
      <c r="A95" s="26"/>
      <c r="B95" s="34"/>
      <c r="F95" s="34"/>
      <c r="G95" s="26"/>
    </row>
    <row r="96" hidden="1">
      <c r="A96" s="26"/>
      <c r="B96" s="34"/>
      <c r="F96" s="34"/>
      <c r="G96" s="26"/>
    </row>
    <row r="97" hidden="1">
      <c r="A97" s="26"/>
      <c r="B97" s="34"/>
      <c r="F97" s="34"/>
      <c r="G97" s="26"/>
    </row>
    <row r="98" hidden="1">
      <c r="A98" s="26"/>
      <c r="B98" s="34"/>
      <c r="F98" s="34"/>
      <c r="G98" s="26"/>
    </row>
    <row r="99" hidden="1">
      <c r="A99" s="26"/>
      <c r="B99" s="34"/>
      <c r="F99" s="34"/>
      <c r="G99" s="26"/>
    </row>
    <row r="100" hidden="1">
      <c r="A100" s="26"/>
      <c r="B100" s="34"/>
      <c r="F100" s="34"/>
      <c r="G100" s="26"/>
    </row>
    <row r="101" hidden="1">
      <c r="A101" s="26"/>
      <c r="B101" s="34"/>
      <c r="F101" s="34"/>
      <c r="G101" s="26"/>
    </row>
    <row r="102" hidden="1">
      <c r="A102" s="26"/>
      <c r="B102" s="34"/>
      <c r="F102" s="34"/>
      <c r="G102" s="26"/>
    </row>
    <row r="103" hidden="1">
      <c r="A103" s="26"/>
      <c r="B103" s="34"/>
      <c r="F103" s="34"/>
      <c r="G103" s="26"/>
    </row>
    <row r="104" hidden="1">
      <c r="A104" s="26"/>
      <c r="B104" s="34"/>
      <c r="F104" s="34"/>
      <c r="G104" s="26"/>
    </row>
    <row r="105" hidden="1">
      <c r="A105" s="26"/>
      <c r="B105" s="34"/>
      <c r="F105" s="34"/>
      <c r="G105" s="26"/>
    </row>
    <row r="106" hidden="1">
      <c r="A106" s="26"/>
      <c r="B106" s="34"/>
      <c r="F106" s="34"/>
      <c r="G106" s="26"/>
    </row>
    <row r="107" hidden="1">
      <c r="A107" s="26"/>
      <c r="B107" s="34"/>
      <c r="F107" s="34"/>
      <c r="G107" s="26"/>
    </row>
    <row r="108" hidden="1">
      <c r="A108" s="26"/>
      <c r="B108" s="34"/>
      <c r="F108" s="34"/>
      <c r="G108" s="26"/>
    </row>
    <row r="109" hidden="1">
      <c r="A109" s="26"/>
      <c r="B109" s="34"/>
      <c r="F109" s="34"/>
      <c r="G109" s="26"/>
    </row>
    <row r="110" hidden="1">
      <c r="A110" s="26"/>
      <c r="B110" s="34"/>
      <c r="F110" s="34"/>
      <c r="G110" s="26"/>
    </row>
    <row r="111" hidden="1">
      <c r="A111" s="26"/>
      <c r="B111" s="34"/>
      <c r="F111" s="34"/>
      <c r="G111" s="26"/>
    </row>
    <row r="112" hidden="1">
      <c r="A112" s="26"/>
      <c r="B112" s="34"/>
      <c r="F112" s="34"/>
      <c r="G112" s="26"/>
    </row>
    <row r="113" hidden="1">
      <c r="A113" s="26"/>
      <c r="B113" s="34"/>
      <c r="F113" s="34"/>
      <c r="G113" s="26"/>
    </row>
    <row r="114" hidden="1">
      <c r="A114" s="26"/>
      <c r="B114" s="34"/>
      <c r="F114" s="34"/>
      <c r="G114" s="26"/>
    </row>
    <row r="115" hidden="1">
      <c r="A115" s="26"/>
      <c r="B115" s="34"/>
      <c r="F115" s="34"/>
      <c r="G115" s="26"/>
    </row>
    <row r="116" hidden="1">
      <c r="A116" s="26"/>
      <c r="B116" s="34"/>
      <c r="F116" s="34"/>
      <c r="G116" s="26"/>
    </row>
    <row r="117" hidden="1">
      <c r="A117" s="26"/>
      <c r="B117" s="34"/>
      <c r="F117" s="34"/>
      <c r="G117" s="26"/>
    </row>
    <row r="118" hidden="1">
      <c r="A118" s="26"/>
      <c r="B118" s="34"/>
      <c r="F118" s="34"/>
      <c r="G118" s="26"/>
    </row>
    <row r="119" hidden="1">
      <c r="A119" s="26"/>
      <c r="B119" s="34"/>
      <c r="F119" s="34"/>
      <c r="G119" s="26"/>
    </row>
    <row r="120" hidden="1">
      <c r="A120" s="26"/>
      <c r="B120" s="34"/>
      <c r="F120" s="34"/>
      <c r="G120" s="26"/>
    </row>
    <row r="121" hidden="1">
      <c r="A121" s="26"/>
      <c r="B121" s="34"/>
      <c r="F121" s="34"/>
      <c r="G121" s="26"/>
    </row>
    <row r="122" hidden="1">
      <c r="A122" s="26"/>
      <c r="B122" s="34"/>
      <c r="F122" s="34"/>
      <c r="G122" s="26"/>
    </row>
    <row r="123" hidden="1">
      <c r="A123" s="26"/>
      <c r="B123" s="34"/>
      <c r="F123" s="34"/>
      <c r="G123" s="26"/>
    </row>
    <row r="124" hidden="1">
      <c r="A124" s="26"/>
      <c r="B124" s="34"/>
      <c r="F124" s="34"/>
      <c r="G124" s="26"/>
    </row>
    <row r="125" hidden="1">
      <c r="A125" s="26"/>
      <c r="B125" s="34"/>
      <c r="F125" s="34"/>
      <c r="G125" s="26"/>
    </row>
    <row r="126" hidden="1">
      <c r="A126" s="26"/>
      <c r="B126" s="34"/>
      <c r="F126" s="34"/>
      <c r="G126" s="26"/>
    </row>
    <row r="127" hidden="1">
      <c r="A127" s="26"/>
      <c r="B127" s="34"/>
      <c r="F127" s="34"/>
      <c r="G127" s="26"/>
    </row>
    <row r="128" hidden="1">
      <c r="A128" s="26"/>
      <c r="B128" s="34"/>
      <c r="F128" s="34"/>
      <c r="G128" s="26"/>
    </row>
    <row r="129" hidden="1">
      <c r="A129" s="26"/>
      <c r="B129" s="34"/>
      <c r="F129" s="34"/>
      <c r="G129" s="26"/>
    </row>
    <row r="130" hidden="1">
      <c r="A130" s="26"/>
      <c r="B130" s="34"/>
      <c r="F130" s="34"/>
      <c r="G130" s="26"/>
    </row>
    <row r="131" hidden="1">
      <c r="A131" s="26"/>
      <c r="B131" s="34"/>
      <c r="F131" s="34"/>
      <c r="G131" s="26"/>
    </row>
    <row r="132" hidden="1">
      <c r="A132" s="26"/>
      <c r="B132" s="34"/>
      <c r="F132" s="34"/>
      <c r="G132" s="26"/>
    </row>
    <row r="133" hidden="1">
      <c r="A133" s="26"/>
      <c r="B133" s="34"/>
      <c r="F133" s="34"/>
      <c r="G133" s="26"/>
    </row>
    <row r="134" hidden="1">
      <c r="A134" s="26"/>
      <c r="B134" s="34"/>
      <c r="F134" s="34"/>
      <c r="G134" s="26"/>
    </row>
    <row r="135" hidden="1">
      <c r="A135" s="26"/>
      <c r="B135" s="34"/>
      <c r="F135" s="34"/>
      <c r="G135" s="26"/>
    </row>
    <row r="136" hidden="1">
      <c r="A136" s="26"/>
      <c r="B136" s="34"/>
      <c r="F136" s="34"/>
      <c r="G136" s="26"/>
    </row>
    <row r="137" hidden="1">
      <c r="A137" s="26"/>
      <c r="B137" s="34"/>
      <c r="F137" s="34"/>
      <c r="G137" s="26"/>
    </row>
    <row r="138" hidden="1">
      <c r="A138" s="26"/>
      <c r="B138" s="34"/>
      <c r="F138" s="34"/>
      <c r="G138" s="26"/>
    </row>
    <row r="139" hidden="1">
      <c r="A139" s="26"/>
      <c r="B139" s="34"/>
      <c r="F139" s="34"/>
      <c r="G139" s="26"/>
    </row>
    <row r="140" hidden="1">
      <c r="A140" s="26"/>
      <c r="B140" s="34"/>
      <c r="F140" s="34"/>
      <c r="G140" s="26"/>
    </row>
    <row r="141" hidden="1">
      <c r="A141" s="26"/>
      <c r="B141" s="34"/>
      <c r="F141" s="34"/>
      <c r="G141" s="26"/>
    </row>
    <row r="142" hidden="1">
      <c r="A142" s="26"/>
      <c r="B142" s="34"/>
      <c r="F142" s="34"/>
      <c r="G142" s="26"/>
    </row>
    <row r="143" hidden="1">
      <c r="A143" s="26"/>
      <c r="B143" s="34"/>
      <c r="F143" s="34"/>
      <c r="G143" s="26"/>
    </row>
    <row r="144" hidden="1">
      <c r="A144" s="26"/>
      <c r="B144" s="34"/>
      <c r="F144" s="34"/>
      <c r="G144" s="26"/>
    </row>
    <row r="145" hidden="1">
      <c r="A145" s="26"/>
      <c r="B145" s="34"/>
      <c r="F145" s="34"/>
      <c r="G145" s="26"/>
    </row>
    <row r="146" hidden="1">
      <c r="A146" s="26"/>
      <c r="B146" s="34"/>
      <c r="F146" s="34"/>
      <c r="G146" s="26"/>
    </row>
    <row r="147" hidden="1">
      <c r="A147" s="26"/>
      <c r="B147" s="34"/>
      <c r="F147" s="34"/>
      <c r="G147" s="26"/>
    </row>
    <row r="148" hidden="1">
      <c r="A148" s="26"/>
      <c r="B148" s="34"/>
      <c r="F148" s="34"/>
      <c r="G148" s="26"/>
    </row>
    <row r="149" hidden="1">
      <c r="A149" s="26"/>
      <c r="B149" s="34"/>
      <c r="F149" s="34"/>
      <c r="G149" s="26"/>
    </row>
    <row r="150" hidden="1">
      <c r="A150" s="26"/>
      <c r="B150" s="34"/>
      <c r="F150" s="34"/>
      <c r="G150" s="26"/>
    </row>
    <row r="151" hidden="1">
      <c r="A151" s="26"/>
      <c r="B151" s="34"/>
      <c r="F151" s="34"/>
      <c r="G151" s="26"/>
    </row>
    <row r="152" hidden="1">
      <c r="A152" s="26"/>
      <c r="B152" s="34"/>
      <c r="F152" s="34"/>
      <c r="G152" s="26"/>
    </row>
    <row r="153" hidden="1">
      <c r="A153" s="26"/>
      <c r="B153" s="34"/>
      <c r="F153" s="34"/>
      <c r="G153" s="26"/>
    </row>
    <row r="154" hidden="1">
      <c r="A154" s="26"/>
      <c r="B154" s="34"/>
      <c r="F154" s="34"/>
      <c r="G154" s="26"/>
    </row>
    <row r="155" hidden="1">
      <c r="A155" s="26"/>
      <c r="B155" s="34"/>
      <c r="F155" s="34"/>
      <c r="G155" s="26"/>
    </row>
    <row r="156" hidden="1">
      <c r="A156" s="26"/>
      <c r="B156" s="34"/>
      <c r="F156" s="34"/>
      <c r="G156" s="26"/>
    </row>
    <row r="157" hidden="1">
      <c r="A157" s="26"/>
      <c r="B157" s="34"/>
      <c r="F157" s="34"/>
      <c r="G157" s="26"/>
    </row>
    <row r="158" hidden="1">
      <c r="A158" s="26"/>
      <c r="B158" s="34"/>
      <c r="F158" s="34"/>
      <c r="G158" s="26"/>
    </row>
    <row r="159" hidden="1">
      <c r="A159" s="26"/>
      <c r="B159" s="34"/>
      <c r="F159" s="34"/>
      <c r="G159" s="26"/>
    </row>
    <row r="160" hidden="1">
      <c r="A160" s="26"/>
      <c r="B160" s="34"/>
      <c r="F160" s="34"/>
      <c r="G160" s="26"/>
    </row>
    <row r="161" hidden="1">
      <c r="A161" s="26"/>
      <c r="B161" s="34"/>
      <c r="F161" s="34"/>
      <c r="G161" s="26"/>
    </row>
    <row r="162" hidden="1">
      <c r="A162" s="26"/>
      <c r="B162" s="34"/>
      <c r="F162" s="34"/>
      <c r="G162" s="26"/>
    </row>
    <row r="163" hidden="1">
      <c r="A163" s="26"/>
      <c r="B163" s="34"/>
      <c r="F163" s="34"/>
      <c r="G163" s="26"/>
    </row>
    <row r="164" hidden="1">
      <c r="A164" s="26"/>
      <c r="B164" s="34"/>
      <c r="F164" s="34"/>
      <c r="G164" s="26"/>
    </row>
    <row r="165" hidden="1">
      <c r="A165" s="26"/>
      <c r="B165" s="34"/>
      <c r="F165" s="34"/>
      <c r="G165" s="26"/>
    </row>
    <row r="166" hidden="1">
      <c r="A166" s="26"/>
      <c r="B166" s="34"/>
      <c r="F166" s="34"/>
      <c r="G166" s="26"/>
    </row>
    <row r="167" hidden="1">
      <c r="A167" s="26"/>
      <c r="B167" s="34"/>
      <c r="F167" s="34"/>
      <c r="G167" s="26"/>
    </row>
    <row r="168" hidden="1">
      <c r="A168" s="26"/>
      <c r="B168" s="34"/>
      <c r="F168" s="34"/>
      <c r="G168" s="26"/>
    </row>
    <row r="169" hidden="1">
      <c r="A169" s="26"/>
      <c r="B169" s="34"/>
      <c r="F169" s="34"/>
      <c r="G169" s="26"/>
    </row>
    <row r="170" hidden="1">
      <c r="A170" s="26"/>
      <c r="B170" s="34"/>
      <c r="F170" s="34"/>
      <c r="G170" s="26"/>
    </row>
    <row r="171" hidden="1">
      <c r="A171" s="26"/>
      <c r="B171" s="34"/>
      <c r="F171" s="34"/>
      <c r="G171" s="26"/>
    </row>
    <row r="172" hidden="1">
      <c r="A172" s="26"/>
      <c r="B172" s="34"/>
      <c r="F172" s="34"/>
      <c r="G172" s="26"/>
    </row>
    <row r="173" hidden="1">
      <c r="A173" s="26"/>
      <c r="B173" s="34"/>
      <c r="F173" s="34"/>
      <c r="G173" s="26"/>
    </row>
    <row r="174" hidden="1">
      <c r="A174" s="26"/>
      <c r="B174" s="34"/>
      <c r="F174" s="34"/>
      <c r="G174" s="26"/>
    </row>
    <row r="175" hidden="1">
      <c r="A175" s="26"/>
      <c r="B175" s="34"/>
      <c r="F175" s="34"/>
      <c r="G175" s="26"/>
    </row>
    <row r="176" hidden="1">
      <c r="A176" s="26"/>
      <c r="B176" s="34"/>
      <c r="F176" s="34"/>
      <c r="G176" s="26"/>
    </row>
    <row r="177" hidden="1">
      <c r="A177" s="26"/>
      <c r="B177" s="34"/>
      <c r="F177" s="34"/>
      <c r="G177" s="26"/>
    </row>
    <row r="178" hidden="1">
      <c r="A178" s="26"/>
      <c r="B178" s="34"/>
      <c r="F178" s="34"/>
      <c r="G178" s="26"/>
    </row>
    <row r="179" hidden="1">
      <c r="A179" s="26"/>
      <c r="B179" s="34"/>
      <c r="F179" s="34"/>
      <c r="G179" s="26"/>
    </row>
    <row r="180" hidden="1">
      <c r="A180" s="26"/>
      <c r="B180" s="34"/>
      <c r="F180" s="34"/>
      <c r="G180" s="26"/>
    </row>
    <row r="181" hidden="1">
      <c r="A181" s="26"/>
      <c r="B181" s="34"/>
      <c r="F181" s="34"/>
      <c r="G181" s="26"/>
    </row>
    <row r="182" hidden="1">
      <c r="A182" s="26"/>
      <c r="B182" s="34"/>
      <c r="F182" s="34"/>
      <c r="G182" s="26"/>
    </row>
    <row r="183" hidden="1">
      <c r="A183" s="26"/>
      <c r="B183" s="34"/>
      <c r="F183" s="34"/>
      <c r="G183" s="26"/>
    </row>
    <row r="184" hidden="1">
      <c r="A184" s="26"/>
      <c r="B184" s="34"/>
      <c r="F184" s="34"/>
      <c r="G184" s="26"/>
    </row>
    <row r="185" hidden="1">
      <c r="A185" s="26"/>
      <c r="B185" s="34"/>
      <c r="F185" s="34"/>
      <c r="G185" s="26"/>
    </row>
    <row r="186" hidden="1">
      <c r="A186" s="26"/>
      <c r="B186" s="34"/>
      <c r="F186" s="34"/>
      <c r="G186" s="26"/>
    </row>
    <row r="187" hidden="1">
      <c r="A187" s="26"/>
      <c r="B187" s="34"/>
      <c r="F187" s="34"/>
      <c r="G187" s="26"/>
    </row>
    <row r="188" hidden="1">
      <c r="A188" s="26"/>
      <c r="B188" s="34"/>
      <c r="F188" s="34"/>
      <c r="G188" s="26"/>
    </row>
    <row r="189" hidden="1">
      <c r="A189" s="26"/>
      <c r="B189" s="34"/>
      <c r="F189" s="34"/>
      <c r="G189" s="26"/>
    </row>
    <row r="190" hidden="1">
      <c r="A190" s="26"/>
      <c r="B190" s="34"/>
      <c r="F190" s="34"/>
      <c r="G190" s="26"/>
    </row>
    <row r="191" hidden="1">
      <c r="A191" s="26"/>
      <c r="B191" s="34"/>
      <c r="F191" s="34"/>
      <c r="G191" s="26"/>
    </row>
    <row r="192" hidden="1">
      <c r="A192" s="26"/>
      <c r="B192" s="34"/>
      <c r="F192" s="34"/>
      <c r="G192" s="26"/>
    </row>
    <row r="193" hidden="1">
      <c r="A193" s="26"/>
      <c r="B193" s="34"/>
      <c r="F193" s="34"/>
      <c r="G193" s="26"/>
    </row>
    <row r="194" hidden="1">
      <c r="A194" s="26"/>
      <c r="B194" s="34"/>
      <c r="F194" s="34"/>
      <c r="G194" s="26"/>
    </row>
    <row r="195" hidden="1">
      <c r="A195" s="26"/>
      <c r="B195" s="34"/>
      <c r="F195" s="34"/>
      <c r="G195" s="26"/>
    </row>
    <row r="196" hidden="1">
      <c r="A196" s="26"/>
      <c r="B196" s="34"/>
      <c r="F196" s="34"/>
      <c r="G196" s="26"/>
    </row>
    <row r="197" hidden="1">
      <c r="A197" s="26"/>
      <c r="B197" s="34"/>
      <c r="F197" s="34"/>
      <c r="G197" s="26"/>
    </row>
    <row r="198" hidden="1">
      <c r="A198" s="26"/>
      <c r="B198" s="34"/>
      <c r="F198" s="34"/>
      <c r="G198" s="26"/>
    </row>
    <row r="199" hidden="1">
      <c r="A199" s="26"/>
      <c r="B199" s="34"/>
      <c r="F199" s="34"/>
      <c r="G199" s="26"/>
    </row>
    <row r="200" hidden="1">
      <c r="A200" s="26"/>
      <c r="B200" s="34"/>
      <c r="F200" s="34"/>
      <c r="G200" s="26"/>
    </row>
    <row r="201" hidden="1">
      <c r="A201" s="26"/>
      <c r="B201" s="34"/>
      <c r="F201" s="34"/>
      <c r="G201" s="26"/>
    </row>
    <row r="202" hidden="1">
      <c r="A202" s="26"/>
      <c r="B202" s="34"/>
      <c r="F202" s="34"/>
      <c r="G202" s="26"/>
    </row>
    <row r="203" hidden="1">
      <c r="A203" s="26"/>
      <c r="B203" s="34"/>
      <c r="F203" s="34"/>
      <c r="G203" s="26"/>
    </row>
    <row r="204" hidden="1">
      <c r="A204" s="26"/>
      <c r="B204" s="34"/>
      <c r="F204" s="34"/>
      <c r="G204" s="26"/>
    </row>
    <row r="205" hidden="1">
      <c r="A205" s="26"/>
      <c r="B205" s="34"/>
      <c r="F205" s="34"/>
      <c r="G205" s="26"/>
    </row>
    <row r="206" hidden="1">
      <c r="A206" s="26"/>
      <c r="B206" s="34"/>
      <c r="F206" s="34"/>
      <c r="G206" s="26"/>
    </row>
    <row r="207" hidden="1">
      <c r="A207" s="26"/>
      <c r="B207" s="34"/>
      <c r="F207" s="34"/>
      <c r="G207" s="26"/>
    </row>
    <row r="208" hidden="1">
      <c r="A208" s="26"/>
      <c r="B208" s="34"/>
      <c r="F208" s="34"/>
      <c r="G208" s="26"/>
    </row>
    <row r="209" hidden="1">
      <c r="A209" s="26"/>
      <c r="B209" s="34"/>
      <c r="F209" s="34"/>
      <c r="G209" s="26"/>
    </row>
    <row r="210" hidden="1">
      <c r="A210" s="26"/>
      <c r="B210" s="34"/>
      <c r="F210" s="34"/>
      <c r="G210" s="26"/>
    </row>
    <row r="211" hidden="1">
      <c r="A211" s="26"/>
      <c r="B211" s="34"/>
      <c r="F211" s="34"/>
      <c r="G211" s="26"/>
    </row>
    <row r="212" hidden="1">
      <c r="A212" s="26"/>
      <c r="B212" s="34"/>
      <c r="F212" s="34"/>
      <c r="G212" s="26"/>
    </row>
    <row r="213" hidden="1">
      <c r="A213" s="26"/>
      <c r="B213" s="34"/>
      <c r="F213" s="34"/>
      <c r="G213" s="26"/>
    </row>
    <row r="214" hidden="1">
      <c r="A214" s="26"/>
      <c r="B214" s="34"/>
      <c r="F214" s="34"/>
      <c r="G214" s="26"/>
    </row>
    <row r="215" hidden="1">
      <c r="A215" s="26"/>
      <c r="B215" s="34"/>
      <c r="F215" s="34"/>
      <c r="G215" s="26"/>
    </row>
    <row r="216" hidden="1">
      <c r="A216" s="26"/>
      <c r="B216" s="34"/>
      <c r="F216" s="34"/>
      <c r="G216" s="26"/>
    </row>
    <row r="217" hidden="1">
      <c r="A217" s="26"/>
      <c r="B217" s="34"/>
      <c r="F217" s="34"/>
      <c r="G217" s="26"/>
    </row>
    <row r="218" hidden="1">
      <c r="A218" s="26"/>
      <c r="B218" s="34"/>
      <c r="F218" s="34"/>
      <c r="G218" s="26"/>
    </row>
    <row r="219" hidden="1">
      <c r="A219" s="26"/>
      <c r="B219" s="34"/>
      <c r="F219" s="34"/>
      <c r="G219" s="26"/>
    </row>
    <row r="220" hidden="1">
      <c r="A220" s="26"/>
      <c r="B220" s="34"/>
      <c r="F220" s="34"/>
      <c r="G220" s="26"/>
    </row>
    <row r="221" hidden="1">
      <c r="A221" s="26"/>
      <c r="B221" s="34"/>
      <c r="F221" s="34"/>
      <c r="G221" s="26"/>
    </row>
    <row r="222" hidden="1">
      <c r="A222" s="26"/>
      <c r="B222" s="34"/>
      <c r="F222" s="34"/>
      <c r="G222" s="26"/>
    </row>
    <row r="223" hidden="1">
      <c r="A223" s="26"/>
      <c r="B223" s="34"/>
      <c r="F223" s="34"/>
      <c r="G223" s="26"/>
    </row>
    <row r="224" hidden="1">
      <c r="A224" s="26"/>
      <c r="B224" s="34"/>
      <c r="F224" s="34"/>
      <c r="G224" s="26"/>
    </row>
    <row r="225" hidden="1">
      <c r="A225" s="26"/>
      <c r="B225" s="34"/>
      <c r="F225" s="34"/>
      <c r="G225" s="26"/>
    </row>
    <row r="226" hidden="1">
      <c r="A226" s="26"/>
      <c r="B226" s="34"/>
      <c r="F226" s="34"/>
      <c r="G226" s="26"/>
    </row>
    <row r="227" hidden="1">
      <c r="A227" s="26"/>
      <c r="B227" s="34"/>
      <c r="F227" s="34"/>
      <c r="G227" s="26"/>
    </row>
    <row r="228" hidden="1">
      <c r="A228" s="26"/>
      <c r="B228" s="34"/>
      <c r="F228" s="34"/>
      <c r="G228" s="26"/>
    </row>
    <row r="229" hidden="1">
      <c r="A229" s="26"/>
      <c r="B229" s="34"/>
      <c r="F229" s="34"/>
      <c r="G229" s="26"/>
    </row>
    <row r="230" hidden="1">
      <c r="A230" s="26"/>
      <c r="B230" s="34"/>
      <c r="F230" s="34"/>
      <c r="G230" s="26"/>
    </row>
    <row r="231" hidden="1">
      <c r="A231" s="26"/>
      <c r="B231" s="34"/>
      <c r="F231" s="34"/>
      <c r="G231" s="26"/>
    </row>
    <row r="232" hidden="1">
      <c r="A232" s="26"/>
      <c r="B232" s="34"/>
      <c r="F232" s="34"/>
      <c r="G232" s="26"/>
    </row>
    <row r="233" hidden="1">
      <c r="A233" s="26"/>
      <c r="B233" s="34"/>
      <c r="F233" s="34"/>
      <c r="G233" s="26"/>
    </row>
    <row r="234" hidden="1">
      <c r="A234" s="26"/>
      <c r="B234" s="34"/>
      <c r="F234" s="34"/>
      <c r="G234" s="26"/>
    </row>
    <row r="235" hidden="1">
      <c r="A235" s="26"/>
      <c r="B235" s="34"/>
      <c r="F235" s="34"/>
      <c r="G235" s="26"/>
    </row>
    <row r="236" hidden="1">
      <c r="A236" s="26"/>
      <c r="B236" s="34"/>
      <c r="F236" s="34"/>
      <c r="G236" s="26"/>
    </row>
    <row r="237" hidden="1">
      <c r="A237" s="26"/>
      <c r="B237" s="34"/>
      <c r="F237" s="34"/>
      <c r="G237" s="26"/>
    </row>
    <row r="238" hidden="1">
      <c r="A238" s="26"/>
      <c r="B238" s="34"/>
      <c r="F238" s="34"/>
      <c r="G238" s="26"/>
    </row>
    <row r="239" hidden="1">
      <c r="A239" s="26"/>
      <c r="B239" s="34"/>
      <c r="F239" s="34"/>
      <c r="G239" s="26"/>
    </row>
    <row r="240" hidden="1">
      <c r="A240" s="26"/>
      <c r="B240" s="34"/>
      <c r="F240" s="34"/>
      <c r="G240" s="26"/>
    </row>
    <row r="241" hidden="1">
      <c r="A241" s="26"/>
      <c r="B241" s="34"/>
      <c r="F241" s="34"/>
      <c r="G241" s="26"/>
    </row>
    <row r="242" hidden="1">
      <c r="A242" s="26"/>
      <c r="B242" s="34"/>
      <c r="F242" s="34"/>
      <c r="G242" s="26"/>
    </row>
    <row r="243" hidden="1">
      <c r="A243" s="26"/>
      <c r="B243" s="34"/>
      <c r="F243" s="34"/>
      <c r="G243" s="26"/>
    </row>
    <row r="244" hidden="1">
      <c r="A244" s="26"/>
      <c r="B244" s="34"/>
      <c r="F244" s="34"/>
      <c r="G244" s="26"/>
    </row>
    <row r="245" hidden="1">
      <c r="A245" s="26"/>
      <c r="B245" s="34"/>
      <c r="F245" s="34"/>
      <c r="G245" s="26"/>
    </row>
    <row r="246" hidden="1">
      <c r="A246" s="26"/>
      <c r="B246" s="34"/>
      <c r="F246" s="34"/>
      <c r="G246" s="26"/>
    </row>
    <row r="247" hidden="1">
      <c r="A247" s="26"/>
      <c r="B247" s="34"/>
      <c r="F247" s="34"/>
      <c r="G247" s="26"/>
    </row>
    <row r="248" hidden="1">
      <c r="A248" s="26"/>
      <c r="B248" s="34"/>
      <c r="F248" s="34"/>
      <c r="G248" s="26"/>
    </row>
    <row r="249" hidden="1">
      <c r="A249" s="26"/>
      <c r="B249" s="34"/>
      <c r="F249" s="34"/>
      <c r="G249" s="26"/>
    </row>
    <row r="250" hidden="1">
      <c r="A250" s="26"/>
      <c r="B250" s="34"/>
      <c r="F250" s="34"/>
      <c r="G250" s="26"/>
    </row>
    <row r="251" hidden="1">
      <c r="A251" s="26"/>
      <c r="B251" s="34"/>
      <c r="F251" s="34"/>
      <c r="G251" s="26"/>
    </row>
    <row r="252" hidden="1">
      <c r="A252" s="26"/>
      <c r="B252" s="34"/>
      <c r="F252" s="34"/>
      <c r="G252" s="26"/>
    </row>
    <row r="253" hidden="1">
      <c r="A253" s="26"/>
      <c r="B253" s="34"/>
      <c r="F253" s="34"/>
      <c r="G253" s="26"/>
    </row>
    <row r="254" hidden="1">
      <c r="A254" s="26"/>
      <c r="B254" s="34"/>
      <c r="F254" s="34"/>
      <c r="G254" s="26"/>
    </row>
    <row r="255" hidden="1">
      <c r="A255" s="26"/>
      <c r="B255" s="34"/>
      <c r="F255" s="34"/>
      <c r="G255" s="26"/>
    </row>
    <row r="256" hidden="1">
      <c r="A256" s="26"/>
      <c r="B256" s="34"/>
      <c r="F256" s="34"/>
      <c r="G256" s="26"/>
    </row>
    <row r="257" hidden="1">
      <c r="A257" s="26"/>
      <c r="B257" s="34"/>
      <c r="F257" s="34"/>
      <c r="G257" s="26"/>
    </row>
    <row r="258" hidden="1">
      <c r="A258" s="26"/>
      <c r="B258" s="34"/>
      <c r="F258" s="34"/>
      <c r="G258" s="26"/>
    </row>
    <row r="259" hidden="1">
      <c r="A259" s="26"/>
      <c r="B259" s="34"/>
      <c r="F259" s="34"/>
      <c r="G259" s="26"/>
    </row>
    <row r="260" hidden="1">
      <c r="A260" s="26"/>
      <c r="B260" s="34"/>
      <c r="F260" s="34"/>
      <c r="G260" s="26"/>
    </row>
    <row r="261" hidden="1">
      <c r="A261" s="26"/>
      <c r="B261" s="34"/>
      <c r="F261" s="34"/>
      <c r="G261" s="26"/>
    </row>
    <row r="262" hidden="1">
      <c r="A262" s="26"/>
      <c r="B262" s="34"/>
      <c r="F262" s="34"/>
      <c r="G262" s="26"/>
    </row>
    <row r="263" hidden="1">
      <c r="A263" s="26"/>
      <c r="B263" s="34"/>
      <c r="F263" s="34"/>
      <c r="G263" s="26"/>
    </row>
    <row r="264" hidden="1">
      <c r="A264" s="26"/>
      <c r="B264" s="34"/>
      <c r="F264" s="34"/>
      <c r="G264" s="26"/>
    </row>
    <row r="265" hidden="1">
      <c r="A265" s="26"/>
      <c r="B265" s="34"/>
      <c r="F265" s="34"/>
      <c r="G265" s="26"/>
    </row>
    <row r="266" hidden="1">
      <c r="A266" s="26"/>
      <c r="B266" s="34"/>
      <c r="F266" s="34"/>
      <c r="G266" s="26"/>
    </row>
    <row r="267" hidden="1">
      <c r="A267" s="26"/>
      <c r="B267" s="34"/>
      <c r="F267" s="34"/>
      <c r="G267" s="26"/>
    </row>
    <row r="268" hidden="1">
      <c r="A268" s="26"/>
      <c r="B268" s="34"/>
      <c r="F268" s="34"/>
      <c r="G268" s="26"/>
    </row>
    <row r="269" hidden="1">
      <c r="A269" s="26"/>
      <c r="B269" s="34"/>
      <c r="F269" s="34"/>
      <c r="G269" s="26"/>
    </row>
    <row r="270" hidden="1">
      <c r="A270" s="26"/>
      <c r="B270" s="34"/>
      <c r="F270" s="34"/>
      <c r="G270" s="26"/>
    </row>
    <row r="271" hidden="1">
      <c r="A271" s="26"/>
      <c r="B271" s="34"/>
      <c r="F271" s="34"/>
      <c r="G271" s="26"/>
    </row>
    <row r="272" hidden="1">
      <c r="A272" s="26"/>
      <c r="B272" s="34"/>
      <c r="F272" s="34"/>
      <c r="G272" s="26"/>
    </row>
    <row r="273" hidden="1">
      <c r="A273" s="26"/>
      <c r="B273" s="34"/>
      <c r="F273" s="34"/>
      <c r="G273" s="26"/>
    </row>
    <row r="274" hidden="1">
      <c r="A274" s="26"/>
      <c r="B274" s="34"/>
      <c r="F274" s="34"/>
      <c r="G274" s="26"/>
    </row>
    <row r="275" hidden="1">
      <c r="A275" s="26"/>
      <c r="B275" s="34"/>
      <c r="F275" s="34"/>
      <c r="G275" s="26"/>
    </row>
    <row r="276" hidden="1">
      <c r="A276" s="26"/>
      <c r="B276" s="34"/>
      <c r="F276" s="34"/>
      <c r="G276" s="26"/>
    </row>
    <row r="277" hidden="1">
      <c r="A277" s="26"/>
      <c r="B277" s="34"/>
      <c r="F277" s="34"/>
      <c r="G277" s="26"/>
    </row>
    <row r="278" hidden="1">
      <c r="A278" s="26"/>
      <c r="B278" s="34"/>
      <c r="F278" s="34"/>
      <c r="G278" s="26"/>
    </row>
    <row r="279" hidden="1">
      <c r="A279" s="26"/>
      <c r="B279" s="34"/>
      <c r="F279" s="34"/>
      <c r="G279" s="26"/>
    </row>
    <row r="280" hidden="1">
      <c r="A280" s="26"/>
      <c r="B280" s="34"/>
      <c r="F280" s="34"/>
      <c r="G280" s="26"/>
    </row>
    <row r="281" hidden="1">
      <c r="A281" s="26"/>
      <c r="B281" s="34"/>
      <c r="F281" s="34"/>
      <c r="G281" s="26"/>
    </row>
    <row r="282" hidden="1">
      <c r="A282" s="26"/>
      <c r="B282" s="34"/>
      <c r="F282" s="34"/>
      <c r="G282" s="26"/>
    </row>
    <row r="283" hidden="1">
      <c r="A283" s="26"/>
      <c r="B283" s="34"/>
      <c r="F283" s="34"/>
      <c r="G283" s="26"/>
    </row>
    <row r="284" hidden="1">
      <c r="A284" s="26"/>
      <c r="B284" s="34"/>
      <c r="F284" s="34"/>
      <c r="G284" s="26"/>
    </row>
    <row r="285" hidden="1">
      <c r="A285" s="26"/>
      <c r="B285" s="34"/>
      <c r="F285" s="34"/>
      <c r="G285" s="26"/>
    </row>
    <row r="286" hidden="1">
      <c r="A286" s="26"/>
      <c r="B286" s="34"/>
      <c r="F286" s="34"/>
      <c r="G286" s="26"/>
    </row>
    <row r="287" hidden="1">
      <c r="A287" s="26"/>
      <c r="B287" s="34"/>
      <c r="F287" s="34"/>
      <c r="G287" s="26"/>
    </row>
    <row r="288" hidden="1">
      <c r="A288" s="26"/>
      <c r="B288" s="34"/>
      <c r="F288" s="34"/>
      <c r="G288" s="26"/>
    </row>
    <row r="289" hidden="1">
      <c r="A289" s="26"/>
      <c r="B289" s="34"/>
      <c r="F289" s="34"/>
      <c r="G289" s="26"/>
    </row>
    <row r="290" hidden="1">
      <c r="A290" s="26"/>
      <c r="B290" s="34"/>
      <c r="F290" s="34"/>
      <c r="G290" s="26"/>
    </row>
    <row r="291" hidden="1">
      <c r="A291" s="26"/>
      <c r="B291" s="34"/>
      <c r="F291" s="34"/>
      <c r="G291" s="26"/>
    </row>
    <row r="292" hidden="1">
      <c r="A292" s="26"/>
      <c r="B292" s="34"/>
      <c r="F292" s="34"/>
      <c r="G292" s="26"/>
    </row>
    <row r="293" hidden="1">
      <c r="A293" s="26"/>
      <c r="B293" s="34"/>
      <c r="F293" s="34"/>
      <c r="G293" s="26"/>
    </row>
    <row r="294" hidden="1">
      <c r="A294" s="26"/>
      <c r="B294" s="34"/>
      <c r="F294" s="34"/>
      <c r="G294" s="26"/>
    </row>
    <row r="295" hidden="1">
      <c r="A295" s="26"/>
      <c r="B295" s="34"/>
      <c r="F295" s="34"/>
      <c r="G295" s="26"/>
    </row>
    <row r="296" hidden="1">
      <c r="A296" s="26"/>
      <c r="B296" s="34"/>
      <c r="F296" s="34"/>
      <c r="G296" s="26"/>
    </row>
    <row r="297" hidden="1">
      <c r="A297" s="26"/>
      <c r="B297" s="34"/>
      <c r="F297" s="34"/>
      <c r="G297" s="26"/>
    </row>
    <row r="298" hidden="1">
      <c r="A298" s="26"/>
      <c r="B298" s="34"/>
      <c r="F298" s="34"/>
      <c r="G298" s="26"/>
    </row>
    <row r="299" hidden="1">
      <c r="A299" s="26"/>
      <c r="B299" s="34"/>
      <c r="F299" s="34"/>
      <c r="G299" s="26"/>
    </row>
    <row r="300" hidden="1">
      <c r="A300" s="26"/>
      <c r="B300" s="34"/>
      <c r="F300" s="34"/>
      <c r="G300" s="26"/>
    </row>
    <row r="301" hidden="1">
      <c r="A301" s="26"/>
      <c r="B301" s="34"/>
      <c r="F301" s="34"/>
      <c r="G301" s="26"/>
    </row>
    <row r="302" hidden="1">
      <c r="A302" s="26"/>
      <c r="B302" s="34"/>
      <c r="F302" s="34"/>
      <c r="G302" s="26"/>
    </row>
    <row r="303" hidden="1">
      <c r="A303" s="26"/>
      <c r="B303" s="34"/>
      <c r="F303" s="34"/>
      <c r="G303" s="26"/>
    </row>
    <row r="304" hidden="1">
      <c r="A304" s="26"/>
      <c r="B304" s="34"/>
      <c r="F304" s="34"/>
      <c r="G304" s="26"/>
    </row>
    <row r="305" hidden="1">
      <c r="A305" s="26"/>
      <c r="B305" s="34"/>
      <c r="F305" s="34"/>
      <c r="G305" s="26"/>
    </row>
    <row r="306" hidden="1">
      <c r="A306" s="26"/>
      <c r="B306" s="34"/>
      <c r="F306" s="34"/>
      <c r="G306" s="26"/>
    </row>
    <row r="307" hidden="1">
      <c r="A307" s="26"/>
      <c r="B307" s="34"/>
      <c r="F307" s="34"/>
      <c r="G307" s="26"/>
    </row>
    <row r="308" hidden="1">
      <c r="A308" s="26"/>
      <c r="B308" s="34"/>
      <c r="F308" s="34"/>
      <c r="G308" s="26"/>
    </row>
    <row r="309" hidden="1">
      <c r="A309" s="26"/>
      <c r="B309" s="34"/>
      <c r="F309" s="34"/>
      <c r="G309" s="26"/>
    </row>
    <row r="310" hidden="1">
      <c r="A310" s="26"/>
      <c r="B310" s="34"/>
      <c r="F310" s="34"/>
      <c r="G310" s="26"/>
    </row>
    <row r="311" hidden="1">
      <c r="A311" s="26"/>
      <c r="B311" s="34"/>
      <c r="F311" s="34"/>
      <c r="G311" s="26"/>
    </row>
    <row r="312" hidden="1">
      <c r="A312" s="26"/>
      <c r="B312" s="34"/>
      <c r="F312" s="34"/>
      <c r="G312" s="26"/>
    </row>
    <row r="313" hidden="1">
      <c r="A313" s="26"/>
      <c r="B313" s="34"/>
      <c r="F313" s="34"/>
      <c r="G313" s="26"/>
    </row>
    <row r="314" hidden="1">
      <c r="A314" s="26"/>
      <c r="B314" s="34"/>
      <c r="F314" s="34"/>
      <c r="G314" s="26"/>
    </row>
    <row r="315" hidden="1">
      <c r="A315" s="26"/>
      <c r="B315" s="34"/>
      <c r="F315" s="34"/>
      <c r="G315" s="26"/>
    </row>
    <row r="316" hidden="1">
      <c r="A316" s="26"/>
      <c r="B316" s="34"/>
      <c r="F316" s="34"/>
      <c r="G316" s="26"/>
    </row>
    <row r="317" hidden="1">
      <c r="A317" s="26"/>
      <c r="B317" s="34"/>
      <c r="F317" s="34"/>
      <c r="G317" s="26"/>
    </row>
    <row r="318" hidden="1">
      <c r="A318" s="26"/>
      <c r="B318" s="34"/>
      <c r="F318" s="34"/>
      <c r="G318" s="26"/>
    </row>
    <row r="319" hidden="1">
      <c r="A319" s="26"/>
      <c r="B319" s="34"/>
      <c r="F319" s="34"/>
      <c r="G319" s="26"/>
    </row>
    <row r="320" hidden="1">
      <c r="A320" s="26"/>
      <c r="B320" s="34"/>
      <c r="F320" s="34"/>
      <c r="G320" s="26"/>
    </row>
    <row r="321" hidden="1">
      <c r="A321" s="26"/>
      <c r="B321" s="34"/>
      <c r="F321" s="34"/>
      <c r="G321" s="26"/>
    </row>
    <row r="322" hidden="1">
      <c r="A322" s="26"/>
      <c r="B322" s="34"/>
      <c r="F322" s="34"/>
      <c r="G322" s="26"/>
    </row>
    <row r="323" hidden="1">
      <c r="A323" s="26"/>
      <c r="B323" s="34"/>
      <c r="F323" s="34"/>
      <c r="G323" s="26"/>
    </row>
    <row r="324" hidden="1">
      <c r="A324" s="26"/>
      <c r="B324" s="34"/>
      <c r="F324" s="34"/>
      <c r="G324" s="26"/>
    </row>
    <row r="325" hidden="1">
      <c r="A325" s="26"/>
      <c r="B325" s="34"/>
      <c r="F325" s="34"/>
      <c r="G325" s="26"/>
    </row>
    <row r="326" hidden="1">
      <c r="A326" s="26"/>
      <c r="B326" s="34"/>
      <c r="F326" s="34"/>
      <c r="G326" s="26"/>
    </row>
    <row r="327" hidden="1">
      <c r="A327" s="26"/>
      <c r="B327" s="34"/>
      <c r="F327" s="34"/>
      <c r="G327" s="26"/>
    </row>
    <row r="328" hidden="1">
      <c r="A328" s="26"/>
      <c r="B328" s="34"/>
      <c r="F328" s="34"/>
      <c r="G328" s="26"/>
    </row>
    <row r="329" hidden="1">
      <c r="A329" s="26"/>
      <c r="B329" s="34"/>
      <c r="F329" s="34"/>
      <c r="G329" s="26"/>
    </row>
    <row r="330" hidden="1">
      <c r="A330" s="26"/>
      <c r="B330" s="34"/>
      <c r="F330" s="34"/>
      <c r="G330" s="26"/>
    </row>
    <row r="331" hidden="1">
      <c r="A331" s="26"/>
      <c r="B331" s="34"/>
      <c r="F331" s="34"/>
      <c r="G331" s="26"/>
    </row>
    <row r="332" hidden="1">
      <c r="A332" s="26"/>
      <c r="B332" s="34"/>
      <c r="F332" s="34"/>
      <c r="G332" s="26"/>
    </row>
    <row r="333" hidden="1">
      <c r="A333" s="26"/>
      <c r="B333" s="34"/>
      <c r="F333" s="34"/>
      <c r="G333" s="26"/>
    </row>
    <row r="334" hidden="1">
      <c r="A334" s="26"/>
      <c r="B334" s="34"/>
      <c r="F334" s="34"/>
      <c r="G334" s="26"/>
    </row>
    <row r="335" hidden="1">
      <c r="A335" s="26"/>
      <c r="B335" s="34"/>
      <c r="F335" s="34"/>
      <c r="G335" s="26"/>
    </row>
    <row r="336" hidden="1">
      <c r="A336" s="26"/>
      <c r="B336" s="34"/>
      <c r="F336" s="34"/>
      <c r="G336" s="26"/>
    </row>
    <row r="337" hidden="1">
      <c r="A337" s="26"/>
      <c r="B337" s="34"/>
      <c r="F337" s="34"/>
      <c r="G337" s="26"/>
    </row>
    <row r="338" hidden="1">
      <c r="A338" s="26"/>
      <c r="B338" s="34"/>
      <c r="F338" s="34"/>
      <c r="G338" s="26"/>
    </row>
    <row r="339" hidden="1">
      <c r="A339" s="26"/>
      <c r="B339" s="34"/>
      <c r="F339" s="34"/>
      <c r="G339" s="26"/>
    </row>
    <row r="340" hidden="1">
      <c r="A340" s="26"/>
      <c r="B340" s="34"/>
      <c r="F340" s="34"/>
      <c r="G340" s="26"/>
    </row>
    <row r="341" hidden="1">
      <c r="A341" s="26"/>
      <c r="B341" s="34"/>
      <c r="F341" s="34"/>
      <c r="G341" s="26"/>
    </row>
    <row r="342" hidden="1">
      <c r="A342" s="26"/>
      <c r="B342" s="34"/>
      <c r="F342" s="34"/>
      <c r="G342" s="26"/>
    </row>
    <row r="343" hidden="1">
      <c r="A343" s="26"/>
      <c r="B343" s="34"/>
      <c r="F343" s="34"/>
      <c r="G343" s="26"/>
    </row>
    <row r="344" hidden="1">
      <c r="A344" s="26"/>
      <c r="B344" s="34"/>
      <c r="F344" s="34"/>
      <c r="G344" s="26"/>
    </row>
    <row r="345" hidden="1">
      <c r="A345" s="26"/>
      <c r="B345" s="34"/>
      <c r="F345" s="34"/>
      <c r="G345" s="26"/>
    </row>
    <row r="346" hidden="1">
      <c r="A346" s="26"/>
      <c r="B346" s="34"/>
      <c r="F346" s="34"/>
      <c r="G346" s="26"/>
    </row>
    <row r="347" hidden="1">
      <c r="A347" s="26"/>
      <c r="B347" s="34"/>
      <c r="F347" s="34"/>
      <c r="G347" s="26"/>
    </row>
    <row r="348" hidden="1">
      <c r="A348" s="26"/>
      <c r="B348" s="34"/>
      <c r="F348" s="34"/>
      <c r="G348" s="26"/>
    </row>
    <row r="349" hidden="1">
      <c r="A349" s="26"/>
      <c r="B349" s="34"/>
      <c r="F349" s="34"/>
      <c r="G349" s="26"/>
    </row>
    <row r="350" hidden="1">
      <c r="A350" s="26"/>
      <c r="B350" s="34"/>
      <c r="F350" s="34"/>
      <c r="G350" s="26"/>
    </row>
    <row r="351" hidden="1">
      <c r="A351" s="26"/>
      <c r="B351" s="34"/>
      <c r="F351" s="34"/>
      <c r="G351" s="26"/>
    </row>
    <row r="352" hidden="1">
      <c r="A352" s="26"/>
      <c r="B352" s="34"/>
      <c r="F352" s="34"/>
      <c r="G352" s="26"/>
    </row>
    <row r="353" hidden="1">
      <c r="A353" s="26"/>
      <c r="B353" s="34"/>
      <c r="F353" s="34"/>
      <c r="G353" s="26"/>
    </row>
    <row r="354" hidden="1">
      <c r="A354" s="26"/>
      <c r="B354" s="34"/>
      <c r="F354" s="34"/>
      <c r="G354" s="26"/>
    </row>
    <row r="355" hidden="1">
      <c r="A355" s="26"/>
      <c r="B355" s="34"/>
      <c r="F355" s="34"/>
      <c r="G355" s="26"/>
    </row>
    <row r="356" hidden="1">
      <c r="A356" s="26"/>
      <c r="B356" s="34"/>
      <c r="F356" s="34"/>
      <c r="G356" s="26"/>
    </row>
    <row r="357" hidden="1">
      <c r="A357" s="26"/>
      <c r="B357" s="34"/>
      <c r="F357" s="34"/>
      <c r="G357" s="26"/>
    </row>
    <row r="358" hidden="1">
      <c r="A358" s="26"/>
      <c r="B358" s="34"/>
      <c r="F358" s="34"/>
      <c r="G358" s="26"/>
    </row>
    <row r="359" hidden="1">
      <c r="A359" s="26"/>
      <c r="B359" s="34"/>
      <c r="F359" s="34"/>
      <c r="G359" s="26"/>
    </row>
    <row r="360" hidden="1">
      <c r="A360" s="26"/>
      <c r="B360" s="34"/>
      <c r="F360" s="34"/>
      <c r="G360" s="26"/>
    </row>
    <row r="361" hidden="1">
      <c r="A361" s="26"/>
      <c r="B361" s="34"/>
      <c r="F361" s="34"/>
      <c r="G361" s="26"/>
    </row>
    <row r="362" hidden="1">
      <c r="A362" s="26"/>
      <c r="B362" s="34"/>
      <c r="F362" s="34"/>
      <c r="G362" s="26"/>
    </row>
    <row r="363" hidden="1">
      <c r="A363" s="26"/>
      <c r="B363" s="34"/>
      <c r="F363" s="34"/>
      <c r="G363" s="26"/>
    </row>
    <row r="364" hidden="1">
      <c r="A364" s="26"/>
      <c r="B364" s="34"/>
      <c r="F364" s="34"/>
      <c r="G364" s="26"/>
    </row>
    <row r="365" hidden="1">
      <c r="A365" s="26"/>
      <c r="B365" s="34"/>
      <c r="F365" s="34"/>
      <c r="G365" s="26"/>
    </row>
    <row r="366" hidden="1">
      <c r="A366" s="26"/>
      <c r="B366" s="34"/>
      <c r="F366" s="34"/>
      <c r="G366" s="26"/>
    </row>
    <row r="367" hidden="1">
      <c r="A367" s="26"/>
      <c r="B367" s="34"/>
      <c r="F367" s="34"/>
      <c r="G367" s="26"/>
    </row>
    <row r="368" hidden="1">
      <c r="A368" s="26"/>
      <c r="B368" s="34"/>
      <c r="F368" s="34"/>
      <c r="G368" s="26"/>
    </row>
    <row r="369" hidden="1">
      <c r="A369" s="26"/>
      <c r="B369" s="34"/>
      <c r="F369" s="34"/>
      <c r="G369" s="26"/>
    </row>
    <row r="370" hidden="1">
      <c r="A370" s="26"/>
      <c r="B370" s="34"/>
      <c r="F370" s="34"/>
      <c r="G370" s="26"/>
    </row>
    <row r="371" hidden="1">
      <c r="A371" s="26"/>
      <c r="B371" s="34"/>
      <c r="F371" s="34"/>
      <c r="G371" s="26"/>
    </row>
    <row r="372" hidden="1">
      <c r="A372" s="26"/>
      <c r="B372" s="34"/>
      <c r="F372" s="34"/>
      <c r="G372" s="26"/>
    </row>
    <row r="373" hidden="1">
      <c r="A373" s="26"/>
      <c r="B373" s="34"/>
      <c r="F373" s="34"/>
      <c r="G373" s="26"/>
    </row>
    <row r="374" hidden="1">
      <c r="A374" s="26"/>
      <c r="B374" s="34"/>
      <c r="F374" s="34"/>
      <c r="G374" s="26"/>
    </row>
    <row r="375" hidden="1">
      <c r="A375" s="26"/>
      <c r="B375" s="34"/>
      <c r="F375" s="34"/>
      <c r="G375" s="26"/>
    </row>
    <row r="376" hidden="1">
      <c r="A376" s="26"/>
      <c r="B376" s="34"/>
      <c r="F376" s="34"/>
      <c r="G376" s="26"/>
    </row>
    <row r="377" hidden="1">
      <c r="A377" s="26"/>
      <c r="B377" s="34"/>
      <c r="F377" s="34"/>
      <c r="G377" s="26"/>
    </row>
    <row r="378" hidden="1">
      <c r="A378" s="26"/>
      <c r="B378" s="34"/>
      <c r="F378" s="34"/>
      <c r="G378" s="26"/>
    </row>
    <row r="379" hidden="1">
      <c r="A379" s="26"/>
      <c r="B379" s="34"/>
      <c r="F379" s="34"/>
      <c r="G379" s="26"/>
    </row>
    <row r="380" hidden="1">
      <c r="A380" s="26"/>
      <c r="B380" s="34"/>
      <c r="F380" s="34"/>
      <c r="G380" s="26"/>
    </row>
    <row r="381" hidden="1">
      <c r="A381" s="26"/>
      <c r="B381" s="34"/>
      <c r="F381" s="34"/>
      <c r="G381" s="26"/>
    </row>
    <row r="382" hidden="1">
      <c r="A382" s="26"/>
      <c r="B382" s="34"/>
      <c r="F382" s="34"/>
      <c r="G382" s="26"/>
    </row>
    <row r="383" hidden="1">
      <c r="A383" s="26"/>
      <c r="B383" s="34"/>
      <c r="F383" s="34"/>
      <c r="G383" s="26"/>
    </row>
    <row r="384" hidden="1">
      <c r="A384" s="26"/>
      <c r="B384" s="34"/>
      <c r="F384" s="34"/>
      <c r="G384" s="26"/>
    </row>
    <row r="385" hidden="1">
      <c r="A385" s="26"/>
      <c r="B385" s="34"/>
      <c r="F385" s="34"/>
      <c r="G385" s="26"/>
    </row>
    <row r="386" hidden="1">
      <c r="A386" s="26"/>
      <c r="B386" s="34"/>
      <c r="F386" s="34"/>
      <c r="G386" s="26"/>
    </row>
    <row r="387" hidden="1">
      <c r="A387" s="26"/>
      <c r="B387" s="34"/>
      <c r="F387" s="34"/>
      <c r="G387" s="26"/>
    </row>
    <row r="388" hidden="1">
      <c r="A388" s="26"/>
      <c r="B388" s="34"/>
      <c r="F388" s="34"/>
      <c r="G388" s="26"/>
    </row>
    <row r="389" hidden="1">
      <c r="A389" s="26"/>
      <c r="B389" s="34"/>
      <c r="F389" s="34"/>
      <c r="G389" s="26"/>
    </row>
    <row r="390" hidden="1">
      <c r="A390" s="26"/>
      <c r="B390" s="34"/>
      <c r="F390" s="34"/>
      <c r="G390" s="26"/>
    </row>
    <row r="391" hidden="1">
      <c r="A391" s="26"/>
      <c r="B391" s="34"/>
      <c r="F391" s="34"/>
      <c r="G391" s="26"/>
    </row>
    <row r="392" hidden="1">
      <c r="A392" s="26"/>
      <c r="B392" s="34"/>
      <c r="F392" s="34"/>
      <c r="G392" s="26"/>
    </row>
    <row r="393" hidden="1">
      <c r="A393" s="26"/>
      <c r="B393" s="34"/>
      <c r="F393" s="34"/>
      <c r="G393" s="26"/>
    </row>
    <row r="394" hidden="1">
      <c r="A394" s="26"/>
      <c r="B394" s="34"/>
      <c r="F394" s="34"/>
      <c r="G394" s="26"/>
    </row>
    <row r="395" hidden="1">
      <c r="A395" s="26"/>
      <c r="B395" s="34"/>
      <c r="F395" s="34"/>
      <c r="G395" s="26"/>
    </row>
    <row r="396" hidden="1">
      <c r="A396" s="26"/>
      <c r="B396" s="34"/>
      <c r="F396" s="34"/>
      <c r="G396" s="26"/>
    </row>
    <row r="397" hidden="1">
      <c r="A397" s="26"/>
      <c r="B397" s="34"/>
      <c r="F397" s="34"/>
      <c r="G397" s="26"/>
    </row>
    <row r="398" hidden="1">
      <c r="A398" s="26"/>
      <c r="B398" s="34"/>
      <c r="F398" s="34"/>
      <c r="G398" s="26"/>
    </row>
    <row r="399" hidden="1">
      <c r="A399" s="26"/>
      <c r="B399" s="34"/>
      <c r="F399" s="34"/>
      <c r="G399" s="26"/>
    </row>
    <row r="400" hidden="1">
      <c r="A400" s="26"/>
      <c r="B400" s="34"/>
      <c r="F400" s="34"/>
      <c r="G400" s="26"/>
    </row>
    <row r="401" hidden="1">
      <c r="A401" s="26"/>
      <c r="B401" s="34"/>
      <c r="F401" s="34"/>
      <c r="G401" s="26"/>
    </row>
    <row r="402" hidden="1">
      <c r="A402" s="26"/>
      <c r="B402" s="34"/>
      <c r="F402" s="34"/>
      <c r="G402" s="26"/>
    </row>
    <row r="403" hidden="1">
      <c r="A403" s="26"/>
      <c r="B403" s="34"/>
      <c r="F403" s="34"/>
      <c r="G403" s="26"/>
    </row>
    <row r="404" hidden="1">
      <c r="A404" s="26"/>
      <c r="B404" s="34"/>
      <c r="F404" s="34"/>
      <c r="G404" s="26"/>
    </row>
    <row r="405" hidden="1">
      <c r="A405" s="26"/>
      <c r="B405" s="34"/>
      <c r="F405" s="34"/>
      <c r="G405" s="26"/>
    </row>
    <row r="406" hidden="1">
      <c r="A406" s="26"/>
      <c r="B406" s="34"/>
      <c r="F406" s="34"/>
      <c r="G406" s="26"/>
    </row>
    <row r="407" hidden="1">
      <c r="A407" s="26"/>
      <c r="B407" s="34"/>
      <c r="F407" s="34"/>
      <c r="G407" s="26"/>
    </row>
    <row r="408" hidden="1">
      <c r="A408" s="26"/>
      <c r="B408" s="34"/>
      <c r="F408" s="34"/>
      <c r="G408" s="26"/>
    </row>
    <row r="409" hidden="1">
      <c r="A409" s="26"/>
      <c r="B409" s="34"/>
      <c r="F409" s="34"/>
      <c r="G409" s="26"/>
    </row>
    <row r="410" hidden="1">
      <c r="A410" s="26"/>
      <c r="B410" s="34"/>
      <c r="F410" s="34"/>
      <c r="G410" s="26"/>
    </row>
    <row r="411" hidden="1">
      <c r="A411" s="26"/>
      <c r="B411" s="34"/>
      <c r="F411" s="34"/>
      <c r="G411" s="26"/>
    </row>
    <row r="412" hidden="1">
      <c r="A412" s="26"/>
      <c r="B412" s="34"/>
      <c r="F412" s="34"/>
      <c r="G412" s="26"/>
    </row>
    <row r="413" hidden="1">
      <c r="A413" s="26"/>
      <c r="B413" s="34"/>
      <c r="F413" s="34"/>
      <c r="G413" s="26"/>
    </row>
    <row r="414" hidden="1">
      <c r="A414" s="26"/>
      <c r="B414" s="34"/>
      <c r="F414" s="34"/>
      <c r="G414" s="26"/>
    </row>
    <row r="415" hidden="1">
      <c r="A415" s="26"/>
      <c r="B415" s="34"/>
      <c r="F415" s="34"/>
      <c r="G415" s="26"/>
    </row>
    <row r="416" hidden="1">
      <c r="A416" s="26"/>
      <c r="B416" s="34"/>
      <c r="F416" s="34"/>
      <c r="G416" s="26"/>
    </row>
    <row r="417" hidden="1">
      <c r="A417" s="26"/>
      <c r="B417" s="34"/>
      <c r="F417" s="34"/>
      <c r="G417" s="26"/>
    </row>
    <row r="418" hidden="1">
      <c r="A418" s="26"/>
      <c r="B418" s="34"/>
      <c r="F418" s="34"/>
      <c r="G418" s="26"/>
    </row>
    <row r="419" hidden="1">
      <c r="A419" s="26"/>
      <c r="B419" s="34"/>
      <c r="F419" s="34"/>
      <c r="G419" s="26"/>
    </row>
    <row r="420" hidden="1">
      <c r="A420" s="26"/>
      <c r="B420" s="34"/>
      <c r="F420" s="34"/>
      <c r="G420" s="26"/>
    </row>
    <row r="421" hidden="1">
      <c r="A421" s="26"/>
      <c r="B421" s="34"/>
      <c r="F421" s="34"/>
      <c r="G421" s="26"/>
    </row>
    <row r="422" hidden="1">
      <c r="A422" s="26"/>
      <c r="B422" s="34"/>
      <c r="F422" s="34"/>
      <c r="G422" s="26"/>
    </row>
    <row r="423" hidden="1">
      <c r="A423" s="26"/>
      <c r="B423" s="34"/>
      <c r="F423" s="34"/>
      <c r="G423" s="26"/>
    </row>
    <row r="424" hidden="1">
      <c r="A424" s="26"/>
      <c r="B424" s="34"/>
      <c r="F424" s="34"/>
      <c r="G424" s="26"/>
    </row>
    <row r="425" hidden="1">
      <c r="A425" s="26"/>
      <c r="B425" s="34"/>
      <c r="F425" s="34"/>
      <c r="G425" s="26"/>
    </row>
    <row r="426" hidden="1">
      <c r="A426" s="26"/>
      <c r="B426" s="34"/>
      <c r="F426" s="34"/>
      <c r="G426" s="26"/>
    </row>
    <row r="427" hidden="1">
      <c r="A427" s="26"/>
      <c r="B427" s="34"/>
      <c r="F427" s="34"/>
      <c r="G427" s="26"/>
    </row>
    <row r="428" hidden="1">
      <c r="A428" s="26"/>
      <c r="B428" s="34"/>
      <c r="F428" s="34"/>
      <c r="G428" s="26"/>
    </row>
    <row r="429" hidden="1">
      <c r="A429" s="26"/>
      <c r="B429" s="34"/>
      <c r="F429" s="34"/>
      <c r="G429" s="26"/>
    </row>
    <row r="430" hidden="1">
      <c r="A430" s="26"/>
      <c r="B430" s="34"/>
      <c r="F430" s="34"/>
      <c r="G430" s="26"/>
    </row>
    <row r="431" hidden="1">
      <c r="A431" s="26"/>
      <c r="B431" s="34"/>
      <c r="F431" s="34"/>
      <c r="G431" s="26"/>
    </row>
    <row r="432" hidden="1">
      <c r="A432" s="26"/>
      <c r="B432" s="34"/>
      <c r="F432" s="34"/>
      <c r="G432" s="26"/>
    </row>
    <row r="433" hidden="1">
      <c r="A433" s="26"/>
      <c r="B433" s="34"/>
      <c r="F433" s="34"/>
      <c r="G433" s="26"/>
    </row>
    <row r="434" hidden="1">
      <c r="A434" s="26"/>
      <c r="B434" s="34"/>
      <c r="F434" s="34"/>
      <c r="G434" s="26"/>
    </row>
    <row r="435" hidden="1">
      <c r="A435" s="26"/>
      <c r="B435" s="34"/>
      <c r="F435" s="34"/>
      <c r="G435" s="26"/>
    </row>
    <row r="436" hidden="1">
      <c r="A436" s="26"/>
      <c r="B436" s="34"/>
      <c r="F436" s="34"/>
      <c r="G436" s="26"/>
    </row>
    <row r="437" hidden="1">
      <c r="A437" s="26"/>
      <c r="B437" s="34"/>
      <c r="F437" s="34"/>
      <c r="G437" s="26"/>
    </row>
    <row r="438" hidden="1">
      <c r="A438" s="26"/>
      <c r="B438" s="34"/>
      <c r="F438" s="34"/>
      <c r="G438" s="26"/>
    </row>
    <row r="439" hidden="1">
      <c r="A439" s="26"/>
      <c r="B439" s="34"/>
      <c r="F439" s="34"/>
      <c r="G439" s="26"/>
    </row>
    <row r="440" hidden="1">
      <c r="A440" s="26"/>
      <c r="B440" s="34"/>
      <c r="F440" s="34"/>
      <c r="G440" s="26"/>
    </row>
    <row r="441" hidden="1">
      <c r="A441" s="26"/>
      <c r="B441" s="34"/>
      <c r="F441" s="34"/>
      <c r="G441" s="26"/>
    </row>
    <row r="442" hidden="1">
      <c r="A442" s="26"/>
      <c r="B442" s="34"/>
      <c r="F442" s="34"/>
      <c r="G442" s="26"/>
    </row>
    <row r="443" hidden="1">
      <c r="A443" s="26"/>
      <c r="B443" s="34"/>
      <c r="F443" s="34"/>
      <c r="G443" s="26"/>
    </row>
    <row r="444" hidden="1">
      <c r="A444" s="26"/>
      <c r="B444" s="34"/>
      <c r="F444" s="34"/>
      <c r="G444" s="26"/>
    </row>
    <row r="445" hidden="1">
      <c r="A445" s="26"/>
      <c r="B445" s="34"/>
      <c r="F445" s="34"/>
      <c r="G445" s="26"/>
    </row>
    <row r="446" hidden="1">
      <c r="A446" s="26"/>
      <c r="B446" s="34"/>
      <c r="F446" s="34"/>
      <c r="G446" s="26"/>
    </row>
    <row r="447" hidden="1">
      <c r="A447" s="26"/>
      <c r="B447" s="34"/>
      <c r="F447" s="34"/>
      <c r="G447" s="26"/>
    </row>
    <row r="448" hidden="1">
      <c r="A448" s="26"/>
      <c r="B448" s="34"/>
      <c r="F448" s="34"/>
      <c r="G448" s="26"/>
    </row>
    <row r="449" hidden="1">
      <c r="A449" s="26"/>
      <c r="B449" s="34"/>
      <c r="F449" s="34"/>
      <c r="G449" s="26"/>
    </row>
    <row r="450" hidden="1">
      <c r="A450" s="26"/>
      <c r="B450" s="34"/>
      <c r="F450" s="34"/>
      <c r="G450" s="26"/>
    </row>
    <row r="451" hidden="1">
      <c r="A451" s="26"/>
      <c r="B451" s="34"/>
      <c r="F451" s="34"/>
      <c r="G451" s="26"/>
    </row>
    <row r="452" hidden="1">
      <c r="A452" s="26"/>
      <c r="B452" s="34"/>
      <c r="F452" s="34"/>
      <c r="G452" s="26"/>
    </row>
    <row r="453" hidden="1">
      <c r="A453" s="26"/>
      <c r="B453" s="34"/>
      <c r="F453" s="34"/>
      <c r="G453" s="26"/>
    </row>
    <row r="454" hidden="1">
      <c r="A454" s="26"/>
      <c r="B454" s="34"/>
      <c r="F454" s="34"/>
      <c r="G454" s="26"/>
    </row>
    <row r="455" hidden="1">
      <c r="A455" s="26"/>
      <c r="B455" s="34"/>
      <c r="F455" s="34"/>
      <c r="G455" s="26"/>
    </row>
    <row r="456" hidden="1">
      <c r="A456" s="26"/>
      <c r="B456" s="34"/>
      <c r="F456" s="34"/>
      <c r="G456" s="26"/>
    </row>
    <row r="457" hidden="1">
      <c r="A457" s="26"/>
      <c r="B457" s="34"/>
      <c r="F457" s="34"/>
      <c r="G457" s="26"/>
    </row>
    <row r="458" hidden="1">
      <c r="A458" s="26"/>
      <c r="B458" s="34"/>
      <c r="F458" s="34"/>
      <c r="G458" s="26"/>
    </row>
    <row r="459" hidden="1">
      <c r="A459" s="26"/>
      <c r="B459" s="34"/>
      <c r="F459" s="34"/>
      <c r="G459" s="26"/>
    </row>
    <row r="460" hidden="1">
      <c r="A460" s="26"/>
      <c r="B460" s="34"/>
      <c r="F460" s="34"/>
      <c r="G460" s="26"/>
    </row>
    <row r="461" hidden="1">
      <c r="A461" s="26"/>
      <c r="B461" s="34"/>
      <c r="F461" s="34"/>
      <c r="G461" s="26"/>
    </row>
    <row r="462" hidden="1">
      <c r="A462" s="26"/>
      <c r="B462" s="34"/>
      <c r="F462" s="34"/>
      <c r="G462" s="26"/>
    </row>
    <row r="463" hidden="1">
      <c r="A463" s="26"/>
      <c r="B463" s="34"/>
      <c r="F463" s="34"/>
      <c r="G463" s="26"/>
    </row>
    <row r="464" hidden="1">
      <c r="A464" s="26"/>
      <c r="B464" s="34"/>
      <c r="F464" s="34"/>
      <c r="G464" s="26"/>
    </row>
    <row r="465" hidden="1">
      <c r="A465" s="26"/>
      <c r="B465" s="34"/>
      <c r="F465" s="34"/>
      <c r="G465" s="26"/>
    </row>
    <row r="466" hidden="1">
      <c r="A466" s="26"/>
      <c r="B466" s="34"/>
      <c r="F466" s="34"/>
      <c r="G466" s="26"/>
    </row>
    <row r="467" hidden="1">
      <c r="A467" s="26"/>
      <c r="B467" s="34"/>
      <c r="F467" s="34"/>
      <c r="G467" s="26"/>
    </row>
    <row r="468" hidden="1">
      <c r="A468" s="26"/>
      <c r="B468" s="34"/>
      <c r="F468" s="34"/>
      <c r="G468" s="26"/>
    </row>
    <row r="469" hidden="1">
      <c r="A469" s="26"/>
      <c r="B469" s="34"/>
      <c r="F469" s="34"/>
      <c r="G469" s="26"/>
    </row>
    <row r="470" hidden="1">
      <c r="A470" s="26"/>
      <c r="B470" s="34"/>
      <c r="F470" s="34"/>
      <c r="G470" s="26"/>
    </row>
    <row r="471" hidden="1">
      <c r="A471" s="26"/>
      <c r="B471" s="34"/>
      <c r="F471" s="34"/>
      <c r="G471" s="26"/>
    </row>
    <row r="472" hidden="1">
      <c r="A472" s="26"/>
      <c r="B472" s="34"/>
      <c r="F472" s="34"/>
      <c r="G472" s="26"/>
    </row>
    <row r="473" hidden="1">
      <c r="A473" s="26"/>
      <c r="B473" s="34"/>
      <c r="F473" s="34"/>
      <c r="G473" s="26"/>
    </row>
    <row r="474" hidden="1">
      <c r="A474" s="26"/>
      <c r="B474" s="34"/>
      <c r="F474" s="34"/>
      <c r="G474" s="26"/>
    </row>
    <row r="475" hidden="1">
      <c r="A475" s="26"/>
      <c r="B475" s="34"/>
      <c r="F475" s="34"/>
      <c r="G475" s="26"/>
    </row>
    <row r="476" hidden="1">
      <c r="A476" s="26"/>
      <c r="B476" s="34"/>
      <c r="F476" s="34"/>
      <c r="G476" s="26"/>
    </row>
    <row r="477" hidden="1">
      <c r="A477" s="26"/>
      <c r="B477" s="34"/>
      <c r="F477" s="34"/>
      <c r="G477" s="26"/>
    </row>
    <row r="478" hidden="1">
      <c r="A478" s="26"/>
      <c r="B478" s="34"/>
      <c r="F478" s="34"/>
      <c r="G478" s="26"/>
    </row>
    <row r="479" hidden="1">
      <c r="A479" s="26"/>
      <c r="B479" s="34"/>
      <c r="F479" s="34"/>
      <c r="G479" s="26"/>
    </row>
    <row r="480" hidden="1">
      <c r="A480" s="26"/>
      <c r="B480" s="34"/>
      <c r="F480" s="34"/>
      <c r="G480" s="26"/>
    </row>
    <row r="481" hidden="1">
      <c r="A481" s="26"/>
      <c r="B481" s="34"/>
      <c r="F481" s="34"/>
      <c r="G481" s="26"/>
    </row>
    <row r="482" hidden="1">
      <c r="A482" s="26"/>
      <c r="B482" s="34"/>
      <c r="F482" s="34"/>
      <c r="G482" s="26"/>
    </row>
    <row r="483" hidden="1">
      <c r="A483" s="26"/>
      <c r="B483" s="34"/>
      <c r="F483" s="34"/>
      <c r="G483" s="26"/>
    </row>
    <row r="484" hidden="1">
      <c r="A484" s="26"/>
      <c r="B484" s="34"/>
      <c r="F484" s="34"/>
      <c r="G484" s="26"/>
    </row>
    <row r="485" hidden="1">
      <c r="A485" s="26"/>
      <c r="B485" s="34"/>
      <c r="F485" s="34"/>
      <c r="G485" s="26"/>
    </row>
    <row r="486" hidden="1">
      <c r="A486" s="26"/>
      <c r="B486" s="34"/>
      <c r="F486" s="34"/>
      <c r="G486" s="26"/>
    </row>
    <row r="487" hidden="1">
      <c r="A487" s="26"/>
      <c r="B487" s="34"/>
      <c r="F487" s="34"/>
      <c r="G487" s="26"/>
    </row>
    <row r="488" hidden="1">
      <c r="A488" s="26"/>
      <c r="B488" s="34"/>
      <c r="F488" s="34"/>
      <c r="G488" s="26"/>
    </row>
    <row r="489" hidden="1">
      <c r="A489" s="26"/>
      <c r="B489" s="34"/>
      <c r="F489" s="34"/>
      <c r="G489" s="26"/>
    </row>
    <row r="490" hidden="1">
      <c r="A490" s="26"/>
      <c r="B490" s="34"/>
      <c r="F490" s="34"/>
      <c r="G490" s="26"/>
    </row>
    <row r="491" hidden="1">
      <c r="A491" s="26"/>
      <c r="B491" s="34"/>
      <c r="F491" s="34"/>
      <c r="G491" s="26"/>
    </row>
    <row r="492" hidden="1">
      <c r="A492" s="26"/>
      <c r="B492" s="34"/>
      <c r="F492" s="34"/>
      <c r="G492" s="26"/>
    </row>
    <row r="493" hidden="1">
      <c r="A493" s="26"/>
      <c r="B493" s="34"/>
      <c r="F493" s="34"/>
      <c r="G493" s="26"/>
    </row>
    <row r="494" hidden="1">
      <c r="A494" s="26"/>
      <c r="B494" s="34"/>
      <c r="F494" s="34"/>
      <c r="G494" s="26"/>
    </row>
    <row r="495" hidden="1">
      <c r="A495" s="26"/>
      <c r="B495" s="34"/>
      <c r="F495" s="34"/>
      <c r="G495" s="26"/>
    </row>
    <row r="496" hidden="1">
      <c r="A496" s="26"/>
      <c r="B496" s="34"/>
      <c r="F496" s="34"/>
      <c r="G496" s="26"/>
    </row>
    <row r="497" hidden="1">
      <c r="A497" s="26"/>
      <c r="B497" s="34"/>
      <c r="F497" s="34"/>
      <c r="G497" s="26"/>
    </row>
    <row r="498" hidden="1">
      <c r="A498" s="26"/>
      <c r="B498" s="34"/>
      <c r="F498" s="34"/>
      <c r="G498" s="26"/>
    </row>
    <row r="499" hidden="1">
      <c r="A499" s="26"/>
      <c r="B499" s="34"/>
      <c r="F499" s="34"/>
      <c r="G499" s="26"/>
    </row>
    <row r="500" hidden="1">
      <c r="A500" s="26"/>
      <c r="B500" s="34"/>
      <c r="F500" s="34"/>
      <c r="G500" s="26"/>
    </row>
    <row r="501" hidden="1">
      <c r="A501" s="26"/>
      <c r="B501" s="34"/>
      <c r="F501" s="34"/>
      <c r="G501" s="26"/>
    </row>
    <row r="502" hidden="1">
      <c r="A502" s="26"/>
      <c r="B502" s="34"/>
      <c r="F502" s="34"/>
      <c r="G502" s="26"/>
    </row>
    <row r="503" hidden="1">
      <c r="A503" s="26"/>
      <c r="B503" s="34"/>
      <c r="F503" s="34"/>
      <c r="G503" s="26"/>
    </row>
    <row r="504" hidden="1">
      <c r="A504" s="26"/>
      <c r="B504" s="34"/>
      <c r="F504" s="34"/>
      <c r="G504" s="26"/>
    </row>
    <row r="505" hidden="1">
      <c r="A505" s="26"/>
      <c r="B505" s="34"/>
      <c r="F505" s="34"/>
      <c r="G505" s="26"/>
    </row>
    <row r="506" hidden="1">
      <c r="A506" s="26"/>
      <c r="B506" s="34"/>
      <c r="F506" s="34"/>
      <c r="G506" s="26"/>
    </row>
    <row r="507" hidden="1">
      <c r="A507" s="26"/>
      <c r="B507" s="34"/>
      <c r="F507" s="34"/>
      <c r="G507" s="26"/>
    </row>
    <row r="508" hidden="1">
      <c r="A508" s="26"/>
      <c r="B508" s="34"/>
      <c r="F508" s="34"/>
      <c r="G508" s="26"/>
    </row>
    <row r="509" hidden="1">
      <c r="A509" s="26"/>
      <c r="B509" s="34"/>
      <c r="F509" s="34"/>
      <c r="G509" s="26"/>
    </row>
    <row r="510" hidden="1">
      <c r="A510" s="26"/>
      <c r="B510" s="34"/>
      <c r="F510" s="34"/>
      <c r="G510" s="26"/>
    </row>
    <row r="511" hidden="1">
      <c r="A511" s="26"/>
      <c r="B511" s="34"/>
      <c r="F511" s="34"/>
      <c r="G511" s="26"/>
    </row>
    <row r="512" hidden="1">
      <c r="A512" s="26"/>
      <c r="B512" s="34"/>
      <c r="F512" s="34"/>
      <c r="G512" s="26"/>
    </row>
    <row r="513" hidden="1">
      <c r="A513" s="26"/>
      <c r="B513" s="34"/>
      <c r="F513" s="34"/>
      <c r="G513" s="26"/>
    </row>
    <row r="514" hidden="1">
      <c r="A514" s="26"/>
      <c r="B514" s="34"/>
      <c r="F514" s="34"/>
      <c r="G514" s="26"/>
    </row>
    <row r="515" hidden="1">
      <c r="A515" s="26"/>
      <c r="B515" s="34"/>
      <c r="F515" s="34"/>
      <c r="G515" s="26"/>
    </row>
    <row r="516" hidden="1">
      <c r="A516" s="26"/>
      <c r="B516" s="34"/>
      <c r="F516" s="34"/>
      <c r="G516" s="26"/>
    </row>
    <row r="517" hidden="1">
      <c r="A517" s="26"/>
      <c r="B517" s="34"/>
      <c r="F517" s="34"/>
      <c r="G517" s="26"/>
    </row>
    <row r="518" hidden="1">
      <c r="A518" s="26"/>
      <c r="B518" s="34"/>
      <c r="F518" s="34"/>
      <c r="G518" s="26"/>
    </row>
    <row r="519" hidden="1">
      <c r="A519" s="26"/>
      <c r="B519" s="34"/>
      <c r="F519" s="34"/>
      <c r="G519" s="26"/>
    </row>
    <row r="520" hidden="1">
      <c r="A520" s="26"/>
      <c r="B520" s="34"/>
      <c r="F520" s="34"/>
      <c r="G520" s="26"/>
    </row>
    <row r="521" hidden="1">
      <c r="A521" s="26"/>
      <c r="B521" s="34"/>
      <c r="F521" s="34"/>
      <c r="G521" s="26"/>
    </row>
    <row r="522" hidden="1">
      <c r="A522" s="26"/>
      <c r="B522" s="34"/>
      <c r="F522" s="34"/>
      <c r="G522" s="26"/>
    </row>
    <row r="523" hidden="1">
      <c r="A523" s="26"/>
      <c r="B523" s="34"/>
      <c r="F523" s="34"/>
      <c r="G523" s="26"/>
    </row>
    <row r="524" hidden="1">
      <c r="A524" s="26"/>
      <c r="B524" s="34"/>
      <c r="F524" s="34"/>
      <c r="G524" s="26"/>
    </row>
    <row r="525" hidden="1">
      <c r="A525" s="26"/>
      <c r="B525" s="34"/>
      <c r="F525" s="34"/>
      <c r="G525" s="26"/>
    </row>
    <row r="526" hidden="1">
      <c r="A526" s="26"/>
      <c r="B526" s="34"/>
      <c r="F526" s="34"/>
      <c r="G526" s="26"/>
    </row>
    <row r="527" hidden="1">
      <c r="A527" s="26"/>
      <c r="B527" s="34"/>
      <c r="F527" s="34"/>
      <c r="G527" s="26"/>
    </row>
    <row r="528" hidden="1">
      <c r="A528" s="26"/>
      <c r="B528" s="34"/>
      <c r="F528" s="34"/>
      <c r="G528" s="26"/>
    </row>
    <row r="529" hidden="1">
      <c r="A529" s="26"/>
      <c r="B529" s="34"/>
      <c r="F529" s="34"/>
      <c r="G529" s="26"/>
    </row>
    <row r="530" hidden="1">
      <c r="A530" s="26"/>
      <c r="B530" s="34"/>
      <c r="F530" s="34"/>
      <c r="G530" s="26"/>
    </row>
    <row r="531" hidden="1">
      <c r="A531" s="26"/>
      <c r="B531" s="34"/>
      <c r="F531" s="34"/>
      <c r="G531" s="26"/>
    </row>
    <row r="532" hidden="1">
      <c r="A532" s="26"/>
      <c r="B532" s="34"/>
      <c r="F532" s="34"/>
      <c r="G532" s="26"/>
    </row>
    <row r="533" hidden="1">
      <c r="A533" s="26"/>
      <c r="B533" s="34"/>
      <c r="F533" s="34"/>
      <c r="G533" s="26"/>
    </row>
    <row r="534" hidden="1">
      <c r="A534" s="26"/>
      <c r="B534" s="34"/>
      <c r="F534" s="34"/>
      <c r="G534" s="26"/>
    </row>
    <row r="535" hidden="1">
      <c r="A535" s="26"/>
      <c r="B535" s="34"/>
      <c r="F535" s="34"/>
      <c r="G535" s="26"/>
    </row>
    <row r="536" hidden="1">
      <c r="A536" s="26"/>
      <c r="B536" s="34"/>
      <c r="F536" s="34"/>
      <c r="G536" s="26"/>
    </row>
    <row r="537" hidden="1">
      <c r="A537" s="26"/>
      <c r="B537" s="34"/>
      <c r="F537" s="34"/>
      <c r="G537" s="26"/>
    </row>
    <row r="538" hidden="1">
      <c r="A538" s="26"/>
      <c r="B538" s="34"/>
      <c r="F538" s="34"/>
      <c r="G538" s="26"/>
    </row>
    <row r="539" hidden="1">
      <c r="A539" s="26"/>
      <c r="B539" s="34"/>
      <c r="F539" s="34"/>
      <c r="G539" s="26"/>
    </row>
    <row r="540" hidden="1">
      <c r="A540" s="26"/>
      <c r="B540" s="34"/>
      <c r="F540" s="34"/>
      <c r="G540" s="26"/>
    </row>
    <row r="541" hidden="1">
      <c r="A541" s="26"/>
      <c r="B541" s="34"/>
      <c r="F541" s="34"/>
      <c r="G541" s="26"/>
    </row>
    <row r="542" hidden="1">
      <c r="A542" s="26"/>
      <c r="B542" s="34"/>
      <c r="F542" s="34"/>
      <c r="G542" s="26"/>
    </row>
    <row r="543" hidden="1">
      <c r="A543" s="26"/>
      <c r="B543" s="34"/>
      <c r="F543" s="34"/>
      <c r="G543" s="26"/>
    </row>
    <row r="544" hidden="1">
      <c r="A544" s="26"/>
      <c r="B544" s="34"/>
      <c r="F544" s="34"/>
      <c r="G544" s="26"/>
    </row>
    <row r="545" hidden="1">
      <c r="A545" s="26"/>
      <c r="B545" s="34"/>
      <c r="F545" s="34"/>
      <c r="G545" s="26"/>
    </row>
    <row r="546" hidden="1">
      <c r="A546" s="26"/>
      <c r="B546" s="34"/>
      <c r="F546" s="34"/>
      <c r="G546" s="26"/>
    </row>
    <row r="547" hidden="1">
      <c r="A547" s="26"/>
      <c r="B547" s="34"/>
      <c r="F547" s="34"/>
      <c r="G547" s="26"/>
    </row>
    <row r="548" hidden="1">
      <c r="A548" s="26"/>
      <c r="B548" s="34"/>
      <c r="F548" s="34"/>
      <c r="G548" s="26"/>
    </row>
    <row r="549" hidden="1">
      <c r="A549" s="26"/>
      <c r="B549" s="34"/>
      <c r="F549" s="34"/>
      <c r="G549" s="26"/>
    </row>
    <row r="550" hidden="1">
      <c r="A550" s="26"/>
      <c r="B550" s="34"/>
      <c r="F550" s="34"/>
      <c r="G550" s="26"/>
    </row>
    <row r="551" hidden="1">
      <c r="A551" s="26"/>
      <c r="B551" s="34"/>
      <c r="F551" s="34"/>
      <c r="G551" s="26"/>
    </row>
    <row r="552" hidden="1">
      <c r="A552" s="26"/>
      <c r="B552" s="34"/>
      <c r="F552" s="34"/>
      <c r="G552" s="26"/>
    </row>
    <row r="553" hidden="1">
      <c r="A553" s="26"/>
      <c r="B553" s="34"/>
      <c r="F553" s="34"/>
      <c r="G553" s="26"/>
    </row>
    <row r="554" hidden="1">
      <c r="A554" s="26"/>
      <c r="B554" s="34"/>
      <c r="F554" s="34"/>
      <c r="G554" s="26"/>
    </row>
    <row r="555" hidden="1">
      <c r="A555" s="26"/>
      <c r="B555" s="34"/>
      <c r="F555" s="34"/>
      <c r="G555" s="26"/>
    </row>
    <row r="556" hidden="1">
      <c r="A556" s="26"/>
      <c r="B556" s="34"/>
      <c r="F556" s="34"/>
      <c r="G556" s="26"/>
    </row>
    <row r="557" hidden="1">
      <c r="A557" s="26"/>
      <c r="B557" s="34"/>
      <c r="F557" s="34"/>
      <c r="G557" s="26"/>
    </row>
    <row r="558" hidden="1">
      <c r="A558" s="26"/>
      <c r="B558" s="34"/>
      <c r="F558" s="34"/>
      <c r="G558" s="26"/>
    </row>
    <row r="559" hidden="1">
      <c r="A559" s="26"/>
      <c r="B559" s="34"/>
      <c r="F559" s="34"/>
      <c r="G559" s="26"/>
    </row>
    <row r="560" hidden="1">
      <c r="A560" s="26"/>
      <c r="B560" s="34"/>
      <c r="F560" s="34"/>
      <c r="G560" s="26"/>
    </row>
    <row r="561" hidden="1">
      <c r="A561" s="26"/>
      <c r="B561" s="34"/>
      <c r="F561" s="34"/>
      <c r="G561" s="26"/>
    </row>
    <row r="562" hidden="1">
      <c r="A562" s="26"/>
      <c r="B562" s="34"/>
      <c r="F562" s="34"/>
      <c r="G562" s="26"/>
    </row>
    <row r="563" hidden="1">
      <c r="A563" s="26"/>
      <c r="B563" s="34"/>
      <c r="F563" s="34"/>
      <c r="G563" s="26"/>
    </row>
    <row r="564" hidden="1">
      <c r="A564" s="26"/>
      <c r="B564" s="34"/>
      <c r="F564" s="34"/>
      <c r="G564" s="26"/>
    </row>
    <row r="565" hidden="1">
      <c r="A565" s="26"/>
      <c r="B565" s="34"/>
      <c r="F565" s="34"/>
      <c r="G565" s="26"/>
    </row>
    <row r="566" hidden="1">
      <c r="A566" s="26"/>
      <c r="B566" s="34"/>
      <c r="F566" s="34"/>
      <c r="G566" s="26"/>
    </row>
    <row r="567" hidden="1">
      <c r="A567" s="26"/>
      <c r="B567" s="34"/>
      <c r="F567" s="34"/>
      <c r="G567" s="26"/>
    </row>
    <row r="568" hidden="1">
      <c r="A568" s="26"/>
      <c r="B568" s="34"/>
      <c r="F568" s="34"/>
      <c r="G568" s="26"/>
    </row>
    <row r="569" hidden="1">
      <c r="A569" s="26"/>
      <c r="B569" s="34"/>
      <c r="F569" s="34"/>
      <c r="G569" s="26"/>
    </row>
    <row r="570" hidden="1">
      <c r="A570" s="26"/>
      <c r="B570" s="34"/>
      <c r="F570" s="34"/>
      <c r="G570" s="26"/>
    </row>
    <row r="571" hidden="1">
      <c r="A571" s="26"/>
      <c r="B571" s="34"/>
      <c r="F571" s="34"/>
      <c r="G571" s="26"/>
    </row>
    <row r="572" hidden="1">
      <c r="A572" s="26"/>
      <c r="B572" s="34"/>
      <c r="F572" s="34"/>
      <c r="G572" s="26"/>
    </row>
    <row r="573" hidden="1">
      <c r="A573" s="26"/>
      <c r="B573" s="34"/>
      <c r="F573" s="34"/>
      <c r="G573" s="26"/>
    </row>
    <row r="574" hidden="1">
      <c r="A574" s="26"/>
      <c r="B574" s="34"/>
      <c r="F574" s="34"/>
      <c r="G574" s="26"/>
    </row>
    <row r="575" hidden="1">
      <c r="A575" s="26"/>
      <c r="B575" s="34"/>
      <c r="F575" s="34"/>
      <c r="G575" s="26"/>
    </row>
    <row r="576" hidden="1">
      <c r="A576" s="26"/>
      <c r="B576" s="34"/>
      <c r="F576" s="34"/>
      <c r="G576" s="26"/>
    </row>
    <row r="577" hidden="1">
      <c r="A577" s="26"/>
      <c r="B577" s="34"/>
      <c r="F577" s="34"/>
      <c r="G577" s="26"/>
    </row>
    <row r="578" hidden="1">
      <c r="A578" s="26"/>
      <c r="B578" s="34"/>
      <c r="F578" s="34"/>
      <c r="G578" s="26"/>
    </row>
    <row r="579" hidden="1">
      <c r="A579" s="26"/>
      <c r="B579" s="34"/>
      <c r="F579" s="34"/>
      <c r="G579" s="26"/>
    </row>
    <row r="580" hidden="1">
      <c r="A580" s="26"/>
      <c r="B580" s="34"/>
      <c r="F580" s="34"/>
      <c r="G580" s="26"/>
    </row>
    <row r="581" hidden="1">
      <c r="A581" s="26"/>
      <c r="B581" s="34"/>
      <c r="F581" s="34"/>
      <c r="G581" s="26"/>
    </row>
    <row r="582" hidden="1">
      <c r="A582" s="26"/>
      <c r="B582" s="34"/>
      <c r="F582" s="34"/>
      <c r="G582" s="26"/>
    </row>
    <row r="583" hidden="1">
      <c r="A583" s="26"/>
      <c r="B583" s="34"/>
      <c r="F583" s="34"/>
      <c r="G583" s="26"/>
    </row>
    <row r="584" hidden="1">
      <c r="A584" s="26"/>
      <c r="B584" s="34"/>
      <c r="F584" s="34"/>
      <c r="G584" s="26"/>
    </row>
    <row r="585" hidden="1">
      <c r="A585" s="26"/>
      <c r="B585" s="34"/>
      <c r="F585" s="34"/>
      <c r="G585" s="26"/>
    </row>
    <row r="586" hidden="1">
      <c r="A586" s="26"/>
      <c r="B586" s="34"/>
      <c r="F586" s="34"/>
      <c r="G586" s="26"/>
    </row>
    <row r="587" hidden="1">
      <c r="A587" s="26"/>
      <c r="B587" s="34"/>
      <c r="F587" s="34"/>
      <c r="G587" s="26"/>
    </row>
    <row r="588" hidden="1">
      <c r="A588" s="26"/>
      <c r="B588" s="34"/>
      <c r="F588" s="34"/>
      <c r="G588" s="26"/>
    </row>
    <row r="589" hidden="1">
      <c r="A589" s="26"/>
      <c r="B589" s="34"/>
      <c r="F589" s="34"/>
      <c r="G589" s="26"/>
    </row>
    <row r="590" hidden="1">
      <c r="A590" s="26"/>
      <c r="B590" s="34"/>
      <c r="F590" s="34"/>
      <c r="G590" s="26"/>
    </row>
    <row r="591" hidden="1">
      <c r="A591" s="26"/>
      <c r="B591" s="34"/>
      <c r="F591" s="34"/>
      <c r="G591" s="26"/>
    </row>
    <row r="592" hidden="1">
      <c r="A592" s="26"/>
      <c r="B592" s="34"/>
      <c r="F592" s="34"/>
      <c r="G592" s="26"/>
    </row>
    <row r="593" hidden="1">
      <c r="A593" s="26"/>
      <c r="B593" s="34"/>
      <c r="F593" s="34"/>
      <c r="G593" s="26"/>
    </row>
    <row r="594" hidden="1">
      <c r="A594" s="26"/>
      <c r="B594" s="34"/>
      <c r="F594" s="34"/>
      <c r="G594" s="26"/>
    </row>
    <row r="595" hidden="1">
      <c r="A595" s="26"/>
      <c r="B595" s="34"/>
      <c r="F595" s="34"/>
      <c r="G595" s="26"/>
    </row>
    <row r="596" hidden="1">
      <c r="A596" s="26"/>
      <c r="B596" s="34"/>
      <c r="F596" s="34"/>
      <c r="G596" s="26"/>
    </row>
    <row r="597" hidden="1">
      <c r="A597" s="26"/>
      <c r="B597" s="34"/>
      <c r="F597" s="34"/>
      <c r="G597" s="26"/>
    </row>
    <row r="598" hidden="1">
      <c r="A598" s="26"/>
      <c r="B598" s="34"/>
      <c r="F598" s="34"/>
      <c r="G598" s="26"/>
    </row>
    <row r="599" hidden="1">
      <c r="A599" s="26"/>
      <c r="B599" s="34"/>
      <c r="F599" s="34"/>
      <c r="G599" s="26"/>
    </row>
    <row r="600" hidden="1">
      <c r="A600" s="26"/>
      <c r="B600" s="34"/>
      <c r="F600" s="34"/>
      <c r="G600" s="26"/>
    </row>
    <row r="601" hidden="1">
      <c r="A601" s="26"/>
      <c r="B601" s="34"/>
      <c r="F601" s="34"/>
      <c r="G601" s="26"/>
    </row>
    <row r="602" hidden="1">
      <c r="A602" s="26"/>
      <c r="B602" s="34"/>
      <c r="F602" s="34"/>
      <c r="G602" s="26"/>
    </row>
    <row r="603" hidden="1">
      <c r="A603" s="26"/>
      <c r="B603" s="34"/>
      <c r="F603" s="34"/>
      <c r="G603" s="26"/>
    </row>
    <row r="604" hidden="1">
      <c r="A604" s="26"/>
      <c r="B604" s="34"/>
      <c r="F604" s="34"/>
      <c r="G604" s="26"/>
    </row>
    <row r="605" hidden="1">
      <c r="A605" s="26"/>
      <c r="B605" s="34"/>
      <c r="F605" s="34"/>
      <c r="G605" s="26"/>
    </row>
    <row r="606" hidden="1">
      <c r="A606" s="26"/>
      <c r="B606" s="34"/>
      <c r="F606" s="34"/>
      <c r="G606" s="26"/>
    </row>
    <row r="607" hidden="1">
      <c r="A607" s="26"/>
      <c r="B607" s="34"/>
      <c r="F607" s="34"/>
      <c r="G607" s="26"/>
    </row>
    <row r="608" hidden="1">
      <c r="A608" s="26"/>
      <c r="B608" s="34"/>
      <c r="F608" s="34"/>
      <c r="G608" s="26"/>
    </row>
    <row r="609" hidden="1">
      <c r="A609" s="26"/>
      <c r="B609" s="34"/>
      <c r="F609" s="34"/>
      <c r="G609" s="26"/>
    </row>
    <row r="610" hidden="1">
      <c r="A610" s="26"/>
      <c r="B610" s="34"/>
      <c r="F610" s="34"/>
      <c r="G610" s="26"/>
    </row>
    <row r="611" hidden="1">
      <c r="A611" s="26"/>
      <c r="B611" s="34"/>
      <c r="F611" s="34"/>
      <c r="G611" s="26"/>
    </row>
    <row r="612" hidden="1">
      <c r="A612" s="26"/>
      <c r="B612" s="34"/>
      <c r="F612" s="34"/>
      <c r="G612" s="26"/>
    </row>
    <row r="613" hidden="1">
      <c r="A613" s="26"/>
      <c r="B613" s="34"/>
      <c r="F613" s="34"/>
      <c r="G613" s="26"/>
    </row>
    <row r="614" hidden="1">
      <c r="A614" s="26"/>
      <c r="B614" s="34"/>
      <c r="F614" s="34"/>
      <c r="G614" s="26"/>
    </row>
    <row r="615" hidden="1">
      <c r="A615" s="26"/>
      <c r="B615" s="34"/>
      <c r="F615" s="34"/>
      <c r="G615" s="26"/>
    </row>
    <row r="616" hidden="1">
      <c r="A616" s="26"/>
      <c r="B616" s="34"/>
      <c r="F616" s="34"/>
      <c r="G616" s="26"/>
    </row>
    <row r="617" hidden="1">
      <c r="A617" s="26"/>
      <c r="B617" s="34"/>
      <c r="F617" s="34"/>
      <c r="G617" s="26"/>
    </row>
    <row r="618" hidden="1">
      <c r="A618" s="26"/>
      <c r="B618" s="34"/>
      <c r="F618" s="34"/>
      <c r="G618" s="26"/>
    </row>
    <row r="619" hidden="1">
      <c r="A619" s="26"/>
      <c r="B619" s="34"/>
      <c r="F619" s="34"/>
      <c r="G619" s="26"/>
    </row>
    <row r="620" hidden="1">
      <c r="A620" s="26"/>
      <c r="B620" s="34"/>
      <c r="F620" s="34"/>
      <c r="G620" s="26"/>
    </row>
    <row r="621" hidden="1">
      <c r="A621" s="26"/>
      <c r="B621" s="34"/>
      <c r="F621" s="34"/>
      <c r="G621" s="26"/>
    </row>
    <row r="622" hidden="1">
      <c r="A622" s="26"/>
      <c r="B622" s="34"/>
      <c r="F622" s="34"/>
      <c r="G622" s="26"/>
    </row>
    <row r="623" hidden="1">
      <c r="A623" s="26"/>
      <c r="B623" s="34"/>
      <c r="F623" s="34"/>
      <c r="G623" s="26"/>
    </row>
    <row r="624" hidden="1">
      <c r="A624" s="26"/>
      <c r="B624" s="34"/>
      <c r="F624" s="34"/>
      <c r="G624" s="26"/>
    </row>
    <row r="625" hidden="1">
      <c r="A625" s="26"/>
      <c r="B625" s="34"/>
      <c r="F625" s="34"/>
      <c r="G625" s="26"/>
    </row>
    <row r="626" hidden="1">
      <c r="A626" s="26"/>
      <c r="B626" s="34"/>
      <c r="F626" s="34"/>
      <c r="G626" s="26"/>
    </row>
    <row r="627" hidden="1">
      <c r="A627" s="26"/>
      <c r="B627" s="34"/>
      <c r="F627" s="34"/>
      <c r="G627" s="26"/>
    </row>
    <row r="628" hidden="1">
      <c r="A628" s="26"/>
      <c r="B628" s="34"/>
      <c r="F628" s="34"/>
      <c r="G628" s="26"/>
    </row>
    <row r="629" hidden="1">
      <c r="A629" s="26"/>
      <c r="B629" s="34"/>
      <c r="F629" s="34"/>
      <c r="G629" s="26"/>
    </row>
    <row r="630" hidden="1">
      <c r="A630" s="26"/>
      <c r="B630" s="34"/>
      <c r="F630" s="34"/>
      <c r="G630" s="26"/>
    </row>
    <row r="631" hidden="1">
      <c r="A631" s="26"/>
      <c r="B631" s="34"/>
      <c r="F631" s="34"/>
      <c r="G631" s="26"/>
    </row>
    <row r="632" hidden="1">
      <c r="A632" s="26"/>
      <c r="B632" s="34"/>
      <c r="F632" s="34"/>
      <c r="G632" s="26"/>
    </row>
    <row r="633" hidden="1">
      <c r="A633" s="26"/>
      <c r="B633" s="34"/>
      <c r="F633" s="34"/>
      <c r="G633" s="26"/>
    </row>
    <row r="634" hidden="1">
      <c r="A634" s="26"/>
      <c r="B634" s="34"/>
      <c r="F634" s="34"/>
      <c r="G634" s="26"/>
    </row>
    <row r="635" hidden="1">
      <c r="A635" s="26"/>
      <c r="B635" s="34"/>
      <c r="F635" s="34"/>
      <c r="G635" s="26"/>
    </row>
    <row r="636" hidden="1">
      <c r="A636" s="26"/>
      <c r="B636" s="34"/>
      <c r="F636" s="34"/>
      <c r="G636" s="26"/>
    </row>
    <row r="637" hidden="1">
      <c r="A637" s="26"/>
      <c r="B637" s="34"/>
      <c r="F637" s="34"/>
      <c r="G637" s="26"/>
    </row>
    <row r="638" hidden="1">
      <c r="A638" s="26"/>
      <c r="B638" s="34"/>
      <c r="F638" s="34"/>
      <c r="G638" s="26"/>
    </row>
    <row r="639" hidden="1">
      <c r="A639" s="26"/>
      <c r="B639" s="34"/>
      <c r="F639" s="34"/>
      <c r="G639" s="26"/>
    </row>
    <row r="640" hidden="1">
      <c r="A640" s="26"/>
      <c r="B640" s="34"/>
      <c r="F640" s="34"/>
      <c r="G640" s="26"/>
    </row>
    <row r="641" hidden="1">
      <c r="A641" s="26"/>
      <c r="B641" s="34"/>
      <c r="F641" s="34"/>
      <c r="G641" s="26"/>
    </row>
    <row r="642" hidden="1">
      <c r="A642" s="26"/>
      <c r="B642" s="34"/>
      <c r="F642" s="34"/>
      <c r="G642" s="26"/>
    </row>
    <row r="643" hidden="1">
      <c r="A643" s="26"/>
      <c r="B643" s="34"/>
      <c r="F643" s="34"/>
      <c r="G643" s="26"/>
    </row>
    <row r="644" hidden="1">
      <c r="A644" s="26"/>
      <c r="B644" s="34"/>
      <c r="F644" s="34"/>
      <c r="G644" s="26"/>
    </row>
    <row r="645" hidden="1">
      <c r="A645" s="26"/>
      <c r="B645" s="34"/>
      <c r="F645" s="34"/>
      <c r="G645" s="26"/>
    </row>
    <row r="646" hidden="1">
      <c r="A646" s="26"/>
      <c r="B646" s="34"/>
      <c r="F646" s="34"/>
      <c r="G646" s="26"/>
    </row>
    <row r="647" hidden="1">
      <c r="A647" s="26"/>
      <c r="B647" s="34"/>
      <c r="F647" s="34"/>
      <c r="G647" s="26"/>
    </row>
    <row r="648" hidden="1">
      <c r="A648" s="26"/>
      <c r="B648" s="34"/>
      <c r="F648" s="34"/>
      <c r="G648" s="26"/>
    </row>
    <row r="649" hidden="1">
      <c r="A649" s="26"/>
      <c r="B649" s="34"/>
      <c r="F649" s="34"/>
      <c r="G649" s="26"/>
    </row>
    <row r="650" hidden="1">
      <c r="A650" s="26"/>
      <c r="B650" s="34"/>
      <c r="F650" s="34"/>
      <c r="G650" s="26"/>
    </row>
    <row r="651" hidden="1">
      <c r="A651" s="26"/>
      <c r="B651" s="34"/>
      <c r="F651" s="34"/>
      <c r="G651" s="26"/>
    </row>
    <row r="652" hidden="1">
      <c r="A652" s="26"/>
      <c r="B652" s="34"/>
      <c r="F652" s="34"/>
      <c r="G652" s="26"/>
    </row>
    <row r="653" hidden="1">
      <c r="A653" s="26"/>
      <c r="B653" s="34"/>
      <c r="F653" s="34"/>
      <c r="G653" s="26"/>
    </row>
    <row r="654" hidden="1">
      <c r="A654" s="26"/>
      <c r="B654" s="34"/>
      <c r="F654" s="34"/>
      <c r="G654" s="26"/>
    </row>
    <row r="655" hidden="1">
      <c r="A655" s="26"/>
      <c r="B655" s="34"/>
      <c r="F655" s="34"/>
      <c r="G655" s="26"/>
    </row>
    <row r="656" hidden="1">
      <c r="A656" s="26"/>
      <c r="B656" s="34"/>
      <c r="F656" s="34"/>
      <c r="G656" s="26"/>
    </row>
    <row r="657" hidden="1">
      <c r="A657" s="26"/>
      <c r="B657" s="34"/>
      <c r="F657" s="34"/>
      <c r="G657" s="26"/>
    </row>
    <row r="658" hidden="1">
      <c r="A658" s="26"/>
      <c r="B658" s="34"/>
      <c r="F658" s="34"/>
      <c r="G658" s="26"/>
    </row>
    <row r="659" hidden="1">
      <c r="A659" s="26"/>
      <c r="B659" s="34"/>
      <c r="F659" s="34"/>
      <c r="G659" s="26"/>
    </row>
    <row r="660" hidden="1">
      <c r="A660" s="26"/>
      <c r="B660" s="34"/>
      <c r="F660" s="34"/>
      <c r="G660" s="26"/>
    </row>
    <row r="661" hidden="1">
      <c r="A661" s="26"/>
      <c r="B661" s="34"/>
      <c r="F661" s="34"/>
      <c r="G661" s="26"/>
    </row>
    <row r="662" hidden="1">
      <c r="A662" s="26"/>
      <c r="B662" s="34"/>
      <c r="F662" s="34"/>
      <c r="G662" s="26"/>
    </row>
    <row r="663" hidden="1">
      <c r="A663" s="26"/>
      <c r="B663" s="34"/>
      <c r="F663" s="34"/>
      <c r="G663" s="26"/>
    </row>
    <row r="664" hidden="1">
      <c r="A664" s="26"/>
      <c r="B664" s="34"/>
      <c r="F664" s="34"/>
      <c r="G664" s="26"/>
    </row>
    <row r="665" hidden="1">
      <c r="A665" s="26"/>
      <c r="B665" s="34"/>
      <c r="F665" s="34"/>
      <c r="G665" s="26"/>
    </row>
    <row r="666" hidden="1">
      <c r="A666" s="26"/>
      <c r="B666" s="34"/>
      <c r="F666" s="34"/>
      <c r="G666" s="26"/>
    </row>
    <row r="667" hidden="1">
      <c r="A667" s="26"/>
      <c r="B667" s="34"/>
      <c r="F667" s="34"/>
      <c r="G667" s="26"/>
    </row>
    <row r="668" hidden="1">
      <c r="A668" s="26"/>
      <c r="B668" s="34"/>
      <c r="F668" s="34"/>
      <c r="G668" s="26"/>
    </row>
    <row r="669" hidden="1">
      <c r="A669" s="26"/>
      <c r="B669" s="34"/>
      <c r="F669" s="34"/>
      <c r="G669" s="26"/>
    </row>
    <row r="670" hidden="1">
      <c r="A670" s="26"/>
      <c r="B670" s="34"/>
      <c r="F670" s="34"/>
      <c r="G670" s="26"/>
    </row>
    <row r="671" hidden="1">
      <c r="A671" s="26"/>
      <c r="B671" s="34"/>
      <c r="F671" s="34"/>
      <c r="G671" s="26"/>
    </row>
    <row r="672" hidden="1">
      <c r="A672" s="26"/>
      <c r="B672" s="34"/>
      <c r="F672" s="34"/>
      <c r="G672" s="26"/>
    </row>
    <row r="673" hidden="1">
      <c r="A673" s="26"/>
      <c r="B673" s="34"/>
      <c r="F673" s="34"/>
      <c r="G673" s="26"/>
    </row>
    <row r="674" hidden="1">
      <c r="A674" s="26"/>
      <c r="B674" s="34"/>
      <c r="F674" s="34"/>
      <c r="G674" s="26"/>
    </row>
    <row r="675" hidden="1">
      <c r="A675" s="26"/>
      <c r="B675" s="34"/>
      <c r="F675" s="34"/>
      <c r="G675" s="26"/>
    </row>
    <row r="676" hidden="1">
      <c r="A676" s="26"/>
      <c r="B676" s="34"/>
      <c r="F676" s="34"/>
      <c r="G676" s="26"/>
    </row>
    <row r="677" hidden="1">
      <c r="A677" s="26"/>
      <c r="B677" s="34"/>
      <c r="F677" s="34"/>
      <c r="G677" s="26"/>
    </row>
    <row r="678" hidden="1">
      <c r="A678" s="26"/>
      <c r="B678" s="34"/>
      <c r="F678" s="34"/>
      <c r="G678" s="26"/>
    </row>
    <row r="679" hidden="1">
      <c r="A679" s="26"/>
      <c r="B679" s="34"/>
      <c r="F679" s="34"/>
      <c r="G679" s="26"/>
    </row>
    <row r="680" hidden="1">
      <c r="A680" s="26"/>
      <c r="B680" s="34"/>
      <c r="F680" s="34"/>
      <c r="G680" s="26"/>
    </row>
    <row r="681" hidden="1">
      <c r="A681" s="26"/>
      <c r="B681" s="34"/>
      <c r="F681" s="34"/>
      <c r="G681" s="26"/>
    </row>
    <row r="682" hidden="1">
      <c r="A682" s="26"/>
      <c r="B682" s="34"/>
      <c r="F682" s="34"/>
      <c r="G682" s="26"/>
    </row>
    <row r="683" hidden="1">
      <c r="A683" s="26"/>
      <c r="B683" s="34"/>
      <c r="F683" s="34"/>
      <c r="G683" s="26"/>
    </row>
    <row r="684" hidden="1">
      <c r="A684" s="26"/>
      <c r="B684" s="34"/>
      <c r="F684" s="34"/>
      <c r="G684" s="26"/>
    </row>
    <row r="685" hidden="1">
      <c r="A685" s="26"/>
      <c r="B685" s="34"/>
      <c r="F685" s="34"/>
      <c r="G685" s="26"/>
    </row>
    <row r="686" hidden="1">
      <c r="A686" s="26"/>
      <c r="B686" s="34"/>
      <c r="F686" s="34"/>
      <c r="G686" s="26"/>
    </row>
    <row r="687" hidden="1">
      <c r="A687" s="26"/>
      <c r="B687" s="34"/>
      <c r="F687" s="34"/>
      <c r="G687" s="26"/>
    </row>
    <row r="688" hidden="1">
      <c r="A688" s="26"/>
      <c r="B688" s="34"/>
      <c r="F688" s="34"/>
      <c r="G688" s="26"/>
    </row>
    <row r="689" hidden="1">
      <c r="A689" s="26"/>
      <c r="B689" s="34"/>
      <c r="F689" s="34"/>
      <c r="G689" s="26"/>
    </row>
    <row r="690" hidden="1">
      <c r="A690" s="26"/>
      <c r="B690" s="34"/>
      <c r="F690" s="34"/>
      <c r="G690" s="26"/>
    </row>
    <row r="691" hidden="1">
      <c r="A691" s="26"/>
      <c r="B691" s="34"/>
      <c r="F691" s="34"/>
      <c r="G691" s="26"/>
    </row>
    <row r="692" hidden="1">
      <c r="A692" s="26"/>
      <c r="B692" s="34"/>
      <c r="F692" s="34"/>
      <c r="G692" s="26"/>
    </row>
    <row r="693" hidden="1">
      <c r="A693" s="26"/>
      <c r="B693" s="34"/>
      <c r="F693" s="34"/>
      <c r="G693" s="26"/>
    </row>
    <row r="694" hidden="1">
      <c r="A694" s="26"/>
      <c r="B694" s="34"/>
      <c r="F694" s="34"/>
      <c r="G694" s="26"/>
    </row>
    <row r="695" hidden="1">
      <c r="A695" s="26"/>
      <c r="B695" s="34"/>
      <c r="F695" s="34"/>
      <c r="G695" s="26"/>
    </row>
    <row r="696" hidden="1">
      <c r="A696" s="26"/>
      <c r="B696" s="34"/>
      <c r="F696" s="34"/>
      <c r="G696" s="26"/>
    </row>
    <row r="697" hidden="1">
      <c r="A697" s="26"/>
      <c r="B697" s="34"/>
      <c r="F697" s="34"/>
      <c r="G697" s="26"/>
    </row>
    <row r="698" hidden="1">
      <c r="A698" s="26"/>
      <c r="B698" s="34"/>
      <c r="F698" s="34"/>
      <c r="G698" s="26"/>
    </row>
    <row r="699" hidden="1">
      <c r="A699" s="26"/>
      <c r="B699" s="34"/>
      <c r="F699" s="34"/>
      <c r="G699" s="26"/>
    </row>
    <row r="700" hidden="1">
      <c r="A700" s="26"/>
      <c r="B700" s="34"/>
      <c r="F700" s="34"/>
      <c r="G700" s="26"/>
    </row>
    <row r="701" hidden="1">
      <c r="A701" s="26"/>
      <c r="B701" s="34"/>
      <c r="F701" s="34"/>
      <c r="G701" s="26"/>
    </row>
    <row r="702" hidden="1">
      <c r="A702" s="26"/>
      <c r="B702" s="34"/>
      <c r="F702" s="34"/>
      <c r="G702" s="26"/>
    </row>
    <row r="703" hidden="1">
      <c r="A703" s="26"/>
      <c r="B703" s="34"/>
      <c r="F703" s="34"/>
      <c r="G703" s="26"/>
    </row>
    <row r="704" hidden="1">
      <c r="A704" s="26"/>
      <c r="B704" s="34"/>
      <c r="F704" s="34"/>
      <c r="G704" s="26"/>
    </row>
    <row r="705" hidden="1">
      <c r="A705" s="26"/>
      <c r="B705" s="34"/>
      <c r="F705" s="34"/>
      <c r="G705" s="26"/>
    </row>
    <row r="706" hidden="1">
      <c r="A706" s="26"/>
      <c r="B706" s="34"/>
      <c r="F706" s="34"/>
      <c r="G706" s="26"/>
    </row>
    <row r="707" hidden="1">
      <c r="A707" s="26"/>
      <c r="B707" s="34"/>
      <c r="F707" s="34"/>
      <c r="G707" s="26"/>
    </row>
    <row r="708" hidden="1">
      <c r="A708" s="26"/>
      <c r="B708" s="34"/>
      <c r="F708" s="34"/>
      <c r="G708" s="26"/>
    </row>
    <row r="709" hidden="1">
      <c r="A709" s="26"/>
      <c r="B709" s="34"/>
      <c r="F709" s="34"/>
      <c r="G709" s="26"/>
    </row>
    <row r="710" hidden="1">
      <c r="A710" s="26"/>
      <c r="B710" s="34"/>
      <c r="F710" s="34"/>
      <c r="G710" s="26"/>
    </row>
    <row r="711" hidden="1">
      <c r="A711" s="26"/>
      <c r="B711" s="34"/>
      <c r="F711" s="34"/>
      <c r="G711" s="26"/>
    </row>
    <row r="712" hidden="1">
      <c r="A712" s="26"/>
      <c r="B712" s="34"/>
      <c r="F712" s="34"/>
      <c r="G712" s="26"/>
    </row>
    <row r="713" hidden="1">
      <c r="A713" s="26"/>
      <c r="B713" s="34"/>
      <c r="F713" s="34"/>
      <c r="G713" s="26"/>
    </row>
    <row r="714" hidden="1">
      <c r="A714" s="26"/>
      <c r="B714" s="34"/>
      <c r="F714" s="34"/>
      <c r="G714" s="26"/>
    </row>
    <row r="715" hidden="1">
      <c r="A715" s="26"/>
      <c r="B715" s="34"/>
      <c r="F715" s="34"/>
      <c r="G715" s="26"/>
    </row>
    <row r="716" hidden="1">
      <c r="A716" s="26"/>
      <c r="B716" s="34"/>
      <c r="F716" s="34"/>
      <c r="G716" s="26"/>
    </row>
    <row r="717" hidden="1">
      <c r="A717" s="26"/>
      <c r="B717" s="34"/>
      <c r="F717" s="34"/>
      <c r="G717" s="26"/>
    </row>
    <row r="718" hidden="1">
      <c r="A718" s="26"/>
      <c r="B718" s="34"/>
      <c r="F718" s="34"/>
      <c r="G718" s="26"/>
    </row>
    <row r="719" hidden="1">
      <c r="A719" s="26"/>
      <c r="B719" s="34"/>
      <c r="F719" s="34"/>
      <c r="G719" s="26"/>
    </row>
    <row r="720" hidden="1">
      <c r="A720" s="26"/>
      <c r="B720" s="34"/>
      <c r="F720" s="34"/>
      <c r="G720" s="26"/>
    </row>
    <row r="721" hidden="1">
      <c r="A721" s="26"/>
      <c r="B721" s="34"/>
      <c r="F721" s="34"/>
      <c r="G721" s="26"/>
    </row>
    <row r="722" hidden="1">
      <c r="A722" s="26"/>
      <c r="B722" s="34"/>
      <c r="F722" s="34"/>
      <c r="G722" s="26"/>
    </row>
    <row r="723" hidden="1">
      <c r="A723" s="26"/>
      <c r="B723" s="34"/>
      <c r="F723" s="34"/>
      <c r="G723" s="26"/>
    </row>
    <row r="724" hidden="1">
      <c r="A724" s="26"/>
      <c r="B724" s="34"/>
      <c r="F724" s="34"/>
      <c r="G724" s="26"/>
    </row>
    <row r="725" hidden="1">
      <c r="A725" s="26"/>
      <c r="B725" s="34"/>
      <c r="F725" s="34"/>
      <c r="G725" s="26"/>
    </row>
    <row r="726" hidden="1">
      <c r="A726" s="26"/>
      <c r="B726" s="34"/>
      <c r="F726" s="34"/>
      <c r="G726" s="26"/>
    </row>
    <row r="727" hidden="1">
      <c r="A727" s="26"/>
      <c r="B727" s="34"/>
      <c r="F727" s="34"/>
      <c r="G727" s="26"/>
    </row>
    <row r="728" hidden="1">
      <c r="A728" s="26"/>
      <c r="B728" s="34"/>
      <c r="F728" s="34"/>
      <c r="G728" s="26"/>
    </row>
    <row r="729" hidden="1">
      <c r="A729" s="26"/>
      <c r="B729" s="34"/>
      <c r="F729" s="34"/>
      <c r="G729" s="26"/>
    </row>
    <row r="730" hidden="1">
      <c r="A730" s="26"/>
      <c r="B730" s="34"/>
      <c r="F730" s="34"/>
      <c r="G730" s="26"/>
    </row>
    <row r="731" hidden="1">
      <c r="A731" s="26"/>
      <c r="B731" s="34"/>
      <c r="F731" s="34"/>
      <c r="G731" s="26"/>
    </row>
    <row r="732" hidden="1">
      <c r="A732" s="26"/>
      <c r="B732" s="34"/>
      <c r="F732" s="34"/>
      <c r="G732" s="26"/>
    </row>
    <row r="733" hidden="1">
      <c r="A733" s="26"/>
      <c r="B733" s="34"/>
      <c r="F733" s="34"/>
      <c r="G733" s="26"/>
    </row>
    <row r="734" hidden="1">
      <c r="A734" s="26"/>
      <c r="B734" s="34"/>
      <c r="F734" s="34"/>
      <c r="G734" s="26"/>
    </row>
    <row r="735" hidden="1">
      <c r="A735" s="26"/>
      <c r="B735" s="34"/>
      <c r="F735" s="34"/>
      <c r="G735" s="26"/>
    </row>
    <row r="736" hidden="1">
      <c r="A736" s="26"/>
      <c r="B736" s="34"/>
      <c r="F736" s="34"/>
      <c r="G736" s="26"/>
    </row>
    <row r="737" hidden="1">
      <c r="A737" s="26"/>
      <c r="B737" s="34"/>
      <c r="F737" s="34"/>
      <c r="G737" s="26"/>
    </row>
    <row r="738" hidden="1">
      <c r="A738" s="26"/>
      <c r="B738" s="34"/>
      <c r="F738" s="34"/>
      <c r="G738" s="26"/>
    </row>
    <row r="739" hidden="1">
      <c r="A739" s="26"/>
      <c r="B739" s="34"/>
      <c r="F739" s="34"/>
      <c r="G739" s="26"/>
    </row>
    <row r="740" hidden="1">
      <c r="A740" s="26"/>
      <c r="B740" s="34"/>
      <c r="F740" s="34"/>
      <c r="G740" s="26"/>
    </row>
    <row r="741" hidden="1">
      <c r="A741" s="26"/>
      <c r="B741" s="34"/>
      <c r="F741" s="34"/>
      <c r="G741" s="26"/>
    </row>
    <row r="742" hidden="1">
      <c r="A742" s="26"/>
      <c r="B742" s="34"/>
      <c r="F742" s="34"/>
      <c r="G742" s="26"/>
    </row>
    <row r="743" hidden="1">
      <c r="A743" s="26"/>
      <c r="B743" s="34"/>
      <c r="F743" s="34"/>
      <c r="G743" s="26"/>
    </row>
    <row r="744" hidden="1">
      <c r="A744" s="26"/>
      <c r="B744" s="34"/>
      <c r="F744" s="34"/>
      <c r="G744" s="26"/>
    </row>
    <row r="745" hidden="1">
      <c r="A745" s="26"/>
      <c r="B745" s="34"/>
      <c r="F745" s="34"/>
      <c r="G745" s="26"/>
    </row>
    <row r="746" hidden="1">
      <c r="A746" s="26"/>
      <c r="B746" s="34"/>
      <c r="F746" s="34"/>
      <c r="G746" s="26"/>
    </row>
    <row r="747" hidden="1">
      <c r="A747" s="26"/>
      <c r="B747" s="34"/>
      <c r="F747" s="34"/>
      <c r="G747" s="26"/>
    </row>
    <row r="748" hidden="1">
      <c r="A748" s="26"/>
      <c r="B748" s="34"/>
      <c r="F748" s="34"/>
      <c r="G748" s="26"/>
    </row>
    <row r="749" hidden="1">
      <c r="A749" s="26"/>
      <c r="B749" s="34"/>
      <c r="F749" s="34"/>
      <c r="G749" s="26"/>
    </row>
    <row r="750" hidden="1">
      <c r="A750" s="26"/>
      <c r="B750" s="34"/>
      <c r="F750" s="34"/>
      <c r="G750" s="26"/>
    </row>
    <row r="751" hidden="1">
      <c r="A751" s="26"/>
      <c r="B751" s="34"/>
      <c r="F751" s="34"/>
      <c r="G751" s="26"/>
    </row>
    <row r="752" hidden="1">
      <c r="A752" s="26"/>
      <c r="B752" s="34"/>
      <c r="F752" s="34"/>
      <c r="G752" s="26"/>
    </row>
    <row r="753" hidden="1">
      <c r="A753" s="26"/>
      <c r="B753" s="34"/>
      <c r="F753" s="34"/>
      <c r="G753" s="26"/>
    </row>
    <row r="754" hidden="1">
      <c r="A754" s="26"/>
      <c r="B754" s="34"/>
      <c r="F754" s="34"/>
      <c r="G754" s="26"/>
    </row>
    <row r="755" hidden="1">
      <c r="A755" s="26"/>
      <c r="B755" s="34"/>
      <c r="F755" s="34"/>
      <c r="G755" s="26"/>
    </row>
    <row r="756" hidden="1">
      <c r="A756" s="26"/>
      <c r="B756" s="34"/>
      <c r="F756" s="34"/>
      <c r="G756" s="26"/>
    </row>
    <row r="757" hidden="1">
      <c r="A757" s="26"/>
      <c r="B757" s="34"/>
      <c r="F757" s="34"/>
      <c r="G757" s="26"/>
    </row>
    <row r="758" hidden="1">
      <c r="A758" s="26"/>
      <c r="B758" s="34"/>
      <c r="F758" s="34"/>
      <c r="G758" s="26"/>
    </row>
    <row r="759" hidden="1">
      <c r="A759" s="26"/>
      <c r="B759" s="34"/>
      <c r="F759" s="34"/>
      <c r="G759" s="26"/>
    </row>
    <row r="760" hidden="1">
      <c r="A760" s="26"/>
      <c r="B760" s="34"/>
      <c r="F760" s="34"/>
      <c r="G760" s="26"/>
    </row>
    <row r="761" hidden="1">
      <c r="A761" s="26"/>
      <c r="B761" s="34"/>
      <c r="F761" s="34"/>
      <c r="G761" s="26"/>
    </row>
    <row r="762" hidden="1">
      <c r="A762" s="26"/>
      <c r="B762" s="34"/>
      <c r="F762" s="34"/>
      <c r="G762" s="26"/>
    </row>
    <row r="763" hidden="1">
      <c r="A763" s="26"/>
      <c r="B763" s="34"/>
      <c r="F763" s="34"/>
      <c r="G763" s="26"/>
    </row>
    <row r="764" hidden="1">
      <c r="A764" s="26"/>
      <c r="B764" s="34"/>
      <c r="F764" s="34"/>
      <c r="G764" s="26"/>
    </row>
    <row r="765" hidden="1">
      <c r="A765" s="26"/>
      <c r="B765" s="34"/>
      <c r="F765" s="34"/>
      <c r="G765" s="26"/>
    </row>
    <row r="766" hidden="1">
      <c r="A766" s="26"/>
      <c r="B766" s="34"/>
      <c r="F766" s="34"/>
      <c r="G766" s="26"/>
    </row>
    <row r="767" hidden="1">
      <c r="A767" s="26"/>
      <c r="B767" s="34"/>
      <c r="F767" s="34"/>
      <c r="G767" s="26"/>
    </row>
    <row r="768" hidden="1">
      <c r="A768" s="26"/>
      <c r="B768" s="34"/>
      <c r="F768" s="34"/>
      <c r="G768" s="26"/>
    </row>
    <row r="769" hidden="1">
      <c r="A769" s="26"/>
      <c r="B769" s="34"/>
      <c r="F769" s="34"/>
      <c r="G769" s="26"/>
    </row>
    <row r="770" hidden="1">
      <c r="A770" s="26"/>
      <c r="B770" s="34"/>
      <c r="F770" s="34"/>
      <c r="G770" s="26"/>
    </row>
    <row r="771" hidden="1">
      <c r="A771" s="26"/>
      <c r="B771" s="34"/>
      <c r="F771" s="34"/>
      <c r="G771" s="26"/>
    </row>
    <row r="772" hidden="1">
      <c r="A772" s="26"/>
      <c r="B772" s="34"/>
      <c r="F772" s="34"/>
      <c r="G772" s="26"/>
    </row>
    <row r="773" hidden="1">
      <c r="A773" s="26"/>
      <c r="B773" s="34"/>
      <c r="F773" s="34"/>
      <c r="G773" s="26"/>
    </row>
    <row r="774" hidden="1">
      <c r="A774" s="26"/>
      <c r="B774" s="34"/>
      <c r="F774" s="34"/>
      <c r="G774" s="26"/>
    </row>
    <row r="775" hidden="1">
      <c r="A775" s="26"/>
      <c r="B775" s="34"/>
      <c r="F775" s="34"/>
      <c r="G775" s="26"/>
    </row>
    <row r="776" hidden="1">
      <c r="A776" s="26"/>
      <c r="B776" s="34"/>
      <c r="F776" s="34"/>
      <c r="G776" s="26"/>
    </row>
    <row r="777" hidden="1">
      <c r="A777" s="26"/>
      <c r="B777" s="34"/>
      <c r="F777" s="34"/>
      <c r="G777" s="26"/>
    </row>
    <row r="778" hidden="1">
      <c r="A778" s="26"/>
      <c r="B778" s="34"/>
      <c r="F778" s="34"/>
      <c r="G778" s="26"/>
    </row>
    <row r="779" hidden="1">
      <c r="A779" s="26"/>
      <c r="B779" s="34"/>
      <c r="F779" s="34"/>
      <c r="G779" s="26"/>
    </row>
    <row r="780" hidden="1">
      <c r="A780" s="26"/>
      <c r="B780" s="34"/>
      <c r="F780" s="34"/>
      <c r="G780" s="26"/>
    </row>
    <row r="781" hidden="1">
      <c r="A781" s="26"/>
      <c r="B781" s="34"/>
      <c r="F781" s="34"/>
      <c r="G781" s="26"/>
    </row>
    <row r="782" hidden="1">
      <c r="A782" s="26"/>
      <c r="B782" s="34"/>
      <c r="F782" s="34"/>
      <c r="G782" s="26"/>
    </row>
    <row r="783" hidden="1">
      <c r="A783" s="26"/>
      <c r="B783" s="34"/>
      <c r="F783" s="34"/>
      <c r="G783" s="26"/>
    </row>
    <row r="784" hidden="1">
      <c r="A784" s="26"/>
      <c r="B784" s="34"/>
      <c r="F784" s="34"/>
      <c r="G784" s="26"/>
    </row>
    <row r="785" hidden="1">
      <c r="A785" s="26"/>
      <c r="B785" s="34"/>
      <c r="F785" s="34"/>
      <c r="G785" s="26"/>
    </row>
    <row r="786" hidden="1">
      <c r="A786" s="26"/>
      <c r="B786" s="34"/>
      <c r="F786" s="34"/>
      <c r="G786" s="26"/>
    </row>
    <row r="787" hidden="1">
      <c r="A787" s="26"/>
      <c r="B787" s="34"/>
      <c r="F787" s="34"/>
      <c r="G787" s="26"/>
    </row>
    <row r="788" hidden="1">
      <c r="A788" s="26"/>
      <c r="B788" s="34"/>
      <c r="F788" s="34"/>
      <c r="G788" s="26"/>
    </row>
    <row r="789" hidden="1">
      <c r="A789" s="26"/>
      <c r="B789" s="34"/>
      <c r="F789" s="34"/>
      <c r="G789" s="26"/>
    </row>
    <row r="790" hidden="1">
      <c r="A790" s="26"/>
      <c r="B790" s="34"/>
      <c r="F790" s="34"/>
      <c r="G790" s="26"/>
    </row>
    <row r="791" hidden="1">
      <c r="A791" s="26"/>
      <c r="B791" s="34"/>
      <c r="F791" s="34"/>
      <c r="G791" s="26"/>
    </row>
    <row r="792" hidden="1">
      <c r="A792" s="26"/>
      <c r="B792" s="34"/>
      <c r="F792" s="34"/>
      <c r="G792" s="26"/>
    </row>
    <row r="793" hidden="1">
      <c r="A793" s="26"/>
      <c r="B793" s="34"/>
      <c r="F793" s="34"/>
      <c r="G793" s="26"/>
    </row>
    <row r="794" hidden="1">
      <c r="A794" s="26"/>
      <c r="B794" s="34"/>
      <c r="F794" s="34"/>
      <c r="G794" s="26"/>
    </row>
    <row r="795" hidden="1">
      <c r="A795" s="26"/>
      <c r="B795" s="34"/>
      <c r="F795" s="34"/>
      <c r="G795" s="26"/>
    </row>
    <row r="796" hidden="1">
      <c r="A796" s="26"/>
      <c r="B796" s="34"/>
      <c r="F796" s="34"/>
      <c r="G796" s="26"/>
    </row>
    <row r="797" hidden="1">
      <c r="A797" s="26"/>
      <c r="B797" s="34"/>
      <c r="F797" s="34"/>
      <c r="G797" s="26"/>
    </row>
    <row r="798" hidden="1">
      <c r="A798" s="26"/>
      <c r="B798" s="34"/>
      <c r="F798" s="34"/>
      <c r="G798" s="26"/>
    </row>
    <row r="799" hidden="1">
      <c r="A799" s="26"/>
      <c r="B799" s="34"/>
      <c r="F799" s="34"/>
      <c r="G799" s="26"/>
    </row>
    <row r="800" hidden="1">
      <c r="A800" s="26"/>
      <c r="B800" s="34"/>
      <c r="F800" s="34"/>
      <c r="G800" s="26"/>
    </row>
    <row r="801" hidden="1">
      <c r="A801" s="26"/>
      <c r="B801" s="34"/>
      <c r="F801" s="34"/>
      <c r="G801" s="26"/>
    </row>
    <row r="802" hidden="1">
      <c r="A802" s="26"/>
      <c r="B802" s="34"/>
      <c r="F802" s="34"/>
      <c r="G802" s="26"/>
    </row>
    <row r="803" hidden="1">
      <c r="A803" s="26"/>
      <c r="B803" s="34"/>
      <c r="F803" s="34"/>
      <c r="G803" s="26"/>
    </row>
    <row r="804" hidden="1">
      <c r="A804" s="26"/>
      <c r="B804" s="34"/>
      <c r="F804" s="34"/>
      <c r="G804" s="26"/>
    </row>
    <row r="805" hidden="1">
      <c r="A805" s="26"/>
      <c r="B805" s="34"/>
      <c r="F805" s="34"/>
      <c r="G805" s="26"/>
    </row>
    <row r="806" hidden="1">
      <c r="A806" s="26"/>
      <c r="B806" s="34"/>
      <c r="F806" s="34"/>
      <c r="G806" s="26"/>
    </row>
    <row r="807" hidden="1">
      <c r="A807" s="26"/>
      <c r="B807" s="34"/>
      <c r="F807" s="34"/>
      <c r="G807" s="26"/>
    </row>
    <row r="808" hidden="1">
      <c r="A808" s="26"/>
      <c r="B808" s="34"/>
      <c r="F808" s="34"/>
      <c r="G808" s="26"/>
    </row>
    <row r="809" hidden="1">
      <c r="A809" s="26"/>
      <c r="B809" s="34"/>
      <c r="F809" s="34"/>
      <c r="G809" s="26"/>
    </row>
    <row r="810" hidden="1">
      <c r="A810" s="26"/>
      <c r="B810" s="34"/>
      <c r="F810" s="34"/>
      <c r="G810" s="26"/>
    </row>
    <row r="811" hidden="1">
      <c r="A811" s="26"/>
      <c r="B811" s="34"/>
      <c r="F811" s="34"/>
      <c r="G811" s="26"/>
    </row>
    <row r="812" hidden="1">
      <c r="A812" s="26"/>
      <c r="B812" s="34"/>
      <c r="F812" s="34"/>
      <c r="G812" s="26"/>
    </row>
    <row r="813" hidden="1">
      <c r="A813" s="26"/>
      <c r="B813" s="34"/>
      <c r="F813" s="34"/>
      <c r="G813" s="26"/>
    </row>
    <row r="814" hidden="1">
      <c r="A814" s="26"/>
      <c r="B814" s="34"/>
      <c r="F814" s="34"/>
      <c r="G814" s="26"/>
    </row>
    <row r="815" hidden="1">
      <c r="A815" s="26"/>
      <c r="B815" s="34"/>
      <c r="F815" s="34"/>
      <c r="G815" s="26"/>
    </row>
    <row r="816" hidden="1">
      <c r="A816" s="26"/>
      <c r="B816" s="34"/>
      <c r="F816" s="34"/>
      <c r="G816" s="26"/>
    </row>
    <row r="817" hidden="1">
      <c r="A817" s="26"/>
      <c r="B817" s="34"/>
      <c r="F817" s="34"/>
      <c r="G817" s="26"/>
    </row>
    <row r="818" hidden="1">
      <c r="A818" s="26"/>
      <c r="B818" s="34"/>
      <c r="F818" s="34"/>
      <c r="G818" s="26"/>
    </row>
    <row r="819" hidden="1">
      <c r="A819" s="26"/>
      <c r="B819" s="34"/>
      <c r="F819" s="34"/>
      <c r="G819" s="26"/>
    </row>
    <row r="820" hidden="1">
      <c r="A820" s="26"/>
      <c r="B820" s="34"/>
      <c r="F820" s="34"/>
      <c r="G820" s="26"/>
    </row>
    <row r="821" hidden="1">
      <c r="A821" s="26"/>
      <c r="B821" s="34"/>
      <c r="F821" s="34"/>
      <c r="G821" s="26"/>
    </row>
    <row r="822" hidden="1">
      <c r="A822" s="26"/>
      <c r="B822" s="34"/>
      <c r="F822" s="34"/>
      <c r="G822" s="26"/>
    </row>
    <row r="823" hidden="1">
      <c r="A823" s="26"/>
      <c r="B823" s="34"/>
      <c r="F823" s="34"/>
      <c r="G823" s="26"/>
    </row>
    <row r="824" hidden="1">
      <c r="A824" s="26"/>
      <c r="B824" s="34"/>
      <c r="F824" s="34"/>
      <c r="G824" s="26"/>
    </row>
    <row r="825" hidden="1">
      <c r="A825" s="26"/>
      <c r="B825" s="34"/>
      <c r="F825" s="34"/>
      <c r="G825" s="26"/>
    </row>
    <row r="826" hidden="1">
      <c r="A826" s="26"/>
      <c r="B826" s="34"/>
      <c r="F826" s="34"/>
      <c r="G826" s="26"/>
    </row>
    <row r="827" hidden="1">
      <c r="A827" s="26"/>
      <c r="B827" s="34"/>
      <c r="F827" s="34"/>
      <c r="G827" s="26"/>
    </row>
    <row r="828" hidden="1">
      <c r="A828" s="26"/>
      <c r="B828" s="34"/>
      <c r="F828" s="34"/>
      <c r="G828" s="26"/>
    </row>
    <row r="829" hidden="1">
      <c r="A829" s="26"/>
      <c r="B829" s="34"/>
      <c r="F829" s="34"/>
      <c r="G829" s="26"/>
    </row>
    <row r="830" hidden="1">
      <c r="A830" s="26"/>
      <c r="B830" s="34"/>
      <c r="F830" s="34"/>
      <c r="G830" s="26"/>
    </row>
    <row r="831" hidden="1">
      <c r="A831" s="26"/>
      <c r="B831" s="34"/>
      <c r="F831" s="34"/>
      <c r="G831" s="26"/>
    </row>
    <row r="832" hidden="1">
      <c r="A832" s="26"/>
      <c r="B832" s="34"/>
      <c r="F832" s="34"/>
      <c r="G832" s="26"/>
    </row>
    <row r="833" hidden="1">
      <c r="A833" s="26"/>
      <c r="B833" s="34"/>
      <c r="F833" s="34"/>
      <c r="G833" s="26"/>
    </row>
    <row r="834" hidden="1">
      <c r="A834" s="26"/>
      <c r="B834" s="34"/>
      <c r="F834" s="34"/>
      <c r="G834" s="26"/>
    </row>
    <row r="835" hidden="1">
      <c r="A835" s="26"/>
      <c r="B835" s="34"/>
      <c r="F835" s="34"/>
      <c r="G835" s="26"/>
    </row>
    <row r="836" hidden="1">
      <c r="A836" s="26"/>
      <c r="B836" s="34"/>
      <c r="F836" s="34"/>
      <c r="G836" s="26"/>
    </row>
    <row r="837" hidden="1">
      <c r="A837" s="26"/>
      <c r="B837" s="34"/>
      <c r="F837" s="34"/>
      <c r="G837" s="26"/>
    </row>
    <row r="838" hidden="1">
      <c r="A838" s="26"/>
      <c r="B838" s="34"/>
      <c r="F838" s="34"/>
      <c r="G838" s="26"/>
    </row>
    <row r="839" hidden="1">
      <c r="A839" s="26"/>
      <c r="B839" s="34"/>
      <c r="F839" s="34"/>
      <c r="G839" s="26"/>
    </row>
    <row r="840" hidden="1">
      <c r="A840" s="26"/>
      <c r="B840" s="34"/>
      <c r="F840" s="34"/>
      <c r="G840" s="26"/>
    </row>
    <row r="841" hidden="1">
      <c r="A841" s="26"/>
      <c r="B841" s="34"/>
      <c r="F841" s="34"/>
      <c r="G841" s="26"/>
    </row>
    <row r="842" hidden="1">
      <c r="A842" s="26"/>
      <c r="B842" s="34"/>
      <c r="F842" s="34"/>
      <c r="G842" s="26"/>
    </row>
    <row r="843" hidden="1">
      <c r="A843" s="26"/>
      <c r="B843" s="34"/>
      <c r="F843" s="34"/>
      <c r="G843" s="26"/>
    </row>
    <row r="844" hidden="1">
      <c r="A844" s="26"/>
      <c r="B844" s="34"/>
      <c r="F844" s="34"/>
      <c r="G844" s="26"/>
    </row>
    <row r="845" hidden="1">
      <c r="A845" s="26"/>
      <c r="B845" s="34"/>
      <c r="F845" s="34"/>
      <c r="G845" s="26"/>
    </row>
    <row r="846" hidden="1">
      <c r="A846" s="26"/>
      <c r="B846" s="34"/>
      <c r="F846" s="34"/>
      <c r="G846" s="26"/>
    </row>
    <row r="847" hidden="1">
      <c r="A847" s="26"/>
      <c r="B847" s="34"/>
      <c r="F847" s="34"/>
      <c r="G847" s="26"/>
    </row>
    <row r="848" hidden="1">
      <c r="A848" s="26"/>
      <c r="B848" s="34"/>
      <c r="F848" s="34"/>
      <c r="G848" s="26"/>
    </row>
    <row r="849" hidden="1">
      <c r="A849" s="26"/>
      <c r="B849" s="34"/>
      <c r="F849" s="34"/>
      <c r="G849" s="26"/>
    </row>
    <row r="850" hidden="1">
      <c r="A850" s="26"/>
      <c r="B850" s="34"/>
      <c r="F850" s="34"/>
      <c r="G850" s="26"/>
    </row>
    <row r="851" hidden="1">
      <c r="A851" s="26"/>
      <c r="B851" s="34"/>
      <c r="F851" s="34"/>
      <c r="G851" s="26"/>
    </row>
    <row r="852" hidden="1">
      <c r="A852" s="26"/>
      <c r="B852" s="34"/>
      <c r="F852" s="34"/>
      <c r="G852" s="26"/>
    </row>
    <row r="853" hidden="1">
      <c r="A853" s="26"/>
      <c r="B853" s="34"/>
      <c r="F853" s="34"/>
      <c r="G853" s="26"/>
    </row>
    <row r="854" hidden="1">
      <c r="A854" s="26"/>
      <c r="B854" s="34"/>
      <c r="F854" s="34"/>
      <c r="G854" s="26"/>
    </row>
    <row r="855" hidden="1">
      <c r="A855" s="26"/>
      <c r="B855" s="34"/>
      <c r="F855" s="34"/>
      <c r="G855" s="26"/>
    </row>
    <row r="856" hidden="1">
      <c r="A856" s="26"/>
      <c r="B856" s="34"/>
      <c r="F856" s="34"/>
      <c r="G856" s="26"/>
    </row>
    <row r="857" hidden="1">
      <c r="A857" s="26"/>
      <c r="B857" s="34"/>
      <c r="F857" s="34"/>
      <c r="G857" s="26"/>
    </row>
    <row r="858" hidden="1">
      <c r="A858" s="26"/>
      <c r="B858" s="34"/>
      <c r="F858" s="34"/>
      <c r="G858" s="26"/>
    </row>
    <row r="859" hidden="1">
      <c r="A859" s="26"/>
      <c r="B859" s="34"/>
      <c r="F859" s="34"/>
      <c r="G859" s="26"/>
    </row>
    <row r="860" hidden="1">
      <c r="A860" s="26"/>
      <c r="B860" s="34"/>
      <c r="F860" s="34"/>
      <c r="G860" s="26"/>
    </row>
    <row r="861" hidden="1">
      <c r="A861" s="26"/>
      <c r="B861" s="34"/>
      <c r="F861" s="34"/>
      <c r="G861" s="26"/>
    </row>
    <row r="862" hidden="1">
      <c r="A862" s="26"/>
      <c r="B862" s="34"/>
      <c r="F862" s="34"/>
      <c r="G862" s="26"/>
    </row>
    <row r="863" hidden="1">
      <c r="A863" s="26"/>
      <c r="B863" s="34"/>
      <c r="F863" s="34"/>
      <c r="G863" s="26"/>
    </row>
    <row r="864" hidden="1">
      <c r="A864" s="26"/>
      <c r="B864" s="34"/>
      <c r="F864" s="34"/>
      <c r="G864" s="26"/>
    </row>
    <row r="865" hidden="1">
      <c r="A865" s="26"/>
      <c r="B865" s="34"/>
      <c r="F865" s="34"/>
      <c r="G865" s="26"/>
    </row>
    <row r="866" hidden="1">
      <c r="A866" s="26"/>
      <c r="B866" s="34"/>
      <c r="F866" s="34"/>
      <c r="G866" s="26"/>
    </row>
    <row r="867" hidden="1">
      <c r="A867" s="26"/>
      <c r="B867" s="34"/>
      <c r="F867" s="34"/>
      <c r="G867" s="26"/>
    </row>
    <row r="868" hidden="1">
      <c r="A868" s="26"/>
      <c r="B868" s="34"/>
      <c r="F868" s="34"/>
      <c r="G868" s="26"/>
    </row>
    <row r="869" hidden="1">
      <c r="A869" s="26"/>
      <c r="B869" s="34"/>
      <c r="F869" s="34"/>
      <c r="G869" s="26"/>
    </row>
    <row r="870" hidden="1">
      <c r="A870" s="26"/>
      <c r="B870" s="34"/>
      <c r="F870" s="34"/>
      <c r="G870" s="26"/>
    </row>
    <row r="871" hidden="1">
      <c r="A871" s="26"/>
      <c r="B871" s="34"/>
      <c r="F871" s="34"/>
      <c r="G871" s="26"/>
    </row>
    <row r="872" hidden="1">
      <c r="A872" s="26"/>
      <c r="B872" s="34"/>
      <c r="F872" s="34"/>
      <c r="G872" s="26"/>
    </row>
    <row r="873" hidden="1">
      <c r="A873" s="26"/>
      <c r="B873" s="34"/>
      <c r="F873" s="34"/>
      <c r="G873" s="26"/>
    </row>
    <row r="874" hidden="1">
      <c r="A874" s="26"/>
      <c r="B874" s="34"/>
      <c r="F874" s="34"/>
      <c r="G874" s="26"/>
    </row>
    <row r="875" hidden="1">
      <c r="A875" s="26"/>
      <c r="B875" s="34"/>
      <c r="F875" s="34"/>
      <c r="G875" s="26"/>
    </row>
    <row r="876" hidden="1">
      <c r="A876" s="26"/>
      <c r="B876" s="34"/>
      <c r="F876" s="34"/>
      <c r="G876" s="26"/>
    </row>
    <row r="877" hidden="1">
      <c r="A877" s="26"/>
      <c r="B877" s="34"/>
      <c r="F877" s="34"/>
      <c r="G877" s="26"/>
    </row>
    <row r="878" hidden="1">
      <c r="A878" s="26"/>
      <c r="B878" s="34"/>
      <c r="F878" s="34"/>
      <c r="G878" s="26"/>
    </row>
    <row r="879" hidden="1">
      <c r="A879" s="26"/>
      <c r="B879" s="34"/>
      <c r="F879" s="34"/>
      <c r="G879" s="26"/>
    </row>
    <row r="880" hidden="1">
      <c r="A880" s="26"/>
      <c r="B880" s="34"/>
      <c r="F880" s="34"/>
      <c r="G880" s="26"/>
    </row>
    <row r="881" hidden="1">
      <c r="A881" s="26"/>
      <c r="B881" s="34"/>
      <c r="F881" s="34"/>
      <c r="G881" s="26"/>
    </row>
    <row r="882" hidden="1">
      <c r="A882" s="26"/>
      <c r="B882" s="34"/>
      <c r="F882" s="34"/>
      <c r="G882" s="26"/>
    </row>
    <row r="883" hidden="1">
      <c r="A883" s="26"/>
      <c r="B883" s="34"/>
      <c r="F883" s="34"/>
      <c r="G883" s="26"/>
    </row>
    <row r="884" hidden="1">
      <c r="A884" s="26"/>
      <c r="B884" s="34"/>
      <c r="F884" s="34"/>
      <c r="G884" s="26"/>
    </row>
    <row r="885" hidden="1">
      <c r="A885" s="26"/>
      <c r="B885" s="34"/>
      <c r="F885" s="34"/>
      <c r="G885" s="26"/>
    </row>
    <row r="886" hidden="1">
      <c r="A886" s="26"/>
      <c r="B886" s="34"/>
      <c r="F886" s="34"/>
      <c r="G886" s="26"/>
    </row>
    <row r="887" hidden="1">
      <c r="A887" s="26"/>
      <c r="B887" s="34"/>
      <c r="F887" s="34"/>
      <c r="G887" s="26"/>
    </row>
    <row r="888" hidden="1">
      <c r="A888" s="26"/>
      <c r="B888" s="34"/>
      <c r="F888" s="34"/>
      <c r="G888" s="26"/>
    </row>
    <row r="889" hidden="1">
      <c r="A889" s="26"/>
      <c r="B889" s="34"/>
      <c r="F889" s="34"/>
      <c r="G889" s="26"/>
    </row>
    <row r="890" hidden="1">
      <c r="A890" s="26"/>
      <c r="B890" s="34"/>
      <c r="F890" s="34"/>
      <c r="G890" s="26"/>
    </row>
    <row r="891" hidden="1">
      <c r="A891" s="26"/>
      <c r="B891" s="34"/>
      <c r="F891" s="34"/>
      <c r="G891" s="26"/>
    </row>
    <row r="892" hidden="1">
      <c r="A892" s="26"/>
      <c r="B892" s="34"/>
      <c r="F892" s="34"/>
      <c r="G892" s="26"/>
    </row>
    <row r="893" hidden="1">
      <c r="A893" s="26"/>
      <c r="B893" s="34"/>
      <c r="F893" s="34"/>
      <c r="G893" s="26"/>
    </row>
    <row r="894" hidden="1">
      <c r="A894" s="26"/>
      <c r="B894" s="34"/>
      <c r="F894" s="34"/>
      <c r="G894" s="26"/>
    </row>
    <row r="895" hidden="1">
      <c r="A895" s="26"/>
      <c r="B895" s="34"/>
      <c r="F895" s="34"/>
      <c r="G895" s="26"/>
    </row>
    <row r="896" hidden="1">
      <c r="A896" s="26"/>
      <c r="B896" s="34"/>
      <c r="F896" s="34"/>
      <c r="G896" s="26"/>
    </row>
    <row r="897" hidden="1">
      <c r="A897" s="26"/>
      <c r="B897" s="34"/>
      <c r="F897" s="34"/>
      <c r="G897" s="26"/>
    </row>
    <row r="898" hidden="1">
      <c r="A898" s="26"/>
      <c r="B898" s="34"/>
      <c r="F898" s="34"/>
      <c r="G898" s="26"/>
    </row>
    <row r="899" hidden="1">
      <c r="A899" s="26"/>
      <c r="B899" s="34"/>
      <c r="F899" s="34"/>
      <c r="G899" s="26"/>
    </row>
    <row r="900" hidden="1">
      <c r="A900" s="26"/>
      <c r="B900" s="34"/>
      <c r="F900" s="34"/>
      <c r="G900" s="26"/>
    </row>
    <row r="901" hidden="1">
      <c r="A901" s="26"/>
      <c r="B901" s="34"/>
      <c r="F901" s="34"/>
      <c r="G901" s="26"/>
    </row>
    <row r="902" hidden="1">
      <c r="A902" s="26"/>
      <c r="B902" s="34"/>
      <c r="F902" s="34"/>
      <c r="G902" s="26"/>
    </row>
    <row r="903" hidden="1">
      <c r="A903" s="26"/>
      <c r="B903" s="34"/>
      <c r="F903" s="34"/>
      <c r="G903" s="26"/>
    </row>
    <row r="904" hidden="1">
      <c r="A904" s="26"/>
      <c r="B904" s="34"/>
      <c r="F904" s="34"/>
      <c r="G904" s="26"/>
    </row>
    <row r="905" hidden="1">
      <c r="A905" s="26"/>
      <c r="B905" s="34"/>
      <c r="F905" s="34"/>
      <c r="G905" s="26"/>
    </row>
    <row r="906" hidden="1">
      <c r="A906" s="26"/>
      <c r="B906" s="34"/>
      <c r="F906" s="34"/>
      <c r="G906" s="26"/>
    </row>
    <row r="907" hidden="1">
      <c r="A907" s="26"/>
      <c r="B907" s="34"/>
      <c r="F907" s="34"/>
      <c r="G907" s="26"/>
    </row>
    <row r="908" hidden="1">
      <c r="A908" s="26"/>
      <c r="B908" s="34"/>
      <c r="F908" s="34"/>
      <c r="G908" s="26"/>
    </row>
    <row r="909" hidden="1">
      <c r="A909" s="26"/>
      <c r="B909" s="34"/>
      <c r="F909" s="34"/>
      <c r="G909" s="26"/>
    </row>
    <row r="910" hidden="1">
      <c r="A910" s="26"/>
      <c r="B910" s="34"/>
      <c r="F910" s="34"/>
      <c r="G910" s="26"/>
    </row>
    <row r="911" hidden="1">
      <c r="A911" s="26"/>
      <c r="B911" s="34"/>
      <c r="F911" s="34"/>
      <c r="G911" s="26"/>
    </row>
    <row r="912" hidden="1">
      <c r="A912" s="26"/>
      <c r="B912" s="34"/>
      <c r="F912" s="34"/>
      <c r="G912" s="26"/>
    </row>
    <row r="913" hidden="1">
      <c r="A913" s="26"/>
      <c r="B913" s="34"/>
      <c r="F913" s="34"/>
      <c r="G913" s="26"/>
    </row>
    <row r="914" hidden="1">
      <c r="A914" s="26"/>
      <c r="B914" s="34"/>
      <c r="F914" s="34"/>
      <c r="G914" s="26"/>
    </row>
    <row r="915" hidden="1">
      <c r="A915" s="26"/>
      <c r="B915" s="34"/>
      <c r="F915" s="34"/>
      <c r="G915" s="26"/>
    </row>
    <row r="916" hidden="1">
      <c r="A916" s="26"/>
      <c r="B916" s="34"/>
      <c r="F916" s="34"/>
      <c r="G916" s="26"/>
    </row>
    <row r="917" hidden="1">
      <c r="A917" s="26"/>
      <c r="B917" s="34"/>
      <c r="F917" s="34"/>
      <c r="G917" s="26"/>
    </row>
    <row r="918" hidden="1">
      <c r="A918" s="26"/>
      <c r="B918" s="34"/>
      <c r="F918" s="34"/>
      <c r="G918" s="26"/>
    </row>
    <row r="919" hidden="1">
      <c r="A919" s="26"/>
      <c r="B919" s="34"/>
      <c r="F919" s="34"/>
      <c r="G919" s="26"/>
    </row>
    <row r="920" hidden="1">
      <c r="A920" s="26"/>
      <c r="B920" s="34"/>
      <c r="F920" s="34"/>
      <c r="G920" s="26"/>
    </row>
    <row r="921" hidden="1">
      <c r="A921" s="26"/>
      <c r="B921" s="34"/>
      <c r="F921" s="34"/>
      <c r="G921" s="26"/>
    </row>
    <row r="922" hidden="1">
      <c r="A922" s="26"/>
      <c r="B922" s="34"/>
      <c r="F922" s="34"/>
      <c r="G922" s="26"/>
    </row>
    <row r="923" hidden="1">
      <c r="A923" s="26"/>
      <c r="B923" s="34"/>
      <c r="F923" s="34"/>
      <c r="G923" s="26"/>
    </row>
    <row r="924" hidden="1">
      <c r="A924" s="26"/>
      <c r="B924" s="34"/>
      <c r="F924" s="34"/>
      <c r="G924" s="26"/>
    </row>
    <row r="925" hidden="1">
      <c r="A925" s="26"/>
      <c r="B925" s="34"/>
      <c r="F925" s="34"/>
      <c r="G925" s="26"/>
    </row>
    <row r="926" hidden="1">
      <c r="A926" s="26"/>
      <c r="B926" s="34"/>
      <c r="F926" s="34"/>
      <c r="G926" s="26"/>
    </row>
    <row r="927" hidden="1">
      <c r="A927" s="26"/>
      <c r="B927" s="34"/>
      <c r="F927" s="34"/>
      <c r="G927" s="26"/>
    </row>
    <row r="928" hidden="1">
      <c r="A928" s="26"/>
      <c r="B928" s="34"/>
      <c r="F928" s="34"/>
      <c r="G928" s="26"/>
    </row>
    <row r="929" hidden="1">
      <c r="A929" s="26"/>
      <c r="B929" s="34"/>
      <c r="F929" s="34"/>
      <c r="G929" s="26"/>
    </row>
    <row r="930" hidden="1">
      <c r="A930" s="26"/>
      <c r="B930" s="34"/>
      <c r="F930" s="34"/>
      <c r="G930" s="26"/>
    </row>
    <row r="931" hidden="1">
      <c r="A931" s="26"/>
      <c r="B931" s="34"/>
      <c r="F931" s="34"/>
      <c r="G931" s="26"/>
    </row>
    <row r="932" hidden="1">
      <c r="A932" s="26"/>
      <c r="B932" s="34"/>
      <c r="F932" s="34"/>
      <c r="G932" s="26"/>
    </row>
    <row r="933" hidden="1">
      <c r="A933" s="26"/>
      <c r="B933" s="34"/>
      <c r="F933" s="34"/>
      <c r="G933" s="26"/>
    </row>
    <row r="934" hidden="1">
      <c r="A934" s="26"/>
      <c r="B934" s="34"/>
      <c r="F934" s="34"/>
      <c r="G934" s="26"/>
    </row>
    <row r="935" hidden="1">
      <c r="A935" s="26"/>
      <c r="B935" s="34"/>
      <c r="F935" s="34"/>
      <c r="G935" s="26"/>
    </row>
    <row r="936" hidden="1">
      <c r="A936" s="26"/>
      <c r="B936" s="34"/>
      <c r="F936" s="34"/>
      <c r="G936" s="26"/>
    </row>
    <row r="937" hidden="1">
      <c r="A937" s="26"/>
      <c r="B937" s="34"/>
      <c r="F937" s="34"/>
      <c r="G937" s="26"/>
    </row>
    <row r="938" hidden="1">
      <c r="A938" s="26"/>
      <c r="B938" s="34"/>
      <c r="F938" s="34"/>
      <c r="G938" s="26"/>
    </row>
    <row r="939" hidden="1">
      <c r="A939" s="26"/>
      <c r="B939" s="34"/>
      <c r="F939" s="34"/>
      <c r="G939" s="26"/>
    </row>
    <row r="940" hidden="1">
      <c r="A940" s="26"/>
      <c r="B940" s="34"/>
      <c r="F940" s="34"/>
      <c r="G940" s="26"/>
    </row>
    <row r="941" hidden="1">
      <c r="A941" s="26"/>
      <c r="B941" s="34"/>
      <c r="F941" s="34"/>
      <c r="G941" s="26"/>
    </row>
    <row r="942" hidden="1">
      <c r="A942" s="26"/>
      <c r="B942" s="34"/>
      <c r="F942" s="34"/>
      <c r="G942" s="26"/>
    </row>
    <row r="943" hidden="1">
      <c r="A943" s="26"/>
      <c r="B943" s="34"/>
      <c r="F943" s="34"/>
      <c r="G943" s="26"/>
    </row>
    <row r="944" hidden="1">
      <c r="A944" s="26"/>
      <c r="B944" s="34"/>
      <c r="F944" s="34"/>
      <c r="G944" s="26"/>
    </row>
    <row r="945" hidden="1">
      <c r="A945" s="26"/>
      <c r="B945" s="34"/>
      <c r="F945" s="34"/>
      <c r="G945" s="26"/>
    </row>
    <row r="946" hidden="1">
      <c r="A946" s="26"/>
      <c r="B946" s="34"/>
      <c r="F946" s="34"/>
      <c r="G946" s="26"/>
    </row>
    <row r="947" hidden="1">
      <c r="A947" s="26"/>
      <c r="B947" s="34"/>
      <c r="F947" s="34"/>
      <c r="G947" s="26"/>
    </row>
    <row r="948" hidden="1">
      <c r="A948" s="26"/>
      <c r="B948" s="34"/>
      <c r="F948" s="34"/>
      <c r="G948" s="26"/>
    </row>
    <row r="949" hidden="1">
      <c r="A949" s="26"/>
      <c r="B949" s="34"/>
      <c r="F949" s="34"/>
      <c r="G949" s="26"/>
    </row>
    <row r="950" hidden="1">
      <c r="A950" s="26"/>
      <c r="B950" s="34"/>
      <c r="F950" s="34"/>
      <c r="G950" s="26"/>
    </row>
    <row r="951" hidden="1">
      <c r="A951" s="26"/>
      <c r="B951" s="34"/>
      <c r="F951" s="34"/>
      <c r="G951" s="26"/>
    </row>
    <row r="952" hidden="1">
      <c r="A952" s="26"/>
      <c r="B952" s="34"/>
      <c r="F952" s="34"/>
      <c r="G952" s="26"/>
    </row>
    <row r="953" hidden="1">
      <c r="A953" s="26"/>
      <c r="B953" s="34"/>
      <c r="F953" s="34"/>
      <c r="G953" s="26"/>
    </row>
    <row r="954" hidden="1">
      <c r="A954" s="26"/>
      <c r="B954" s="34"/>
      <c r="F954" s="34"/>
      <c r="G954" s="26"/>
    </row>
    <row r="955" hidden="1">
      <c r="A955" s="26"/>
      <c r="B955" s="34"/>
      <c r="F955" s="34"/>
      <c r="G955" s="26"/>
    </row>
    <row r="956" hidden="1">
      <c r="A956" s="26"/>
      <c r="B956" s="34"/>
      <c r="F956" s="34"/>
      <c r="G956" s="26"/>
    </row>
    <row r="957" hidden="1">
      <c r="A957" s="26"/>
      <c r="B957" s="34"/>
      <c r="F957" s="34"/>
      <c r="G957" s="26"/>
    </row>
    <row r="958" hidden="1">
      <c r="A958" s="26"/>
      <c r="B958" s="34"/>
      <c r="F958" s="34"/>
      <c r="G958" s="26"/>
    </row>
    <row r="959" hidden="1">
      <c r="A959" s="26"/>
      <c r="B959" s="34"/>
      <c r="F959" s="34"/>
      <c r="G959" s="26"/>
    </row>
    <row r="960" hidden="1">
      <c r="A960" s="26"/>
      <c r="B960" s="34"/>
      <c r="F960" s="34"/>
      <c r="G960" s="26"/>
    </row>
    <row r="961" hidden="1">
      <c r="A961" s="26"/>
      <c r="B961" s="34"/>
      <c r="F961" s="34"/>
      <c r="G961" s="26"/>
    </row>
    <row r="962" hidden="1">
      <c r="A962" s="26"/>
      <c r="B962" s="34"/>
      <c r="F962" s="34"/>
      <c r="G962" s="26"/>
    </row>
    <row r="963" hidden="1">
      <c r="A963" s="26"/>
      <c r="B963" s="34"/>
      <c r="F963" s="34"/>
      <c r="G963" s="26"/>
    </row>
    <row r="964" hidden="1">
      <c r="A964" s="26"/>
      <c r="B964" s="34"/>
      <c r="F964" s="34"/>
      <c r="G964" s="26"/>
    </row>
    <row r="965" hidden="1">
      <c r="A965" s="26"/>
      <c r="B965" s="34"/>
      <c r="F965" s="34"/>
      <c r="G965" s="26"/>
    </row>
    <row r="966" hidden="1">
      <c r="A966" s="26"/>
      <c r="B966" s="34"/>
      <c r="F966" s="34"/>
      <c r="G966" s="26"/>
    </row>
    <row r="967" hidden="1">
      <c r="A967" s="26"/>
      <c r="B967" s="34"/>
      <c r="F967" s="34"/>
      <c r="G967" s="26"/>
    </row>
    <row r="968" hidden="1">
      <c r="A968" s="26"/>
      <c r="B968" s="34"/>
      <c r="F968" s="34"/>
      <c r="G968" s="26"/>
    </row>
    <row r="969" hidden="1">
      <c r="A969" s="26"/>
      <c r="B969" s="34"/>
      <c r="F969" s="34"/>
      <c r="G969" s="26"/>
    </row>
    <row r="970" hidden="1">
      <c r="A970" s="26"/>
      <c r="B970" s="34"/>
      <c r="F970" s="34"/>
      <c r="G970" s="26"/>
    </row>
    <row r="971" hidden="1">
      <c r="A971" s="26"/>
      <c r="B971" s="34"/>
      <c r="F971" s="34"/>
      <c r="G971" s="26"/>
    </row>
    <row r="972" hidden="1">
      <c r="A972" s="26"/>
      <c r="B972" s="34"/>
      <c r="F972" s="34"/>
      <c r="G972" s="26"/>
    </row>
    <row r="973" hidden="1">
      <c r="A973" s="26"/>
      <c r="B973" s="34"/>
      <c r="F973" s="34"/>
      <c r="G973" s="26"/>
    </row>
    <row r="974" hidden="1">
      <c r="A974" s="26"/>
      <c r="B974" s="34"/>
      <c r="F974" s="34"/>
      <c r="G974" s="26"/>
    </row>
    <row r="975" hidden="1">
      <c r="A975" s="26"/>
      <c r="B975" s="34"/>
      <c r="F975" s="34"/>
      <c r="G975" s="26"/>
    </row>
    <row r="976" hidden="1">
      <c r="A976" s="26"/>
      <c r="B976" s="34"/>
      <c r="F976" s="34"/>
      <c r="G976" s="26"/>
    </row>
    <row r="977" hidden="1">
      <c r="A977" s="26"/>
      <c r="B977" s="34"/>
      <c r="F977" s="34"/>
      <c r="G977" s="26"/>
    </row>
    <row r="978" hidden="1">
      <c r="A978" s="26"/>
      <c r="B978" s="34"/>
      <c r="F978" s="34"/>
      <c r="G978" s="26"/>
    </row>
    <row r="979" hidden="1">
      <c r="A979" s="26"/>
      <c r="B979" s="34"/>
      <c r="F979" s="34"/>
      <c r="G979" s="26"/>
    </row>
    <row r="980" hidden="1">
      <c r="A980" s="26"/>
      <c r="B980" s="34"/>
      <c r="F980" s="34"/>
      <c r="G980" s="26"/>
    </row>
    <row r="981" hidden="1">
      <c r="A981" s="26"/>
      <c r="B981" s="34"/>
      <c r="F981" s="34"/>
      <c r="G981" s="26"/>
    </row>
    <row r="982" hidden="1">
      <c r="A982" s="26"/>
      <c r="B982" s="34"/>
      <c r="F982" s="34"/>
      <c r="G982" s="26"/>
    </row>
    <row r="983" hidden="1">
      <c r="A983" s="26"/>
      <c r="B983" s="34"/>
      <c r="F983" s="34"/>
      <c r="G983" s="26"/>
    </row>
    <row r="984" hidden="1">
      <c r="A984" s="26"/>
      <c r="B984" s="34"/>
      <c r="F984" s="34"/>
      <c r="G984" s="26"/>
    </row>
    <row r="985" hidden="1">
      <c r="A985" s="26"/>
      <c r="B985" s="34"/>
      <c r="F985" s="34"/>
      <c r="G985" s="26"/>
    </row>
    <row r="986" hidden="1">
      <c r="A986" s="26"/>
      <c r="B986" s="34"/>
      <c r="F986" s="34"/>
      <c r="G986" s="26"/>
    </row>
    <row r="987" hidden="1">
      <c r="A987" s="26"/>
      <c r="B987" s="34"/>
      <c r="F987" s="34"/>
      <c r="G987" s="26"/>
    </row>
    <row r="988" hidden="1">
      <c r="A988" s="26"/>
      <c r="B988" s="34"/>
      <c r="F988" s="34"/>
      <c r="G988" s="26"/>
    </row>
    <row r="989" hidden="1">
      <c r="A989" s="26"/>
      <c r="B989" s="34"/>
      <c r="F989" s="34"/>
      <c r="G989" s="26"/>
    </row>
    <row r="990" hidden="1">
      <c r="A990" s="26"/>
      <c r="B990" s="34"/>
      <c r="F990" s="34"/>
      <c r="G990" s="26"/>
    </row>
    <row r="991" hidden="1">
      <c r="A991" s="26"/>
      <c r="B991" s="34"/>
      <c r="F991" s="34"/>
      <c r="G991" s="26"/>
    </row>
    <row r="992" hidden="1">
      <c r="A992" s="26"/>
      <c r="B992" s="34"/>
      <c r="F992" s="34"/>
      <c r="G992" s="26"/>
    </row>
    <row r="993" hidden="1">
      <c r="A993" s="26"/>
      <c r="B993" s="34"/>
      <c r="F993" s="34"/>
      <c r="G993" s="26"/>
    </row>
    <row r="994" hidden="1">
      <c r="A994" s="26"/>
      <c r="B994" s="34"/>
      <c r="F994" s="34"/>
      <c r="G994" s="26"/>
    </row>
    <row r="995" hidden="1">
      <c r="A995" s="26"/>
      <c r="B995" s="34"/>
      <c r="F995" s="34"/>
      <c r="G995" s="26"/>
    </row>
    <row r="996" hidden="1">
      <c r="A996" s="26"/>
      <c r="B996" s="34"/>
      <c r="F996" s="34"/>
      <c r="G996" s="26"/>
    </row>
    <row r="997" hidden="1">
      <c r="A997" s="26"/>
      <c r="B997" s="34"/>
      <c r="F997" s="34"/>
      <c r="G997" s="26"/>
    </row>
    <row r="998" hidden="1">
      <c r="A998" s="26"/>
      <c r="B998" s="34"/>
      <c r="F998" s="34"/>
      <c r="G998" s="26"/>
    </row>
    <row r="999" hidden="1">
      <c r="A999" s="26"/>
      <c r="B999" s="34"/>
      <c r="F999" s="34"/>
      <c r="G999" s="26"/>
    </row>
    <row r="1000" hidden="1">
      <c r="A1000" s="26"/>
      <c r="B1000" s="34"/>
      <c r="F1000" s="34"/>
      <c r="G1000" s="26"/>
    </row>
    <row r="1001" hidden="1">
      <c r="A1001" s="26"/>
      <c r="B1001" s="34"/>
      <c r="F1001" s="34"/>
      <c r="G1001" s="26"/>
    </row>
    <row r="1002" hidden="1">
      <c r="A1002" s="26"/>
      <c r="B1002" s="34"/>
      <c r="F1002" s="34"/>
      <c r="G1002" s="26"/>
    </row>
    <row r="1003" hidden="1">
      <c r="A1003" s="26"/>
      <c r="B1003" s="34"/>
      <c r="F1003" s="34"/>
      <c r="G1003" s="26"/>
    </row>
    <row r="1004" hidden="1">
      <c r="A1004" s="26"/>
      <c r="B1004" s="34"/>
      <c r="F1004" s="34"/>
      <c r="G1004" s="26"/>
    </row>
    <row r="1005" hidden="1">
      <c r="A1005" s="26"/>
      <c r="B1005" s="34"/>
      <c r="F1005" s="34"/>
      <c r="G1005" s="26"/>
    </row>
    <row r="1006" hidden="1">
      <c r="A1006" s="26"/>
      <c r="B1006" s="34"/>
      <c r="F1006" s="34"/>
      <c r="G1006" s="26"/>
    </row>
    <row r="1007" hidden="1">
      <c r="A1007" s="26"/>
      <c r="B1007" s="34"/>
      <c r="F1007" s="34"/>
      <c r="G1007" s="26"/>
    </row>
    <row r="1008" hidden="1">
      <c r="A1008" s="26"/>
      <c r="B1008" s="34"/>
      <c r="F1008" s="34"/>
      <c r="G1008" s="26"/>
    </row>
    <row r="1009" hidden="1">
      <c r="A1009" s="26"/>
      <c r="B1009" s="34"/>
      <c r="F1009" s="34"/>
      <c r="G1009" s="26"/>
    </row>
    <row r="1010" hidden="1">
      <c r="A1010" s="26"/>
      <c r="B1010" s="34"/>
      <c r="F1010" s="34"/>
      <c r="G1010" s="26"/>
    </row>
    <row r="1011" hidden="1">
      <c r="A1011" s="26"/>
      <c r="B1011" s="34"/>
      <c r="F1011" s="34"/>
      <c r="G1011" s="26"/>
    </row>
  </sheetData>
  <mergeCells count="22">
    <mergeCell ref="C1:E1"/>
    <mergeCell ref="B2:B4"/>
    <mergeCell ref="F2:F4"/>
    <mergeCell ref="C4:E4"/>
    <mergeCell ref="C5:E5"/>
    <mergeCell ref="C6:E6"/>
    <mergeCell ref="C7:E7"/>
    <mergeCell ref="C15:E15"/>
    <mergeCell ref="B16:B19"/>
    <mergeCell ref="C16:E16"/>
    <mergeCell ref="F16:F19"/>
    <mergeCell ref="C17:E17"/>
    <mergeCell ref="C18:E18"/>
    <mergeCell ref="C20:E20"/>
    <mergeCell ref="C21:E21"/>
    <mergeCell ref="C8:E8"/>
    <mergeCell ref="C9:E9"/>
    <mergeCell ref="C10:E10"/>
    <mergeCell ref="C11:E11"/>
    <mergeCell ref="C12:E12"/>
    <mergeCell ref="C13:E13"/>
    <mergeCell ref="C14:E14"/>
  </mergeCells>
  <hyperlinks>
    <hyperlink r:id="rId1" ref="D3"/>
    <hyperlink r:id="rId2" ref="C11"/>
    <hyperlink r:id="rId3" ref="C13"/>
    <hyperlink display="Some definitions on words, phrases, and acronyms used:&#10;&#10;1-Mag DPS or &quot;True DPS&quot;&#10; &gt; The amount of DPS while not considering reloading, or equivalently (if applicable) of a single magazine. &#10;   &gt; The DPS of a single magazine and the DPS of omitting reloads entirely and focusing solely on damage and fire rate are identical.&#10;   &gt; Note that some weapons have a unique 1-mag DPS compared to their theoretical &quot;True DPS&quot; counterpart due to how they work (such as Merciless).&#10;&#10;Sustained DPS&#10; &gt; The amount of DPS while also considering reloading. &#10;   &gt; This is the DPS you would expect to have for DPS phases, assuming you had infinite reserves and infinite time. &#10; &gt; Note that this also assumes you hit the reload context as soon as you fire your final round.&#10; &gt; If the data entry is for a single magazine, the Sustained DPS and True DPS will be equivalent.&#10; &gt; A way to guage the difference between Sustained DPS and True DPS is to look it as minimums and maximums. &#10;   &gt; Sustained DPS is the minimum DPS expected, while 1-mag or &quot;True DPS&quot; is the maximum DPS expected.&#10;&#10;Average DPS&#10; &gt; The amount of total damage divided by the total time. Although it is not considered in this spreadsheet, it can be easily calculated using existing values.&#10;   &gt; For more context, dividing the total damage over the time to empty should yield a result between the sustained and true DPS figures.&#10;     &gt; Average DPS should be closer to the sustained DPS than the true DPS.&#10;     &gt; If this average figure appears off, let me know as there may be a problem with how the time to empty is set up.&#10;&#10;For a more visual representation between the three DPS types, see the Equations page and the associated Desmos graph.&#10;The sloping lines in that graph represent the average DPS at an instant of time.&#10;&#10;cata&#10; &gt; Stands for &quot;catalyst,&quot; meaning the data row assumes an exotic weapon catalyst is used.&#10;&#10;DOT&#10; &gt; Stands for &quot;Damage Over Time,&quot; refers to passive damage sources, such as Witherhoard blights, that passively deal damage without your interaction over time.&#10;&#10;&quot;w/&quot; or &quot;w/o&quot;&#10; &gt; Stands for &quot;with&quot; or &quot;without,&quot; respectively.&#10;&#10;DDC&#10; &gt; Stands for &quot;Destiny Data Compendium,&quot; implies that the data was sourced from the Destiny Data Compendium&#10;&#10;Weapon damage is &quot;normalized&quot;&#10; &gt; Weapons do not assume &quot;new gear&quot; bonus&#10; &gt; Exotic weapons do not assume &quot;featured gear&quot; bonus&#10;" location="Equations!A10:C10" ref="C15"/>
    <hyperlink r:id="rId4" ref="C18"/>
    <hyperlink r:id="rId5" ref="C21"/>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sheetViews>
  <sheetFormatPr customHeight="1" defaultColWidth="12.63" defaultRowHeight="15.75"/>
  <cols>
    <col customWidth="1" min="1" max="2" width="18.88"/>
    <col customWidth="1" min="3" max="3" width="129.38"/>
    <col customWidth="1" min="4" max="4" width="18.88"/>
    <col hidden="1" min="5" max="27" width="12.63"/>
  </cols>
  <sheetData>
    <row r="1" ht="40.5" customHeight="1">
      <c r="A1" s="35" t="s">
        <v>19</v>
      </c>
      <c r="B1" s="36"/>
      <c r="C1" s="36"/>
      <c r="D1" s="37"/>
    </row>
    <row r="2" ht="24.0" customHeight="1">
      <c r="A2" s="38" t="s">
        <v>20</v>
      </c>
      <c r="B2" s="39" t="s">
        <v>21</v>
      </c>
      <c r="C2" s="39" t="s">
        <v>22</v>
      </c>
      <c r="D2" s="40" t="s">
        <v>23</v>
      </c>
    </row>
    <row r="3" ht="37.5" hidden="1" customHeight="1">
      <c r="A3" s="41" t="s">
        <v>24</v>
      </c>
      <c r="B3" s="42"/>
      <c r="C3" s="42"/>
      <c r="D3" s="43"/>
    </row>
    <row r="4" ht="37.5" customHeight="1">
      <c r="A4" s="44">
        <v>46004.0</v>
      </c>
      <c r="B4" s="45" t="s">
        <v>25</v>
      </c>
      <c r="C4" s="45" t="s">
        <v>26</v>
      </c>
      <c r="D4" s="46" t="s">
        <v>27</v>
      </c>
    </row>
    <row r="5" ht="37.5" customHeight="1">
      <c r="A5" s="44"/>
      <c r="B5" s="45"/>
      <c r="C5" s="47"/>
      <c r="D5" s="48"/>
    </row>
    <row r="6" ht="37.5" customHeight="1">
      <c r="A6" s="49"/>
      <c r="B6" s="50"/>
      <c r="C6" s="51"/>
      <c r="D6" s="52"/>
    </row>
    <row r="7" ht="37.5" customHeight="1">
      <c r="A7" s="49"/>
      <c r="B7" s="50"/>
      <c r="C7" s="51"/>
      <c r="D7" s="52"/>
    </row>
    <row r="8" ht="37.5" customHeight="1">
      <c r="A8" s="49"/>
      <c r="B8" s="50"/>
      <c r="C8" s="51"/>
      <c r="D8" s="52"/>
    </row>
    <row r="9" ht="37.5" customHeight="1">
      <c r="A9" s="49"/>
      <c r="B9" s="50"/>
      <c r="C9" s="51"/>
      <c r="D9" s="52"/>
    </row>
    <row r="10" ht="37.5" customHeight="1">
      <c r="A10" s="49"/>
      <c r="B10" s="50"/>
      <c r="C10" s="51"/>
      <c r="D10" s="52"/>
    </row>
    <row r="11" ht="37.5" customHeight="1">
      <c r="A11" s="53"/>
      <c r="B11" s="54"/>
      <c r="C11" s="55"/>
      <c r="D11" s="56"/>
    </row>
    <row r="12" hidden="1">
      <c r="A12" s="57"/>
      <c r="C12" s="58"/>
    </row>
    <row r="13" hidden="1">
      <c r="A13" s="57"/>
      <c r="C13" s="58"/>
    </row>
    <row r="14" hidden="1">
      <c r="A14" s="57"/>
      <c r="C14" s="58"/>
    </row>
    <row r="15" hidden="1">
      <c r="A15" s="57"/>
      <c r="C15" s="58"/>
    </row>
    <row r="16" hidden="1">
      <c r="A16" s="57"/>
      <c r="C16" s="58"/>
    </row>
    <row r="17" hidden="1">
      <c r="A17" s="57"/>
      <c r="C17" s="58"/>
    </row>
    <row r="18" hidden="1">
      <c r="A18" s="57"/>
      <c r="C18" s="58"/>
    </row>
    <row r="19" hidden="1">
      <c r="A19" s="57"/>
      <c r="C19" s="58"/>
    </row>
    <row r="20" hidden="1">
      <c r="A20" s="57"/>
      <c r="C20" s="58"/>
    </row>
    <row r="21" hidden="1">
      <c r="A21" s="57"/>
      <c r="C21" s="58"/>
    </row>
    <row r="22" hidden="1">
      <c r="A22" s="57"/>
      <c r="C22" s="58"/>
    </row>
    <row r="23" hidden="1">
      <c r="A23" s="57"/>
      <c r="C23" s="58"/>
    </row>
    <row r="24" hidden="1">
      <c r="A24" s="57"/>
      <c r="C24" s="58"/>
    </row>
    <row r="25" hidden="1">
      <c r="A25" s="57"/>
      <c r="C25" s="58"/>
    </row>
    <row r="26" hidden="1">
      <c r="A26" s="57"/>
      <c r="C26" s="58"/>
    </row>
    <row r="27" hidden="1">
      <c r="A27" s="57"/>
      <c r="C27" s="58"/>
    </row>
    <row r="28" hidden="1">
      <c r="A28" s="57"/>
      <c r="C28" s="58"/>
    </row>
    <row r="29" hidden="1">
      <c r="A29" s="57"/>
      <c r="C29" s="58"/>
    </row>
    <row r="30" hidden="1">
      <c r="A30" s="57"/>
      <c r="C30" s="58"/>
    </row>
    <row r="31" hidden="1">
      <c r="A31" s="57"/>
      <c r="C31" s="58"/>
    </row>
    <row r="32" hidden="1">
      <c r="A32" s="57"/>
      <c r="C32" s="58"/>
    </row>
    <row r="33" hidden="1">
      <c r="A33" s="57"/>
      <c r="C33" s="58"/>
    </row>
    <row r="34" hidden="1">
      <c r="A34" s="57"/>
      <c r="C34" s="58"/>
    </row>
    <row r="35" hidden="1">
      <c r="A35" s="57"/>
      <c r="C35" s="58"/>
    </row>
    <row r="36" hidden="1">
      <c r="A36" s="57"/>
      <c r="C36" s="58"/>
    </row>
    <row r="37" hidden="1">
      <c r="A37" s="57"/>
      <c r="C37" s="58"/>
    </row>
    <row r="38" hidden="1">
      <c r="A38" s="57"/>
      <c r="C38" s="58"/>
    </row>
    <row r="39" hidden="1">
      <c r="A39" s="57"/>
      <c r="C39" s="58"/>
    </row>
    <row r="40" hidden="1">
      <c r="A40" s="57"/>
      <c r="C40" s="58"/>
    </row>
    <row r="41" hidden="1">
      <c r="A41" s="57"/>
      <c r="C41" s="58"/>
    </row>
    <row r="42" hidden="1">
      <c r="A42" s="57"/>
      <c r="C42" s="58"/>
    </row>
    <row r="43" hidden="1">
      <c r="A43" s="57"/>
      <c r="C43" s="58"/>
    </row>
    <row r="44" hidden="1">
      <c r="A44" s="57"/>
      <c r="C44" s="58"/>
    </row>
    <row r="45" hidden="1">
      <c r="A45" s="57"/>
      <c r="C45" s="58"/>
    </row>
    <row r="46" hidden="1">
      <c r="A46" s="57"/>
      <c r="C46" s="58"/>
    </row>
    <row r="47" hidden="1">
      <c r="A47" s="57"/>
      <c r="C47" s="58"/>
    </row>
    <row r="48" hidden="1">
      <c r="A48" s="57"/>
      <c r="C48" s="58"/>
    </row>
    <row r="49" hidden="1">
      <c r="A49" s="57"/>
      <c r="C49" s="58"/>
    </row>
    <row r="50" hidden="1">
      <c r="A50" s="57"/>
      <c r="C50" s="58"/>
    </row>
    <row r="51" hidden="1">
      <c r="A51" s="57"/>
      <c r="C51" s="58"/>
    </row>
    <row r="52" hidden="1">
      <c r="A52" s="57"/>
      <c r="C52" s="58"/>
    </row>
    <row r="53" hidden="1">
      <c r="A53" s="57"/>
      <c r="C53" s="58"/>
    </row>
    <row r="54" hidden="1">
      <c r="A54" s="57"/>
      <c r="C54" s="58"/>
    </row>
    <row r="55" hidden="1">
      <c r="A55" s="57"/>
      <c r="C55" s="58"/>
    </row>
    <row r="56" hidden="1">
      <c r="A56" s="57"/>
      <c r="C56" s="58"/>
    </row>
    <row r="57" hidden="1">
      <c r="A57" s="57"/>
      <c r="C57" s="58"/>
    </row>
    <row r="58" hidden="1">
      <c r="A58" s="57"/>
      <c r="C58" s="58"/>
    </row>
    <row r="59" hidden="1">
      <c r="A59" s="57"/>
      <c r="C59" s="58"/>
    </row>
    <row r="60" hidden="1">
      <c r="A60" s="57"/>
      <c r="C60" s="58"/>
    </row>
    <row r="61" hidden="1">
      <c r="A61" s="57"/>
      <c r="C61" s="58"/>
    </row>
    <row r="62" hidden="1">
      <c r="A62" s="57"/>
      <c r="C62" s="58"/>
    </row>
    <row r="63" hidden="1">
      <c r="A63" s="57"/>
      <c r="C63" s="58"/>
    </row>
    <row r="64" hidden="1">
      <c r="A64" s="57"/>
      <c r="C64" s="58"/>
    </row>
    <row r="65" hidden="1">
      <c r="A65" s="57"/>
      <c r="C65" s="58"/>
    </row>
    <row r="66" hidden="1">
      <c r="A66" s="57"/>
      <c r="C66" s="58"/>
    </row>
    <row r="67" hidden="1">
      <c r="A67" s="57"/>
      <c r="C67" s="58"/>
    </row>
    <row r="68" hidden="1">
      <c r="A68" s="57"/>
      <c r="C68" s="58"/>
    </row>
    <row r="69" hidden="1">
      <c r="A69" s="57"/>
      <c r="C69" s="58"/>
    </row>
    <row r="70" hidden="1">
      <c r="A70" s="57"/>
      <c r="C70" s="58"/>
    </row>
    <row r="71" hidden="1">
      <c r="A71" s="57"/>
      <c r="C71" s="58"/>
    </row>
    <row r="72" hidden="1">
      <c r="A72" s="57"/>
      <c r="C72" s="58"/>
    </row>
    <row r="73" hidden="1">
      <c r="A73" s="57"/>
      <c r="C73" s="58"/>
    </row>
    <row r="74" hidden="1">
      <c r="A74" s="57"/>
      <c r="C74" s="58"/>
    </row>
    <row r="75" hidden="1">
      <c r="A75" s="57"/>
      <c r="C75" s="58"/>
    </row>
    <row r="76" hidden="1">
      <c r="A76" s="57"/>
      <c r="C76" s="58"/>
    </row>
    <row r="77" hidden="1">
      <c r="A77" s="57"/>
      <c r="C77" s="58"/>
    </row>
    <row r="78" hidden="1">
      <c r="A78" s="57"/>
      <c r="C78" s="58"/>
    </row>
    <row r="79" hidden="1">
      <c r="A79" s="57"/>
      <c r="C79" s="58"/>
    </row>
    <row r="80" hidden="1">
      <c r="A80" s="57"/>
      <c r="C80" s="58"/>
    </row>
    <row r="81" hidden="1">
      <c r="A81" s="57"/>
      <c r="C81" s="58"/>
    </row>
    <row r="82" hidden="1">
      <c r="A82" s="57"/>
      <c r="C82" s="58"/>
    </row>
    <row r="83" hidden="1">
      <c r="A83" s="57"/>
      <c r="C83" s="58"/>
    </row>
    <row r="84" hidden="1">
      <c r="A84" s="57"/>
      <c r="C84" s="58"/>
    </row>
    <row r="85" hidden="1">
      <c r="A85" s="57"/>
      <c r="C85" s="58"/>
    </row>
    <row r="86" hidden="1">
      <c r="A86" s="57"/>
      <c r="C86" s="58"/>
    </row>
    <row r="87" hidden="1">
      <c r="A87" s="57"/>
      <c r="C87" s="58"/>
    </row>
    <row r="88" hidden="1">
      <c r="A88" s="57"/>
      <c r="C88" s="58"/>
    </row>
    <row r="89" hidden="1">
      <c r="A89" s="57"/>
      <c r="C89" s="58"/>
    </row>
    <row r="90" hidden="1">
      <c r="A90" s="57"/>
      <c r="C90" s="58"/>
    </row>
    <row r="91" hidden="1">
      <c r="A91" s="57"/>
      <c r="C91" s="58"/>
    </row>
    <row r="92" hidden="1">
      <c r="A92" s="57"/>
      <c r="C92" s="58"/>
    </row>
    <row r="93" hidden="1">
      <c r="A93" s="57"/>
      <c r="C93" s="58"/>
    </row>
    <row r="94" hidden="1">
      <c r="A94" s="57"/>
      <c r="C94" s="58"/>
    </row>
    <row r="95" hidden="1">
      <c r="A95" s="57"/>
      <c r="C95" s="58"/>
    </row>
    <row r="96" hidden="1">
      <c r="A96" s="57"/>
      <c r="C96" s="58"/>
    </row>
    <row r="97" hidden="1">
      <c r="A97" s="57"/>
      <c r="C97" s="58"/>
    </row>
    <row r="98" hidden="1">
      <c r="A98" s="57"/>
      <c r="C98" s="58"/>
    </row>
    <row r="99" hidden="1">
      <c r="A99" s="57"/>
      <c r="C99" s="58"/>
    </row>
    <row r="100" hidden="1">
      <c r="A100" s="57"/>
      <c r="C100" s="58"/>
    </row>
    <row r="101" hidden="1">
      <c r="A101" s="57"/>
      <c r="C101" s="58"/>
    </row>
    <row r="102" hidden="1">
      <c r="A102" s="57"/>
      <c r="C102" s="58"/>
    </row>
    <row r="103" hidden="1">
      <c r="A103" s="57"/>
      <c r="C103" s="58"/>
    </row>
    <row r="104" hidden="1">
      <c r="A104" s="57"/>
      <c r="C104" s="58"/>
    </row>
    <row r="105" hidden="1">
      <c r="A105" s="57"/>
      <c r="C105" s="58"/>
    </row>
    <row r="106" hidden="1">
      <c r="A106" s="57"/>
      <c r="C106" s="58"/>
    </row>
    <row r="107" hidden="1">
      <c r="A107" s="57"/>
      <c r="C107" s="58"/>
    </row>
    <row r="108" hidden="1">
      <c r="A108" s="57"/>
      <c r="C108" s="58"/>
    </row>
    <row r="109" hidden="1">
      <c r="A109" s="57"/>
      <c r="C109" s="58"/>
    </row>
    <row r="110" hidden="1">
      <c r="A110" s="57"/>
      <c r="C110" s="58"/>
    </row>
    <row r="111" hidden="1">
      <c r="A111" s="57"/>
      <c r="C111" s="58"/>
    </row>
    <row r="112" hidden="1">
      <c r="A112" s="57"/>
      <c r="C112" s="58"/>
    </row>
    <row r="113" hidden="1">
      <c r="A113" s="57"/>
      <c r="C113" s="58"/>
    </row>
    <row r="114" hidden="1">
      <c r="A114" s="57"/>
      <c r="C114" s="58"/>
    </row>
    <row r="115" hidden="1">
      <c r="A115" s="57"/>
      <c r="C115" s="58"/>
    </row>
    <row r="116" hidden="1">
      <c r="A116" s="57"/>
      <c r="C116" s="58"/>
    </row>
    <row r="117" hidden="1">
      <c r="A117" s="57"/>
      <c r="C117" s="58"/>
    </row>
    <row r="118" hidden="1">
      <c r="A118" s="57"/>
      <c r="C118" s="58"/>
    </row>
    <row r="119" hidden="1">
      <c r="A119" s="57"/>
      <c r="C119" s="58"/>
    </row>
    <row r="120" hidden="1">
      <c r="A120" s="57"/>
      <c r="C120" s="58"/>
    </row>
    <row r="121" hidden="1">
      <c r="A121" s="57"/>
      <c r="C121" s="58"/>
    </row>
    <row r="122" hidden="1">
      <c r="A122" s="57"/>
      <c r="C122" s="58"/>
    </row>
    <row r="123" hidden="1">
      <c r="A123" s="57"/>
      <c r="C123" s="58"/>
    </row>
    <row r="124" hidden="1">
      <c r="A124" s="57"/>
      <c r="C124" s="58"/>
    </row>
    <row r="125" hidden="1">
      <c r="A125" s="57"/>
      <c r="C125" s="58"/>
    </row>
    <row r="126" hidden="1">
      <c r="A126" s="57"/>
      <c r="C126" s="58"/>
    </row>
    <row r="127" hidden="1">
      <c r="A127" s="57"/>
      <c r="C127" s="58"/>
    </row>
    <row r="128" hidden="1">
      <c r="A128" s="57"/>
      <c r="C128" s="58"/>
    </row>
    <row r="129" hidden="1">
      <c r="A129" s="57"/>
      <c r="C129" s="58"/>
    </row>
    <row r="130" hidden="1">
      <c r="A130" s="57"/>
      <c r="C130" s="58"/>
    </row>
    <row r="131" hidden="1">
      <c r="A131" s="57"/>
      <c r="C131" s="58"/>
    </row>
    <row r="132" hidden="1">
      <c r="A132" s="57"/>
      <c r="C132" s="58"/>
    </row>
    <row r="133" hidden="1">
      <c r="A133" s="57"/>
      <c r="C133" s="58"/>
    </row>
    <row r="134" hidden="1">
      <c r="A134" s="57"/>
      <c r="C134" s="58"/>
    </row>
    <row r="135" hidden="1">
      <c r="A135" s="57"/>
      <c r="C135" s="58"/>
    </row>
    <row r="136" hidden="1">
      <c r="A136" s="57"/>
      <c r="C136" s="58"/>
    </row>
    <row r="137" hidden="1">
      <c r="A137" s="57"/>
      <c r="C137" s="58"/>
    </row>
    <row r="138" hidden="1">
      <c r="A138" s="57"/>
      <c r="C138" s="58"/>
    </row>
    <row r="139" hidden="1">
      <c r="A139" s="57"/>
      <c r="C139" s="58"/>
    </row>
    <row r="140" hidden="1">
      <c r="A140" s="57"/>
      <c r="C140" s="58"/>
    </row>
    <row r="141" hidden="1">
      <c r="A141" s="57"/>
      <c r="C141" s="58"/>
    </row>
    <row r="142" hidden="1">
      <c r="A142" s="57"/>
      <c r="C142" s="58"/>
    </row>
    <row r="143" hidden="1">
      <c r="A143" s="57"/>
      <c r="C143" s="58"/>
    </row>
    <row r="144" hidden="1">
      <c r="A144" s="57"/>
      <c r="C144" s="58"/>
    </row>
    <row r="145" hidden="1">
      <c r="A145" s="57"/>
      <c r="C145" s="58"/>
    </row>
    <row r="146" hidden="1">
      <c r="A146" s="57"/>
      <c r="C146" s="58"/>
    </row>
    <row r="147" hidden="1">
      <c r="A147" s="57"/>
      <c r="C147" s="58"/>
    </row>
    <row r="148" hidden="1">
      <c r="A148" s="57"/>
      <c r="C148" s="58"/>
    </row>
    <row r="149" hidden="1">
      <c r="A149" s="57"/>
      <c r="C149" s="58"/>
    </row>
    <row r="150" hidden="1">
      <c r="A150" s="57"/>
      <c r="C150" s="58"/>
    </row>
    <row r="151" hidden="1">
      <c r="A151" s="57"/>
      <c r="C151" s="58"/>
    </row>
    <row r="152" hidden="1">
      <c r="A152" s="57"/>
      <c r="C152" s="58"/>
    </row>
    <row r="153" hidden="1">
      <c r="A153" s="57"/>
      <c r="C153" s="58"/>
    </row>
    <row r="154" hidden="1">
      <c r="A154" s="57"/>
      <c r="C154" s="58"/>
    </row>
    <row r="155" hidden="1">
      <c r="A155" s="57"/>
      <c r="C155" s="58"/>
    </row>
    <row r="156" hidden="1">
      <c r="A156" s="57"/>
      <c r="C156" s="58"/>
    </row>
    <row r="157" hidden="1">
      <c r="A157" s="57"/>
      <c r="C157" s="58"/>
    </row>
    <row r="158" hidden="1">
      <c r="A158" s="57"/>
      <c r="C158" s="58"/>
    </row>
    <row r="159" hidden="1">
      <c r="A159" s="57"/>
      <c r="C159" s="58"/>
    </row>
    <row r="160" hidden="1">
      <c r="A160" s="57"/>
      <c r="C160" s="58"/>
    </row>
    <row r="161" hidden="1">
      <c r="A161" s="57"/>
      <c r="C161" s="58"/>
    </row>
    <row r="162" hidden="1">
      <c r="A162" s="57"/>
      <c r="C162" s="58"/>
    </row>
    <row r="163" hidden="1">
      <c r="A163" s="57"/>
      <c r="C163" s="58"/>
    </row>
    <row r="164" hidden="1">
      <c r="A164" s="57"/>
      <c r="C164" s="58"/>
    </row>
    <row r="165" hidden="1">
      <c r="A165" s="57"/>
      <c r="C165" s="58"/>
    </row>
    <row r="166" hidden="1">
      <c r="A166" s="57"/>
      <c r="C166" s="58"/>
    </row>
    <row r="167" hidden="1">
      <c r="A167" s="57"/>
      <c r="C167" s="58"/>
    </row>
    <row r="168" hidden="1">
      <c r="A168" s="57"/>
      <c r="C168" s="58"/>
    </row>
    <row r="169" hidden="1">
      <c r="A169" s="57"/>
      <c r="C169" s="58"/>
    </row>
    <row r="170" hidden="1">
      <c r="A170" s="57"/>
      <c r="C170" s="58"/>
    </row>
    <row r="171" hidden="1">
      <c r="A171" s="57"/>
      <c r="C171" s="58"/>
    </row>
    <row r="172" hidden="1">
      <c r="A172" s="57"/>
      <c r="C172" s="58"/>
    </row>
    <row r="173" hidden="1">
      <c r="A173" s="57"/>
      <c r="C173" s="58"/>
    </row>
    <row r="174" hidden="1">
      <c r="A174" s="57"/>
      <c r="C174" s="58"/>
    </row>
    <row r="175" hidden="1">
      <c r="A175" s="57"/>
      <c r="C175" s="58"/>
    </row>
    <row r="176" hidden="1">
      <c r="A176" s="57"/>
      <c r="C176" s="58"/>
    </row>
    <row r="177" hidden="1">
      <c r="A177" s="57"/>
      <c r="C177" s="58"/>
    </row>
    <row r="178" hidden="1">
      <c r="A178" s="57"/>
      <c r="C178" s="58"/>
    </row>
    <row r="179" hidden="1">
      <c r="A179" s="57"/>
      <c r="C179" s="58"/>
    </row>
    <row r="180" hidden="1">
      <c r="A180" s="57"/>
      <c r="C180" s="58"/>
    </row>
    <row r="181" hidden="1">
      <c r="A181" s="57"/>
      <c r="C181" s="58"/>
    </row>
    <row r="182" hidden="1">
      <c r="A182" s="57"/>
      <c r="C182" s="58"/>
    </row>
    <row r="183" hidden="1">
      <c r="A183" s="57"/>
      <c r="C183" s="58"/>
    </row>
    <row r="184" hidden="1">
      <c r="A184" s="57"/>
      <c r="C184" s="58"/>
    </row>
    <row r="185" hidden="1">
      <c r="A185" s="57"/>
      <c r="C185" s="58"/>
    </row>
    <row r="186" hidden="1">
      <c r="A186" s="57"/>
      <c r="C186" s="58"/>
    </row>
    <row r="187" hidden="1">
      <c r="A187" s="57"/>
      <c r="C187" s="58"/>
    </row>
    <row r="188" hidden="1">
      <c r="A188" s="57"/>
      <c r="C188" s="58"/>
    </row>
    <row r="189" hidden="1">
      <c r="A189" s="57"/>
      <c r="C189" s="58"/>
    </row>
    <row r="190" hidden="1">
      <c r="A190" s="57"/>
      <c r="C190" s="58"/>
    </row>
    <row r="191" hidden="1">
      <c r="A191" s="57"/>
      <c r="C191" s="58"/>
    </row>
    <row r="192" hidden="1">
      <c r="A192" s="57"/>
      <c r="C192" s="58"/>
    </row>
    <row r="193" hidden="1">
      <c r="A193" s="57"/>
      <c r="C193" s="58"/>
    </row>
    <row r="194" hidden="1">
      <c r="A194" s="57"/>
      <c r="C194" s="58"/>
    </row>
    <row r="195" hidden="1">
      <c r="A195" s="57"/>
      <c r="C195" s="58"/>
    </row>
    <row r="196" hidden="1">
      <c r="A196" s="57"/>
      <c r="C196" s="58"/>
    </row>
    <row r="197" hidden="1">
      <c r="A197" s="57"/>
      <c r="C197" s="58"/>
    </row>
    <row r="198" hidden="1">
      <c r="A198" s="57"/>
      <c r="C198" s="58"/>
    </row>
    <row r="199" hidden="1">
      <c r="A199" s="57"/>
      <c r="C199" s="58"/>
    </row>
    <row r="200" hidden="1">
      <c r="A200" s="57"/>
      <c r="C200" s="58"/>
    </row>
    <row r="201" hidden="1">
      <c r="A201" s="57"/>
      <c r="C201" s="58"/>
    </row>
    <row r="202" hidden="1">
      <c r="A202" s="57"/>
      <c r="C202" s="58"/>
    </row>
    <row r="203" hidden="1">
      <c r="A203" s="57"/>
      <c r="C203" s="58"/>
    </row>
    <row r="204" hidden="1">
      <c r="A204" s="57"/>
      <c r="C204" s="58"/>
    </row>
    <row r="205" hidden="1">
      <c r="A205" s="57"/>
      <c r="C205" s="58"/>
    </row>
    <row r="206" hidden="1">
      <c r="A206" s="57"/>
      <c r="C206" s="58"/>
    </row>
    <row r="207" hidden="1">
      <c r="A207" s="57"/>
      <c r="C207" s="58"/>
    </row>
    <row r="208" hidden="1">
      <c r="A208" s="57"/>
      <c r="C208" s="58"/>
    </row>
    <row r="209" hidden="1">
      <c r="A209" s="57"/>
      <c r="C209" s="58"/>
    </row>
    <row r="210" hidden="1">
      <c r="A210" s="57"/>
      <c r="C210" s="58"/>
    </row>
    <row r="211" hidden="1">
      <c r="A211" s="57"/>
      <c r="C211" s="58"/>
    </row>
    <row r="212" hidden="1">
      <c r="A212" s="57"/>
      <c r="C212" s="58"/>
    </row>
    <row r="213" hidden="1">
      <c r="A213" s="57"/>
      <c r="C213" s="58"/>
    </row>
    <row r="214" hidden="1">
      <c r="A214" s="57"/>
      <c r="C214" s="58"/>
    </row>
    <row r="215" hidden="1">
      <c r="A215" s="57"/>
      <c r="C215" s="58"/>
    </row>
    <row r="216" hidden="1">
      <c r="A216" s="57"/>
      <c r="C216" s="58"/>
    </row>
    <row r="217" hidden="1">
      <c r="A217" s="57"/>
      <c r="C217" s="58"/>
    </row>
    <row r="218" hidden="1">
      <c r="A218" s="57"/>
      <c r="C218" s="58"/>
    </row>
    <row r="219" hidden="1">
      <c r="A219" s="57"/>
      <c r="C219" s="58"/>
    </row>
    <row r="220" hidden="1">
      <c r="A220" s="57"/>
      <c r="C220" s="58"/>
    </row>
    <row r="221" hidden="1">
      <c r="A221" s="57"/>
      <c r="C221" s="58"/>
    </row>
    <row r="222" hidden="1">
      <c r="A222" s="57"/>
      <c r="C222" s="58"/>
    </row>
    <row r="223" hidden="1">
      <c r="A223" s="57"/>
      <c r="C223" s="58"/>
    </row>
    <row r="224" hidden="1">
      <c r="A224" s="57"/>
      <c r="C224" s="58"/>
    </row>
    <row r="225" hidden="1">
      <c r="A225" s="57"/>
      <c r="C225" s="58"/>
    </row>
    <row r="226" hidden="1">
      <c r="A226" s="57"/>
      <c r="C226" s="58"/>
    </row>
    <row r="227" hidden="1">
      <c r="A227" s="57"/>
      <c r="C227" s="58"/>
    </row>
    <row r="228" hidden="1">
      <c r="A228" s="57"/>
      <c r="C228" s="58"/>
    </row>
    <row r="229" hidden="1">
      <c r="A229" s="57"/>
      <c r="C229" s="58"/>
    </row>
    <row r="230" hidden="1">
      <c r="A230" s="57"/>
      <c r="C230" s="58"/>
    </row>
    <row r="231" hidden="1">
      <c r="A231" s="57"/>
      <c r="C231" s="58"/>
    </row>
    <row r="232" hidden="1">
      <c r="A232" s="57"/>
      <c r="C232" s="58"/>
    </row>
    <row r="233" hidden="1">
      <c r="A233" s="57"/>
      <c r="C233" s="58"/>
    </row>
    <row r="234" hidden="1">
      <c r="A234" s="57"/>
      <c r="C234" s="58"/>
    </row>
    <row r="235" hidden="1">
      <c r="A235" s="57"/>
      <c r="C235" s="58"/>
    </row>
    <row r="236" hidden="1">
      <c r="A236" s="57"/>
      <c r="C236" s="58"/>
    </row>
    <row r="237" hidden="1">
      <c r="A237" s="57"/>
      <c r="C237" s="58"/>
    </row>
    <row r="238" hidden="1">
      <c r="A238" s="57"/>
      <c r="C238" s="58"/>
    </row>
    <row r="239" hidden="1">
      <c r="A239" s="57"/>
      <c r="C239" s="58"/>
    </row>
    <row r="240" hidden="1">
      <c r="A240" s="57"/>
      <c r="C240" s="58"/>
    </row>
    <row r="241" hidden="1">
      <c r="A241" s="57"/>
      <c r="C241" s="58"/>
    </row>
    <row r="242" hidden="1">
      <c r="A242" s="57"/>
      <c r="C242" s="58"/>
    </row>
    <row r="243" hidden="1">
      <c r="A243" s="57"/>
      <c r="C243" s="58"/>
    </row>
    <row r="244" hidden="1">
      <c r="A244" s="57"/>
      <c r="C244" s="58"/>
    </row>
    <row r="245" hidden="1">
      <c r="A245" s="57"/>
      <c r="C245" s="58"/>
    </row>
    <row r="246" hidden="1">
      <c r="A246" s="57"/>
      <c r="C246" s="58"/>
    </row>
    <row r="247" hidden="1">
      <c r="A247" s="57"/>
      <c r="C247" s="58"/>
    </row>
    <row r="248" hidden="1">
      <c r="A248" s="57"/>
      <c r="C248" s="58"/>
    </row>
    <row r="249" hidden="1">
      <c r="A249" s="57"/>
      <c r="C249" s="58"/>
    </row>
    <row r="250" hidden="1">
      <c r="A250" s="57"/>
      <c r="C250" s="58"/>
    </row>
    <row r="251" hidden="1">
      <c r="A251" s="57"/>
      <c r="C251" s="58"/>
    </row>
    <row r="252" hidden="1">
      <c r="A252" s="57"/>
      <c r="C252" s="58"/>
    </row>
    <row r="253" hidden="1">
      <c r="A253" s="57"/>
      <c r="C253" s="58"/>
    </row>
    <row r="254" hidden="1">
      <c r="A254" s="57"/>
      <c r="C254" s="58"/>
    </row>
    <row r="255" hidden="1">
      <c r="A255" s="57"/>
      <c r="C255" s="58"/>
    </row>
    <row r="256" hidden="1">
      <c r="A256" s="57"/>
      <c r="C256" s="58"/>
    </row>
    <row r="257" hidden="1">
      <c r="A257" s="57"/>
      <c r="C257" s="58"/>
    </row>
    <row r="258" hidden="1">
      <c r="A258" s="57"/>
      <c r="C258" s="58"/>
    </row>
    <row r="259" hidden="1">
      <c r="A259" s="57"/>
      <c r="C259" s="58"/>
    </row>
    <row r="260" hidden="1">
      <c r="A260" s="57"/>
      <c r="C260" s="58"/>
    </row>
    <row r="261" hidden="1">
      <c r="A261" s="57"/>
      <c r="C261" s="58"/>
    </row>
    <row r="262" hidden="1">
      <c r="A262" s="57"/>
      <c r="C262" s="58"/>
    </row>
    <row r="263" hidden="1">
      <c r="A263" s="57"/>
      <c r="C263" s="58"/>
    </row>
    <row r="264" hidden="1">
      <c r="A264" s="57"/>
      <c r="C264" s="58"/>
    </row>
    <row r="265" hidden="1">
      <c r="A265" s="57"/>
      <c r="C265" s="58"/>
    </row>
    <row r="266" hidden="1">
      <c r="A266" s="57"/>
      <c r="C266" s="58"/>
    </row>
    <row r="267" hidden="1">
      <c r="A267" s="57"/>
      <c r="C267" s="58"/>
    </row>
    <row r="268" hidden="1">
      <c r="A268" s="57"/>
      <c r="C268" s="58"/>
    </row>
    <row r="269" hidden="1">
      <c r="A269" s="57"/>
      <c r="C269" s="58"/>
    </row>
    <row r="270" hidden="1">
      <c r="A270" s="57"/>
      <c r="C270" s="58"/>
    </row>
    <row r="271" hidden="1">
      <c r="A271" s="57"/>
      <c r="C271" s="58"/>
    </row>
    <row r="272" hidden="1">
      <c r="A272" s="57"/>
      <c r="C272" s="58"/>
    </row>
    <row r="273" hidden="1">
      <c r="A273" s="57"/>
      <c r="C273" s="58"/>
    </row>
    <row r="274" hidden="1">
      <c r="A274" s="57"/>
      <c r="C274" s="58"/>
    </row>
    <row r="275" hidden="1">
      <c r="A275" s="57"/>
      <c r="C275" s="58"/>
    </row>
    <row r="276" hidden="1">
      <c r="A276" s="57"/>
      <c r="C276" s="58"/>
    </row>
    <row r="277" hidden="1">
      <c r="A277" s="57"/>
      <c r="C277" s="58"/>
    </row>
    <row r="278" hidden="1">
      <c r="A278" s="57"/>
      <c r="C278" s="58"/>
    </row>
    <row r="279" hidden="1">
      <c r="A279" s="57"/>
      <c r="C279" s="58"/>
    </row>
    <row r="280" hidden="1">
      <c r="A280" s="57"/>
      <c r="C280" s="58"/>
    </row>
    <row r="281" hidden="1">
      <c r="A281" s="57"/>
      <c r="C281" s="58"/>
    </row>
    <row r="282" hidden="1">
      <c r="A282" s="57"/>
      <c r="C282" s="58"/>
    </row>
    <row r="283" hidden="1">
      <c r="A283" s="57"/>
      <c r="C283" s="58"/>
    </row>
    <row r="284" hidden="1">
      <c r="A284" s="57"/>
      <c r="C284" s="58"/>
    </row>
    <row r="285" hidden="1">
      <c r="A285" s="57"/>
      <c r="C285" s="58"/>
    </row>
    <row r="286" hidden="1">
      <c r="A286" s="57"/>
      <c r="C286" s="58"/>
    </row>
    <row r="287" hidden="1">
      <c r="A287" s="57"/>
      <c r="C287" s="58"/>
    </row>
    <row r="288" hidden="1">
      <c r="A288" s="57"/>
      <c r="C288" s="58"/>
    </row>
    <row r="289" hidden="1">
      <c r="A289" s="57"/>
      <c r="C289" s="58"/>
    </row>
    <row r="290" hidden="1">
      <c r="A290" s="57"/>
      <c r="C290" s="58"/>
    </row>
    <row r="291" hidden="1">
      <c r="A291" s="57"/>
      <c r="C291" s="58"/>
    </row>
    <row r="292" hidden="1">
      <c r="A292" s="57"/>
      <c r="C292" s="58"/>
    </row>
    <row r="293" hidden="1">
      <c r="A293" s="57"/>
      <c r="C293" s="58"/>
    </row>
    <row r="294" hidden="1">
      <c r="A294" s="57"/>
      <c r="C294" s="58"/>
    </row>
    <row r="295" hidden="1">
      <c r="A295" s="57"/>
      <c r="C295" s="58"/>
    </row>
    <row r="296" hidden="1">
      <c r="A296" s="57"/>
      <c r="C296" s="58"/>
    </row>
    <row r="297" hidden="1">
      <c r="A297" s="57"/>
      <c r="C297" s="58"/>
    </row>
    <row r="298" hidden="1">
      <c r="A298" s="57"/>
      <c r="C298" s="58"/>
    </row>
    <row r="299" hidden="1">
      <c r="A299" s="57"/>
      <c r="C299" s="58"/>
    </row>
    <row r="300" hidden="1">
      <c r="A300" s="57"/>
      <c r="C300" s="58"/>
    </row>
    <row r="301" hidden="1">
      <c r="A301" s="57"/>
      <c r="C301" s="58"/>
    </row>
    <row r="302" hidden="1">
      <c r="A302" s="57"/>
      <c r="C302" s="58"/>
    </row>
    <row r="303" hidden="1">
      <c r="A303" s="57"/>
      <c r="C303" s="58"/>
    </row>
    <row r="304" hidden="1">
      <c r="A304" s="57"/>
      <c r="C304" s="58"/>
    </row>
    <row r="305" hidden="1">
      <c r="A305" s="57"/>
      <c r="C305" s="58"/>
    </row>
    <row r="306" hidden="1">
      <c r="A306" s="57"/>
      <c r="C306" s="58"/>
    </row>
    <row r="307" hidden="1">
      <c r="A307" s="57"/>
      <c r="C307" s="58"/>
    </row>
    <row r="308" hidden="1">
      <c r="A308" s="57"/>
      <c r="C308" s="58"/>
    </row>
    <row r="309" hidden="1">
      <c r="A309" s="57"/>
      <c r="C309" s="58"/>
    </row>
    <row r="310" hidden="1">
      <c r="A310" s="57"/>
      <c r="C310" s="58"/>
    </row>
    <row r="311" hidden="1">
      <c r="A311" s="57"/>
      <c r="C311" s="58"/>
    </row>
    <row r="312" hidden="1">
      <c r="A312" s="57"/>
      <c r="C312" s="58"/>
    </row>
    <row r="313" hidden="1">
      <c r="A313" s="57"/>
      <c r="C313" s="58"/>
    </row>
    <row r="314" hidden="1">
      <c r="A314" s="57"/>
      <c r="C314" s="58"/>
    </row>
    <row r="315" hidden="1">
      <c r="A315" s="57"/>
      <c r="C315" s="58"/>
    </row>
    <row r="316" hidden="1">
      <c r="A316" s="57"/>
      <c r="C316" s="58"/>
    </row>
    <row r="317" hidden="1">
      <c r="A317" s="57"/>
      <c r="C317" s="58"/>
    </row>
    <row r="318" hidden="1">
      <c r="A318" s="57"/>
      <c r="C318" s="58"/>
    </row>
    <row r="319" hidden="1">
      <c r="A319" s="57"/>
      <c r="C319" s="58"/>
    </row>
    <row r="320" hidden="1">
      <c r="A320" s="57"/>
      <c r="C320" s="58"/>
    </row>
    <row r="321" hidden="1">
      <c r="A321" s="57"/>
      <c r="C321" s="58"/>
    </row>
    <row r="322" hidden="1">
      <c r="A322" s="57"/>
      <c r="C322" s="58"/>
    </row>
    <row r="323" hidden="1">
      <c r="A323" s="57"/>
      <c r="C323" s="58"/>
    </row>
    <row r="324" hidden="1">
      <c r="A324" s="57"/>
      <c r="C324" s="58"/>
    </row>
    <row r="325" hidden="1">
      <c r="A325" s="57"/>
      <c r="C325" s="58"/>
    </row>
    <row r="326" hidden="1">
      <c r="A326" s="57"/>
      <c r="C326" s="58"/>
    </row>
    <row r="327" hidden="1">
      <c r="A327" s="57"/>
      <c r="C327" s="58"/>
    </row>
    <row r="328" hidden="1">
      <c r="A328" s="57"/>
      <c r="C328" s="58"/>
    </row>
    <row r="329" hidden="1">
      <c r="A329" s="57"/>
      <c r="C329" s="58"/>
    </row>
    <row r="330" hidden="1">
      <c r="A330" s="57"/>
      <c r="C330" s="58"/>
    </row>
    <row r="331" hidden="1">
      <c r="A331" s="57"/>
      <c r="C331" s="58"/>
    </row>
    <row r="332" hidden="1">
      <c r="A332" s="57"/>
      <c r="C332" s="58"/>
    </row>
    <row r="333" hidden="1">
      <c r="A333" s="57"/>
      <c r="C333" s="58"/>
    </row>
    <row r="334" hidden="1">
      <c r="A334" s="57"/>
      <c r="C334" s="58"/>
    </row>
    <row r="335" hidden="1">
      <c r="A335" s="57"/>
      <c r="C335" s="58"/>
    </row>
    <row r="336" hidden="1">
      <c r="A336" s="57"/>
      <c r="C336" s="58"/>
    </row>
    <row r="337" hidden="1">
      <c r="A337" s="57"/>
      <c r="C337" s="58"/>
    </row>
    <row r="338" hidden="1">
      <c r="A338" s="57"/>
      <c r="C338" s="58"/>
    </row>
    <row r="339" hidden="1">
      <c r="A339" s="57"/>
      <c r="C339" s="58"/>
    </row>
    <row r="340" hidden="1">
      <c r="A340" s="57"/>
      <c r="C340" s="58"/>
    </row>
    <row r="341" hidden="1">
      <c r="A341" s="57"/>
      <c r="C341" s="58"/>
    </row>
    <row r="342" hidden="1">
      <c r="A342" s="57"/>
      <c r="C342" s="58"/>
    </row>
    <row r="343" hidden="1">
      <c r="A343" s="57"/>
      <c r="C343" s="58"/>
    </row>
    <row r="344" hidden="1">
      <c r="A344" s="57"/>
      <c r="C344" s="58"/>
    </row>
    <row r="345" hidden="1">
      <c r="A345" s="57"/>
      <c r="C345" s="58"/>
    </row>
    <row r="346" hidden="1">
      <c r="A346" s="57"/>
      <c r="C346" s="58"/>
    </row>
    <row r="347" hidden="1">
      <c r="A347" s="57"/>
      <c r="C347" s="58"/>
    </row>
    <row r="348" hidden="1">
      <c r="A348" s="57"/>
      <c r="C348" s="58"/>
    </row>
    <row r="349" hidden="1">
      <c r="A349" s="57"/>
      <c r="C349" s="58"/>
    </row>
    <row r="350" hidden="1">
      <c r="A350" s="57"/>
      <c r="C350" s="58"/>
    </row>
    <row r="351" hidden="1">
      <c r="A351" s="57"/>
      <c r="C351" s="58"/>
    </row>
    <row r="352" hidden="1">
      <c r="A352" s="57"/>
      <c r="C352" s="58"/>
    </row>
    <row r="353" hidden="1">
      <c r="A353" s="57"/>
      <c r="C353" s="58"/>
    </row>
    <row r="354" hidden="1">
      <c r="A354" s="57"/>
      <c r="C354" s="58"/>
    </row>
    <row r="355" hidden="1">
      <c r="A355" s="57"/>
      <c r="C355" s="58"/>
    </row>
    <row r="356" hidden="1">
      <c r="A356" s="57"/>
      <c r="C356" s="58"/>
    </row>
    <row r="357" hidden="1">
      <c r="A357" s="57"/>
      <c r="C357" s="58"/>
    </row>
    <row r="358" hidden="1">
      <c r="A358" s="57"/>
      <c r="C358" s="58"/>
    </row>
    <row r="359" hidden="1">
      <c r="A359" s="57"/>
      <c r="C359" s="58"/>
    </row>
    <row r="360" hidden="1">
      <c r="A360" s="57"/>
      <c r="C360" s="58"/>
    </row>
    <row r="361" hidden="1">
      <c r="A361" s="57"/>
      <c r="C361" s="58"/>
    </row>
    <row r="362" hidden="1">
      <c r="A362" s="57"/>
      <c r="C362" s="58"/>
    </row>
    <row r="363" hidden="1">
      <c r="A363" s="57"/>
      <c r="C363" s="58"/>
    </row>
    <row r="364" hidden="1">
      <c r="A364" s="57"/>
      <c r="C364" s="58"/>
    </row>
    <row r="365" hidden="1">
      <c r="A365" s="57"/>
      <c r="C365" s="58"/>
    </row>
    <row r="366" hidden="1">
      <c r="A366" s="57"/>
      <c r="C366" s="58"/>
    </row>
    <row r="367" hidden="1">
      <c r="A367" s="57"/>
      <c r="C367" s="58"/>
    </row>
    <row r="368" hidden="1">
      <c r="A368" s="57"/>
      <c r="C368" s="58"/>
    </row>
    <row r="369" hidden="1">
      <c r="A369" s="57"/>
      <c r="C369" s="58"/>
    </row>
    <row r="370" hidden="1">
      <c r="A370" s="57"/>
      <c r="C370" s="58"/>
    </row>
    <row r="371" hidden="1">
      <c r="A371" s="57"/>
      <c r="C371" s="58"/>
    </row>
    <row r="372" hidden="1">
      <c r="A372" s="57"/>
      <c r="C372" s="58"/>
    </row>
    <row r="373" hidden="1">
      <c r="A373" s="57"/>
      <c r="C373" s="58"/>
    </row>
    <row r="374" hidden="1">
      <c r="A374" s="57"/>
      <c r="C374" s="58"/>
    </row>
    <row r="375" hidden="1">
      <c r="A375" s="57"/>
      <c r="C375" s="58"/>
    </row>
    <row r="376" hidden="1">
      <c r="A376" s="57"/>
      <c r="C376" s="58"/>
    </row>
    <row r="377" hidden="1">
      <c r="A377" s="57"/>
      <c r="C377" s="58"/>
    </row>
    <row r="378" hidden="1">
      <c r="A378" s="57"/>
      <c r="C378" s="58"/>
    </row>
    <row r="379" hidden="1">
      <c r="A379" s="57"/>
      <c r="C379" s="58"/>
    </row>
    <row r="380" hidden="1">
      <c r="A380" s="57"/>
      <c r="C380" s="58"/>
    </row>
    <row r="381" hidden="1">
      <c r="A381" s="57"/>
      <c r="C381" s="58"/>
    </row>
    <row r="382" hidden="1">
      <c r="A382" s="57"/>
      <c r="C382" s="58"/>
    </row>
    <row r="383" hidden="1">
      <c r="A383" s="57"/>
      <c r="C383" s="58"/>
    </row>
    <row r="384" hidden="1">
      <c r="A384" s="57"/>
      <c r="C384" s="58"/>
    </row>
    <row r="385" hidden="1">
      <c r="A385" s="57"/>
      <c r="C385" s="58"/>
    </row>
    <row r="386" hidden="1">
      <c r="A386" s="57"/>
      <c r="C386" s="58"/>
    </row>
    <row r="387" hidden="1">
      <c r="A387" s="57"/>
      <c r="C387" s="58"/>
    </row>
    <row r="388" hidden="1">
      <c r="A388" s="57"/>
      <c r="C388" s="58"/>
    </row>
    <row r="389" hidden="1">
      <c r="A389" s="57"/>
      <c r="C389" s="58"/>
    </row>
    <row r="390" hidden="1">
      <c r="A390" s="57"/>
      <c r="C390" s="58"/>
    </row>
    <row r="391" hidden="1">
      <c r="A391" s="57"/>
      <c r="C391" s="58"/>
    </row>
    <row r="392" hidden="1">
      <c r="A392" s="57"/>
      <c r="C392" s="58"/>
    </row>
    <row r="393" hidden="1">
      <c r="A393" s="57"/>
      <c r="C393" s="58"/>
    </row>
    <row r="394" hidden="1">
      <c r="A394" s="57"/>
      <c r="C394" s="58"/>
    </row>
    <row r="395" hidden="1">
      <c r="A395" s="57"/>
      <c r="C395" s="58"/>
    </row>
    <row r="396" hidden="1">
      <c r="A396" s="57"/>
      <c r="C396" s="58"/>
    </row>
    <row r="397" hidden="1">
      <c r="A397" s="57"/>
      <c r="C397" s="58"/>
    </row>
    <row r="398" hidden="1">
      <c r="A398" s="57"/>
      <c r="C398" s="58"/>
    </row>
    <row r="399" hidden="1">
      <c r="A399" s="57"/>
      <c r="C399" s="58"/>
    </row>
    <row r="400" hidden="1">
      <c r="A400" s="57"/>
      <c r="C400" s="58"/>
    </row>
    <row r="401" hidden="1">
      <c r="A401" s="57"/>
      <c r="C401" s="58"/>
    </row>
    <row r="402" hidden="1">
      <c r="A402" s="57"/>
      <c r="C402" s="58"/>
    </row>
    <row r="403" hidden="1">
      <c r="A403" s="57"/>
      <c r="C403" s="58"/>
    </row>
    <row r="404" hidden="1">
      <c r="A404" s="57"/>
      <c r="C404" s="58"/>
    </row>
    <row r="405" hidden="1">
      <c r="A405" s="57"/>
      <c r="C405" s="58"/>
    </row>
    <row r="406" hidden="1">
      <c r="A406" s="57"/>
      <c r="C406" s="58"/>
    </row>
    <row r="407" hidden="1">
      <c r="A407" s="57"/>
      <c r="C407" s="58"/>
    </row>
    <row r="408" hidden="1">
      <c r="A408" s="57"/>
      <c r="C408" s="58"/>
    </row>
    <row r="409" hidden="1">
      <c r="A409" s="57"/>
      <c r="C409" s="58"/>
    </row>
    <row r="410" hidden="1">
      <c r="A410" s="57"/>
      <c r="C410" s="58"/>
    </row>
    <row r="411" hidden="1">
      <c r="A411" s="57"/>
      <c r="C411" s="58"/>
    </row>
    <row r="412" hidden="1">
      <c r="A412" s="57"/>
      <c r="C412" s="58"/>
    </row>
    <row r="413" hidden="1">
      <c r="A413" s="57"/>
      <c r="C413" s="58"/>
    </row>
    <row r="414" hidden="1">
      <c r="A414" s="57"/>
      <c r="C414" s="58"/>
    </row>
    <row r="415" hidden="1">
      <c r="A415" s="57"/>
      <c r="C415" s="58"/>
    </row>
    <row r="416" hidden="1">
      <c r="A416" s="57"/>
      <c r="C416" s="58"/>
    </row>
    <row r="417" hidden="1">
      <c r="A417" s="57"/>
      <c r="C417" s="58"/>
    </row>
    <row r="418" hidden="1">
      <c r="A418" s="57"/>
      <c r="C418" s="58"/>
    </row>
    <row r="419" hidden="1">
      <c r="A419" s="57"/>
      <c r="C419" s="58"/>
    </row>
    <row r="420" hidden="1">
      <c r="A420" s="57"/>
      <c r="C420" s="58"/>
    </row>
    <row r="421" hidden="1">
      <c r="A421" s="57"/>
      <c r="C421" s="58"/>
    </row>
    <row r="422" hidden="1">
      <c r="A422" s="57"/>
      <c r="C422" s="58"/>
    </row>
    <row r="423" hidden="1">
      <c r="A423" s="57"/>
      <c r="C423" s="58"/>
    </row>
    <row r="424" hidden="1">
      <c r="A424" s="57"/>
      <c r="C424" s="58"/>
    </row>
    <row r="425" hidden="1">
      <c r="A425" s="57"/>
      <c r="C425" s="58"/>
    </row>
    <row r="426" hidden="1">
      <c r="A426" s="57"/>
      <c r="C426" s="58"/>
    </row>
    <row r="427" hidden="1">
      <c r="A427" s="57"/>
      <c r="C427" s="58"/>
    </row>
    <row r="428" hidden="1">
      <c r="A428" s="57"/>
      <c r="C428" s="58"/>
    </row>
    <row r="429" hidden="1">
      <c r="A429" s="57"/>
      <c r="C429" s="58"/>
    </row>
    <row r="430" hidden="1">
      <c r="A430" s="57"/>
      <c r="C430" s="58"/>
    </row>
    <row r="431" hidden="1">
      <c r="A431" s="57"/>
      <c r="C431" s="58"/>
    </row>
    <row r="432" hidden="1">
      <c r="A432" s="57"/>
      <c r="C432" s="58"/>
    </row>
    <row r="433" hidden="1">
      <c r="A433" s="57"/>
      <c r="C433" s="58"/>
    </row>
    <row r="434" hidden="1">
      <c r="A434" s="57"/>
      <c r="C434" s="58"/>
    </row>
    <row r="435" hidden="1">
      <c r="A435" s="57"/>
      <c r="C435" s="58"/>
    </row>
    <row r="436" hidden="1">
      <c r="A436" s="57"/>
      <c r="C436" s="58"/>
    </row>
    <row r="437" hidden="1">
      <c r="A437" s="57"/>
      <c r="C437" s="58"/>
    </row>
    <row r="438" hidden="1">
      <c r="A438" s="57"/>
      <c r="C438" s="58"/>
    </row>
    <row r="439" hidden="1">
      <c r="A439" s="57"/>
      <c r="C439" s="58"/>
    </row>
    <row r="440" hidden="1">
      <c r="A440" s="57"/>
      <c r="C440" s="58"/>
    </row>
    <row r="441" hidden="1">
      <c r="A441" s="57"/>
      <c r="C441" s="58"/>
    </row>
    <row r="442" hidden="1">
      <c r="A442" s="57"/>
      <c r="C442" s="58"/>
    </row>
    <row r="443" hidden="1">
      <c r="A443" s="57"/>
      <c r="C443" s="58"/>
    </row>
    <row r="444" hidden="1">
      <c r="A444" s="57"/>
      <c r="C444" s="58"/>
    </row>
    <row r="445" hidden="1">
      <c r="A445" s="57"/>
      <c r="C445" s="58"/>
    </row>
    <row r="446" hidden="1">
      <c r="A446" s="57"/>
      <c r="C446" s="58"/>
    </row>
    <row r="447" hidden="1">
      <c r="A447" s="57"/>
      <c r="C447" s="58"/>
    </row>
    <row r="448" hidden="1">
      <c r="A448" s="57"/>
      <c r="C448" s="58"/>
    </row>
    <row r="449" hidden="1">
      <c r="A449" s="57"/>
      <c r="C449" s="58"/>
    </row>
    <row r="450" hidden="1">
      <c r="A450" s="57"/>
      <c r="C450" s="58"/>
    </row>
    <row r="451" hidden="1">
      <c r="A451" s="57"/>
      <c r="C451" s="58"/>
    </row>
    <row r="452" hidden="1">
      <c r="A452" s="57"/>
      <c r="C452" s="58"/>
    </row>
    <row r="453" hidden="1">
      <c r="A453" s="57"/>
      <c r="C453" s="58"/>
    </row>
    <row r="454" hidden="1">
      <c r="A454" s="57"/>
      <c r="C454" s="58"/>
    </row>
    <row r="455" hidden="1">
      <c r="A455" s="57"/>
      <c r="C455" s="58"/>
    </row>
    <row r="456" hidden="1">
      <c r="A456" s="57"/>
      <c r="C456" s="58"/>
    </row>
    <row r="457" hidden="1">
      <c r="A457" s="57"/>
      <c r="C457" s="58"/>
    </row>
    <row r="458" hidden="1">
      <c r="A458" s="57"/>
      <c r="C458" s="58"/>
    </row>
    <row r="459" hidden="1">
      <c r="A459" s="57"/>
      <c r="C459" s="58"/>
    </row>
    <row r="460" hidden="1">
      <c r="A460" s="57"/>
      <c r="C460" s="58"/>
    </row>
    <row r="461" hidden="1">
      <c r="A461" s="57"/>
      <c r="C461" s="58"/>
    </row>
    <row r="462" hidden="1">
      <c r="A462" s="57"/>
      <c r="C462" s="58"/>
    </row>
    <row r="463" hidden="1">
      <c r="A463" s="57"/>
      <c r="C463" s="58"/>
    </row>
    <row r="464" hidden="1">
      <c r="A464" s="57"/>
      <c r="C464" s="58"/>
    </row>
    <row r="465" hidden="1">
      <c r="A465" s="57"/>
      <c r="C465" s="58"/>
    </row>
    <row r="466" hidden="1">
      <c r="A466" s="57"/>
      <c r="C466" s="58"/>
    </row>
    <row r="467" hidden="1">
      <c r="A467" s="57"/>
      <c r="C467" s="58"/>
    </row>
    <row r="468" hidden="1">
      <c r="A468" s="57"/>
      <c r="C468" s="58"/>
    </row>
    <row r="469" hidden="1">
      <c r="A469" s="57"/>
      <c r="C469" s="58"/>
    </row>
    <row r="470" hidden="1">
      <c r="A470" s="57"/>
      <c r="C470" s="58"/>
    </row>
    <row r="471" hidden="1">
      <c r="A471" s="57"/>
      <c r="C471" s="58"/>
    </row>
    <row r="472" hidden="1">
      <c r="A472" s="57"/>
      <c r="C472" s="58"/>
    </row>
    <row r="473" hidden="1">
      <c r="A473" s="57"/>
      <c r="C473" s="58"/>
    </row>
    <row r="474" hidden="1">
      <c r="A474" s="57"/>
      <c r="C474" s="58"/>
    </row>
    <row r="475" hidden="1">
      <c r="A475" s="57"/>
      <c r="C475" s="58"/>
    </row>
    <row r="476" hidden="1">
      <c r="A476" s="57"/>
      <c r="C476" s="58"/>
    </row>
    <row r="477" hidden="1">
      <c r="A477" s="57"/>
      <c r="C477" s="58"/>
    </row>
    <row r="478" hidden="1">
      <c r="A478" s="57"/>
      <c r="C478" s="58"/>
    </row>
    <row r="479" hidden="1">
      <c r="A479" s="57"/>
      <c r="C479" s="58"/>
    </row>
    <row r="480" hidden="1">
      <c r="A480" s="57"/>
      <c r="C480" s="58"/>
    </row>
    <row r="481" hidden="1">
      <c r="A481" s="57"/>
      <c r="C481" s="58"/>
    </row>
    <row r="482" hidden="1">
      <c r="A482" s="57"/>
      <c r="C482" s="58"/>
    </row>
    <row r="483" hidden="1">
      <c r="A483" s="57"/>
      <c r="C483" s="58"/>
    </row>
    <row r="484" hidden="1">
      <c r="A484" s="57"/>
      <c r="C484" s="58"/>
    </row>
    <row r="485" hidden="1">
      <c r="A485" s="57"/>
      <c r="C485" s="58"/>
    </row>
    <row r="486" hidden="1">
      <c r="A486" s="57"/>
      <c r="C486" s="58"/>
    </row>
    <row r="487" hidden="1">
      <c r="A487" s="57"/>
      <c r="C487" s="58"/>
    </row>
    <row r="488" hidden="1">
      <c r="A488" s="57"/>
      <c r="C488" s="58"/>
    </row>
    <row r="489" hidden="1">
      <c r="A489" s="57"/>
      <c r="C489" s="58"/>
    </row>
    <row r="490" hidden="1">
      <c r="A490" s="57"/>
      <c r="C490" s="58"/>
    </row>
    <row r="491" hidden="1">
      <c r="A491" s="57"/>
      <c r="C491" s="58"/>
    </row>
    <row r="492" hidden="1">
      <c r="A492" s="57"/>
      <c r="C492" s="58"/>
    </row>
    <row r="493" hidden="1">
      <c r="A493" s="57"/>
      <c r="C493" s="58"/>
    </row>
    <row r="494" hidden="1">
      <c r="A494" s="57"/>
      <c r="C494" s="58"/>
    </row>
    <row r="495" hidden="1">
      <c r="A495" s="57"/>
      <c r="C495" s="58"/>
    </row>
    <row r="496" hidden="1">
      <c r="A496" s="57"/>
      <c r="C496" s="58"/>
    </row>
    <row r="497" hidden="1">
      <c r="A497" s="57"/>
      <c r="C497" s="58"/>
    </row>
    <row r="498" hidden="1">
      <c r="A498" s="57"/>
      <c r="C498" s="58"/>
    </row>
    <row r="499" hidden="1">
      <c r="A499" s="57"/>
      <c r="C499" s="58"/>
    </row>
    <row r="500" hidden="1">
      <c r="A500" s="57"/>
      <c r="C500" s="58"/>
    </row>
    <row r="501" hidden="1">
      <c r="A501" s="57"/>
      <c r="C501" s="58"/>
    </row>
    <row r="502" hidden="1">
      <c r="A502" s="57"/>
      <c r="C502" s="58"/>
    </row>
    <row r="503" hidden="1">
      <c r="A503" s="57"/>
      <c r="C503" s="58"/>
    </row>
    <row r="504" hidden="1">
      <c r="A504" s="57"/>
      <c r="C504" s="58"/>
    </row>
    <row r="505" hidden="1">
      <c r="A505" s="57"/>
      <c r="C505" s="58"/>
    </row>
    <row r="506" hidden="1">
      <c r="A506" s="57"/>
      <c r="C506" s="58"/>
    </row>
    <row r="507" hidden="1">
      <c r="A507" s="57"/>
      <c r="C507" s="58"/>
    </row>
    <row r="508" hidden="1">
      <c r="A508" s="57"/>
      <c r="C508" s="58"/>
    </row>
    <row r="509" hidden="1">
      <c r="A509" s="57"/>
      <c r="C509" s="58"/>
    </row>
    <row r="510" hidden="1">
      <c r="A510" s="57"/>
      <c r="C510" s="58"/>
    </row>
    <row r="511" hidden="1">
      <c r="A511" s="57"/>
      <c r="C511" s="58"/>
    </row>
    <row r="512" hidden="1">
      <c r="A512" s="57"/>
      <c r="C512" s="58"/>
    </row>
    <row r="513" hidden="1">
      <c r="A513" s="57"/>
      <c r="C513" s="58"/>
    </row>
    <row r="514" hidden="1">
      <c r="A514" s="57"/>
      <c r="C514" s="58"/>
    </row>
    <row r="515" hidden="1">
      <c r="A515" s="57"/>
      <c r="C515" s="58"/>
    </row>
    <row r="516" hidden="1">
      <c r="A516" s="57"/>
      <c r="C516" s="58"/>
    </row>
    <row r="517" hidden="1">
      <c r="A517" s="57"/>
      <c r="C517" s="58"/>
    </row>
    <row r="518" hidden="1">
      <c r="A518" s="57"/>
      <c r="C518" s="58"/>
    </row>
    <row r="519" hidden="1">
      <c r="A519" s="57"/>
      <c r="C519" s="58"/>
    </row>
    <row r="520" hidden="1">
      <c r="A520" s="57"/>
      <c r="C520" s="58"/>
    </row>
    <row r="521" hidden="1">
      <c r="A521" s="57"/>
      <c r="C521" s="58"/>
    </row>
    <row r="522" hidden="1">
      <c r="A522" s="57"/>
      <c r="C522" s="58"/>
    </row>
    <row r="523" hidden="1">
      <c r="A523" s="57"/>
      <c r="C523" s="58"/>
    </row>
    <row r="524" hidden="1">
      <c r="A524" s="57"/>
      <c r="C524" s="58"/>
    </row>
    <row r="525" hidden="1">
      <c r="A525" s="57"/>
      <c r="C525" s="58"/>
    </row>
    <row r="526" hidden="1">
      <c r="A526" s="57"/>
      <c r="C526" s="58"/>
    </row>
    <row r="527" hidden="1">
      <c r="A527" s="57"/>
      <c r="C527" s="58"/>
    </row>
    <row r="528" hidden="1">
      <c r="A528" s="57"/>
      <c r="C528" s="58"/>
    </row>
    <row r="529" hidden="1">
      <c r="A529" s="57"/>
      <c r="C529" s="58"/>
    </row>
    <row r="530" hidden="1">
      <c r="A530" s="57"/>
      <c r="C530" s="58"/>
    </row>
    <row r="531" hidden="1">
      <c r="A531" s="57"/>
      <c r="C531" s="58"/>
    </row>
    <row r="532" hidden="1">
      <c r="A532" s="57"/>
      <c r="C532" s="58"/>
    </row>
    <row r="533" hidden="1">
      <c r="A533" s="57"/>
      <c r="C533" s="58"/>
    </row>
    <row r="534" hidden="1">
      <c r="A534" s="57"/>
      <c r="C534" s="58"/>
    </row>
    <row r="535" hidden="1">
      <c r="A535" s="57"/>
      <c r="C535" s="58"/>
    </row>
    <row r="536" hidden="1">
      <c r="A536" s="57"/>
      <c r="C536" s="58"/>
    </row>
    <row r="537" hidden="1">
      <c r="A537" s="57"/>
      <c r="C537" s="58"/>
    </row>
    <row r="538" hidden="1">
      <c r="A538" s="57"/>
      <c r="C538" s="58"/>
    </row>
    <row r="539" hidden="1">
      <c r="A539" s="57"/>
      <c r="C539" s="58"/>
    </row>
    <row r="540" hidden="1">
      <c r="A540" s="57"/>
      <c r="C540" s="58"/>
    </row>
    <row r="541" hidden="1">
      <c r="A541" s="57"/>
      <c r="C541" s="58"/>
    </row>
    <row r="542" hidden="1">
      <c r="A542" s="57"/>
      <c r="C542" s="58"/>
    </row>
    <row r="543" hidden="1">
      <c r="A543" s="57"/>
      <c r="C543" s="58"/>
    </row>
    <row r="544" hidden="1">
      <c r="A544" s="57"/>
      <c r="C544" s="58"/>
    </row>
    <row r="545" hidden="1">
      <c r="A545" s="57"/>
      <c r="C545" s="58"/>
    </row>
    <row r="546" hidden="1">
      <c r="A546" s="57"/>
      <c r="C546" s="58"/>
    </row>
    <row r="547" hidden="1">
      <c r="A547" s="57"/>
      <c r="C547" s="58"/>
    </row>
    <row r="548" hidden="1">
      <c r="A548" s="57"/>
      <c r="C548" s="58"/>
    </row>
    <row r="549" hidden="1">
      <c r="A549" s="57"/>
      <c r="C549" s="58"/>
    </row>
    <row r="550" hidden="1">
      <c r="A550" s="57"/>
      <c r="C550" s="58"/>
    </row>
    <row r="551" hidden="1">
      <c r="A551" s="57"/>
      <c r="C551" s="58"/>
    </row>
    <row r="552" hidden="1">
      <c r="A552" s="57"/>
      <c r="C552" s="58"/>
    </row>
    <row r="553" hidden="1">
      <c r="A553" s="57"/>
      <c r="C553" s="58"/>
    </row>
    <row r="554" hidden="1">
      <c r="A554" s="57"/>
      <c r="C554" s="58"/>
    </row>
    <row r="555" hidden="1">
      <c r="A555" s="57"/>
      <c r="C555" s="58"/>
    </row>
    <row r="556" hidden="1">
      <c r="A556" s="57"/>
      <c r="C556" s="58"/>
    </row>
    <row r="557" hidden="1">
      <c r="A557" s="57"/>
      <c r="C557" s="58"/>
    </row>
    <row r="558" hidden="1">
      <c r="A558" s="57"/>
      <c r="C558" s="58"/>
    </row>
    <row r="559" hidden="1">
      <c r="A559" s="57"/>
      <c r="C559" s="58"/>
    </row>
    <row r="560" hidden="1">
      <c r="A560" s="57"/>
      <c r="C560" s="58"/>
    </row>
    <row r="561" hidden="1">
      <c r="A561" s="57"/>
      <c r="C561" s="58"/>
    </row>
    <row r="562" hidden="1">
      <c r="A562" s="57"/>
      <c r="C562" s="58"/>
    </row>
    <row r="563" hidden="1">
      <c r="A563" s="57"/>
      <c r="C563" s="58"/>
    </row>
    <row r="564" hidden="1">
      <c r="A564" s="57"/>
      <c r="C564" s="58"/>
    </row>
    <row r="565" hidden="1">
      <c r="A565" s="57"/>
      <c r="C565" s="58"/>
    </row>
    <row r="566" hidden="1">
      <c r="A566" s="57"/>
      <c r="C566" s="58"/>
    </row>
    <row r="567" hidden="1">
      <c r="A567" s="57"/>
      <c r="C567" s="58"/>
    </row>
    <row r="568" hidden="1">
      <c r="A568" s="57"/>
      <c r="C568" s="58"/>
    </row>
    <row r="569" hidden="1">
      <c r="A569" s="57"/>
      <c r="C569" s="58"/>
    </row>
    <row r="570" hidden="1">
      <c r="A570" s="57"/>
      <c r="C570" s="58"/>
    </row>
    <row r="571" hidden="1">
      <c r="A571" s="57"/>
      <c r="C571" s="58"/>
    </row>
    <row r="572" hidden="1">
      <c r="A572" s="57"/>
      <c r="C572" s="58"/>
    </row>
    <row r="573" hidden="1">
      <c r="A573" s="57"/>
      <c r="C573" s="58"/>
    </row>
    <row r="574" hidden="1">
      <c r="A574" s="57"/>
      <c r="C574" s="58"/>
    </row>
    <row r="575" hidden="1">
      <c r="A575" s="57"/>
      <c r="C575" s="58"/>
    </row>
    <row r="576" hidden="1">
      <c r="A576" s="57"/>
      <c r="C576" s="58"/>
    </row>
    <row r="577" hidden="1">
      <c r="A577" s="57"/>
      <c r="C577" s="58"/>
    </row>
    <row r="578" hidden="1">
      <c r="A578" s="57"/>
      <c r="C578" s="58"/>
    </row>
    <row r="579" hidden="1">
      <c r="A579" s="57"/>
      <c r="C579" s="58"/>
    </row>
    <row r="580" hidden="1">
      <c r="A580" s="57"/>
      <c r="C580" s="58"/>
    </row>
    <row r="581" hidden="1">
      <c r="A581" s="57"/>
      <c r="C581" s="58"/>
    </row>
    <row r="582" hidden="1">
      <c r="A582" s="57"/>
      <c r="C582" s="58"/>
    </row>
    <row r="583" hidden="1">
      <c r="A583" s="57"/>
      <c r="C583" s="58"/>
    </row>
    <row r="584" hidden="1">
      <c r="A584" s="57"/>
      <c r="C584" s="58"/>
    </row>
    <row r="585" hidden="1">
      <c r="A585" s="57"/>
      <c r="C585" s="58"/>
    </row>
    <row r="586" hidden="1">
      <c r="A586" s="57"/>
      <c r="C586" s="58"/>
    </row>
    <row r="587" hidden="1">
      <c r="A587" s="57"/>
      <c r="C587" s="58"/>
    </row>
    <row r="588" hidden="1">
      <c r="A588" s="57"/>
      <c r="C588" s="58"/>
    </row>
    <row r="589" hidden="1">
      <c r="A589" s="57"/>
      <c r="C589" s="58"/>
    </row>
    <row r="590" hidden="1">
      <c r="A590" s="57"/>
      <c r="C590" s="58"/>
    </row>
    <row r="591" hidden="1">
      <c r="A591" s="57"/>
      <c r="C591" s="58"/>
    </row>
    <row r="592" hidden="1">
      <c r="A592" s="57"/>
      <c r="C592" s="58"/>
    </row>
    <row r="593" hidden="1">
      <c r="A593" s="57"/>
      <c r="C593" s="58"/>
    </row>
    <row r="594" hidden="1">
      <c r="A594" s="57"/>
      <c r="C594" s="58"/>
    </row>
    <row r="595" hidden="1">
      <c r="A595" s="57"/>
      <c r="C595" s="58"/>
    </row>
    <row r="596" hidden="1">
      <c r="A596" s="57"/>
      <c r="C596" s="58"/>
    </row>
    <row r="597" hidden="1">
      <c r="A597" s="57"/>
      <c r="C597" s="58"/>
    </row>
    <row r="598" hidden="1">
      <c r="A598" s="57"/>
      <c r="C598" s="58"/>
    </row>
    <row r="599" hidden="1">
      <c r="A599" s="57"/>
      <c r="C599" s="58"/>
    </row>
    <row r="600" hidden="1">
      <c r="A600" s="57"/>
      <c r="C600" s="58"/>
    </row>
    <row r="601" hidden="1">
      <c r="A601" s="57"/>
      <c r="C601" s="58"/>
    </row>
    <row r="602" hidden="1">
      <c r="A602" s="57"/>
      <c r="C602" s="58"/>
    </row>
    <row r="603" hidden="1">
      <c r="A603" s="57"/>
      <c r="C603" s="58"/>
    </row>
    <row r="604" hidden="1">
      <c r="A604" s="57"/>
      <c r="C604" s="58"/>
    </row>
    <row r="605" hidden="1">
      <c r="A605" s="57"/>
      <c r="C605" s="58"/>
    </row>
    <row r="606" hidden="1">
      <c r="A606" s="57"/>
      <c r="C606" s="58"/>
    </row>
    <row r="607" hidden="1">
      <c r="A607" s="57"/>
      <c r="C607" s="58"/>
    </row>
    <row r="608" hidden="1">
      <c r="A608" s="57"/>
      <c r="C608" s="58"/>
    </row>
    <row r="609" hidden="1">
      <c r="A609" s="57"/>
      <c r="C609" s="58"/>
    </row>
    <row r="610" hidden="1">
      <c r="A610" s="57"/>
      <c r="C610" s="58"/>
    </row>
    <row r="611" hidden="1">
      <c r="A611" s="57"/>
      <c r="C611" s="58"/>
    </row>
    <row r="612" hidden="1">
      <c r="A612" s="57"/>
      <c r="C612" s="58"/>
    </row>
    <row r="613" hidden="1">
      <c r="A613" s="57"/>
      <c r="C613" s="58"/>
    </row>
    <row r="614" hidden="1">
      <c r="A614" s="57"/>
      <c r="C614" s="58"/>
    </row>
    <row r="615" hidden="1">
      <c r="A615" s="57"/>
      <c r="C615" s="58"/>
    </row>
    <row r="616" hidden="1">
      <c r="A616" s="57"/>
      <c r="C616" s="58"/>
    </row>
    <row r="617" hidden="1">
      <c r="A617" s="57"/>
      <c r="C617" s="58"/>
    </row>
    <row r="618" hidden="1">
      <c r="A618" s="57"/>
      <c r="C618" s="58"/>
    </row>
    <row r="619" hidden="1">
      <c r="A619" s="57"/>
      <c r="C619" s="58"/>
    </row>
    <row r="620" hidden="1">
      <c r="A620" s="57"/>
      <c r="C620" s="58"/>
    </row>
    <row r="621" hidden="1">
      <c r="A621" s="57"/>
      <c r="C621" s="58"/>
    </row>
    <row r="622" hidden="1">
      <c r="A622" s="57"/>
      <c r="C622" s="58"/>
    </row>
    <row r="623" hidden="1">
      <c r="A623" s="57"/>
      <c r="C623" s="58"/>
    </row>
    <row r="624" hidden="1">
      <c r="A624" s="57"/>
      <c r="C624" s="58"/>
    </row>
    <row r="625" hidden="1">
      <c r="A625" s="57"/>
      <c r="C625" s="58"/>
    </row>
    <row r="626" hidden="1">
      <c r="A626" s="57"/>
      <c r="C626" s="58"/>
    </row>
    <row r="627" hidden="1">
      <c r="A627" s="57"/>
      <c r="C627" s="58"/>
    </row>
    <row r="628" hidden="1">
      <c r="A628" s="57"/>
      <c r="C628" s="58"/>
    </row>
    <row r="629" hidden="1">
      <c r="A629" s="57"/>
      <c r="C629" s="58"/>
    </row>
    <row r="630" hidden="1">
      <c r="A630" s="57"/>
      <c r="C630" s="58"/>
    </row>
    <row r="631" hidden="1">
      <c r="A631" s="57"/>
      <c r="C631" s="58"/>
    </row>
    <row r="632" hidden="1">
      <c r="A632" s="57"/>
      <c r="C632" s="58"/>
    </row>
    <row r="633" hidden="1">
      <c r="A633" s="57"/>
      <c r="C633" s="58"/>
    </row>
    <row r="634" hidden="1">
      <c r="A634" s="57"/>
      <c r="C634" s="58"/>
    </row>
    <row r="635" hidden="1">
      <c r="A635" s="57"/>
      <c r="C635" s="58"/>
    </row>
    <row r="636" hidden="1">
      <c r="A636" s="57"/>
      <c r="C636" s="58"/>
    </row>
    <row r="637" hidden="1">
      <c r="A637" s="57"/>
      <c r="C637" s="58"/>
    </row>
    <row r="638" hidden="1">
      <c r="A638" s="57"/>
      <c r="C638" s="58"/>
    </row>
    <row r="639" hidden="1">
      <c r="A639" s="57"/>
      <c r="C639" s="58"/>
    </row>
    <row r="640" hidden="1">
      <c r="A640" s="57"/>
      <c r="C640" s="58"/>
    </row>
    <row r="641" hidden="1">
      <c r="A641" s="57"/>
      <c r="C641" s="58"/>
    </row>
    <row r="642" hidden="1">
      <c r="A642" s="57"/>
      <c r="C642" s="58"/>
    </row>
    <row r="643" hidden="1">
      <c r="A643" s="57"/>
      <c r="C643" s="58"/>
    </row>
    <row r="644" hidden="1">
      <c r="A644" s="57"/>
      <c r="C644" s="58"/>
    </row>
    <row r="645" hidden="1">
      <c r="A645" s="57"/>
      <c r="C645" s="58"/>
    </row>
    <row r="646" hidden="1">
      <c r="A646" s="57"/>
      <c r="C646" s="58"/>
    </row>
    <row r="647" hidden="1">
      <c r="A647" s="57"/>
      <c r="C647" s="58"/>
    </row>
    <row r="648" hidden="1">
      <c r="A648" s="57"/>
      <c r="C648" s="58"/>
    </row>
    <row r="649" hidden="1">
      <c r="A649" s="57"/>
      <c r="C649" s="58"/>
    </row>
    <row r="650" hidden="1">
      <c r="A650" s="57"/>
      <c r="C650" s="58"/>
    </row>
    <row r="651" hidden="1">
      <c r="A651" s="57"/>
      <c r="C651" s="58"/>
    </row>
    <row r="652" hidden="1">
      <c r="A652" s="57"/>
      <c r="C652" s="58"/>
    </row>
    <row r="653" hidden="1">
      <c r="A653" s="57"/>
      <c r="C653" s="58"/>
    </row>
    <row r="654" hidden="1">
      <c r="A654" s="57"/>
      <c r="C654" s="58"/>
    </row>
    <row r="655" hidden="1">
      <c r="A655" s="57"/>
      <c r="C655" s="58"/>
    </row>
    <row r="656" hidden="1">
      <c r="A656" s="57"/>
      <c r="C656" s="58"/>
    </row>
    <row r="657" hidden="1">
      <c r="A657" s="57"/>
      <c r="C657" s="58"/>
    </row>
    <row r="658" hidden="1">
      <c r="A658" s="57"/>
      <c r="C658" s="58"/>
    </row>
    <row r="659" hidden="1">
      <c r="A659" s="57"/>
      <c r="C659" s="58"/>
    </row>
    <row r="660" hidden="1">
      <c r="A660" s="57"/>
      <c r="C660" s="58"/>
    </row>
    <row r="661" hidden="1">
      <c r="A661" s="57"/>
      <c r="C661" s="58"/>
    </row>
    <row r="662" hidden="1">
      <c r="A662" s="57"/>
      <c r="C662" s="58"/>
    </row>
    <row r="663" hidden="1">
      <c r="A663" s="57"/>
      <c r="C663" s="58"/>
    </row>
    <row r="664" hidden="1">
      <c r="A664" s="57"/>
      <c r="C664" s="58"/>
    </row>
    <row r="665" hidden="1">
      <c r="A665" s="57"/>
      <c r="C665" s="58"/>
    </row>
    <row r="666" hidden="1">
      <c r="A666" s="57"/>
      <c r="C666" s="58"/>
    </row>
    <row r="667" hidden="1">
      <c r="A667" s="57"/>
      <c r="C667" s="58"/>
    </row>
    <row r="668" hidden="1">
      <c r="A668" s="57"/>
      <c r="C668" s="58"/>
    </row>
    <row r="669" hidden="1">
      <c r="A669" s="57"/>
      <c r="C669" s="58"/>
    </row>
    <row r="670" hidden="1">
      <c r="A670" s="57"/>
      <c r="C670" s="58"/>
    </row>
    <row r="671" hidden="1">
      <c r="A671" s="57"/>
      <c r="C671" s="58"/>
    </row>
    <row r="672" hidden="1">
      <c r="A672" s="57"/>
      <c r="C672" s="58"/>
    </row>
    <row r="673" hidden="1">
      <c r="A673" s="57"/>
      <c r="C673" s="58"/>
    </row>
    <row r="674" hidden="1">
      <c r="A674" s="57"/>
      <c r="C674" s="58"/>
    </row>
    <row r="675" hidden="1">
      <c r="A675" s="57"/>
      <c r="C675" s="58"/>
    </row>
    <row r="676" hidden="1">
      <c r="A676" s="57"/>
      <c r="C676" s="58"/>
    </row>
    <row r="677" hidden="1">
      <c r="A677" s="57"/>
      <c r="C677" s="58"/>
    </row>
    <row r="678" hidden="1">
      <c r="A678" s="57"/>
      <c r="C678" s="58"/>
    </row>
    <row r="679" hidden="1">
      <c r="A679" s="57"/>
      <c r="C679" s="58"/>
    </row>
    <row r="680" hidden="1">
      <c r="A680" s="57"/>
      <c r="C680" s="58"/>
    </row>
    <row r="681" hidden="1">
      <c r="A681" s="57"/>
      <c r="C681" s="58"/>
    </row>
    <row r="682" hidden="1">
      <c r="A682" s="57"/>
      <c r="C682" s="58"/>
    </row>
    <row r="683" hidden="1">
      <c r="A683" s="57"/>
      <c r="C683" s="58"/>
    </row>
    <row r="684" hidden="1">
      <c r="A684" s="57"/>
      <c r="C684" s="58"/>
    </row>
    <row r="685" hidden="1">
      <c r="A685" s="57"/>
      <c r="C685" s="58"/>
    </row>
    <row r="686" hidden="1">
      <c r="A686" s="57"/>
      <c r="C686" s="58"/>
    </row>
    <row r="687" hidden="1">
      <c r="A687" s="57"/>
      <c r="C687" s="58"/>
    </row>
    <row r="688" hidden="1">
      <c r="A688" s="57"/>
      <c r="C688" s="58"/>
    </row>
    <row r="689" hidden="1">
      <c r="A689" s="57"/>
      <c r="C689" s="58"/>
    </row>
    <row r="690" hidden="1">
      <c r="A690" s="57"/>
      <c r="C690" s="58"/>
    </row>
    <row r="691" hidden="1">
      <c r="A691" s="57"/>
      <c r="C691" s="58"/>
    </row>
    <row r="692" hidden="1">
      <c r="A692" s="57"/>
      <c r="C692" s="58"/>
    </row>
    <row r="693" hidden="1">
      <c r="A693" s="57"/>
      <c r="C693" s="58"/>
    </row>
    <row r="694" hidden="1">
      <c r="A694" s="57"/>
      <c r="C694" s="58"/>
    </row>
    <row r="695" hidden="1">
      <c r="A695" s="57"/>
      <c r="C695" s="58"/>
    </row>
    <row r="696" hidden="1">
      <c r="A696" s="57"/>
      <c r="C696" s="58"/>
    </row>
    <row r="697" hidden="1">
      <c r="A697" s="57"/>
      <c r="C697" s="58"/>
    </row>
    <row r="698" hidden="1">
      <c r="A698" s="57"/>
      <c r="C698" s="58"/>
    </row>
    <row r="699" hidden="1">
      <c r="A699" s="57"/>
      <c r="C699" s="58"/>
    </row>
    <row r="700" hidden="1">
      <c r="A700" s="57"/>
      <c r="C700" s="58"/>
    </row>
    <row r="701" hidden="1">
      <c r="A701" s="57"/>
      <c r="C701" s="58"/>
    </row>
    <row r="702" hidden="1">
      <c r="A702" s="57"/>
      <c r="C702" s="58"/>
    </row>
    <row r="703" hidden="1">
      <c r="A703" s="57"/>
      <c r="C703" s="58"/>
    </row>
    <row r="704" hidden="1">
      <c r="A704" s="57"/>
      <c r="C704" s="58"/>
    </row>
    <row r="705" hidden="1">
      <c r="A705" s="57"/>
      <c r="C705" s="58"/>
    </row>
    <row r="706" hidden="1">
      <c r="A706" s="57"/>
      <c r="C706" s="58"/>
    </row>
    <row r="707" hidden="1">
      <c r="A707" s="57"/>
      <c r="C707" s="58"/>
    </row>
    <row r="708" hidden="1">
      <c r="A708" s="57"/>
      <c r="C708" s="58"/>
    </row>
    <row r="709" hidden="1">
      <c r="A709" s="57"/>
      <c r="C709" s="58"/>
    </row>
    <row r="710" hidden="1">
      <c r="A710" s="57"/>
      <c r="C710" s="58"/>
    </row>
    <row r="711" hidden="1">
      <c r="A711" s="57"/>
      <c r="C711" s="58"/>
    </row>
    <row r="712" hidden="1">
      <c r="A712" s="57"/>
      <c r="C712" s="58"/>
    </row>
    <row r="713" hidden="1">
      <c r="A713" s="57"/>
      <c r="C713" s="58"/>
    </row>
    <row r="714" hidden="1">
      <c r="A714" s="57"/>
      <c r="C714" s="58"/>
    </row>
    <row r="715" hidden="1">
      <c r="A715" s="57"/>
      <c r="C715" s="58"/>
    </row>
    <row r="716" hidden="1">
      <c r="A716" s="57"/>
      <c r="C716" s="58"/>
    </row>
    <row r="717" hidden="1">
      <c r="A717" s="57"/>
      <c r="C717" s="58"/>
    </row>
    <row r="718" hidden="1">
      <c r="A718" s="57"/>
      <c r="C718" s="58"/>
    </row>
    <row r="719" hidden="1">
      <c r="A719" s="57"/>
      <c r="C719" s="58"/>
    </row>
    <row r="720" hidden="1">
      <c r="A720" s="57"/>
      <c r="C720" s="58"/>
    </row>
    <row r="721" hidden="1">
      <c r="A721" s="57"/>
      <c r="C721" s="58"/>
    </row>
    <row r="722" hidden="1">
      <c r="A722" s="57"/>
      <c r="C722" s="58"/>
    </row>
    <row r="723" hidden="1">
      <c r="A723" s="57"/>
      <c r="C723" s="58"/>
    </row>
    <row r="724" hidden="1">
      <c r="A724" s="57"/>
      <c r="C724" s="58"/>
    </row>
    <row r="725" hidden="1">
      <c r="A725" s="57"/>
      <c r="C725" s="58"/>
    </row>
    <row r="726" hidden="1">
      <c r="A726" s="57"/>
      <c r="C726" s="58"/>
    </row>
    <row r="727" hidden="1">
      <c r="A727" s="57"/>
      <c r="C727" s="58"/>
    </row>
    <row r="728" hidden="1">
      <c r="A728" s="57"/>
      <c r="C728" s="58"/>
    </row>
    <row r="729" hidden="1">
      <c r="A729" s="57"/>
      <c r="C729" s="58"/>
    </row>
    <row r="730" hidden="1">
      <c r="A730" s="57"/>
      <c r="C730" s="58"/>
    </row>
    <row r="731" hidden="1">
      <c r="A731" s="57"/>
      <c r="C731" s="58"/>
    </row>
    <row r="732" hidden="1">
      <c r="A732" s="57"/>
      <c r="C732" s="58"/>
    </row>
    <row r="733" hidden="1">
      <c r="A733" s="57"/>
      <c r="C733" s="58"/>
    </row>
    <row r="734" hidden="1">
      <c r="A734" s="57"/>
      <c r="C734" s="58"/>
    </row>
    <row r="735" hidden="1">
      <c r="A735" s="57"/>
      <c r="C735" s="58"/>
    </row>
    <row r="736" hidden="1">
      <c r="A736" s="57"/>
      <c r="C736" s="58"/>
    </row>
    <row r="737" hidden="1">
      <c r="A737" s="57"/>
      <c r="C737" s="58"/>
    </row>
    <row r="738" hidden="1">
      <c r="A738" s="57"/>
      <c r="C738" s="58"/>
    </row>
    <row r="739" hidden="1">
      <c r="A739" s="57"/>
      <c r="C739" s="58"/>
    </row>
    <row r="740" hidden="1">
      <c r="A740" s="57"/>
      <c r="C740" s="58"/>
    </row>
    <row r="741" hidden="1">
      <c r="A741" s="57"/>
      <c r="C741" s="58"/>
    </row>
    <row r="742" hidden="1">
      <c r="A742" s="57"/>
      <c r="C742" s="58"/>
    </row>
    <row r="743" hidden="1">
      <c r="A743" s="57"/>
      <c r="C743" s="58"/>
    </row>
    <row r="744" hidden="1">
      <c r="A744" s="57"/>
      <c r="C744" s="58"/>
    </row>
    <row r="745" hidden="1">
      <c r="A745" s="57"/>
      <c r="C745" s="58"/>
    </row>
    <row r="746" hidden="1">
      <c r="A746" s="57"/>
      <c r="C746" s="58"/>
    </row>
    <row r="747" hidden="1">
      <c r="A747" s="57"/>
      <c r="C747" s="58"/>
    </row>
    <row r="748" hidden="1">
      <c r="A748" s="57"/>
      <c r="C748" s="58"/>
    </row>
    <row r="749" hidden="1">
      <c r="A749" s="57"/>
      <c r="C749" s="58"/>
    </row>
    <row r="750" hidden="1">
      <c r="A750" s="57"/>
      <c r="C750" s="58"/>
    </row>
    <row r="751" hidden="1">
      <c r="A751" s="57"/>
      <c r="C751" s="58"/>
    </row>
    <row r="752" hidden="1">
      <c r="A752" s="57"/>
      <c r="C752" s="58"/>
    </row>
    <row r="753" hidden="1">
      <c r="A753" s="57"/>
      <c r="C753" s="58"/>
    </row>
    <row r="754" hidden="1">
      <c r="A754" s="57"/>
      <c r="C754" s="58"/>
    </row>
    <row r="755" hidden="1">
      <c r="A755" s="57"/>
      <c r="C755" s="58"/>
    </row>
    <row r="756" hidden="1">
      <c r="A756" s="57"/>
      <c r="C756" s="58"/>
    </row>
    <row r="757" hidden="1">
      <c r="A757" s="57"/>
      <c r="C757" s="58"/>
    </row>
    <row r="758" hidden="1">
      <c r="A758" s="57"/>
      <c r="C758" s="58"/>
    </row>
    <row r="759" hidden="1">
      <c r="A759" s="57"/>
      <c r="C759" s="58"/>
    </row>
    <row r="760" hidden="1">
      <c r="A760" s="57"/>
      <c r="C760" s="58"/>
    </row>
    <row r="761" hidden="1">
      <c r="A761" s="57"/>
      <c r="C761" s="58"/>
    </row>
    <row r="762" hidden="1">
      <c r="A762" s="57"/>
      <c r="C762" s="58"/>
    </row>
    <row r="763" hidden="1">
      <c r="A763" s="57"/>
      <c r="C763" s="58"/>
    </row>
    <row r="764" hidden="1">
      <c r="A764" s="57"/>
      <c r="C764" s="58"/>
    </row>
    <row r="765" hidden="1">
      <c r="A765" s="57"/>
      <c r="C765" s="58"/>
    </row>
    <row r="766" hidden="1">
      <c r="A766" s="57"/>
      <c r="C766" s="58"/>
    </row>
    <row r="767" hidden="1">
      <c r="A767" s="57"/>
      <c r="C767" s="58"/>
    </row>
    <row r="768" hidden="1">
      <c r="A768" s="57"/>
      <c r="C768" s="58"/>
    </row>
    <row r="769" hidden="1">
      <c r="A769" s="57"/>
      <c r="C769" s="58"/>
    </row>
    <row r="770" hidden="1">
      <c r="A770" s="57"/>
      <c r="C770" s="58"/>
    </row>
    <row r="771" hidden="1">
      <c r="A771" s="57"/>
      <c r="C771" s="58"/>
    </row>
    <row r="772" hidden="1">
      <c r="A772" s="57"/>
      <c r="C772" s="58"/>
    </row>
    <row r="773" hidden="1">
      <c r="A773" s="57"/>
      <c r="C773" s="58"/>
    </row>
    <row r="774" hidden="1">
      <c r="A774" s="57"/>
      <c r="C774" s="58"/>
    </row>
    <row r="775" hidden="1">
      <c r="A775" s="57"/>
      <c r="C775" s="58"/>
    </row>
    <row r="776" hidden="1">
      <c r="A776" s="57"/>
      <c r="C776" s="58"/>
    </row>
    <row r="777" hidden="1">
      <c r="A777" s="57"/>
      <c r="C777" s="58"/>
    </row>
    <row r="778" hidden="1">
      <c r="A778" s="57"/>
      <c r="C778" s="58"/>
    </row>
    <row r="779" hidden="1">
      <c r="A779" s="57"/>
      <c r="C779" s="58"/>
    </row>
    <row r="780" hidden="1">
      <c r="A780" s="57"/>
      <c r="C780" s="58"/>
    </row>
    <row r="781" hidden="1">
      <c r="A781" s="57"/>
      <c r="C781" s="58"/>
    </row>
    <row r="782" hidden="1">
      <c r="A782" s="57"/>
      <c r="C782" s="58"/>
    </row>
    <row r="783" hidden="1">
      <c r="A783" s="57"/>
      <c r="C783" s="58"/>
    </row>
    <row r="784" hidden="1">
      <c r="A784" s="57"/>
      <c r="C784" s="58"/>
    </row>
    <row r="785" hidden="1">
      <c r="A785" s="57"/>
      <c r="C785" s="58"/>
    </row>
    <row r="786" hidden="1">
      <c r="A786" s="57"/>
      <c r="C786" s="58"/>
    </row>
    <row r="787" hidden="1">
      <c r="A787" s="57"/>
      <c r="C787" s="58"/>
    </row>
    <row r="788" hidden="1">
      <c r="A788" s="57"/>
      <c r="C788" s="58"/>
    </row>
    <row r="789" hidden="1">
      <c r="A789" s="57"/>
      <c r="C789" s="58"/>
    </row>
    <row r="790" hidden="1">
      <c r="A790" s="57"/>
      <c r="C790" s="58"/>
    </row>
    <row r="791" hidden="1">
      <c r="A791" s="57"/>
      <c r="C791" s="58"/>
    </row>
    <row r="792" hidden="1">
      <c r="A792" s="57"/>
      <c r="C792" s="58"/>
    </row>
    <row r="793" hidden="1">
      <c r="A793" s="57"/>
      <c r="C793" s="58"/>
    </row>
    <row r="794" hidden="1">
      <c r="A794" s="57"/>
      <c r="C794" s="58"/>
    </row>
    <row r="795" hidden="1">
      <c r="A795" s="57"/>
      <c r="C795" s="58"/>
    </row>
    <row r="796" hidden="1">
      <c r="A796" s="57"/>
      <c r="C796" s="58"/>
    </row>
    <row r="797" hidden="1">
      <c r="A797" s="57"/>
      <c r="C797" s="58"/>
    </row>
    <row r="798" hidden="1">
      <c r="A798" s="57"/>
      <c r="C798" s="58"/>
    </row>
    <row r="799" hidden="1">
      <c r="A799" s="57"/>
      <c r="C799" s="58"/>
    </row>
    <row r="800" hidden="1">
      <c r="A800" s="57"/>
      <c r="C800" s="58"/>
    </row>
    <row r="801" hidden="1">
      <c r="A801" s="57"/>
      <c r="C801" s="58"/>
    </row>
    <row r="802" hidden="1">
      <c r="A802" s="57"/>
      <c r="C802" s="58"/>
    </row>
    <row r="803" hidden="1">
      <c r="A803" s="57"/>
      <c r="C803" s="58"/>
    </row>
    <row r="804" hidden="1">
      <c r="A804" s="57"/>
      <c r="C804" s="58"/>
    </row>
    <row r="805" hidden="1">
      <c r="A805" s="57"/>
      <c r="C805" s="58"/>
    </row>
    <row r="806" hidden="1">
      <c r="A806" s="57"/>
      <c r="C806" s="58"/>
    </row>
    <row r="807" hidden="1">
      <c r="A807" s="57"/>
      <c r="C807" s="58"/>
    </row>
    <row r="808" hidden="1">
      <c r="A808" s="57"/>
      <c r="C808" s="58"/>
    </row>
    <row r="809" hidden="1">
      <c r="A809" s="57"/>
      <c r="C809" s="58"/>
    </row>
    <row r="810" hidden="1">
      <c r="A810" s="57"/>
      <c r="C810" s="58"/>
    </row>
    <row r="811" hidden="1">
      <c r="A811" s="57"/>
      <c r="C811" s="58"/>
    </row>
    <row r="812" hidden="1">
      <c r="A812" s="57"/>
      <c r="C812" s="58"/>
    </row>
    <row r="813" hidden="1">
      <c r="A813" s="57"/>
      <c r="C813" s="58"/>
    </row>
    <row r="814" hidden="1">
      <c r="A814" s="57"/>
      <c r="C814" s="58"/>
    </row>
    <row r="815" hidden="1">
      <c r="A815" s="57"/>
      <c r="C815" s="58"/>
    </row>
    <row r="816" hidden="1">
      <c r="A816" s="57"/>
      <c r="C816" s="58"/>
    </row>
    <row r="817" hidden="1">
      <c r="A817" s="57"/>
      <c r="C817" s="58"/>
    </row>
    <row r="818" hidden="1">
      <c r="A818" s="57"/>
      <c r="C818" s="58"/>
    </row>
    <row r="819" hidden="1">
      <c r="A819" s="57"/>
      <c r="C819" s="58"/>
    </row>
    <row r="820" hidden="1">
      <c r="A820" s="57"/>
      <c r="C820" s="58"/>
    </row>
    <row r="821" hidden="1">
      <c r="A821" s="57"/>
      <c r="C821" s="58"/>
    </row>
    <row r="822" hidden="1">
      <c r="A822" s="57"/>
      <c r="C822" s="58"/>
    </row>
    <row r="823" hidden="1">
      <c r="A823" s="57"/>
      <c r="C823" s="58"/>
    </row>
    <row r="824" hidden="1">
      <c r="A824" s="57"/>
      <c r="C824" s="58"/>
    </row>
    <row r="825" hidden="1">
      <c r="A825" s="57"/>
      <c r="C825" s="58"/>
    </row>
    <row r="826" hidden="1">
      <c r="A826" s="57"/>
      <c r="C826" s="58"/>
    </row>
    <row r="827" hidden="1">
      <c r="A827" s="57"/>
      <c r="C827" s="58"/>
    </row>
    <row r="828" hidden="1">
      <c r="A828" s="57"/>
      <c r="C828" s="58"/>
    </row>
    <row r="829" hidden="1">
      <c r="A829" s="57"/>
      <c r="C829" s="58"/>
    </row>
    <row r="830" hidden="1">
      <c r="A830" s="57"/>
      <c r="C830" s="58"/>
    </row>
    <row r="831" hidden="1">
      <c r="A831" s="57"/>
      <c r="C831" s="58"/>
    </row>
    <row r="832" hidden="1">
      <c r="A832" s="57"/>
      <c r="C832" s="58"/>
    </row>
    <row r="833" hidden="1">
      <c r="A833" s="57"/>
      <c r="C833" s="58"/>
    </row>
    <row r="834" hidden="1">
      <c r="A834" s="57"/>
      <c r="C834" s="58"/>
    </row>
    <row r="835" hidden="1">
      <c r="A835" s="57"/>
      <c r="C835" s="58"/>
    </row>
    <row r="836" hidden="1">
      <c r="A836" s="57"/>
      <c r="C836" s="58"/>
    </row>
    <row r="837" hidden="1">
      <c r="A837" s="57"/>
      <c r="C837" s="58"/>
    </row>
    <row r="838" hidden="1">
      <c r="A838" s="57"/>
      <c r="C838" s="58"/>
    </row>
    <row r="839" hidden="1">
      <c r="A839" s="57"/>
      <c r="C839" s="58"/>
    </row>
    <row r="840" hidden="1">
      <c r="A840" s="57"/>
      <c r="C840" s="58"/>
    </row>
    <row r="841" hidden="1">
      <c r="A841" s="57"/>
      <c r="C841" s="58"/>
    </row>
    <row r="842" hidden="1">
      <c r="A842" s="57"/>
      <c r="C842" s="58"/>
    </row>
    <row r="843" hidden="1">
      <c r="A843" s="57"/>
      <c r="C843" s="58"/>
    </row>
    <row r="844" hidden="1">
      <c r="A844" s="57"/>
      <c r="C844" s="58"/>
    </row>
    <row r="845" hidden="1">
      <c r="A845" s="57"/>
      <c r="C845" s="58"/>
    </row>
    <row r="846" hidden="1">
      <c r="A846" s="57"/>
      <c r="C846" s="58"/>
    </row>
    <row r="847" hidden="1">
      <c r="A847" s="57"/>
      <c r="C847" s="58"/>
    </row>
    <row r="848" hidden="1">
      <c r="A848" s="57"/>
      <c r="C848" s="58"/>
    </row>
    <row r="849" hidden="1">
      <c r="A849" s="57"/>
      <c r="C849" s="58"/>
    </row>
    <row r="850" hidden="1">
      <c r="A850" s="57"/>
      <c r="C850" s="58"/>
    </row>
    <row r="851" hidden="1">
      <c r="A851" s="57"/>
      <c r="C851" s="58"/>
    </row>
    <row r="852" hidden="1">
      <c r="A852" s="57"/>
      <c r="C852" s="58"/>
    </row>
    <row r="853" hidden="1">
      <c r="A853" s="57"/>
      <c r="C853" s="58"/>
    </row>
    <row r="854" hidden="1">
      <c r="A854" s="57"/>
      <c r="C854" s="58"/>
    </row>
    <row r="855" hidden="1">
      <c r="A855" s="57"/>
      <c r="C855" s="58"/>
    </row>
    <row r="856" hidden="1">
      <c r="A856" s="57"/>
      <c r="C856" s="58"/>
    </row>
    <row r="857" hidden="1">
      <c r="A857" s="57"/>
      <c r="C857" s="58"/>
    </row>
    <row r="858" hidden="1">
      <c r="A858" s="57"/>
      <c r="C858" s="58"/>
    </row>
    <row r="859" hidden="1">
      <c r="A859" s="57"/>
      <c r="C859" s="58"/>
    </row>
    <row r="860" hidden="1">
      <c r="A860" s="57"/>
      <c r="C860" s="58"/>
    </row>
    <row r="861" hidden="1">
      <c r="A861" s="57"/>
      <c r="C861" s="58"/>
    </row>
    <row r="862" hidden="1">
      <c r="A862" s="57"/>
      <c r="C862" s="58"/>
    </row>
    <row r="863" hidden="1">
      <c r="A863" s="57"/>
      <c r="C863" s="58"/>
    </row>
    <row r="864" hidden="1">
      <c r="A864" s="57"/>
      <c r="C864" s="58"/>
    </row>
    <row r="865" hidden="1">
      <c r="A865" s="57"/>
      <c r="C865" s="58"/>
    </row>
    <row r="866" hidden="1">
      <c r="A866" s="57"/>
      <c r="C866" s="58"/>
    </row>
    <row r="867" hidden="1">
      <c r="A867" s="57"/>
      <c r="C867" s="58"/>
    </row>
    <row r="868" hidden="1">
      <c r="A868" s="57"/>
      <c r="C868" s="58"/>
    </row>
    <row r="869" hidden="1">
      <c r="A869" s="57"/>
      <c r="C869" s="58"/>
    </row>
    <row r="870" hidden="1">
      <c r="A870" s="57"/>
      <c r="C870" s="58"/>
    </row>
    <row r="871" hidden="1">
      <c r="A871" s="57"/>
      <c r="C871" s="58"/>
    </row>
    <row r="872" hidden="1">
      <c r="A872" s="57"/>
      <c r="C872" s="58"/>
    </row>
    <row r="873" hidden="1">
      <c r="A873" s="57"/>
      <c r="C873" s="58"/>
    </row>
    <row r="874" hidden="1">
      <c r="A874" s="57"/>
      <c r="C874" s="58"/>
    </row>
    <row r="875" hidden="1">
      <c r="A875" s="57"/>
      <c r="C875" s="58"/>
    </row>
    <row r="876" hidden="1">
      <c r="A876" s="57"/>
      <c r="C876" s="58"/>
    </row>
    <row r="877" hidden="1">
      <c r="A877" s="57"/>
      <c r="C877" s="58"/>
    </row>
    <row r="878" hidden="1">
      <c r="A878" s="57"/>
      <c r="C878" s="58"/>
    </row>
    <row r="879" hidden="1">
      <c r="A879" s="57"/>
      <c r="C879" s="58"/>
    </row>
    <row r="880" hidden="1">
      <c r="A880" s="57"/>
      <c r="C880" s="58"/>
    </row>
    <row r="881" hidden="1">
      <c r="A881" s="57"/>
      <c r="C881" s="58"/>
    </row>
    <row r="882" hidden="1">
      <c r="A882" s="57"/>
      <c r="C882" s="58"/>
    </row>
    <row r="883" hidden="1">
      <c r="A883" s="57"/>
      <c r="C883" s="58"/>
    </row>
    <row r="884" hidden="1">
      <c r="A884" s="57"/>
      <c r="C884" s="58"/>
    </row>
    <row r="885" hidden="1">
      <c r="A885" s="57"/>
      <c r="C885" s="58"/>
    </row>
    <row r="886" hidden="1">
      <c r="A886" s="57"/>
      <c r="C886" s="58"/>
    </row>
    <row r="887" hidden="1">
      <c r="A887" s="57"/>
      <c r="C887" s="58"/>
    </row>
    <row r="888" hidden="1">
      <c r="A888" s="57"/>
      <c r="C888" s="58"/>
    </row>
    <row r="889" hidden="1">
      <c r="A889" s="57"/>
      <c r="C889" s="58"/>
    </row>
    <row r="890" hidden="1">
      <c r="A890" s="57"/>
      <c r="C890" s="58"/>
    </row>
    <row r="891" hidden="1">
      <c r="A891" s="57"/>
      <c r="C891" s="58"/>
    </row>
    <row r="892" hidden="1">
      <c r="A892" s="57"/>
      <c r="C892" s="58"/>
    </row>
    <row r="893" hidden="1">
      <c r="A893" s="57"/>
      <c r="C893" s="58"/>
    </row>
    <row r="894" hidden="1">
      <c r="A894" s="57"/>
      <c r="C894" s="58"/>
    </row>
    <row r="895" hidden="1">
      <c r="A895" s="57"/>
      <c r="C895" s="58"/>
    </row>
    <row r="896" hidden="1">
      <c r="A896" s="57"/>
      <c r="C896" s="58"/>
    </row>
    <row r="897" hidden="1">
      <c r="A897" s="57"/>
      <c r="C897" s="58"/>
    </row>
    <row r="898" hidden="1">
      <c r="A898" s="57"/>
      <c r="C898" s="58"/>
    </row>
    <row r="899" hidden="1">
      <c r="A899" s="57"/>
      <c r="C899" s="58"/>
    </row>
    <row r="900" hidden="1">
      <c r="A900" s="57"/>
      <c r="C900" s="58"/>
    </row>
    <row r="901" hidden="1">
      <c r="A901" s="57"/>
      <c r="C901" s="58"/>
    </row>
    <row r="902" hidden="1">
      <c r="A902" s="57"/>
      <c r="C902" s="58"/>
    </row>
    <row r="903" hidden="1">
      <c r="A903" s="57"/>
      <c r="C903" s="58"/>
    </row>
    <row r="904" hidden="1">
      <c r="A904" s="57"/>
      <c r="C904" s="58"/>
    </row>
    <row r="905" hidden="1">
      <c r="A905" s="57"/>
      <c r="C905" s="58"/>
    </row>
    <row r="906" hidden="1">
      <c r="A906" s="57"/>
      <c r="C906" s="58"/>
    </row>
    <row r="907" hidden="1">
      <c r="A907" s="57"/>
      <c r="C907" s="58"/>
    </row>
    <row r="908" hidden="1">
      <c r="A908" s="57"/>
      <c r="C908" s="58"/>
    </row>
    <row r="909" hidden="1">
      <c r="A909" s="57"/>
      <c r="C909" s="58"/>
    </row>
    <row r="910" hidden="1">
      <c r="A910" s="57"/>
      <c r="C910" s="58"/>
    </row>
    <row r="911" hidden="1">
      <c r="A911" s="57"/>
      <c r="C911" s="58"/>
    </row>
    <row r="912" hidden="1">
      <c r="A912" s="57"/>
      <c r="C912" s="58"/>
    </row>
    <row r="913" hidden="1">
      <c r="A913" s="57"/>
      <c r="C913" s="58"/>
    </row>
    <row r="914" hidden="1">
      <c r="A914" s="57"/>
      <c r="C914" s="58"/>
    </row>
    <row r="915" hidden="1">
      <c r="A915" s="57"/>
      <c r="C915" s="58"/>
    </row>
    <row r="916" hidden="1">
      <c r="A916" s="57"/>
      <c r="C916" s="58"/>
    </row>
    <row r="917" hidden="1">
      <c r="A917" s="57"/>
      <c r="C917" s="58"/>
    </row>
    <row r="918" hidden="1">
      <c r="A918" s="57"/>
      <c r="C918" s="58"/>
    </row>
    <row r="919" hidden="1">
      <c r="A919" s="57"/>
      <c r="C919" s="58"/>
    </row>
    <row r="920" hidden="1">
      <c r="A920" s="57"/>
      <c r="C920" s="58"/>
    </row>
    <row r="921" hidden="1">
      <c r="A921" s="57"/>
      <c r="C921" s="58"/>
    </row>
    <row r="922" hidden="1">
      <c r="A922" s="57"/>
      <c r="C922" s="58"/>
    </row>
    <row r="923" hidden="1">
      <c r="A923" s="57"/>
      <c r="C923" s="58"/>
    </row>
    <row r="924" hidden="1">
      <c r="A924" s="57"/>
      <c r="C924" s="58"/>
    </row>
    <row r="925" hidden="1">
      <c r="A925" s="57"/>
      <c r="C925" s="58"/>
    </row>
    <row r="926" hidden="1">
      <c r="A926" s="57"/>
      <c r="C926" s="58"/>
    </row>
    <row r="927" hidden="1">
      <c r="A927" s="57"/>
      <c r="C927" s="58"/>
    </row>
    <row r="928" hidden="1">
      <c r="A928" s="57"/>
      <c r="C928" s="58"/>
    </row>
    <row r="929" hidden="1">
      <c r="A929" s="57"/>
      <c r="C929" s="58"/>
    </row>
    <row r="930" hidden="1">
      <c r="A930" s="57"/>
      <c r="C930" s="58"/>
    </row>
    <row r="931" hidden="1">
      <c r="A931" s="57"/>
      <c r="C931" s="58"/>
    </row>
    <row r="932" hidden="1">
      <c r="A932" s="57"/>
      <c r="C932" s="58"/>
    </row>
    <row r="933" hidden="1">
      <c r="A933" s="57"/>
      <c r="C933" s="58"/>
    </row>
    <row r="934" hidden="1">
      <c r="A934" s="57"/>
      <c r="C934" s="58"/>
    </row>
    <row r="935" hidden="1">
      <c r="A935" s="57"/>
      <c r="C935" s="58"/>
    </row>
    <row r="936" hidden="1">
      <c r="A936" s="57"/>
      <c r="C936" s="58"/>
    </row>
    <row r="937" hidden="1">
      <c r="A937" s="57"/>
      <c r="C937" s="58"/>
    </row>
    <row r="938" hidden="1">
      <c r="A938" s="57"/>
      <c r="C938" s="58"/>
    </row>
    <row r="939" hidden="1">
      <c r="A939" s="57"/>
      <c r="C939" s="58"/>
    </row>
    <row r="940" hidden="1">
      <c r="A940" s="57"/>
      <c r="C940" s="58"/>
    </row>
    <row r="941" hidden="1">
      <c r="A941" s="57"/>
      <c r="C941" s="58"/>
    </row>
    <row r="942" hidden="1">
      <c r="A942" s="57"/>
      <c r="C942" s="58"/>
    </row>
    <row r="943" hidden="1">
      <c r="A943" s="57"/>
      <c r="C943" s="58"/>
    </row>
    <row r="944" hidden="1">
      <c r="A944" s="57"/>
      <c r="C944" s="58"/>
    </row>
    <row r="945" hidden="1">
      <c r="A945" s="57"/>
      <c r="C945" s="58"/>
    </row>
    <row r="946" hidden="1">
      <c r="A946" s="57"/>
      <c r="C946" s="58"/>
    </row>
    <row r="947" hidden="1">
      <c r="A947" s="57"/>
      <c r="C947" s="58"/>
    </row>
    <row r="948" hidden="1">
      <c r="A948" s="57"/>
      <c r="C948" s="58"/>
    </row>
    <row r="949" hidden="1">
      <c r="A949" s="57"/>
      <c r="C949" s="58"/>
    </row>
    <row r="950" hidden="1">
      <c r="A950" s="57"/>
      <c r="C950" s="58"/>
    </row>
    <row r="951" hidden="1">
      <c r="A951" s="57"/>
      <c r="C951" s="58"/>
    </row>
    <row r="952" hidden="1">
      <c r="A952" s="57"/>
      <c r="C952" s="58"/>
    </row>
    <row r="953" hidden="1">
      <c r="A953" s="57"/>
      <c r="C953" s="58"/>
    </row>
    <row r="954" hidden="1">
      <c r="A954" s="57"/>
      <c r="C954" s="58"/>
    </row>
    <row r="955" hidden="1">
      <c r="A955" s="57"/>
      <c r="C955" s="58"/>
    </row>
    <row r="956" hidden="1">
      <c r="A956" s="57"/>
      <c r="C956" s="58"/>
    </row>
    <row r="957" hidden="1">
      <c r="A957" s="57"/>
      <c r="C957" s="58"/>
    </row>
    <row r="958" hidden="1">
      <c r="A958" s="57"/>
      <c r="C958" s="58"/>
    </row>
    <row r="959" hidden="1">
      <c r="A959" s="57"/>
      <c r="C959" s="58"/>
    </row>
    <row r="960" hidden="1">
      <c r="A960" s="57"/>
      <c r="C960" s="58"/>
    </row>
    <row r="961" hidden="1">
      <c r="A961" s="57"/>
      <c r="C961" s="58"/>
    </row>
    <row r="962" hidden="1">
      <c r="A962" s="57"/>
      <c r="C962" s="58"/>
    </row>
    <row r="963" hidden="1">
      <c r="A963" s="57"/>
      <c r="C963" s="58"/>
    </row>
    <row r="964" hidden="1">
      <c r="A964" s="57"/>
      <c r="C964" s="58"/>
    </row>
    <row r="965" hidden="1">
      <c r="A965" s="57"/>
      <c r="C965" s="58"/>
    </row>
    <row r="966" hidden="1">
      <c r="A966" s="57"/>
      <c r="C966" s="58"/>
    </row>
    <row r="967" hidden="1">
      <c r="A967" s="57"/>
      <c r="C967" s="58"/>
    </row>
    <row r="968" hidden="1">
      <c r="A968" s="57"/>
      <c r="C968" s="58"/>
    </row>
    <row r="969" hidden="1">
      <c r="A969" s="57"/>
      <c r="C969" s="58"/>
    </row>
    <row r="970" hidden="1">
      <c r="A970" s="57"/>
      <c r="C970" s="58"/>
    </row>
    <row r="971" hidden="1">
      <c r="A971" s="57"/>
      <c r="C971" s="58"/>
    </row>
    <row r="972" hidden="1">
      <c r="A972" s="57"/>
      <c r="C972" s="58"/>
    </row>
    <row r="973" hidden="1">
      <c r="A973" s="57"/>
      <c r="C973" s="58"/>
    </row>
    <row r="974" hidden="1">
      <c r="A974" s="57"/>
      <c r="C974" s="58"/>
    </row>
    <row r="975" hidden="1">
      <c r="A975" s="57"/>
      <c r="C975" s="58"/>
    </row>
    <row r="976" hidden="1">
      <c r="A976" s="57"/>
      <c r="C976" s="58"/>
    </row>
    <row r="977" hidden="1">
      <c r="A977" s="57"/>
      <c r="C977" s="58"/>
    </row>
    <row r="978" hidden="1">
      <c r="A978" s="57"/>
      <c r="C978" s="58"/>
    </row>
    <row r="979" hidden="1">
      <c r="A979" s="57"/>
      <c r="C979" s="58"/>
    </row>
    <row r="980" hidden="1">
      <c r="A980" s="57"/>
      <c r="C980" s="58"/>
    </row>
    <row r="981" hidden="1">
      <c r="A981" s="57"/>
      <c r="C981" s="58"/>
    </row>
    <row r="982" hidden="1">
      <c r="A982" s="57"/>
      <c r="C982" s="58"/>
    </row>
    <row r="983" hidden="1">
      <c r="A983" s="57"/>
      <c r="C983" s="58"/>
    </row>
    <row r="984" hidden="1">
      <c r="A984" s="57"/>
      <c r="C984" s="58"/>
    </row>
    <row r="985" hidden="1">
      <c r="A985" s="57"/>
      <c r="C985" s="58"/>
    </row>
    <row r="986" hidden="1">
      <c r="A986" s="57"/>
      <c r="C986" s="58"/>
    </row>
    <row r="987" hidden="1">
      <c r="A987" s="57"/>
      <c r="C987" s="58"/>
    </row>
    <row r="988" hidden="1">
      <c r="A988" s="57"/>
      <c r="C988" s="58"/>
    </row>
    <row r="989" hidden="1">
      <c r="A989" s="57"/>
      <c r="C989" s="58"/>
    </row>
    <row r="990" hidden="1">
      <c r="A990" s="57"/>
      <c r="C990" s="58"/>
    </row>
    <row r="991" hidden="1">
      <c r="A991" s="57"/>
      <c r="C991" s="58"/>
    </row>
  </sheetData>
  <mergeCells count="2">
    <mergeCell ref="A1:D1"/>
    <mergeCell ref="A3:D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25"/>
    <col customWidth="1" min="2" max="2" width="20.88"/>
    <col customWidth="1" min="3" max="4" width="10.63"/>
    <col customWidth="1" min="5" max="5" width="3.75"/>
    <col customWidth="1" min="6" max="14" width="9.88"/>
    <col customWidth="1" min="15" max="15" width="74.25"/>
    <col hidden="1" min="16" max="34" width="12.63"/>
  </cols>
  <sheetData>
    <row r="1">
      <c r="A1" s="59" t="s">
        <v>28</v>
      </c>
    </row>
    <row r="2" ht="38.25" customHeight="1">
      <c r="A2" s="60"/>
      <c r="B2" s="61" t="s">
        <v>29</v>
      </c>
      <c r="C2" s="61" t="s">
        <v>30</v>
      </c>
      <c r="D2" s="62" t="s">
        <v>31</v>
      </c>
      <c r="E2" s="63"/>
      <c r="F2" s="64" t="s">
        <v>32</v>
      </c>
      <c r="G2" s="61" t="s">
        <v>33</v>
      </c>
      <c r="H2" s="61" t="s">
        <v>34</v>
      </c>
      <c r="I2" s="61" t="s">
        <v>35</v>
      </c>
      <c r="J2" s="61" t="s">
        <v>36</v>
      </c>
      <c r="K2" s="61" t="s">
        <v>37</v>
      </c>
      <c r="L2" s="61" t="s">
        <v>38</v>
      </c>
      <c r="M2" s="61" t="s">
        <v>39</v>
      </c>
      <c r="N2" s="62" t="s">
        <v>40</v>
      </c>
      <c r="P2" s="58"/>
      <c r="Q2" s="58"/>
      <c r="R2" s="58"/>
      <c r="S2" s="58"/>
      <c r="T2" s="58"/>
      <c r="U2" s="58"/>
      <c r="V2" s="58"/>
      <c r="W2" s="58"/>
      <c r="X2" s="58"/>
      <c r="Y2" s="58"/>
      <c r="Z2" s="58"/>
      <c r="AA2" s="58"/>
      <c r="AB2" s="58"/>
      <c r="AC2" s="58"/>
      <c r="AD2" s="58"/>
      <c r="AE2" s="58"/>
      <c r="AF2" s="58"/>
      <c r="AG2" s="58"/>
      <c r="AH2" s="58"/>
    </row>
    <row r="3">
      <c r="A3" s="65" t="s">
        <v>41</v>
      </c>
      <c r="B3" s="66" t="s">
        <v>42</v>
      </c>
      <c r="C3" s="67">
        <f t="shared" ref="C3:C10" si="1">(G3)/(H3 * 1/J3 * 60/1)</f>
        <v>276</v>
      </c>
      <c r="D3" s="68">
        <f t="shared" ref="D3:D10" si="2">(G3)/((H3-1) * 1/J3 * 60/1 + K3)</f>
        <v>242.250978</v>
      </c>
      <c r="E3" s="57"/>
      <c r="F3" s="69" t="s">
        <v>43</v>
      </c>
      <c r="G3" s="70">
        <f t="shared" ref="G3:G7" si="3">N3 * H3</f>
        <v>1610</v>
      </c>
      <c r="H3" s="71">
        <v>70.0</v>
      </c>
      <c r="I3" s="72" t="s">
        <v>43</v>
      </c>
      <c r="J3" s="73">
        <v>720.0</v>
      </c>
      <c r="K3" s="74">
        <f>1.12*0.8</f>
        <v>0.896</v>
      </c>
      <c r="L3" s="75" t="s">
        <v>43</v>
      </c>
      <c r="M3" s="67">
        <v>14.0</v>
      </c>
      <c r="N3" s="76">
        <v>23.0</v>
      </c>
    </row>
    <row r="4">
      <c r="A4" s="77"/>
      <c r="B4" s="78" t="s">
        <v>44</v>
      </c>
      <c r="C4" s="79">
        <f t="shared" si="1"/>
        <v>260</v>
      </c>
      <c r="D4" s="80">
        <f t="shared" si="2"/>
        <v>220.5357143</v>
      </c>
      <c r="E4" s="57"/>
      <c r="F4" s="81" t="s">
        <v>43</v>
      </c>
      <c r="G4" s="79">
        <f t="shared" si="3"/>
        <v>1482</v>
      </c>
      <c r="H4" s="82">
        <v>57.0</v>
      </c>
      <c r="I4" s="83" t="s">
        <v>43</v>
      </c>
      <c r="J4" s="84">
        <v>600.0</v>
      </c>
      <c r="K4" s="85">
        <v>1.12</v>
      </c>
      <c r="L4" s="86" t="s">
        <v>43</v>
      </c>
      <c r="M4" s="87">
        <v>15.0</v>
      </c>
      <c r="N4" s="88">
        <v>26.0</v>
      </c>
    </row>
    <row r="5">
      <c r="A5" s="77"/>
      <c r="B5" s="78" t="s">
        <v>45</v>
      </c>
      <c r="C5" s="79">
        <f t="shared" si="1"/>
        <v>260</v>
      </c>
      <c r="D5" s="80">
        <f t="shared" si="2"/>
        <v>222.2222222</v>
      </c>
      <c r="E5" s="57"/>
      <c r="F5" s="81" t="s">
        <v>43</v>
      </c>
      <c r="G5" s="79">
        <f t="shared" si="3"/>
        <v>1560</v>
      </c>
      <c r="H5" s="82">
        <v>60.0</v>
      </c>
      <c r="I5" s="83" t="s">
        <v>43</v>
      </c>
      <c r="J5" s="84">
        <v>600.0</v>
      </c>
      <c r="K5" s="85">
        <v>1.12</v>
      </c>
      <c r="L5" s="86" t="s">
        <v>43</v>
      </c>
      <c r="M5" s="89">
        <v>19.0</v>
      </c>
      <c r="N5" s="90">
        <f>N4</f>
        <v>26</v>
      </c>
    </row>
    <row r="6">
      <c r="A6" s="77"/>
      <c r="B6" s="78" t="s">
        <v>46</v>
      </c>
      <c r="C6" s="79">
        <f t="shared" si="1"/>
        <v>247.5</v>
      </c>
      <c r="D6" s="80">
        <f t="shared" si="2"/>
        <v>212.5477099</v>
      </c>
      <c r="E6" s="57"/>
      <c r="F6" s="81" t="s">
        <v>43</v>
      </c>
      <c r="G6" s="79">
        <f t="shared" si="3"/>
        <v>1485</v>
      </c>
      <c r="H6" s="82">
        <v>45.0</v>
      </c>
      <c r="I6" s="83" t="s">
        <v>43</v>
      </c>
      <c r="J6" s="84">
        <v>450.0</v>
      </c>
      <c r="K6" s="85">
        <v>1.12</v>
      </c>
      <c r="L6" s="86" t="s">
        <v>43</v>
      </c>
      <c r="M6" s="89">
        <v>20.0</v>
      </c>
      <c r="N6" s="90">
        <v>33.0</v>
      </c>
    </row>
    <row r="7">
      <c r="A7" s="77"/>
      <c r="B7" s="78" t="s">
        <v>47</v>
      </c>
      <c r="C7" s="79">
        <f t="shared" si="1"/>
        <v>252</v>
      </c>
      <c r="D7" s="80">
        <f t="shared" si="2"/>
        <v>223.5804416</v>
      </c>
      <c r="E7" s="57"/>
      <c r="F7" s="81" t="s">
        <v>43</v>
      </c>
      <c r="G7" s="79">
        <f t="shared" si="3"/>
        <v>1890</v>
      </c>
      <c r="H7" s="82">
        <v>45.0</v>
      </c>
      <c r="I7" s="83" t="s">
        <v>43</v>
      </c>
      <c r="J7" s="84">
        <v>360.0</v>
      </c>
      <c r="K7" s="85">
        <v>1.12</v>
      </c>
      <c r="L7" s="86" t="s">
        <v>43</v>
      </c>
      <c r="M7" s="89">
        <v>24.0</v>
      </c>
      <c r="N7" s="90">
        <v>42.0</v>
      </c>
    </row>
    <row r="8">
      <c r="A8" s="77" t="s">
        <v>48</v>
      </c>
      <c r="B8" s="91" t="s">
        <v>49</v>
      </c>
      <c r="C8" s="79">
        <f t="shared" si="1"/>
        <v>471.686747</v>
      </c>
      <c r="D8" s="80">
        <f t="shared" si="2"/>
        <v>398.5295011</v>
      </c>
      <c r="E8" s="57"/>
      <c r="F8" s="81" t="s">
        <v>43</v>
      </c>
      <c r="G8" s="79">
        <f>N8 * H8 + ('Weapon Specifics'!D64*4 + floor(108/8,1)*'Weapon Specifics'!D64)</f>
        <v>4959</v>
      </c>
      <c r="H8" s="82">
        <v>150.0</v>
      </c>
      <c r="I8" s="83" t="s">
        <v>43</v>
      </c>
      <c r="J8" s="84">
        <f>150/(1.38 * 1/60 + (150-13) * 1/900)</f>
        <v>856.0558022</v>
      </c>
      <c r="K8" s="85">
        <v>2.0</v>
      </c>
      <c r="L8" s="86" t="s">
        <v>43</v>
      </c>
      <c r="M8" s="89">
        <v>20.0</v>
      </c>
      <c r="N8" s="90">
        <v>30.0</v>
      </c>
    </row>
    <row r="9">
      <c r="A9" s="77" t="s">
        <v>50</v>
      </c>
      <c r="B9" s="91" t="s">
        <v>51</v>
      </c>
      <c r="C9" s="79">
        <f t="shared" si="1"/>
        <v>332.2412791</v>
      </c>
      <c r="D9" s="80">
        <f t="shared" si="2"/>
        <v>244.06429</v>
      </c>
      <c r="E9" s="57"/>
      <c r="F9" s="81" t="s">
        <v>43</v>
      </c>
      <c r="G9" s="79">
        <f t="shared" ref="G9:G10" si="4">H9/2 * N9
+ H9/2 * N9 * (1.05+1.1)/2</f>
        <v>952.425</v>
      </c>
      <c r="H9" s="82">
        <v>34.0</v>
      </c>
      <c r="I9" s="92" t="s">
        <v>43</v>
      </c>
      <c r="J9" s="93">
        <f>H9/(12 * 1/600 + 12 * 1/720 + (H9-24) * 1/900)</f>
        <v>711.627907</v>
      </c>
      <c r="K9" s="85">
        <f>K10</f>
        <v>1.12</v>
      </c>
      <c r="L9" s="94" t="s">
        <v>43</v>
      </c>
      <c r="M9" s="89">
        <v>16.0</v>
      </c>
      <c r="N9" s="90">
        <v>27.0</v>
      </c>
    </row>
    <row r="10">
      <c r="A10" s="77" t="s">
        <v>52</v>
      </c>
      <c r="B10" s="91" t="s">
        <v>51</v>
      </c>
      <c r="C10" s="79">
        <f t="shared" si="1"/>
        <v>273.9</v>
      </c>
      <c r="D10" s="80">
        <f t="shared" si="2"/>
        <v>234.4561934</v>
      </c>
      <c r="E10" s="57"/>
      <c r="F10" s="81" t="s">
        <v>43</v>
      </c>
      <c r="G10" s="79">
        <f t="shared" si="4"/>
        <v>1552.1</v>
      </c>
      <c r="H10" s="82">
        <v>34.0</v>
      </c>
      <c r="I10" s="83" t="s">
        <v>43</v>
      </c>
      <c r="J10" s="84">
        <v>360.0</v>
      </c>
      <c r="K10" s="85">
        <v>1.12</v>
      </c>
      <c r="L10" s="86" t="s">
        <v>43</v>
      </c>
      <c r="M10" s="89">
        <v>25.0</v>
      </c>
      <c r="N10" s="90">
        <v>44.0</v>
      </c>
      <c r="O10" s="95" t="s">
        <v>53</v>
      </c>
    </row>
    <row r="11">
      <c r="A11" s="77"/>
      <c r="B11" s="91" t="s">
        <v>54</v>
      </c>
      <c r="C11" s="79">
        <f>(G11)/(H11 * 1/J11 * 60/1) 
+ 'Elemental Effects'!E13</f>
        <v>711.8414286</v>
      </c>
      <c r="D11" s="80">
        <f>(G11)/((H11-1) * 1/J11 * 60/1 + K11) 
+ 'Elemental Effects'!E13</f>
        <v>648.2473545</v>
      </c>
      <c r="E11" s="57"/>
      <c r="F11" s="81" t="s">
        <v>43</v>
      </c>
      <c r="G11" s="79">
        <f>(20 * 'Weapon Specifics'!D76) + N11*(H11-20) + ('Elemental Effects'!$E$4)*(2)</f>
        <v>5746</v>
      </c>
      <c r="H11" s="82">
        <v>100.0</v>
      </c>
      <c r="I11" s="83" t="s">
        <v>43</v>
      </c>
      <c r="J11" s="84">
        <v>720.0</v>
      </c>
      <c r="K11" s="85">
        <v>0.93</v>
      </c>
      <c r="L11" s="86" t="s">
        <v>43</v>
      </c>
      <c r="M11" s="89">
        <v>28.0</v>
      </c>
      <c r="N11" s="90">
        <v>47.0</v>
      </c>
      <c r="O11" s="95" t="s">
        <v>55</v>
      </c>
    </row>
    <row r="12">
      <c r="A12" s="77" t="s">
        <v>56</v>
      </c>
      <c r="B12" s="91" t="s">
        <v>54</v>
      </c>
      <c r="C12" s="79">
        <f>(G12)/(H12 * 1/J12 * 60/1) 
+ 'Elemental Effects'!E13</f>
        <v>801.0014286</v>
      </c>
      <c r="D12" s="80">
        <f>(G12)/((H12-1) * 1/J12 * 60/1 + K12) 
+ 'Elemental Effects'!E13</f>
        <v>729.1841737</v>
      </c>
      <c r="E12" s="57"/>
      <c r="F12" s="81" t="s">
        <v>43</v>
      </c>
      <c r="G12" s="79">
        <f>(20 * 'Weapon Specifics'!D76) + N12*(H12-20) + ('Elemental Effects'!$E$4)*(3)</f>
        <v>6489</v>
      </c>
      <c r="H12" s="82">
        <v>100.0</v>
      </c>
      <c r="I12" s="83" t="s">
        <v>43</v>
      </c>
      <c r="J12" s="84">
        <v>720.0</v>
      </c>
      <c r="K12" s="85">
        <v>0.93</v>
      </c>
      <c r="L12" s="86" t="s">
        <v>43</v>
      </c>
      <c r="M12" s="89">
        <f t="shared" ref="M12:N12" si="5">M11</f>
        <v>28</v>
      </c>
      <c r="N12" s="90">
        <f t="shared" si="5"/>
        <v>47</v>
      </c>
      <c r="O12" s="95" t="s">
        <v>55</v>
      </c>
    </row>
    <row r="13">
      <c r="A13" s="77"/>
      <c r="B13" s="91" t="s">
        <v>57</v>
      </c>
      <c r="C13" s="79">
        <f>(G13)/(H13 * 1/J13 * 60/1)</f>
        <v>367.0588235</v>
      </c>
      <c r="D13" s="80">
        <f>(G13)/((H13-1) * 1/J13 * 60/1 + K13)</f>
        <v>296.2025316</v>
      </c>
      <c r="E13" s="57"/>
      <c r="F13" s="81" t="s">
        <v>43</v>
      </c>
      <c r="G13" s="79">
        <f>H13*N13 + FLOOR(H13/'Weapon Specifics'!D48,1) * ('Weapon Specifics'!D49)</f>
        <v>1560</v>
      </c>
      <c r="H13" s="82">
        <v>51.0</v>
      </c>
      <c r="I13" s="83" t="s">
        <v>43</v>
      </c>
      <c r="J13" s="84">
        <v>720.0</v>
      </c>
      <c r="K13" s="85">
        <v>1.1</v>
      </c>
      <c r="L13" s="86" t="s">
        <v>43</v>
      </c>
      <c r="M13" s="89">
        <v>14.0</v>
      </c>
      <c r="N13" s="90">
        <v>24.0</v>
      </c>
      <c r="O13" s="95" t="s">
        <v>58</v>
      </c>
    </row>
    <row r="14">
      <c r="A14" s="96" t="s">
        <v>59</v>
      </c>
      <c r="B14" s="97" t="s">
        <v>57</v>
      </c>
      <c r="C14" s="98">
        <f>D14</f>
        <v>445.4676259</v>
      </c>
      <c r="D14" s="99">
        <f>(N14*22 + ('Weapon Specifics'!D49)*2 + ('Weapon Specifics'!D50)*2)/(('Weapon Specifics'!D48*2) * 1/J14 * 60/1 + 1.1 + 1.1 + 0.6)</f>
        <v>445.4676259</v>
      </c>
      <c r="E14" s="57"/>
      <c r="F14" s="100" t="s">
        <v>43</v>
      </c>
      <c r="G14" s="89" t="s">
        <v>60</v>
      </c>
      <c r="H14" s="101">
        <v>51.0</v>
      </c>
      <c r="I14" s="102" t="s">
        <v>43</v>
      </c>
      <c r="J14" s="103">
        <v>720.0</v>
      </c>
      <c r="K14" s="85">
        <v>1.1</v>
      </c>
      <c r="L14" s="104" t="s">
        <v>43</v>
      </c>
      <c r="M14" s="98">
        <f t="shared" ref="M14:N14" si="6">M13</f>
        <v>14</v>
      </c>
      <c r="N14" s="99">
        <f t="shared" si="6"/>
        <v>24</v>
      </c>
      <c r="O14" s="95" t="s">
        <v>61</v>
      </c>
    </row>
    <row r="15">
      <c r="A15" s="96"/>
      <c r="B15" s="97" t="s">
        <v>62</v>
      </c>
      <c r="C15" s="79">
        <f t="shared" ref="C15:C17" si="8">(G15)/(H15 * 1/J15 * 60/1)</f>
        <v>288</v>
      </c>
      <c r="D15" s="80">
        <f t="shared" ref="D15:D17" si="9">(G15)/((H15-1) * 1/J15 * 60/1 + K15)</f>
        <v>228.862047</v>
      </c>
      <c r="E15" s="57"/>
      <c r="F15" s="81" t="s">
        <v>43</v>
      </c>
      <c r="G15" s="79">
        <f t="shared" ref="G15:G17" si="10">N15 * H15</f>
        <v>1200</v>
      </c>
      <c r="H15" s="82">
        <v>50.0</v>
      </c>
      <c r="I15" s="83" t="s">
        <v>43</v>
      </c>
      <c r="J15" s="84">
        <v>720.0</v>
      </c>
      <c r="K15" s="85">
        <v>1.16</v>
      </c>
      <c r="L15" s="86" t="s">
        <v>43</v>
      </c>
      <c r="M15" s="89">
        <f t="shared" ref="M15:N15" si="7">M13</f>
        <v>14</v>
      </c>
      <c r="N15" s="90">
        <f t="shared" si="7"/>
        <v>24</v>
      </c>
    </row>
    <row r="16">
      <c r="A16" s="77"/>
      <c r="B16" s="91" t="s">
        <v>63</v>
      </c>
      <c r="C16" s="79">
        <f t="shared" si="8"/>
        <v>612</v>
      </c>
      <c r="D16" s="80">
        <f t="shared" si="9"/>
        <v>498.046875</v>
      </c>
      <c r="E16" s="57"/>
      <c r="F16" s="81" t="s">
        <v>43</v>
      </c>
      <c r="G16" s="79">
        <f t="shared" si="10"/>
        <v>2550</v>
      </c>
      <c r="H16" s="82">
        <v>25.0</v>
      </c>
      <c r="I16" s="83" t="s">
        <v>43</v>
      </c>
      <c r="J16" s="84">
        <v>360.0</v>
      </c>
      <c r="K16" s="85">
        <v>1.12</v>
      </c>
      <c r="L16" s="86" t="s">
        <v>43</v>
      </c>
      <c r="M16" s="89">
        <v>57.0</v>
      </c>
      <c r="N16" s="90">
        <v>102.0</v>
      </c>
      <c r="O16" s="95" t="s">
        <v>64</v>
      </c>
    </row>
    <row r="17">
      <c r="A17" s="77"/>
      <c r="B17" s="91" t="s">
        <v>65</v>
      </c>
      <c r="C17" s="79">
        <f t="shared" si="8"/>
        <v>270</v>
      </c>
      <c r="D17" s="80">
        <f t="shared" si="9"/>
        <v>223.4797297</v>
      </c>
      <c r="E17" s="57"/>
      <c r="F17" s="81" t="s">
        <v>43</v>
      </c>
      <c r="G17" s="79">
        <f t="shared" si="10"/>
        <v>1323</v>
      </c>
      <c r="H17" s="82">
        <v>49.0</v>
      </c>
      <c r="I17" s="83" t="s">
        <v>43</v>
      </c>
      <c r="J17" s="84">
        <v>600.0</v>
      </c>
      <c r="K17" s="85">
        <v>1.12</v>
      </c>
      <c r="L17" s="86" t="s">
        <v>43</v>
      </c>
      <c r="M17" s="89">
        <v>16.0</v>
      </c>
      <c r="N17" s="90">
        <v>27.0</v>
      </c>
    </row>
    <row r="18">
      <c r="A18" s="77"/>
      <c r="B18" s="91" t="s">
        <v>66</v>
      </c>
      <c r="C18" s="79">
        <f>(N18*6 + 'Weapon Specifics'!D33)/(7 * 1/J18 * 60/1)</f>
        <v>304.2857143</v>
      </c>
      <c r="D18" s="80">
        <f>((H18-7)*N18 + 7*'Weapon Specifics'!D33)/((H18-1) * 1/J18 * 60/1 + K18)</f>
        <v>249.8120301</v>
      </c>
      <c r="E18" s="57"/>
      <c r="F18" s="81" t="s">
        <v>43</v>
      </c>
      <c r="G18" s="79">
        <f>N18 * (H18 - floor(H18/7,1)) + FLOOR(H18/7,1) * N18*(1+2.52)</f>
        <v>1569.24</v>
      </c>
      <c r="H18" s="82">
        <v>43.0</v>
      </c>
      <c r="I18" s="83" t="s">
        <v>43</v>
      </c>
      <c r="J18" s="84">
        <v>600.0</v>
      </c>
      <c r="K18" s="85">
        <v>1.12</v>
      </c>
      <c r="L18" s="86" t="s">
        <v>43</v>
      </c>
      <c r="M18" s="89">
        <f t="shared" ref="M18:N18" si="11">M17</f>
        <v>16</v>
      </c>
      <c r="N18" s="90">
        <f t="shared" si="11"/>
        <v>27</v>
      </c>
      <c r="O18" s="95" t="s">
        <v>67</v>
      </c>
    </row>
    <row r="19">
      <c r="A19" s="77"/>
      <c r="B19" s="91" t="s">
        <v>68</v>
      </c>
      <c r="C19" s="79">
        <f t="shared" ref="C19:C35" si="13">(G19)/(H19 * 1/J19 * 60/1)</f>
        <v>270</v>
      </c>
      <c r="D19" s="80">
        <f t="shared" ref="D19:D24" si="14">(G19)/((H19-1) * 1/J19 * 60/1 + K19)</f>
        <v>219.1881919</v>
      </c>
      <c r="E19" s="57"/>
      <c r="F19" s="81" t="s">
        <v>43</v>
      </c>
      <c r="G19" s="79">
        <f t="shared" ref="G19:G20" si="15">N19 * H19</f>
        <v>1188</v>
      </c>
      <c r="H19" s="82">
        <v>44.0</v>
      </c>
      <c r="I19" s="83" t="s">
        <v>43</v>
      </c>
      <c r="J19" s="84">
        <v>600.0</v>
      </c>
      <c r="K19" s="85">
        <v>1.12</v>
      </c>
      <c r="L19" s="86" t="s">
        <v>43</v>
      </c>
      <c r="M19" s="89">
        <f t="shared" ref="M19:N19" si="12">M17</f>
        <v>16</v>
      </c>
      <c r="N19" s="90">
        <f t="shared" si="12"/>
        <v>27</v>
      </c>
      <c r="O19" s="95" t="str">
        <f>CONCAT("Bayonet does ", 'Weapon Specifics'!$D$40)</f>
        <v>Bayonet does 2913</v>
      </c>
    </row>
    <row r="20">
      <c r="A20" s="77"/>
      <c r="B20" s="91" t="s">
        <v>69</v>
      </c>
      <c r="C20" s="79">
        <f t="shared" si="13"/>
        <v>262.5</v>
      </c>
      <c r="D20" s="80">
        <f t="shared" si="14"/>
        <v>247.382199</v>
      </c>
      <c r="E20" s="57"/>
      <c r="F20" s="81" t="s">
        <v>43</v>
      </c>
      <c r="G20" s="79">
        <f t="shared" si="15"/>
        <v>1575</v>
      </c>
      <c r="H20" s="82">
        <v>45.0</v>
      </c>
      <c r="I20" s="83" t="s">
        <v>43</v>
      </c>
      <c r="J20" s="84">
        <v>450.0</v>
      </c>
      <c r="K20" s="85">
        <v>0.5</v>
      </c>
      <c r="L20" s="86" t="s">
        <v>43</v>
      </c>
      <c r="M20" s="89">
        <v>21.0</v>
      </c>
      <c r="N20" s="90">
        <v>35.0</v>
      </c>
      <c r="O20" s="95"/>
    </row>
    <row r="21">
      <c r="A21" s="77" t="s">
        <v>70</v>
      </c>
      <c r="B21" s="91" t="s">
        <v>71</v>
      </c>
      <c r="C21" s="79">
        <f t="shared" si="13"/>
        <v>312</v>
      </c>
      <c r="D21" s="80">
        <f t="shared" si="14"/>
        <v>263.3986928</v>
      </c>
      <c r="E21" s="57"/>
      <c r="F21" s="81" t="s">
        <v>43</v>
      </c>
      <c r="G21" s="79">
        <f>M21 * H21</f>
        <v>1612</v>
      </c>
      <c r="H21" s="82">
        <v>31.0</v>
      </c>
      <c r="I21" s="83" t="s">
        <v>43</v>
      </c>
      <c r="J21" s="84">
        <v>360.0</v>
      </c>
      <c r="K21" s="85">
        <v>1.12</v>
      </c>
      <c r="L21" s="86" t="s">
        <v>43</v>
      </c>
      <c r="M21" s="79">
        <f>13*4</f>
        <v>52</v>
      </c>
      <c r="N21" s="90">
        <v>93.0</v>
      </c>
      <c r="O21" s="95" t="s">
        <v>72</v>
      </c>
    </row>
    <row r="22">
      <c r="A22" s="77" t="s">
        <v>70</v>
      </c>
      <c r="B22" s="91" t="s">
        <v>71</v>
      </c>
      <c r="C22" s="79">
        <f t="shared" si="13"/>
        <v>558</v>
      </c>
      <c r="D22" s="80">
        <f t="shared" si="14"/>
        <v>471.0784314</v>
      </c>
      <c r="E22" s="57"/>
      <c r="F22" s="81" t="s">
        <v>43</v>
      </c>
      <c r="G22" s="79">
        <f>N22 * H22</f>
        <v>2883</v>
      </c>
      <c r="H22" s="82">
        <v>31.0</v>
      </c>
      <c r="I22" s="83" t="s">
        <v>43</v>
      </c>
      <c r="J22" s="84">
        <f>J21</f>
        <v>360</v>
      </c>
      <c r="K22" s="85">
        <v>1.12</v>
      </c>
      <c r="L22" s="86" t="s">
        <v>43</v>
      </c>
      <c r="M22" s="79">
        <f t="shared" ref="M22:N22" si="16">M21</f>
        <v>52</v>
      </c>
      <c r="N22" s="90">
        <f t="shared" si="16"/>
        <v>93</v>
      </c>
      <c r="O22" s="95" t="s">
        <v>73</v>
      </c>
    </row>
    <row r="23">
      <c r="A23" s="77" t="s">
        <v>74</v>
      </c>
      <c r="B23" s="91" t="s">
        <v>71</v>
      </c>
      <c r="C23" s="79">
        <f t="shared" si="13"/>
        <v>384</v>
      </c>
      <c r="D23" s="80">
        <f t="shared" si="14"/>
        <v>324.1830065</v>
      </c>
      <c r="E23" s="57"/>
      <c r="F23" s="81" t="s">
        <v>43</v>
      </c>
      <c r="G23" s="79">
        <f>M23 * H23</f>
        <v>1984</v>
      </c>
      <c r="H23" s="82">
        <v>31.0</v>
      </c>
      <c r="I23" s="83" t="s">
        <v>43</v>
      </c>
      <c r="J23" s="84">
        <f>J21</f>
        <v>360</v>
      </c>
      <c r="K23" s="85">
        <v>1.12</v>
      </c>
      <c r="L23" s="86" t="s">
        <v>43</v>
      </c>
      <c r="M23" s="89">
        <f>16*4</f>
        <v>64</v>
      </c>
      <c r="N23" s="80">
        <f>28*4</f>
        <v>112</v>
      </c>
      <c r="O23" s="95" t="s">
        <v>75</v>
      </c>
    </row>
    <row r="24">
      <c r="A24" s="77" t="s">
        <v>74</v>
      </c>
      <c r="B24" s="91" t="s">
        <v>71</v>
      </c>
      <c r="C24" s="79">
        <f t="shared" si="13"/>
        <v>672</v>
      </c>
      <c r="D24" s="80">
        <f t="shared" si="14"/>
        <v>567.3202614</v>
      </c>
      <c r="E24" s="57"/>
      <c r="F24" s="81" t="s">
        <v>43</v>
      </c>
      <c r="G24" s="79">
        <f>N24 * H24</f>
        <v>3472</v>
      </c>
      <c r="H24" s="82">
        <v>31.0</v>
      </c>
      <c r="I24" s="83" t="s">
        <v>43</v>
      </c>
      <c r="J24" s="84">
        <f>J21</f>
        <v>360</v>
      </c>
      <c r="K24" s="85">
        <v>1.12</v>
      </c>
      <c r="L24" s="86" t="s">
        <v>43</v>
      </c>
      <c r="M24" s="89">
        <f t="shared" ref="M24:N24" si="17">M23</f>
        <v>64</v>
      </c>
      <c r="N24" s="80">
        <f t="shared" si="17"/>
        <v>112</v>
      </c>
      <c r="O24" s="95" t="s">
        <v>76</v>
      </c>
    </row>
    <row r="25">
      <c r="A25" s="77" t="s">
        <v>77</v>
      </c>
      <c r="B25" s="91" t="s">
        <v>71</v>
      </c>
      <c r="C25" s="79">
        <f t="shared" si="13"/>
        <v>468</v>
      </c>
      <c r="D25" s="90" t="s">
        <v>60</v>
      </c>
      <c r="E25" s="57"/>
      <c r="F25" s="81" t="s">
        <v>43</v>
      </c>
      <c r="G25" s="79">
        <f>M25 * H25</f>
        <v>2418</v>
      </c>
      <c r="H25" s="82">
        <v>31.0</v>
      </c>
      <c r="I25" s="83" t="s">
        <v>43</v>
      </c>
      <c r="J25" s="84">
        <f>J21</f>
        <v>360</v>
      </c>
      <c r="K25" s="85">
        <v>1.12</v>
      </c>
      <c r="L25" s="86" t="s">
        <v>43</v>
      </c>
      <c r="M25" s="79">
        <f t="shared" ref="M25:N25" si="18">M21*1.5</f>
        <v>78</v>
      </c>
      <c r="N25" s="90">
        <f t="shared" si="18"/>
        <v>139.5</v>
      </c>
      <c r="O25" s="95" t="s">
        <v>78</v>
      </c>
    </row>
    <row r="26">
      <c r="A26" s="77" t="s">
        <v>77</v>
      </c>
      <c r="B26" s="91" t="s">
        <v>71</v>
      </c>
      <c r="C26" s="79">
        <f t="shared" si="13"/>
        <v>837</v>
      </c>
      <c r="D26" s="90" t="s">
        <v>60</v>
      </c>
      <c r="E26" s="57"/>
      <c r="F26" s="81" t="s">
        <v>43</v>
      </c>
      <c r="G26" s="79">
        <f>N26 * H26</f>
        <v>4324.5</v>
      </c>
      <c r="H26" s="82">
        <v>31.0</v>
      </c>
      <c r="I26" s="83" t="s">
        <v>43</v>
      </c>
      <c r="J26" s="84">
        <f>J21</f>
        <v>360</v>
      </c>
      <c r="K26" s="85">
        <v>1.12</v>
      </c>
      <c r="L26" s="86" t="s">
        <v>43</v>
      </c>
      <c r="M26" s="79">
        <f t="shared" ref="M26:N26" si="19">M25</f>
        <v>78</v>
      </c>
      <c r="N26" s="90">
        <f t="shared" si="19"/>
        <v>139.5</v>
      </c>
      <c r="O26" s="95" t="s">
        <v>79</v>
      </c>
    </row>
    <row r="27">
      <c r="A27" s="77" t="s">
        <v>80</v>
      </c>
      <c r="B27" s="91" t="s">
        <v>71</v>
      </c>
      <c r="C27" s="79">
        <f t="shared" si="13"/>
        <v>576</v>
      </c>
      <c r="D27" s="90" t="s">
        <v>60</v>
      </c>
      <c r="E27" s="57"/>
      <c r="F27" s="81" t="s">
        <v>43</v>
      </c>
      <c r="G27" s="79">
        <f>M27 * H27</f>
        <v>2976</v>
      </c>
      <c r="H27" s="82">
        <v>31.0</v>
      </c>
      <c r="I27" s="83" t="s">
        <v>43</v>
      </c>
      <c r="J27" s="84">
        <f>J21</f>
        <v>360</v>
      </c>
      <c r="K27" s="85">
        <v>1.12</v>
      </c>
      <c r="L27" s="86" t="s">
        <v>43</v>
      </c>
      <c r="M27" s="79">
        <f t="shared" ref="M27:N27" si="20">M23*1.5</f>
        <v>96</v>
      </c>
      <c r="N27" s="90">
        <f t="shared" si="20"/>
        <v>168</v>
      </c>
      <c r="O27" s="95" t="s">
        <v>78</v>
      </c>
    </row>
    <row r="28">
      <c r="A28" s="77" t="s">
        <v>80</v>
      </c>
      <c r="B28" s="91" t="s">
        <v>71</v>
      </c>
      <c r="C28" s="79">
        <f t="shared" si="13"/>
        <v>1008</v>
      </c>
      <c r="D28" s="90" t="s">
        <v>60</v>
      </c>
      <c r="E28" s="57"/>
      <c r="F28" s="81" t="s">
        <v>43</v>
      </c>
      <c r="G28" s="79">
        <f t="shared" ref="G28:G43" si="22">N28 * H28</f>
        <v>5208</v>
      </c>
      <c r="H28" s="82">
        <v>31.0</v>
      </c>
      <c r="I28" s="83" t="s">
        <v>43</v>
      </c>
      <c r="J28" s="84">
        <f>J21</f>
        <v>360</v>
      </c>
      <c r="K28" s="85">
        <v>1.12</v>
      </c>
      <c r="L28" s="86" t="s">
        <v>43</v>
      </c>
      <c r="M28" s="79">
        <f t="shared" ref="M28:N28" si="21">M27</f>
        <v>96</v>
      </c>
      <c r="N28" s="90">
        <f t="shared" si="21"/>
        <v>168</v>
      </c>
      <c r="O28" s="95" t="s">
        <v>79</v>
      </c>
    </row>
    <row r="29">
      <c r="A29" s="65" t="s">
        <v>81</v>
      </c>
      <c r="B29" s="66" t="s">
        <v>46</v>
      </c>
      <c r="C29" s="67">
        <f t="shared" si="13"/>
        <v>370</v>
      </c>
      <c r="D29" s="68">
        <f t="shared" ref="D29:D35" si="23">(G29)/((H29-1) * 1/J29 * 60/1 + K29)</f>
        <v>271.393643</v>
      </c>
      <c r="E29" s="57"/>
      <c r="F29" s="69" t="s">
        <v>43</v>
      </c>
      <c r="G29" s="70">
        <f t="shared" si="22"/>
        <v>1110</v>
      </c>
      <c r="H29" s="71">
        <v>30.0</v>
      </c>
      <c r="I29" s="105" t="s">
        <v>43</v>
      </c>
      <c r="J29" s="73">
        <v>600.0</v>
      </c>
      <c r="K29" s="74">
        <v>1.19</v>
      </c>
      <c r="L29" s="106" t="s">
        <v>43</v>
      </c>
      <c r="M29" s="67">
        <v>23.0</v>
      </c>
      <c r="N29" s="76">
        <v>37.0</v>
      </c>
    </row>
    <row r="30">
      <c r="A30" s="77"/>
      <c r="B30" s="78" t="s">
        <v>82</v>
      </c>
      <c r="C30" s="79">
        <f t="shared" si="13"/>
        <v>396</v>
      </c>
      <c r="D30" s="80">
        <f t="shared" si="23"/>
        <v>274.4916821</v>
      </c>
      <c r="E30" s="57"/>
      <c r="F30" s="81" t="s">
        <v>43</v>
      </c>
      <c r="G30" s="79">
        <f t="shared" si="22"/>
        <v>990</v>
      </c>
      <c r="H30" s="82">
        <v>30.0</v>
      </c>
      <c r="I30" s="83" t="s">
        <v>43</v>
      </c>
      <c r="J30" s="84">
        <v>720.0</v>
      </c>
      <c r="K30" s="85">
        <v>1.19</v>
      </c>
      <c r="L30" s="86" t="s">
        <v>43</v>
      </c>
      <c r="M30" s="89">
        <v>19.0</v>
      </c>
      <c r="N30" s="90">
        <v>33.0</v>
      </c>
    </row>
    <row r="31">
      <c r="A31" s="77"/>
      <c r="B31" s="78" t="s">
        <v>44</v>
      </c>
      <c r="C31" s="79">
        <f t="shared" si="13"/>
        <v>390</v>
      </c>
      <c r="D31" s="80">
        <f t="shared" si="23"/>
        <v>276.4044944</v>
      </c>
      <c r="E31" s="57"/>
      <c r="F31" s="81" t="s">
        <v>43</v>
      </c>
      <c r="G31" s="79">
        <f t="shared" si="22"/>
        <v>1066</v>
      </c>
      <c r="H31" s="82">
        <v>41.0</v>
      </c>
      <c r="I31" s="83" t="s">
        <v>43</v>
      </c>
      <c r="J31" s="84">
        <v>900.0</v>
      </c>
      <c r="K31" s="85">
        <v>1.19</v>
      </c>
      <c r="L31" s="86" t="s">
        <v>43</v>
      </c>
      <c r="M31" s="89">
        <v>16.0</v>
      </c>
      <c r="N31" s="90">
        <v>26.0</v>
      </c>
    </row>
    <row r="32">
      <c r="A32" s="77"/>
      <c r="B32" s="78" t="s">
        <v>83</v>
      </c>
      <c r="C32" s="79">
        <f t="shared" si="13"/>
        <v>420</v>
      </c>
      <c r="D32" s="80">
        <f t="shared" si="23"/>
        <v>295.5145119</v>
      </c>
      <c r="E32" s="57"/>
      <c r="F32" s="81" t="s">
        <v>43</v>
      </c>
      <c r="G32" s="79">
        <f t="shared" si="22"/>
        <v>1120</v>
      </c>
      <c r="H32" s="82">
        <v>40.0</v>
      </c>
      <c r="I32" s="83" t="s">
        <v>43</v>
      </c>
      <c r="J32" s="84">
        <v>900.0</v>
      </c>
      <c r="K32" s="85">
        <v>1.19</v>
      </c>
      <c r="L32" s="86" t="s">
        <v>43</v>
      </c>
      <c r="M32" s="89">
        <v>15.0</v>
      </c>
      <c r="N32" s="90">
        <v>28.0</v>
      </c>
    </row>
    <row r="33">
      <c r="A33" s="107"/>
      <c r="B33" s="91" t="s">
        <v>84</v>
      </c>
      <c r="C33" s="79">
        <f t="shared" si="13"/>
        <v>420</v>
      </c>
      <c r="D33" s="80">
        <f t="shared" si="23"/>
        <v>309.1620987</v>
      </c>
      <c r="E33" s="57"/>
      <c r="F33" s="81" t="s">
        <v>43</v>
      </c>
      <c r="G33" s="79">
        <f t="shared" si="22"/>
        <v>1316</v>
      </c>
      <c r="H33" s="82">
        <v>47.0</v>
      </c>
      <c r="I33" s="83" t="s">
        <v>43</v>
      </c>
      <c r="J33" s="84">
        <v>900.0</v>
      </c>
      <c r="K33" s="85">
        <v>1.19</v>
      </c>
      <c r="L33" s="86" t="s">
        <v>43</v>
      </c>
      <c r="M33" s="89">
        <v>17.0</v>
      </c>
      <c r="N33" s="90">
        <v>28.0</v>
      </c>
    </row>
    <row r="34">
      <c r="A34" s="77" t="s">
        <v>85</v>
      </c>
      <c r="B34" s="91" t="s">
        <v>84</v>
      </c>
      <c r="C34" s="79">
        <f t="shared" si="13"/>
        <v>462</v>
      </c>
      <c r="D34" s="90">
        <f t="shared" si="23"/>
        <v>340.0783085</v>
      </c>
      <c r="E34" s="57"/>
      <c r="F34" s="81" t="s">
        <v>43</v>
      </c>
      <c r="G34" s="79">
        <f t="shared" si="22"/>
        <v>1447.6</v>
      </c>
      <c r="H34" s="82">
        <f>H33</f>
        <v>47</v>
      </c>
      <c r="I34" s="83" t="s">
        <v>43</v>
      </c>
      <c r="J34" s="84">
        <v>900.0</v>
      </c>
      <c r="K34" s="85">
        <v>1.19</v>
      </c>
      <c r="L34" s="86" t="s">
        <v>43</v>
      </c>
      <c r="M34" s="89">
        <f t="shared" ref="M34:N34" si="24">M33*1.1</f>
        <v>18.7</v>
      </c>
      <c r="N34" s="90">
        <f t="shared" si="24"/>
        <v>30.8</v>
      </c>
    </row>
    <row r="35">
      <c r="A35" s="77" t="s">
        <v>86</v>
      </c>
      <c r="B35" s="91" t="s">
        <v>87</v>
      </c>
      <c r="C35" s="79">
        <f t="shared" si="13"/>
        <v>435</v>
      </c>
      <c r="D35" s="80">
        <f t="shared" si="23"/>
        <v>310.4502974</v>
      </c>
      <c r="E35" s="57"/>
      <c r="F35" s="81" t="s">
        <v>43</v>
      </c>
      <c r="G35" s="79">
        <f t="shared" si="22"/>
        <v>1218</v>
      </c>
      <c r="H35" s="82">
        <v>42.0</v>
      </c>
      <c r="I35" s="83" t="s">
        <v>43</v>
      </c>
      <c r="J35" s="84">
        <v>900.0</v>
      </c>
      <c r="K35" s="85">
        <v>1.19</v>
      </c>
      <c r="L35" s="86" t="s">
        <v>43</v>
      </c>
      <c r="M35" s="89">
        <v>16.0</v>
      </c>
      <c r="N35" s="90">
        <v>29.0</v>
      </c>
    </row>
    <row r="36">
      <c r="A36" s="77" t="s">
        <v>88</v>
      </c>
      <c r="B36" s="91" t="s">
        <v>87</v>
      </c>
      <c r="C36" s="79">
        <f>(67*N36 * (1 + 2))/(67*2 * 1/J36 * 60/1 + 0.5)</f>
        <v>617.9151943</v>
      </c>
      <c r="D36" s="80">
        <f>(67*N36 * (1 + 2))/((67-1)*1/J36*60/1 + E36*2 + 0.5 + (67-1)*1/J36*60/1 + K36)</f>
        <v>555.6720686</v>
      </c>
      <c r="E36" s="57"/>
      <c r="F36" s="81" t="s">
        <v>43</v>
      </c>
      <c r="G36" s="79">
        <f t="shared" si="22"/>
        <v>1218</v>
      </c>
      <c r="H36" s="82">
        <f>H35</f>
        <v>42</v>
      </c>
      <c r="I36" s="83" t="s">
        <v>43</v>
      </c>
      <c r="J36" s="84">
        <v>900.0</v>
      </c>
      <c r="K36" s="85">
        <f>K35</f>
        <v>1.19</v>
      </c>
      <c r="L36" s="86" t="s">
        <v>43</v>
      </c>
      <c r="M36" s="89">
        <f t="shared" ref="M36:N36" si="25">M35</f>
        <v>16</v>
      </c>
      <c r="N36" s="90">
        <f t="shared" si="25"/>
        <v>29</v>
      </c>
      <c r="O36" s="95" t="s">
        <v>89</v>
      </c>
    </row>
    <row r="37">
      <c r="A37" s="77" t="s">
        <v>90</v>
      </c>
      <c r="B37" s="91" t="s">
        <v>91</v>
      </c>
      <c r="C37" s="79">
        <f>(G37)/(H37 * 1/J37 * 60/1) + ('Weapon Specifics'!$D$66*3)/(3+0.285+2)</f>
        <v>567.3536032</v>
      </c>
      <c r="D37" s="80">
        <f>(G37 + 'Weapon Specifics'!$D$66*3)/((H37-1) * 1/J37 * 60/1 + K37)</f>
        <v>464.6368832</v>
      </c>
      <c r="E37" s="57"/>
      <c r="F37" s="81" t="s">
        <v>43</v>
      </c>
      <c r="G37" s="79">
        <f t="shared" si="22"/>
        <v>1428</v>
      </c>
      <c r="H37" s="82">
        <v>42.0</v>
      </c>
      <c r="I37" s="83" t="s">
        <v>43</v>
      </c>
      <c r="J37" s="84">
        <f>H37/(10 * 1/750 + 10 * 1/810 + (H37-20) * 1/900)</f>
        <v>837.9310345</v>
      </c>
      <c r="K37" s="85">
        <v>1.19</v>
      </c>
      <c r="L37" s="86" t="s">
        <v>43</v>
      </c>
      <c r="M37" s="89">
        <v>20.0</v>
      </c>
      <c r="N37" s="90">
        <v>34.0</v>
      </c>
    </row>
    <row r="38">
      <c r="A38" s="77" t="s">
        <v>92</v>
      </c>
      <c r="B38" s="91" t="s">
        <v>91</v>
      </c>
      <c r="C38" s="79">
        <f>(G38 + 'Weapon Specifics'!$D$66*3)/(H38 * 1/J38 * 60/1)</f>
        <v>1021.242857</v>
      </c>
      <c r="D38" s="90" t="s">
        <v>60</v>
      </c>
      <c r="E38" s="57"/>
      <c r="F38" s="81" t="s">
        <v>43</v>
      </c>
      <c r="G38" s="79">
        <f t="shared" si="22"/>
        <v>2370.48</v>
      </c>
      <c r="H38" s="82">
        <f>H37</f>
        <v>42</v>
      </c>
      <c r="I38" s="83" t="s">
        <v>43</v>
      </c>
      <c r="J38" s="84">
        <v>900.0</v>
      </c>
      <c r="K38" s="85" t="s">
        <v>60</v>
      </c>
      <c r="L38" s="86" t="s">
        <v>43</v>
      </c>
      <c r="M38" s="79">
        <f t="shared" ref="M38:N38" si="26">M37*1.66</f>
        <v>33.2</v>
      </c>
      <c r="N38" s="80">
        <f t="shared" si="26"/>
        <v>56.44</v>
      </c>
      <c r="O38" s="95" t="s">
        <v>93</v>
      </c>
    </row>
    <row r="39">
      <c r="A39" s="107"/>
      <c r="B39" s="91" t="s">
        <v>94</v>
      </c>
      <c r="C39" s="79">
        <f t="shared" ref="C39:C42" si="28">(G39)/(H39 * 1/J39 * 60/1)</f>
        <v>408</v>
      </c>
      <c r="D39" s="80">
        <f t="shared" ref="D39:D42" si="29">(G39)/((H39-1) * 1/J39 * 60/1 + K39)</f>
        <v>295.7746479</v>
      </c>
      <c r="E39" s="57"/>
      <c r="F39" s="81" t="s">
        <v>43</v>
      </c>
      <c r="G39" s="79">
        <f t="shared" si="22"/>
        <v>1190</v>
      </c>
      <c r="H39" s="82">
        <v>35.0</v>
      </c>
      <c r="I39" s="83" t="s">
        <v>43</v>
      </c>
      <c r="J39" s="84">
        <v>720.0</v>
      </c>
      <c r="K39" s="85">
        <v>1.19</v>
      </c>
      <c r="L39" s="86" t="s">
        <v>43</v>
      </c>
      <c r="M39" s="89">
        <f t="shared" ref="M39:N39" si="27">M37</f>
        <v>20</v>
      </c>
      <c r="N39" s="90">
        <f t="shared" si="27"/>
        <v>34</v>
      </c>
    </row>
    <row r="40">
      <c r="A40" s="77" t="s">
        <v>95</v>
      </c>
      <c r="B40" s="91" t="s">
        <v>94</v>
      </c>
      <c r="C40" s="79">
        <f t="shared" si="28"/>
        <v>855</v>
      </c>
      <c r="D40" s="80">
        <f t="shared" si="29"/>
        <v>619.8218724</v>
      </c>
      <c r="E40" s="57"/>
      <c r="F40" s="81" t="s">
        <v>43</v>
      </c>
      <c r="G40" s="79">
        <f t="shared" si="22"/>
        <v>1995</v>
      </c>
      <c r="H40" s="82">
        <f>H39</f>
        <v>35</v>
      </c>
      <c r="I40" s="83" t="s">
        <v>43</v>
      </c>
      <c r="J40" s="84">
        <v>900.0</v>
      </c>
      <c r="K40" s="85">
        <f>K39*0.8</f>
        <v>0.952</v>
      </c>
      <c r="L40" s="86" t="s">
        <v>43</v>
      </c>
      <c r="M40" s="89">
        <v>56.0</v>
      </c>
      <c r="N40" s="90">
        <v>57.0</v>
      </c>
    </row>
    <row r="41">
      <c r="A41" s="107"/>
      <c r="B41" s="91" t="s">
        <v>96</v>
      </c>
      <c r="C41" s="79">
        <f t="shared" si="28"/>
        <v>396</v>
      </c>
      <c r="D41" s="80">
        <f t="shared" si="29"/>
        <v>287.7906977</v>
      </c>
      <c r="E41" s="57"/>
      <c r="F41" s="81" t="s">
        <v>43</v>
      </c>
      <c r="G41" s="79">
        <f t="shared" si="22"/>
        <v>1155</v>
      </c>
      <c r="H41" s="82">
        <v>35.0</v>
      </c>
      <c r="I41" s="83" t="s">
        <v>43</v>
      </c>
      <c r="J41" s="84">
        <v>720.0</v>
      </c>
      <c r="K41" s="85">
        <v>1.18</v>
      </c>
      <c r="L41" s="86" t="s">
        <v>43</v>
      </c>
      <c r="M41" s="89">
        <f t="shared" ref="M41:N41" si="30">M30</f>
        <v>19</v>
      </c>
      <c r="N41" s="90">
        <f t="shared" si="30"/>
        <v>33</v>
      </c>
    </row>
    <row r="42">
      <c r="A42" s="107"/>
      <c r="B42" s="91" t="s">
        <v>97</v>
      </c>
      <c r="C42" s="79">
        <f t="shared" si="28"/>
        <v>420</v>
      </c>
      <c r="D42" s="80">
        <f t="shared" si="29"/>
        <v>305.2631579</v>
      </c>
      <c r="E42" s="57"/>
      <c r="F42" s="81" t="s">
        <v>43</v>
      </c>
      <c r="G42" s="79">
        <f t="shared" si="22"/>
        <v>1218</v>
      </c>
      <c r="H42" s="82">
        <v>29.0</v>
      </c>
      <c r="I42" s="83" t="s">
        <v>43</v>
      </c>
      <c r="J42" s="84">
        <v>600.0</v>
      </c>
      <c r="K42" s="85">
        <v>1.19</v>
      </c>
      <c r="L42" s="86" t="s">
        <v>43</v>
      </c>
      <c r="M42" s="89">
        <v>27.0</v>
      </c>
      <c r="N42" s="90">
        <v>42.0</v>
      </c>
    </row>
    <row r="43">
      <c r="A43" s="77" t="s">
        <v>98</v>
      </c>
      <c r="B43" s="91" t="s">
        <v>97</v>
      </c>
      <c r="C43" s="79">
        <f>(G43 + ('Weapon Specifics'!D44))/(H43 * 1/J43 * 60/1)</f>
        <v>521.0344828</v>
      </c>
      <c r="D43" s="80">
        <f>(G43 + ('Weapon Specifics'!D44))/((H43-1) * 1/J43 * 60/1 + K43)</f>
        <v>378.6967419</v>
      </c>
      <c r="E43" s="57"/>
      <c r="F43" s="81" t="s">
        <v>43</v>
      </c>
      <c r="G43" s="79">
        <f t="shared" si="22"/>
        <v>1218</v>
      </c>
      <c r="H43" s="82">
        <f>H42</f>
        <v>29</v>
      </c>
      <c r="I43" s="83" t="s">
        <v>43</v>
      </c>
      <c r="J43" s="84">
        <v>600.0</v>
      </c>
      <c r="K43" s="85">
        <v>1.19</v>
      </c>
      <c r="L43" s="86" t="s">
        <v>43</v>
      </c>
      <c r="M43" s="79">
        <f t="shared" ref="M43:N43" si="31">M42</f>
        <v>27</v>
      </c>
      <c r="N43" s="80">
        <f t="shared" si="31"/>
        <v>42</v>
      </c>
      <c r="O43" s="95" t="s">
        <v>99</v>
      </c>
    </row>
    <row r="44">
      <c r="A44" s="77" t="s">
        <v>100</v>
      </c>
      <c r="B44" s="91" t="s">
        <v>97</v>
      </c>
      <c r="C44" s="79">
        <f>('Weapon Specifics'!D45)/10</f>
        <v>135.4</v>
      </c>
      <c r="D44" s="90" t="s">
        <v>60</v>
      </c>
      <c r="E44" s="57"/>
      <c r="F44" s="81" t="s">
        <v>43</v>
      </c>
      <c r="G44" s="89">
        <f>'Weapon Specifics'!D25</f>
        <v>470</v>
      </c>
      <c r="H44" s="108" t="s">
        <v>60</v>
      </c>
      <c r="I44" s="84" t="s">
        <v>60</v>
      </c>
      <c r="J44" s="84" t="s">
        <v>60</v>
      </c>
      <c r="K44" s="84" t="s">
        <v>60</v>
      </c>
      <c r="L44" s="109" t="s">
        <v>60</v>
      </c>
      <c r="M44" s="89" t="s">
        <v>60</v>
      </c>
      <c r="N44" s="90" t="s">
        <v>60</v>
      </c>
      <c r="O44" s="95" t="s">
        <v>101</v>
      </c>
    </row>
    <row r="45">
      <c r="A45" s="65" t="s">
        <v>102</v>
      </c>
      <c r="B45" s="66" t="s">
        <v>42</v>
      </c>
      <c r="C45" s="67">
        <f t="shared" ref="C45:C54" si="32">(G45)/(H45 * 1/J45 * 60/1)</f>
        <v>261</v>
      </c>
      <c r="D45" s="68">
        <f t="shared" ref="D45:D53" si="33">(G45)/((H45-1) * 1/J45 * 60/1 + K45)</f>
        <v>226.3332852</v>
      </c>
      <c r="E45" s="57"/>
      <c r="F45" s="69" t="s">
        <v>43</v>
      </c>
      <c r="G45" s="70">
        <f t="shared" ref="G45:G69" si="34">N45 * H45</f>
        <v>1392</v>
      </c>
      <c r="H45" s="71">
        <v>48.0</v>
      </c>
      <c r="I45" s="105" t="s">
        <v>43</v>
      </c>
      <c r="J45" s="73">
        <v>540.0</v>
      </c>
      <c r="K45" s="74">
        <f>1.16*0.8</f>
        <v>0.928</v>
      </c>
      <c r="L45" s="106" t="s">
        <v>43</v>
      </c>
      <c r="M45" s="67">
        <v>16.0</v>
      </c>
      <c r="N45" s="76">
        <v>29.0</v>
      </c>
    </row>
    <row r="46">
      <c r="A46" s="77"/>
      <c r="B46" s="78" t="s">
        <v>83</v>
      </c>
      <c r="C46" s="79">
        <f t="shared" si="32"/>
        <v>240</v>
      </c>
      <c r="D46" s="80">
        <f t="shared" si="33"/>
        <v>206.8222621</v>
      </c>
      <c r="E46" s="57"/>
      <c r="F46" s="81" t="s">
        <v>43</v>
      </c>
      <c r="G46" s="79">
        <f t="shared" si="34"/>
        <v>1536</v>
      </c>
      <c r="H46" s="82">
        <v>48.0</v>
      </c>
      <c r="I46" s="83" t="s">
        <v>43</v>
      </c>
      <c r="J46" s="84">
        <v>450.0</v>
      </c>
      <c r="K46" s="85">
        <v>1.16</v>
      </c>
      <c r="L46" s="86" t="s">
        <v>43</v>
      </c>
      <c r="M46" s="89">
        <v>20.0</v>
      </c>
      <c r="N46" s="90">
        <v>32.0</v>
      </c>
    </row>
    <row r="47">
      <c r="A47" s="77"/>
      <c r="B47" s="78" t="s">
        <v>103</v>
      </c>
      <c r="C47" s="79">
        <f t="shared" si="32"/>
        <v>240</v>
      </c>
      <c r="D47" s="80">
        <f t="shared" si="33"/>
        <v>204.9335863</v>
      </c>
      <c r="E47" s="57"/>
      <c r="F47" s="81" t="s">
        <v>43</v>
      </c>
      <c r="G47" s="79">
        <f t="shared" si="34"/>
        <v>1440</v>
      </c>
      <c r="H47" s="82">
        <v>45.0</v>
      </c>
      <c r="I47" s="83" t="s">
        <v>43</v>
      </c>
      <c r="J47" s="84">
        <v>450.0</v>
      </c>
      <c r="K47" s="85">
        <v>1.16</v>
      </c>
      <c r="L47" s="86" t="s">
        <v>43</v>
      </c>
      <c r="M47" s="89">
        <f t="shared" ref="M47:N47" si="35">M46</f>
        <v>20</v>
      </c>
      <c r="N47" s="90">
        <f t="shared" si="35"/>
        <v>32</v>
      </c>
      <c r="O47" s="95" t="s">
        <v>104</v>
      </c>
    </row>
    <row r="48">
      <c r="A48" s="77"/>
      <c r="B48" s="78" t="s">
        <v>44</v>
      </c>
      <c r="C48" s="79">
        <f t="shared" si="32"/>
        <v>240.5</v>
      </c>
      <c r="D48" s="80">
        <f t="shared" si="33"/>
        <v>211.6611661</v>
      </c>
      <c r="E48" s="57"/>
      <c r="F48" s="81" t="s">
        <v>43</v>
      </c>
      <c r="G48" s="79">
        <f t="shared" si="34"/>
        <v>1776</v>
      </c>
      <c r="H48" s="82">
        <v>48.0</v>
      </c>
      <c r="I48" s="83" t="s">
        <v>43</v>
      </c>
      <c r="J48" s="84">
        <v>390.0</v>
      </c>
      <c r="K48" s="85">
        <v>1.16</v>
      </c>
      <c r="L48" s="86" t="s">
        <v>43</v>
      </c>
      <c r="M48" s="89">
        <v>23.0</v>
      </c>
      <c r="N48" s="90">
        <v>37.0</v>
      </c>
    </row>
    <row r="49">
      <c r="A49" s="77"/>
      <c r="B49" s="78" t="s">
        <v>47</v>
      </c>
      <c r="C49" s="79">
        <f t="shared" si="32"/>
        <v>221</v>
      </c>
      <c r="D49" s="80">
        <f t="shared" si="33"/>
        <v>197.1173733</v>
      </c>
      <c r="E49" s="57"/>
      <c r="F49" s="81" t="s">
        <v>43</v>
      </c>
      <c r="G49" s="79">
        <f t="shared" si="34"/>
        <v>1794</v>
      </c>
      <c r="H49" s="82">
        <v>46.0</v>
      </c>
      <c r="I49" s="83" t="s">
        <v>43</v>
      </c>
      <c r="J49" s="84">
        <v>340.0</v>
      </c>
      <c r="K49" s="85">
        <v>1.16</v>
      </c>
      <c r="L49" s="86" t="s">
        <v>43</v>
      </c>
      <c r="M49" s="89">
        <v>22.0</v>
      </c>
      <c r="N49" s="90">
        <v>39.0</v>
      </c>
    </row>
    <row r="50">
      <c r="A50" s="77"/>
      <c r="B50" s="78" t="s">
        <v>105</v>
      </c>
      <c r="C50" s="79">
        <f t="shared" si="32"/>
        <v>232.5</v>
      </c>
      <c r="D50" s="80">
        <f t="shared" si="33"/>
        <v>207.5313808</v>
      </c>
      <c r="E50" s="57"/>
      <c r="F50" s="81" t="s">
        <v>43</v>
      </c>
      <c r="G50" s="79">
        <f t="shared" si="34"/>
        <v>1984</v>
      </c>
      <c r="H50" s="82">
        <v>64.0</v>
      </c>
      <c r="I50" s="83" t="s">
        <v>43</v>
      </c>
      <c r="J50" s="84">
        <v>450.0</v>
      </c>
      <c r="K50" s="85">
        <v>1.16</v>
      </c>
      <c r="L50" s="86" t="s">
        <v>43</v>
      </c>
      <c r="M50" s="89">
        <v>16.0</v>
      </c>
      <c r="N50" s="90">
        <v>31.0</v>
      </c>
    </row>
    <row r="51">
      <c r="A51" s="77"/>
      <c r="B51" s="78" t="s">
        <v>106</v>
      </c>
      <c r="C51" s="79">
        <f t="shared" si="32"/>
        <v>270</v>
      </c>
      <c r="D51" s="80">
        <f t="shared" si="33"/>
        <v>229.6960073</v>
      </c>
      <c r="E51" s="57"/>
      <c r="F51" s="81" t="s">
        <v>43</v>
      </c>
      <c r="G51" s="79">
        <f t="shared" si="34"/>
        <v>1500</v>
      </c>
      <c r="H51" s="82">
        <v>30.0</v>
      </c>
      <c r="I51" s="83" t="s">
        <v>43</v>
      </c>
      <c r="J51" s="84">
        <v>324.0</v>
      </c>
      <c r="K51" s="85">
        <v>1.16</v>
      </c>
      <c r="L51" s="86" t="s">
        <v>43</v>
      </c>
      <c r="M51" s="89">
        <v>27.0</v>
      </c>
      <c r="N51" s="90">
        <v>50.0</v>
      </c>
    </row>
    <row r="52">
      <c r="A52" s="77"/>
      <c r="B52" s="91" t="s">
        <v>107</v>
      </c>
      <c r="C52" s="79">
        <f t="shared" si="32"/>
        <v>309.1666667</v>
      </c>
      <c r="D52" s="80">
        <f t="shared" si="33"/>
        <v>260.9148194</v>
      </c>
      <c r="E52" s="57"/>
      <c r="F52" s="81" t="s">
        <v>43</v>
      </c>
      <c r="G52" s="79">
        <f t="shared" si="34"/>
        <v>1750</v>
      </c>
      <c r="H52" s="82">
        <v>50.0</v>
      </c>
      <c r="I52" s="83" t="s">
        <v>43</v>
      </c>
      <c r="J52" s="84">
        <v>530.0</v>
      </c>
      <c r="K52" s="85">
        <v>1.16</v>
      </c>
      <c r="L52" s="86" t="s">
        <v>43</v>
      </c>
      <c r="M52" s="89">
        <v>22.0</v>
      </c>
      <c r="N52" s="90">
        <v>35.0</v>
      </c>
    </row>
    <row r="53">
      <c r="A53" s="77"/>
      <c r="B53" s="91" t="s">
        <v>108</v>
      </c>
      <c r="C53" s="89">
        <f t="shared" si="32"/>
        <v>255</v>
      </c>
      <c r="D53" s="90">
        <f t="shared" si="33"/>
        <v>204.2635659</v>
      </c>
      <c r="E53" s="57"/>
      <c r="F53" s="81" t="s">
        <v>43</v>
      </c>
      <c r="G53" s="89">
        <f t="shared" si="34"/>
        <v>1054</v>
      </c>
      <c r="H53" s="82">
        <v>31.0</v>
      </c>
      <c r="I53" s="83" t="s">
        <v>43</v>
      </c>
      <c r="J53" s="84">
        <v>450.0</v>
      </c>
      <c r="K53" s="85">
        <v>1.16</v>
      </c>
      <c r="L53" s="86" t="s">
        <v>43</v>
      </c>
      <c r="M53" s="89">
        <v>21.0</v>
      </c>
      <c r="N53" s="90">
        <v>34.0</v>
      </c>
      <c r="O53" s="95"/>
    </row>
    <row r="54">
      <c r="A54" s="77" t="s">
        <v>109</v>
      </c>
      <c r="B54" s="91" t="s">
        <v>108</v>
      </c>
      <c r="C54" s="89">
        <f t="shared" si="32"/>
        <v>510</v>
      </c>
      <c r="D54" s="90" t="s">
        <v>60</v>
      </c>
      <c r="E54" s="57"/>
      <c r="F54" s="81" t="s">
        <v>43</v>
      </c>
      <c r="G54" s="89">
        <f t="shared" si="34"/>
        <v>2108</v>
      </c>
      <c r="H54" s="82">
        <v>31.0</v>
      </c>
      <c r="I54" s="83" t="s">
        <v>43</v>
      </c>
      <c r="J54" s="84">
        <v>450.0</v>
      </c>
      <c r="K54" s="85">
        <v>1.16</v>
      </c>
      <c r="L54" s="86" t="s">
        <v>43</v>
      </c>
      <c r="M54" s="79">
        <f t="shared" ref="M54:N54" si="36">M53*2</f>
        <v>42</v>
      </c>
      <c r="N54" s="80">
        <f t="shared" si="36"/>
        <v>68</v>
      </c>
      <c r="O54" s="95"/>
    </row>
    <row r="55">
      <c r="A55" s="77"/>
      <c r="B55" s="91" t="s">
        <v>110</v>
      </c>
      <c r="C55" s="79">
        <f>(G55)/(H55 * 1/J55 * 60/1) + 'Weapon Specifics'!D46*4/(12*1/J55*60/1) </f>
        <v>355</v>
      </c>
      <c r="D55" s="80">
        <f>(G55)/((H55-1) * 1/J55 * 60/1 + K55) + (FLOOR(H55/12,1) * 'Weapon Specifics'!D46*4)/((H55-1)*1/J55*60/1 + K55)</f>
        <v>292.4485126</v>
      </c>
      <c r="E55" s="57"/>
      <c r="F55" s="81" t="s">
        <v>43</v>
      </c>
      <c r="G55" s="79">
        <f t="shared" si="34"/>
        <v>1224</v>
      </c>
      <c r="H55" s="82">
        <v>36.0</v>
      </c>
      <c r="I55" s="83" t="s">
        <v>43</v>
      </c>
      <c r="J55" s="84">
        <v>450.0</v>
      </c>
      <c r="K55" s="85">
        <v>1.16</v>
      </c>
      <c r="L55" s="86" t="s">
        <v>43</v>
      </c>
      <c r="M55" s="89">
        <f t="shared" ref="M55:N55" si="37">M53</f>
        <v>21</v>
      </c>
      <c r="N55" s="90">
        <f t="shared" si="37"/>
        <v>34</v>
      </c>
      <c r="O55" s="95" t="s">
        <v>111</v>
      </c>
    </row>
    <row r="56">
      <c r="A56" s="77" t="s">
        <v>112</v>
      </c>
      <c r="B56" s="91" t="s">
        <v>110</v>
      </c>
      <c r="C56" s="79">
        <f>(G56)/(H56 * 1/J56 * 60/1) + 'Weapon Specifics'!D46*4/(12*1/J55*60/1) </f>
        <v>737.5</v>
      </c>
      <c r="D56" s="80">
        <f>(G56)/((H56-1) * 1/J56 * 60/1 + K56) + (FLOOR(H56/12,1) * 'Weapon Specifics'!D46*4)/((H56-1)*1/J56*60/1 + K56)</f>
        <v>607.5514874</v>
      </c>
      <c r="E56" s="57"/>
      <c r="F56" s="81" t="s">
        <v>43</v>
      </c>
      <c r="G56" s="79">
        <f t="shared" si="34"/>
        <v>3060</v>
      </c>
      <c r="H56" s="110">
        <f>H55</f>
        <v>36</v>
      </c>
      <c r="I56" s="83" t="s">
        <v>43</v>
      </c>
      <c r="J56" s="93">
        <v>450.0</v>
      </c>
      <c r="K56" s="111">
        <v>1.16</v>
      </c>
      <c r="L56" s="86" t="s">
        <v>43</v>
      </c>
      <c r="M56" s="79">
        <f t="shared" ref="M56:N56" si="38">M55*2.5</f>
        <v>52.5</v>
      </c>
      <c r="N56" s="80">
        <f t="shared" si="38"/>
        <v>85</v>
      </c>
      <c r="O56" s="95" t="s">
        <v>113</v>
      </c>
    </row>
    <row r="57">
      <c r="A57" s="77" t="s">
        <v>114</v>
      </c>
      <c r="B57" s="91" t="s">
        <v>110</v>
      </c>
      <c r="C57" s="79">
        <f>(G57)/(H57 * 1/J57 * 60/1) + 'Weapon Specifics'!D46*4/(12*1/J55*60/1) </f>
        <v>1502.5</v>
      </c>
      <c r="D57" s="80">
        <f>(G57)/((H57-1) * 1/J57 * 60/1 + K57) + (FLOOR(H57/12,1) * 'Weapon Specifics'!D46*4)/((H57-1)*1/J57*60/1 + K57)</f>
        <v>1237.757437</v>
      </c>
      <c r="E57" s="57"/>
      <c r="F57" s="81" t="s">
        <v>43</v>
      </c>
      <c r="G57" s="79">
        <f t="shared" si="34"/>
        <v>6732</v>
      </c>
      <c r="H57" s="110">
        <f>H55</f>
        <v>36</v>
      </c>
      <c r="I57" s="83" t="s">
        <v>43</v>
      </c>
      <c r="J57" s="93">
        <f t="shared" ref="J57:K57" si="39">J55</f>
        <v>450</v>
      </c>
      <c r="K57" s="111">
        <f t="shared" si="39"/>
        <v>1.16</v>
      </c>
      <c r="L57" s="86" t="s">
        <v>43</v>
      </c>
      <c r="M57" s="79">
        <f t="shared" ref="M57:N57" si="40">M55*5.5</f>
        <v>115.5</v>
      </c>
      <c r="N57" s="80">
        <f t="shared" si="40"/>
        <v>187</v>
      </c>
      <c r="O57" s="95" t="s">
        <v>113</v>
      </c>
    </row>
    <row r="58">
      <c r="A58" s="77"/>
      <c r="B58" s="91" t="s">
        <v>110</v>
      </c>
      <c r="C58" s="79">
        <f>(G58)/(H58 * 1/J58 * 60/1) + 'Weapon Specifics'!D46*4/(12*1/J58*60/1) </f>
        <v>355</v>
      </c>
      <c r="D58" s="80">
        <f>(G58)/((H58-1) * 1/J58 * 60/1 + K58) + (FLOOR(H58/12,1) * 'Weapon Specifics'!D46*4)/((H58-1)*1/J58*60/1 + K58)</f>
        <v>305.7167599</v>
      </c>
      <c r="E58" s="57"/>
      <c r="F58" s="81" t="s">
        <v>43</v>
      </c>
      <c r="G58" s="79">
        <f t="shared" si="34"/>
        <v>1224</v>
      </c>
      <c r="H58" s="82">
        <v>36.0</v>
      </c>
      <c r="I58" s="83" t="s">
        <v>43</v>
      </c>
      <c r="J58" s="84">
        <v>450.0</v>
      </c>
      <c r="K58" s="85">
        <f>$K$55*0.92*0.85</f>
        <v>0.90712</v>
      </c>
      <c r="L58" s="86" t="s">
        <v>43</v>
      </c>
      <c r="M58" s="89">
        <f t="shared" ref="M58:N58" si="41">M55</f>
        <v>21</v>
      </c>
      <c r="N58" s="90">
        <f t="shared" si="41"/>
        <v>34</v>
      </c>
      <c r="O58" s="95" t="s">
        <v>115</v>
      </c>
    </row>
    <row r="59">
      <c r="A59" s="77" t="s">
        <v>112</v>
      </c>
      <c r="B59" s="91" t="s">
        <v>110</v>
      </c>
      <c r="C59" s="79">
        <f>(G59)/(H59 * 1/J59 * 60/1) + 'Weapon Specifics'!D46*4/(12*1/J58*60/1) </f>
        <v>737.5</v>
      </c>
      <c r="D59" s="80">
        <f>(G59)/((H59-1) * 1/J59 * 60/1 + K59) + (FLOOR(H59/12,1) * 'Weapon Specifics'!D46*4)/((H59-1)*1/J59*60/1 + K59)</f>
        <v>635.115804</v>
      </c>
      <c r="E59" s="57"/>
      <c r="F59" s="81" t="s">
        <v>43</v>
      </c>
      <c r="G59" s="79">
        <f t="shared" si="34"/>
        <v>3060</v>
      </c>
      <c r="H59" s="110">
        <f>H58</f>
        <v>36</v>
      </c>
      <c r="I59" s="83" t="s">
        <v>43</v>
      </c>
      <c r="J59" s="93">
        <v>450.0</v>
      </c>
      <c r="K59" s="111">
        <f>K58</f>
        <v>0.90712</v>
      </c>
      <c r="L59" s="86" t="s">
        <v>43</v>
      </c>
      <c r="M59" s="79">
        <f t="shared" ref="M59:N59" si="42">M58*2.5</f>
        <v>52.5</v>
      </c>
      <c r="N59" s="80">
        <f t="shared" si="42"/>
        <v>85</v>
      </c>
      <c r="O59" s="95" t="s">
        <v>116</v>
      </c>
    </row>
    <row r="60">
      <c r="A60" s="77" t="s">
        <v>114</v>
      </c>
      <c r="B60" s="91" t="s">
        <v>110</v>
      </c>
      <c r="C60" s="79">
        <f>(G60)/(H60 * 1/J60 * 60/1) + 'Weapon Specifics'!D46*4/(12*1/J59*60/1) </f>
        <v>1502.5</v>
      </c>
      <c r="D60" s="80">
        <f>(G60)/((H60-1) * 1/J60 * 60/1 + K60) + (FLOOR(H60/12,1) * 'Weapon Specifics'!D46*4)/((H60-1)*1/J60*60/1 + K60)</f>
        <v>1293.913892</v>
      </c>
      <c r="E60" s="57"/>
      <c r="F60" s="81" t="s">
        <v>43</v>
      </c>
      <c r="G60" s="79">
        <f t="shared" si="34"/>
        <v>6732</v>
      </c>
      <c r="H60" s="110">
        <f>H58</f>
        <v>36</v>
      </c>
      <c r="I60" s="83" t="s">
        <v>43</v>
      </c>
      <c r="J60" s="93">
        <f t="shared" ref="J60:K60" si="43">J58</f>
        <v>450</v>
      </c>
      <c r="K60" s="111">
        <f t="shared" si="43"/>
        <v>0.90712</v>
      </c>
      <c r="L60" s="86" t="s">
        <v>43</v>
      </c>
      <c r="M60" s="79">
        <f t="shared" ref="M60:N60" si="44">M58*5.5</f>
        <v>115.5</v>
      </c>
      <c r="N60" s="80">
        <f t="shared" si="44"/>
        <v>187</v>
      </c>
      <c r="O60" s="95" t="s">
        <v>116</v>
      </c>
    </row>
    <row r="61">
      <c r="A61" s="77"/>
      <c r="B61" s="91" t="s">
        <v>110</v>
      </c>
      <c r="C61" s="79">
        <f>(G61)/(H61 * 1/J61 * 60/1) + 'Weapon Specifics'!D46*4/(12*1/J60*60/1) </f>
        <v>355</v>
      </c>
      <c r="D61" s="80">
        <f>(G61)/((H61-1) * 1/J61 * 60/1 + K61) + (FLOOR(H61/12,1) * 'Weapon Specifics'!D46*4)/((H61-1)*1/J61*60/1 + K61)</f>
        <v>333.5943618</v>
      </c>
      <c r="E61" s="57"/>
      <c r="F61" s="81" t="s">
        <v>43</v>
      </c>
      <c r="G61" s="79">
        <f t="shared" si="34"/>
        <v>4080</v>
      </c>
      <c r="H61" s="82">
        <f>45+33+24+18</f>
        <v>120</v>
      </c>
      <c r="I61" s="83" t="s">
        <v>43</v>
      </c>
      <c r="J61" s="84">
        <v>450.0</v>
      </c>
      <c r="K61" s="85">
        <v>1.16</v>
      </c>
      <c r="L61" s="86" t="s">
        <v>43</v>
      </c>
      <c r="M61" s="89">
        <f t="shared" ref="M61:N61" si="45">M55</f>
        <v>21</v>
      </c>
      <c r="N61" s="90">
        <f t="shared" si="45"/>
        <v>34</v>
      </c>
      <c r="O61" s="95" t="s">
        <v>117</v>
      </c>
    </row>
    <row r="62">
      <c r="A62" s="77" t="s">
        <v>112</v>
      </c>
      <c r="B62" s="91" t="s">
        <v>110</v>
      </c>
      <c r="C62" s="79">
        <f>(G62)/(H62 * 1/J62 * 60/1) + 'Weapon Specifics'!D46*4/(12*1/J61*60/1) </f>
        <v>737.5</v>
      </c>
      <c r="D62" s="80">
        <f>(G62)/((H62-1) * 1/J62 * 60/1 + K62) + (FLOOR(H62/12,1) * 'Weapon Specifics'!D46*4)/((H62-1)*1/J62*60/1 + K62)</f>
        <v>693.0305403</v>
      </c>
      <c r="E62" s="57"/>
      <c r="F62" s="81" t="s">
        <v>43</v>
      </c>
      <c r="G62" s="79">
        <f t="shared" si="34"/>
        <v>10200</v>
      </c>
      <c r="H62" s="82">
        <f>H61</f>
        <v>120</v>
      </c>
      <c r="I62" s="83" t="s">
        <v>43</v>
      </c>
      <c r="J62" s="93">
        <v>450.0</v>
      </c>
      <c r="K62" s="111">
        <v>1.16</v>
      </c>
      <c r="L62" s="86" t="s">
        <v>43</v>
      </c>
      <c r="M62" s="79">
        <f t="shared" ref="M62:N62" si="46">M61*2.5</f>
        <v>52.5</v>
      </c>
      <c r="N62" s="80">
        <f t="shared" si="46"/>
        <v>85</v>
      </c>
      <c r="O62" s="95" t="s">
        <v>118</v>
      </c>
    </row>
    <row r="63">
      <c r="A63" s="77" t="s">
        <v>114</v>
      </c>
      <c r="B63" s="91" t="s">
        <v>110</v>
      </c>
      <c r="C63" s="79">
        <f>(G63)/(H63 * 1/J63 * 60/1) + 'Weapon Specifics'!D46*4/(12*1/J62*60/1) </f>
        <v>1502.5</v>
      </c>
      <c r="D63" s="80">
        <f>(G63)/((H63-1) * 1/J63 * 60/1 + K63) + (FLOOR(H63/12,1) * 'Weapon Specifics'!D46*4)/((H63-1)*1/J63*60/1 + K63)</f>
        <v>1411.902897</v>
      </c>
      <c r="E63" s="57"/>
      <c r="F63" s="81" t="s">
        <v>43</v>
      </c>
      <c r="G63" s="79">
        <f t="shared" si="34"/>
        <v>22440</v>
      </c>
      <c r="H63" s="82">
        <f>H61</f>
        <v>120</v>
      </c>
      <c r="I63" s="83" t="s">
        <v>43</v>
      </c>
      <c r="J63" s="93">
        <f t="shared" ref="J63:K63" si="47">J61</f>
        <v>450</v>
      </c>
      <c r="K63" s="111">
        <f t="shared" si="47"/>
        <v>1.16</v>
      </c>
      <c r="L63" s="86" t="s">
        <v>43</v>
      </c>
      <c r="M63" s="79">
        <f t="shared" ref="M63:N63" si="48">M61*5.5</f>
        <v>115.5</v>
      </c>
      <c r="N63" s="80">
        <f t="shared" si="48"/>
        <v>187</v>
      </c>
      <c r="O63" s="95" t="s">
        <v>118</v>
      </c>
    </row>
    <row r="64">
      <c r="A64" s="77"/>
      <c r="B64" s="91" t="s">
        <v>119</v>
      </c>
      <c r="C64" s="79">
        <f t="shared" ref="C64:C67" si="49">(G64)/(H64 * 1/J64 * 60/1)</f>
        <v>253.5</v>
      </c>
      <c r="D64" s="80">
        <f t="shared" ref="D64:D67" si="50">(G64)/((H64-1) * 1/J64 * 60/1 + K64)</f>
        <v>214.5275035</v>
      </c>
      <c r="E64" s="57"/>
      <c r="F64" s="81" t="s">
        <v>43</v>
      </c>
      <c r="G64" s="79">
        <f t="shared" si="34"/>
        <v>1404</v>
      </c>
      <c r="H64" s="82">
        <v>36.0</v>
      </c>
      <c r="I64" s="83" t="s">
        <v>43</v>
      </c>
      <c r="J64" s="84">
        <v>390.0</v>
      </c>
      <c r="K64" s="85">
        <v>1.16</v>
      </c>
      <c r="L64" s="86" t="s">
        <v>43</v>
      </c>
      <c r="M64" s="89">
        <v>24.0</v>
      </c>
      <c r="N64" s="90">
        <v>39.0</v>
      </c>
    </row>
    <row r="65">
      <c r="A65" s="77"/>
      <c r="B65" s="91" t="s">
        <v>120</v>
      </c>
      <c r="C65" s="79">
        <f t="shared" si="49"/>
        <v>232.3333333</v>
      </c>
      <c r="D65" s="80">
        <f t="shared" si="50"/>
        <v>197.1897397</v>
      </c>
      <c r="E65" s="57"/>
      <c r="F65" s="81" t="s">
        <v>43</v>
      </c>
      <c r="G65" s="79">
        <f t="shared" si="34"/>
        <v>1230</v>
      </c>
      <c r="H65" s="82">
        <v>30.0</v>
      </c>
      <c r="I65" s="83" t="s">
        <v>43</v>
      </c>
      <c r="J65" s="84">
        <v>340.0</v>
      </c>
      <c r="K65" s="85">
        <v>1.12</v>
      </c>
      <c r="L65" s="86" t="s">
        <v>43</v>
      </c>
      <c r="M65" s="89">
        <v>23.0</v>
      </c>
      <c r="N65" s="90">
        <v>41.0</v>
      </c>
    </row>
    <row r="66">
      <c r="A66" s="77" t="s">
        <v>121</v>
      </c>
      <c r="B66" s="91" t="s">
        <v>122</v>
      </c>
      <c r="C66" s="79">
        <f t="shared" si="49"/>
        <v>247.5</v>
      </c>
      <c r="D66" s="80">
        <f t="shared" si="50"/>
        <v>215.5778894</v>
      </c>
      <c r="E66" s="57"/>
      <c r="F66" s="81" t="s">
        <v>43</v>
      </c>
      <c r="G66" s="79">
        <f t="shared" si="34"/>
        <v>1716</v>
      </c>
      <c r="H66" s="82">
        <v>52.0</v>
      </c>
      <c r="I66" s="83" t="s">
        <v>43</v>
      </c>
      <c r="J66" s="84">
        <f t="shared" ref="J66:J67" si="51">J50</f>
        <v>450</v>
      </c>
      <c r="K66" s="85">
        <v>1.16</v>
      </c>
      <c r="L66" s="86" t="s">
        <v>43</v>
      </c>
      <c r="M66" s="89">
        <v>17.0</v>
      </c>
      <c r="N66" s="90">
        <v>33.0</v>
      </c>
    </row>
    <row r="67">
      <c r="A67" s="77" t="s">
        <v>123</v>
      </c>
      <c r="B67" s="91" t="s">
        <v>122</v>
      </c>
      <c r="C67" s="79">
        <f t="shared" si="49"/>
        <v>345.6</v>
      </c>
      <c r="D67" s="80">
        <f t="shared" si="50"/>
        <v>287.4104401</v>
      </c>
      <c r="E67" s="57"/>
      <c r="F67" s="81" t="s">
        <v>43</v>
      </c>
      <c r="G67" s="79">
        <f t="shared" si="34"/>
        <v>1664</v>
      </c>
      <c r="H67" s="82">
        <v>26.0</v>
      </c>
      <c r="I67" s="83" t="s">
        <v>43</v>
      </c>
      <c r="J67" s="84">
        <f t="shared" si="51"/>
        <v>324</v>
      </c>
      <c r="K67" s="111">
        <f>K66</f>
        <v>1.16</v>
      </c>
      <c r="L67" s="86" t="s">
        <v>43</v>
      </c>
      <c r="M67" s="89">
        <v>35.0</v>
      </c>
      <c r="N67" s="90">
        <v>64.0</v>
      </c>
    </row>
    <row r="68">
      <c r="A68" s="77" t="s">
        <v>124</v>
      </c>
      <c r="B68" s="91" t="s">
        <v>122</v>
      </c>
      <c r="C68" s="89">
        <f t="shared" ref="C68:C69" si="54">D68</f>
        <v>657.4468085</v>
      </c>
      <c r="D68" s="80">
        <f>(48*N68 + fourthTimesTheCharm(4) * ('Weapon Specifics'!D52 + 'Weapon Specifics'!D53))/(48 * 1/J68 * 60/1 + 0.6 + fourthTimesTheCharm(4) * 1/72 * 60/1 + K68)</f>
        <v>657.4468085</v>
      </c>
      <c r="E68" s="57"/>
      <c r="F68" s="81" t="s">
        <v>43</v>
      </c>
      <c r="G68" s="79">
        <f t="shared" si="34"/>
        <v>3366</v>
      </c>
      <c r="H68" s="82">
        <f t="shared" ref="H68:H69" si="55">fourthTimesTheCharm(H66)</f>
        <v>102</v>
      </c>
      <c r="I68" s="83" t="s">
        <v>43</v>
      </c>
      <c r="J68" s="93">
        <f t="shared" ref="J68:K68" si="52">J66</f>
        <v>450</v>
      </c>
      <c r="K68" s="111">
        <f t="shared" si="52"/>
        <v>1.16</v>
      </c>
      <c r="L68" s="86" t="s">
        <v>43</v>
      </c>
      <c r="M68" s="79">
        <f t="shared" ref="M68:N68" si="53">M66</f>
        <v>17</v>
      </c>
      <c r="N68" s="80">
        <f t="shared" si="53"/>
        <v>33</v>
      </c>
      <c r="O68" s="95" t="s">
        <v>125</v>
      </c>
    </row>
    <row r="69">
      <c r="A69" s="77" t="s">
        <v>126</v>
      </c>
      <c r="B69" s="91" t="s">
        <v>122</v>
      </c>
      <c r="C69" s="89">
        <f t="shared" si="54"/>
        <v>647.9693269</v>
      </c>
      <c r="D69" s="80">
        <f>(48*N69 + fourthTimesTheCharm(4) * ('Weapon Specifics'!D52 + 'Weapon Specifics'!D53))/(48 * 1/J69 * 60/1 + 0.6 + fourthTimesTheCharm(4) * 1/72 * 60/1 + K69)</f>
        <v>647.9693269</v>
      </c>
      <c r="E69" s="57"/>
      <c r="F69" s="81" t="s">
        <v>43</v>
      </c>
      <c r="G69" s="79">
        <f t="shared" si="34"/>
        <v>3200</v>
      </c>
      <c r="H69" s="110">
        <f t="shared" si="55"/>
        <v>50</v>
      </c>
      <c r="I69" s="83" t="s">
        <v>43</v>
      </c>
      <c r="J69" s="93">
        <f>J67</f>
        <v>324</v>
      </c>
      <c r="K69" s="111">
        <f>K66</f>
        <v>1.16</v>
      </c>
      <c r="L69" s="86" t="s">
        <v>43</v>
      </c>
      <c r="M69" s="79">
        <f t="shared" ref="M69:N69" si="56">M67</f>
        <v>35</v>
      </c>
      <c r="N69" s="80">
        <f t="shared" si="56"/>
        <v>64</v>
      </c>
      <c r="O69" s="95" t="s">
        <v>125</v>
      </c>
    </row>
    <row r="70">
      <c r="A70" s="77" t="s">
        <v>127</v>
      </c>
      <c r="B70" s="91" t="s">
        <v>128</v>
      </c>
      <c r="C70" s="89">
        <f>N70*J70*1/60 + ('Weapon Specifics'!D42 * 3)/(3 * 1/340 * 60/1 + 0.85)</f>
        <v>288.8791756</v>
      </c>
      <c r="D70" s="90">
        <f>C70</f>
        <v>288.8791756</v>
      </c>
      <c r="E70" s="57"/>
      <c r="F70" s="81" t="s">
        <v>43</v>
      </c>
      <c r="G70" s="89" t="s">
        <v>43</v>
      </c>
      <c r="H70" s="82">
        <v>24.0</v>
      </c>
      <c r="I70" s="83" t="s">
        <v>43</v>
      </c>
      <c r="J70" s="84">
        <v>340.0</v>
      </c>
      <c r="K70" s="85">
        <v>1.16</v>
      </c>
      <c r="L70" s="86" t="s">
        <v>43</v>
      </c>
      <c r="M70" s="89">
        <v>23.0</v>
      </c>
      <c r="N70" s="90">
        <v>41.0</v>
      </c>
      <c r="O70" s="95" t="s">
        <v>129</v>
      </c>
    </row>
    <row r="71">
      <c r="A71" s="77"/>
      <c r="B71" s="91" t="s">
        <v>130</v>
      </c>
      <c r="C71" s="79">
        <f t="shared" ref="C71:C77" si="57">(G71)/(H71 * 1/J71 * 60/1)</f>
        <v>352.5</v>
      </c>
      <c r="D71" s="80">
        <f t="shared" ref="D71:D75" si="58">(G71)/((H71-1) * 1/J71 * 60/1 + K71)</f>
        <v>303.8793103</v>
      </c>
      <c r="E71" s="57"/>
      <c r="F71" s="81" t="s">
        <v>43</v>
      </c>
      <c r="G71" s="79">
        <f t="shared" ref="G71:G77" si="59">N71 * H71</f>
        <v>2115</v>
      </c>
      <c r="H71" s="82">
        <v>30.0</v>
      </c>
      <c r="I71" s="83" t="s">
        <v>43</v>
      </c>
      <c r="J71" s="84">
        <v>300.0</v>
      </c>
      <c r="K71" s="85">
        <v>1.16</v>
      </c>
      <c r="L71" s="86" t="s">
        <v>43</v>
      </c>
      <c r="M71" s="79">
        <f>(32+44)/2</f>
        <v>38</v>
      </c>
      <c r="N71" s="80">
        <f>(60+81)/2</f>
        <v>70.5</v>
      </c>
    </row>
    <row r="72">
      <c r="A72" s="65" t="s">
        <v>131</v>
      </c>
      <c r="B72" s="66" t="s">
        <v>42</v>
      </c>
      <c r="C72" s="67">
        <f t="shared" si="57"/>
        <v>260</v>
      </c>
      <c r="D72" s="68">
        <f t="shared" si="58"/>
        <v>223.1887376</v>
      </c>
      <c r="E72" s="57"/>
      <c r="F72" s="69" t="s">
        <v>43</v>
      </c>
      <c r="G72" s="70">
        <f t="shared" si="59"/>
        <v>1200</v>
      </c>
      <c r="H72" s="71">
        <v>20.0</v>
      </c>
      <c r="I72" s="105" t="s">
        <v>43</v>
      </c>
      <c r="J72" s="73">
        <v>260.0</v>
      </c>
      <c r="K72" s="74">
        <f>1.24*0.8</f>
        <v>0.992</v>
      </c>
      <c r="L72" s="106" t="s">
        <v>43</v>
      </c>
      <c r="M72" s="67">
        <v>31.0</v>
      </c>
      <c r="N72" s="76">
        <v>60.0</v>
      </c>
    </row>
    <row r="73">
      <c r="A73" s="107"/>
      <c r="B73" s="78" t="s">
        <v>83</v>
      </c>
      <c r="C73" s="79">
        <f t="shared" si="57"/>
        <v>236.6666667</v>
      </c>
      <c r="D73" s="80">
        <f t="shared" si="58"/>
        <v>204.610951</v>
      </c>
      <c r="E73" s="57"/>
      <c r="F73" s="81" t="s">
        <v>43</v>
      </c>
      <c r="G73" s="79">
        <f t="shared" si="59"/>
        <v>1420</v>
      </c>
      <c r="H73" s="82">
        <v>20.0</v>
      </c>
      <c r="I73" s="83" t="s">
        <v>43</v>
      </c>
      <c r="J73" s="84">
        <v>200.0</v>
      </c>
      <c r="K73" s="85">
        <v>1.24</v>
      </c>
      <c r="L73" s="86" t="s">
        <v>43</v>
      </c>
      <c r="M73" s="89">
        <v>42.0</v>
      </c>
      <c r="N73" s="90">
        <v>71.0</v>
      </c>
    </row>
    <row r="74">
      <c r="A74" s="77"/>
      <c r="B74" s="78" t="s">
        <v>46</v>
      </c>
      <c r="C74" s="79">
        <f t="shared" si="57"/>
        <v>228</v>
      </c>
      <c r="D74" s="80">
        <f t="shared" si="58"/>
        <v>200.7042254</v>
      </c>
      <c r="E74" s="57"/>
      <c r="F74" s="81" t="s">
        <v>43</v>
      </c>
      <c r="G74" s="79">
        <f t="shared" si="59"/>
        <v>1520</v>
      </c>
      <c r="H74" s="82">
        <v>20.0</v>
      </c>
      <c r="I74" s="83" t="s">
        <v>43</v>
      </c>
      <c r="J74" s="84">
        <v>180.0</v>
      </c>
      <c r="K74" s="85">
        <v>1.24</v>
      </c>
      <c r="L74" s="86" t="s">
        <v>43</v>
      </c>
      <c r="M74" s="89">
        <v>42.0</v>
      </c>
      <c r="N74" s="90">
        <v>76.0</v>
      </c>
    </row>
    <row r="75">
      <c r="A75" s="107"/>
      <c r="B75" s="78" t="s">
        <v>47</v>
      </c>
      <c r="C75" s="79">
        <f t="shared" si="57"/>
        <v>230</v>
      </c>
      <c r="D75" s="80">
        <f t="shared" si="58"/>
        <v>208.1447964</v>
      </c>
      <c r="E75" s="57"/>
      <c r="F75" s="81" t="s">
        <v>43</v>
      </c>
      <c r="G75" s="79">
        <f t="shared" si="59"/>
        <v>1840</v>
      </c>
      <c r="H75" s="82">
        <v>20.0</v>
      </c>
      <c r="I75" s="83" t="s">
        <v>43</v>
      </c>
      <c r="J75" s="84">
        <v>150.0</v>
      </c>
      <c r="K75" s="85">
        <v>1.24</v>
      </c>
      <c r="L75" s="86" t="s">
        <v>43</v>
      </c>
      <c r="M75" s="89">
        <v>46.0</v>
      </c>
      <c r="N75" s="90">
        <v>92.0</v>
      </c>
    </row>
    <row r="76">
      <c r="A76" s="107"/>
      <c r="B76" s="78" t="s">
        <v>82</v>
      </c>
      <c r="C76" s="79">
        <f t="shared" si="57"/>
        <v>262</v>
      </c>
      <c r="D76" s="80">
        <f>(G76)/((H76-1) * 1/J76 * 60/1 + 0.58+K76*(H76/2-1))</f>
        <v>194.0740741</v>
      </c>
      <c r="E76" s="57"/>
      <c r="F76" s="81" t="s">
        <v>43</v>
      </c>
      <c r="G76" s="79">
        <f t="shared" si="59"/>
        <v>2620</v>
      </c>
      <c r="H76" s="82">
        <v>20.0</v>
      </c>
      <c r="I76" s="83" t="s">
        <v>43</v>
      </c>
      <c r="J76" s="84">
        <v>120.0</v>
      </c>
      <c r="K76" s="111">
        <f>0.38</f>
        <v>0.38</v>
      </c>
      <c r="L76" s="86" t="s">
        <v>43</v>
      </c>
      <c r="M76" s="89">
        <v>77.0</v>
      </c>
      <c r="N76" s="90">
        <v>131.0</v>
      </c>
      <c r="O76" s="95"/>
    </row>
    <row r="77">
      <c r="A77" s="107"/>
      <c r="B77" s="91" t="s">
        <v>132</v>
      </c>
      <c r="C77" s="79">
        <f t="shared" si="57"/>
        <v>273</v>
      </c>
      <c r="D77" s="80">
        <f>(G77)/((H77-1) * 1/J77 * 60/1 + K77)</f>
        <v>234.3481744</v>
      </c>
      <c r="E77" s="57"/>
      <c r="F77" s="81" t="s">
        <v>43</v>
      </c>
      <c r="G77" s="79">
        <f t="shared" si="59"/>
        <v>1260</v>
      </c>
      <c r="H77" s="82">
        <v>20.0</v>
      </c>
      <c r="I77" s="83" t="s">
        <v>43</v>
      </c>
      <c r="J77" s="84">
        <v>260.0</v>
      </c>
      <c r="K77" s="85">
        <f t="shared" ref="K77:K82" si="60">1.24*0.8</f>
        <v>0.992</v>
      </c>
      <c r="L77" s="86" t="s">
        <v>43</v>
      </c>
      <c r="M77" s="89">
        <v>33.0</v>
      </c>
      <c r="N77" s="90">
        <v>63.0</v>
      </c>
    </row>
    <row r="78">
      <c r="A78" s="77" t="s">
        <v>133</v>
      </c>
      <c r="B78" s="91" t="s">
        <v>132</v>
      </c>
      <c r="C78" s="89">
        <f>M78*J78*1/60</f>
        <v>70.61728395</v>
      </c>
      <c r="D78" s="80">
        <f>C78</f>
        <v>70.61728395</v>
      </c>
      <c r="E78" s="57"/>
      <c r="F78" s="81" t="s">
        <v>43</v>
      </c>
      <c r="G78" s="89" t="s">
        <v>43</v>
      </c>
      <c r="H78" s="82">
        <v>20.0</v>
      </c>
      <c r="I78" s="83" t="s">
        <v>43</v>
      </c>
      <c r="J78" s="84">
        <f>J77/2.7</f>
        <v>96.2962963</v>
      </c>
      <c r="K78" s="85">
        <f t="shared" si="60"/>
        <v>0.992</v>
      </c>
      <c r="L78" s="86" t="s">
        <v>43</v>
      </c>
      <c r="M78" s="89">
        <v>44.0</v>
      </c>
      <c r="N78" s="90" t="s">
        <v>60</v>
      </c>
      <c r="O78" s="95" t="s">
        <v>134</v>
      </c>
    </row>
    <row r="79">
      <c r="A79" s="77" t="s">
        <v>135</v>
      </c>
      <c r="B79" s="91" t="s">
        <v>132</v>
      </c>
      <c r="C79" s="89">
        <f>(G79)/(((5-1)*1/J79*60 + 0.6 + (5-1)*1/J78*60 + 0.6)*4)</f>
        <v>185.25</v>
      </c>
      <c r="D79" s="80">
        <f>(G79)/(((5-1)*1/J79*60 + 0.6 + (5-1)*1/J78*60 + 0.6)*4 + K79)</f>
        <v>175.8034923</v>
      </c>
      <c r="E79" s="57"/>
      <c r="F79" s="81" t="s">
        <v>43</v>
      </c>
      <c r="G79" s="79">
        <f>(5*M79 + 5*N77)*4</f>
        <v>3420</v>
      </c>
      <c r="H79" s="82">
        <v>20.0</v>
      </c>
      <c r="I79" s="83" t="s">
        <v>43</v>
      </c>
      <c r="J79" s="84">
        <v>260.0</v>
      </c>
      <c r="K79" s="85">
        <f t="shared" si="60"/>
        <v>0.992</v>
      </c>
      <c r="L79" s="86" t="s">
        <v>43</v>
      </c>
      <c r="M79" s="89">
        <v>108.0</v>
      </c>
      <c r="N79" s="90" t="s">
        <v>60</v>
      </c>
      <c r="O79" s="95" t="s">
        <v>136</v>
      </c>
    </row>
    <row r="80">
      <c r="A80" s="77" t="s">
        <v>137</v>
      </c>
      <c r="B80" s="91" t="s">
        <v>132</v>
      </c>
      <c r="C80" s="89">
        <f>(G80)/(((10-1)*1/J80*60 + 0.6 + (10-1)*1/J78*60 + 0.6)*2)</f>
        <v>265.6277056</v>
      </c>
      <c r="D80" s="80">
        <f>(G80)/(((10-1)*1/J80*60 + 0.6 + (10-1)*1/J78*60 + 0.6)*2 + K80)</f>
        <v>251.5826418</v>
      </c>
      <c r="E80" s="57"/>
      <c r="F80" s="81" t="s">
        <v>43</v>
      </c>
      <c r="G80" s="79">
        <f>(10*M80 + 10*N77)*2</f>
        <v>4720</v>
      </c>
      <c r="H80" s="82">
        <v>20.0</v>
      </c>
      <c r="I80" s="83" t="s">
        <v>43</v>
      </c>
      <c r="J80" s="84">
        <v>260.0</v>
      </c>
      <c r="K80" s="85">
        <f t="shared" si="60"/>
        <v>0.992</v>
      </c>
      <c r="L80" s="86" t="s">
        <v>43</v>
      </c>
      <c r="M80" s="89">
        <v>173.0</v>
      </c>
      <c r="N80" s="90" t="s">
        <v>60</v>
      </c>
      <c r="O80" s="112" t="s">
        <v>136</v>
      </c>
    </row>
    <row r="81">
      <c r="A81" s="77" t="s">
        <v>138</v>
      </c>
      <c r="B81" s="91" t="s">
        <v>132</v>
      </c>
      <c r="C81" s="89">
        <f>(G81)/(((10-1)*1/J81*60 + 0.6 + (10-1)*1/J78*60 + 0.6)*2)</f>
        <v>338.7878788</v>
      </c>
      <c r="D81" s="80">
        <f>(G81)/(((10-1)*1/J81*60 + 0.6 + (10-1)*1/J78*60 + 0.6)*2 + K81)</f>
        <v>320.8744711</v>
      </c>
      <c r="E81" s="57"/>
      <c r="F81" s="81" t="s">
        <v>43</v>
      </c>
      <c r="G81" s="79">
        <f>(10*M81 + 10*N77)*2</f>
        <v>6020</v>
      </c>
      <c r="H81" s="82">
        <v>20.0</v>
      </c>
      <c r="I81" s="83" t="s">
        <v>43</v>
      </c>
      <c r="J81" s="84">
        <v>260.0</v>
      </c>
      <c r="K81" s="85">
        <f t="shared" si="60"/>
        <v>0.992</v>
      </c>
      <c r="L81" s="86" t="s">
        <v>43</v>
      </c>
      <c r="M81" s="89">
        <v>238.0</v>
      </c>
      <c r="N81" s="90" t="s">
        <v>60</v>
      </c>
      <c r="O81" s="112" t="s">
        <v>136</v>
      </c>
    </row>
    <row r="82">
      <c r="A82" s="77" t="s">
        <v>139</v>
      </c>
      <c r="B82" s="91" t="s">
        <v>132</v>
      </c>
      <c r="C82" s="89">
        <f>(G82)/(((20-1)*1/J82*60 + 0.6 + (20-1)*1/J78*60 + 0.6))</f>
        <v>418.9845475</v>
      </c>
      <c r="D82" s="80">
        <f>(G82)/(((20-1)*1/J82*60 + 0.6 + (20-1)*1/J78*60 + 0.6) + K82)</f>
        <v>396.4143093</v>
      </c>
      <c r="E82" s="57"/>
      <c r="F82" s="81" t="s">
        <v>43</v>
      </c>
      <c r="G82" s="79">
        <f>20*M82 + 20*N77</f>
        <v>7300</v>
      </c>
      <c r="H82" s="82">
        <v>20.0</v>
      </c>
      <c r="I82" s="83" t="s">
        <v>43</v>
      </c>
      <c r="J82" s="84">
        <v>260.0</v>
      </c>
      <c r="K82" s="85">
        <f t="shared" si="60"/>
        <v>0.992</v>
      </c>
      <c r="L82" s="86" t="s">
        <v>43</v>
      </c>
      <c r="M82" s="89">
        <v>302.0</v>
      </c>
      <c r="N82" s="90" t="s">
        <v>60</v>
      </c>
      <c r="O82" s="112" t="s">
        <v>136</v>
      </c>
    </row>
    <row r="83">
      <c r="A83" s="77" t="s">
        <v>140</v>
      </c>
      <c r="B83" s="91" t="s">
        <v>141</v>
      </c>
      <c r="C83" s="89">
        <f>N83*J83/60</f>
        <v>598</v>
      </c>
      <c r="D83" s="90">
        <f t="shared" ref="D83:D84" si="61">C83</f>
        <v>598</v>
      </c>
      <c r="E83" s="57"/>
      <c r="F83" s="81" t="s">
        <v>43</v>
      </c>
      <c r="G83" s="89" t="s">
        <v>43</v>
      </c>
      <c r="H83" s="82">
        <v>11.0</v>
      </c>
      <c r="I83" s="83" t="s">
        <v>43</v>
      </c>
      <c r="J83" s="84">
        <v>260.0</v>
      </c>
      <c r="K83" s="85">
        <v>1.24</v>
      </c>
      <c r="L83" s="86" t="s">
        <v>43</v>
      </c>
      <c r="M83" s="89">
        <v>71.0</v>
      </c>
      <c r="N83" s="90">
        <v>138.0</v>
      </c>
      <c r="O83" s="95" t="s">
        <v>142</v>
      </c>
    </row>
    <row r="84">
      <c r="A84" s="77" t="s">
        <v>143</v>
      </c>
      <c r="B84" s="91" t="s">
        <v>141</v>
      </c>
      <c r="C84" s="89">
        <f>(N84*FLOOR(J84 * 1/60 * (3.5-(0.53)),1) + 'Weapon Specifics'!D77+'Weapon Specifics'!D78)
/ (FLOOR(J84 * 1/60 * (3.5-(0.53)),1)*1/J84*60/1 + 1.1+0.53)</f>
        <v>672.6175905</v>
      </c>
      <c r="D84" s="90">
        <f t="shared" si="61"/>
        <v>672.6175905</v>
      </c>
      <c r="E84" s="57"/>
      <c r="F84" s="81" t="s">
        <v>43</v>
      </c>
      <c r="G84" s="89" t="s">
        <v>43</v>
      </c>
      <c r="H84" s="110">
        <v>11.0</v>
      </c>
      <c r="I84" s="83" t="s">
        <v>43</v>
      </c>
      <c r="J84" s="93">
        <v>260.0</v>
      </c>
      <c r="K84" s="111">
        <v>1.24</v>
      </c>
      <c r="L84" s="86" t="s">
        <v>43</v>
      </c>
      <c r="M84" s="79">
        <f t="shared" ref="M84:N84" si="62">M83*1.5</f>
        <v>106.5</v>
      </c>
      <c r="N84" s="80">
        <f t="shared" si="62"/>
        <v>207</v>
      </c>
      <c r="O84" s="95" t="s">
        <v>144</v>
      </c>
    </row>
    <row r="85">
      <c r="A85" s="107"/>
      <c r="B85" s="91" t="s">
        <v>145</v>
      </c>
      <c r="C85" s="89">
        <f>(3*N85 + 6*'Weapon Specifics'!D89 + 'Elemental Effects'!$E$9 + 1*N85)/(10 * 1/J85 * 60/1)</f>
        <v>421.2433333</v>
      </c>
      <c r="D85" s="90">
        <f t="shared" ref="D85:D91" si="64">(G85)/((H85-1) * 1/J85 * 60/1 + K85)</f>
        <v>326.7778993</v>
      </c>
      <c r="E85" s="57"/>
      <c r="F85" s="81" t="s">
        <v>43</v>
      </c>
      <c r="G85" s="89">
        <f>(3*N85 + 6*'Weapon Specifics'!$D$33 + 'Elemental Effects'!$E$9 + 1*N85)*FLOOR(H85/10,1)</f>
        <v>1838</v>
      </c>
      <c r="H85" s="82">
        <v>20.0</v>
      </c>
      <c r="I85" s="83" t="s">
        <v>43</v>
      </c>
      <c r="J85" s="84">
        <f t="shared" ref="J85:J88" si="65">$J$72</f>
        <v>260</v>
      </c>
      <c r="K85" s="85">
        <v>1.24</v>
      </c>
      <c r="L85" s="86" t="s">
        <v>43</v>
      </c>
      <c r="M85" s="89">
        <f t="shared" ref="M85:N85" si="63">M77</f>
        <v>33</v>
      </c>
      <c r="N85" s="90">
        <f t="shared" si="63"/>
        <v>63</v>
      </c>
      <c r="O85" s="95" t="s">
        <v>146</v>
      </c>
    </row>
    <row r="86">
      <c r="A86" s="77" t="s">
        <v>147</v>
      </c>
      <c r="B86" s="91" t="s">
        <v>145</v>
      </c>
      <c r="C86" s="89">
        <f>(3*N86 + 4*'Weapon Specifics'!$D$91 + 'Elemental Effects'!$E$9 + 1*N86)/(8 * 1/J86 * 60/1)</f>
        <v>526.5541667</v>
      </c>
      <c r="D86" s="90">
        <f t="shared" si="64"/>
        <v>365.1805252</v>
      </c>
      <c r="E86" s="57"/>
      <c r="F86" s="81" t="s">
        <v>43</v>
      </c>
      <c r="G86" s="89">
        <f>(3*N86 + 4*'Weapon Specifics'!$D$35 + 'Elemental Effects'!$E$9 + 1*N86)*FLOOR(H86/8,1)
+ 3*N86 + 1*'Weapon Specifics'!$D$35</f>
        <v>2054</v>
      </c>
      <c r="H86" s="82">
        <f t="shared" ref="H86:H88" si="67">H85</f>
        <v>20</v>
      </c>
      <c r="I86" s="83" t="s">
        <v>43</v>
      </c>
      <c r="J86" s="84">
        <f t="shared" si="65"/>
        <v>260</v>
      </c>
      <c r="K86" s="85">
        <f>K85</f>
        <v>1.24</v>
      </c>
      <c r="L86" s="86" t="s">
        <v>43</v>
      </c>
      <c r="M86" s="89">
        <f t="shared" ref="M86:N86" si="66">M85</f>
        <v>33</v>
      </c>
      <c r="N86" s="90">
        <f t="shared" si="66"/>
        <v>63</v>
      </c>
      <c r="O86" s="95" t="s">
        <v>146</v>
      </c>
    </row>
    <row r="87">
      <c r="A87" s="107"/>
      <c r="B87" s="91" t="s">
        <v>145</v>
      </c>
      <c r="C87" s="89">
        <f>(3*N87 + 'Elemental Effects'!$E$9 + N87)/(4 * 1/J87 * 60/1)</f>
        <v>664.0833333</v>
      </c>
      <c r="D87" s="90">
        <f t="shared" si="64"/>
        <v>544.9261488</v>
      </c>
      <c r="E87" s="57"/>
      <c r="F87" s="81" t="s">
        <v>43</v>
      </c>
      <c r="G87" s="89">
        <f>(3*N87 + 'Elemental Effects'!$E$9 + 1*N87)*FLOOR(H87/4,1)</f>
        <v>3065</v>
      </c>
      <c r="H87" s="82">
        <f t="shared" si="67"/>
        <v>20</v>
      </c>
      <c r="I87" s="83" t="s">
        <v>43</v>
      </c>
      <c r="J87" s="84">
        <f t="shared" si="65"/>
        <v>260</v>
      </c>
      <c r="K87" s="85">
        <v>1.24</v>
      </c>
      <c r="L87" s="86" t="s">
        <v>43</v>
      </c>
      <c r="M87" s="89">
        <f t="shared" ref="M87:N87" si="68">M85</f>
        <v>33</v>
      </c>
      <c r="N87" s="90">
        <f t="shared" si="68"/>
        <v>63</v>
      </c>
      <c r="O87" s="95" t="s">
        <v>148</v>
      </c>
    </row>
    <row r="88">
      <c r="A88" s="77" t="s">
        <v>147</v>
      </c>
      <c r="B88" s="91" t="s">
        <v>145</v>
      </c>
      <c r="C88" s="89">
        <f>(3*N88 + 'Elemental Effects'!$E$9 + N88)/(4 * 1/J88 * 60/1)</f>
        <v>664.0833333</v>
      </c>
      <c r="D88" s="90">
        <f t="shared" si="64"/>
        <v>544.9261488</v>
      </c>
      <c r="E88" s="57"/>
      <c r="F88" s="81" t="s">
        <v>43</v>
      </c>
      <c r="G88" s="89">
        <f>(3*N88 + 'Elemental Effects'!$E$9 + 1*N88)*FLOOR(H88/4,1)</f>
        <v>3065</v>
      </c>
      <c r="H88" s="82">
        <f t="shared" si="67"/>
        <v>20</v>
      </c>
      <c r="I88" s="83" t="s">
        <v>43</v>
      </c>
      <c r="J88" s="84">
        <f t="shared" si="65"/>
        <v>260</v>
      </c>
      <c r="K88" s="85">
        <f>K87</f>
        <v>1.24</v>
      </c>
      <c r="L88" s="86" t="s">
        <v>43</v>
      </c>
      <c r="M88" s="89">
        <f t="shared" ref="M88:N88" si="69">M87</f>
        <v>33</v>
      </c>
      <c r="N88" s="90">
        <f t="shared" si="69"/>
        <v>63</v>
      </c>
      <c r="O88" s="95" t="s">
        <v>148</v>
      </c>
    </row>
    <row r="89">
      <c r="A89" s="77"/>
      <c r="B89" s="91" t="s">
        <v>149</v>
      </c>
      <c r="C89" s="79">
        <f t="shared" ref="C89:C98" si="70">(G89)/(H89 * 1/J89 * 60/1)</f>
        <v>246.6666667</v>
      </c>
      <c r="D89" s="80">
        <f t="shared" si="64"/>
        <v>206.271777</v>
      </c>
      <c r="E89" s="57"/>
      <c r="F89" s="81" t="s">
        <v>43</v>
      </c>
      <c r="G89" s="79">
        <f t="shared" ref="G89:G98" si="71">N89 * H89</f>
        <v>1184</v>
      </c>
      <c r="H89" s="82">
        <v>16.0</v>
      </c>
      <c r="I89" s="83" t="s">
        <v>43</v>
      </c>
      <c r="J89" s="84">
        <v>200.0</v>
      </c>
      <c r="K89" s="85">
        <v>1.24</v>
      </c>
      <c r="L89" s="86" t="s">
        <v>43</v>
      </c>
      <c r="M89" s="89">
        <v>44.0</v>
      </c>
      <c r="N89" s="90">
        <v>74.0</v>
      </c>
    </row>
    <row r="90">
      <c r="A90" s="77" t="s">
        <v>150</v>
      </c>
      <c r="B90" s="91" t="s">
        <v>151</v>
      </c>
      <c r="C90" s="79">
        <f t="shared" si="70"/>
        <v>376.6666667</v>
      </c>
      <c r="D90" s="80">
        <f t="shared" si="64"/>
        <v>228.5714286</v>
      </c>
      <c r="E90" s="57"/>
      <c r="F90" s="81" t="s">
        <v>43</v>
      </c>
      <c r="G90" s="79">
        <f t="shared" si="71"/>
        <v>1808</v>
      </c>
      <c r="H90" s="82">
        <v>16.0</v>
      </c>
      <c r="I90" s="83" t="s">
        <v>43</v>
      </c>
      <c r="J90" s="84">
        <v>200.0</v>
      </c>
      <c r="K90" s="85">
        <f>0.65+0.92*3</f>
        <v>3.41</v>
      </c>
      <c r="L90" s="86" t="s">
        <v>43</v>
      </c>
      <c r="M90" s="89">
        <f>17+17+17+16</f>
        <v>67</v>
      </c>
      <c r="N90" s="90">
        <v>113.0</v>
      </c>
      <c r="O90" s="95" t="s">
        <v>152</v>
      </c>
    </row>
    <row r="91">
      <c r="A91" s="77" t="s">
        <v>153</v>
      </c>
      <c r="B91" s="91" t="s">
        <v>151</v>
      </c>
      <c r="C91" s="79">
        <f t="shared" si="70"/>
        <v>733.3333333</v>
      </c>
      <c r="D91" s="80">
        <f t="shared" si="64"/>
        <v>445.0063211</v>
      </c>
      <c r="E91" s="57"/>
      <c r="F91" s="81" t="s">
        <v>43</v>
      </c>
      <c r="G91" s="79">
        <f t="shared" si="71"/>
        <v>3520</v>
      </c>
      <c r="H91" s="82">
        <v>16.0</v>
      </c>
      <c r="I91" s="83" t="s">
        <v>43</v>
      </c>
      <c r="J91" s="84">
        <v>200.0</v>
      </c>
      <c r="K91" s="85">
        <f t="shared" ref="K91:K92" si="72">$K$90</f>
        <v>3.41</v>
      </c>
      <c r="L91" s="86" t="s">
        <v>43</v>
      </c>
      <c r="M91" s="89">
        <f>32+33+33+33</f>
        <v>131</v>
      </c>
      <c r="N91" s="90">
        <v>220.0</v>
      </c>
      <c r="O91" s="95" t="s">
        <v>154</v>
      </c>
    </row>
    <row r="92">
      <c r="A92" s="77" t="s">
        <v>155</v>
      </c>
      <c r="B92" s="91" t="s">
        <v>151</v>
      </c>
      <c r="C92" s="79">
        <f t="shared" si="70"/>
        <v>495.6521739</v>
      </c>
      <c r="D92" s="80">
        <f>((H92-1)*N92 + $N$91)/((H92-1) * 1/J92  * 60 + K92)</f>
        <v>424.4917715</v>
      </c>
      <c r="E92" s="57"/>
      <c r="F92" s="81" t="s">
        <v>43</v>
      </c>
      <c r="G92" s="79">
        <f t="shared" si="71"/>
        <v>9120</v>
      </c>
      <c r="H92" s="82">
        <v>16.0</v>
      </c>
      <c r="I92" s="83" t="s">
        <v>43</v>
      </c>
      <c r="J92" s="84">
        <f>1/1.15 * 60</f>
        <v>52.17391304</v>
      </c>
      <c r="K92" s="85">
        <f t="shared" si="72"/>
        <v>3.41</v>
      </c>
      <c r="L92" s="86" t="s">
        <v>43</v>
      </c>
      <c r="M92" s="89">
        <f>84+84+84+85</f>
        <v>337</v>
      </c>
      <c r="N92" s="90">
        <v>570.0</v>
      </c>
      <c r="O92" s="95" t="s">
        <v>156</v>
      </c>
    </row>
    <row r="93">
      <c r="A93" s="77" t="s">
        <v>150</v>
      </c>
      <c r="B93" s="91" t="s">
        <v>157</v>
      </c>
      <c r="C93" s="79">
        <f t="shared" si="70"/>
        <v>316</v>
      </c>
      <c r="D93" s="80">
        <f>(G93)/((H93-1) * 1/J93 * 60/1 + 0.58+K93*(CEILING(H93/2,1)-1))</f>
        <v>243.6123348</v>
      </c>
      <c r="E93" s="57"/>
      <c r="F93" s="81" t="s">
        <v>43</v>
      </c>
      <c r="G93" s="79">
        <f t="shared" si="71"/>
        <v>2212</v>
      </c>
      <c r="H93" s="82">
        <v>14.0</v>
      </c>
      <c r="I93" s="83" t="s">
        <v>43</v>
      </c>
      <c r="J93" s="84">
        <f>120</f>
        <v>120</v>
      </c>
      <c r="K93" s="111">
        <f>10/30</f>
        <v>0.3333333333</v>
      </c>
      <c r="L93" s="86" t="s">
        <v>43</v>
      </c>
      <c r="M93" s="89">
        <v>93.0</v>
      </c>
      <c r="N93" s="90">
        <v>158.0</v>
      </c>
      <c r="O93" s="95"/>
    </row>
    <row r="94">
      <c r="A94" s="113" t="s">
        <v>158</v>
      </c>
      <c r="B94" s="114" t="s">
        <v>157</v>
      </c>
      <c r="C94" s="115">
        <f t="shared" si="70"/>
        <v>532</v>
      </c>
      <c r="D94" s="116">
        <f>(G94)/((H94-1) * 1/J94 * 60/1 + 0.58+K94*(ceiling(H94/7,1)-1-1))</f>
        <v>518.9038551</v>
      </c>
      <c r="E94" s="117"/>
      <c r="F94" s="118" t="s">
        <v>43</v>
      </c>
      <c r="G94" s="119">
        <f t="shared" si="71"/>
        <v>3192</v>
      </c>
      <c r="H94" s="120">
        <v>14.0</v>
      </c>
      <c r="I94" s="121" t="s">
        <v>43</v>
      </c>
      <c r="J94" s="122">
        <f t="shared" ref="J94:J98" si="73">140</f>
        <v>140</v>
      </c>
      <c r="K94" s="123">
        <f t="shared" ref="K94:K95" si="74">$K$93 * 0.86</f>
        <v>0.2866666667</v>
      </c>
      <c r="L94" s="124" t="s">
        <v>43</v>
      </c>
      <c r="M94" s="125">
        <v>135.0</v>
      </c>
      <c r="N94" s="126">
        <v>228.0</v>
      </c>
      <c r="O94" s="127" t="s">
        <v>159</v>
      </c>
      <c r="P94" s="117"/>
      <c r="Q94" s="117"/>
      <c r="R94" s="117"/>
      <c r="S94" s="117"/>
      <c r="T94" s="117"/>
      <c r="U94" s="117"/>
      <c r="V94" s="117"/>
      <c r="W94" s="117"/>
      <c r="X94" s="117"/>
      <c r="Y94" s="117"/>
      <c r="Z94" s="117"/>
      <c r="AA94" s="117"/>
      <c r="AB94" s="117"/>
      <c r="AC94" s="117"/>
      <c r="AD94" s="117"/>
      <c r="AE94" s="117"/>
      <c r="AF94" s="117"/>
      <c r="AG94" s="117"/>
      <c r="AH94" s="117"/>
    </row>
    <row r="95">
      <c r="A95" s="77" t="s">
        <v>158</v>
      </c>
      <c r="B95" s="91" t="s">
        <v>157</v>
      </c>
      <c r="C95" s="128">
        <f t="shared" si="70"/>
        <v>532</v>
      </c>
      <c r="D95" s="129">
        <f>(G95)/((H95-1) * 1/J95 * 60/1 + 0.58)</f>
        <v>506.43699</v>
      </c>
      <c r="E95" s="57"/>
      <c r="F95" s="81" t="s">
        <v>43</v>
      </c>
      <c r="G95" s="79">
        <f t="shared" si="71"/>
        <v>1596</v>
      </c>
      <c r="H95" s="82">
        <v>7.0</v>
      </c>
      <c r="I95" s="83" t="s">
        <v>43</v>
      </c>
      <c r="J95" s="122">
        <f t="shared" si="73"/>
        <v>140</v>
      </c>
      <c r="K95" s="111">
        <f t="shared" si="74"/>
        <v>0.2866666667</v>
      </c>
      <c r="L95" s="86" t="s">
        <v>43</v>
      </c>
      <c r="M95" s="89">
        <f t="shared" ref="M95:M98" si="75">$M$94</f>
        <v>135</v>
      </c>
      <c r="N95" s="90">
        <f t="shared" ref="N95:N98" si="76">$N$94</f>
        <v>228</v>
      </c>
      <c r="O95" s="95" t="s">
        <v>160</v>
      </c>
    </row>
    <row r="96">
      <c r="A96" s="77" t="s">
        <v>161</v>
      </c>
      <c r="B96" s="91" t="s">
        <v>157</v>
      </c>
      <c r="C96" s="128">
        <f t="shared" si="70"/>
        <v>532</v>
      </c>
      <c r="D96" s="129">
        <f>(G96)/((H96-1) * 1/J96 * 60/1 + 0.58+K96*(CEILING(H96/7,1)-1))</f>
        <v>497.5712301</v>
      </c>
      <c r="E96" s="57"/>
      <c r="F96" s="81" t="s">
        <v>43</v>
      </c>
      <c r="G96" s="79">
        <f t="shared" si="71"/>
        <v>3192</v>
      </c>
      <c r="H96" s="82">
        <v>14.0</v>
      </c>
      <c r="I96" s="83" t="s">
        <v>43</v>
      </c>
      <c r="J96" s="122">
        <f t="shared" si="73"/>
        <v>140</v>
      </c>
      <c r="K96" s="111">
        <f>$K$93 * 0.86 * 0.92</f>
        <v>0.2637333333</v>
      </c>
      <c r="L96" s="86" t="s">
        <v>43</v>
      </c>
      <c r="M96" s="89">
        <f t="shared" si="75"/>
        <v>135</v>
      </c>
      <c r="N96" s="90">
        <f t="shared" si="76"/>
        <v>228</v>
      </c>
      <c r="O96" s="95" t="s">
        <v>162</v>
      </c>
    </row>
    <row r="97">
      <c r="A97" s="77" t="s">
        <v>163</v>
      </c>
      <c r="B97" s="91" t="s">
        <v>157</v>
      </c>
      <c r="C97" s="128">
        <f t="shared" si="70"/>
        <v>532</v>
      </c>
      <c r="D97" s="129">
        <f>(G97)/((H97-1) * 1/J97 * 60/1 + 0.58+K97*(ceiling($H$94/7,1)-1))</f>
        <v>511.875</v>
      </c>
      <c r="E97" s="57"/>
      <c r="F97" s="81" t="s">
        <v>43</v>
      </c>
      <c r="G97" s="79">
        <f t="shared" si="71"/>
        <v>5928</v>
      </c>
      <c r="H97" s="82">
        <f>fourthTimesTheCharm($H$93)</f>
        <v>26</v>
      </c>
      <c r="I97" s="83" t="s">
        <v>43</v>
      </c>
      <c r="J97" s="122">
        <f t="shared" si="73"/>
        <v>140</v>
      </c>
      <c r="K97" s="111">
        <f t="shared" ref="K97:K98" si="77">$K$93 * 0.86</f>
        <v>0.2866666667</v>
      </c>
      <c r="L97" s="86" t="s">
        <v>43</v>
      </c>
      <c r="M97" s="89">
        <f t="shared" si="75"/>
        <v>135</v>
      </c>
      <c r="N97" s="90">
        <f t="shared" si="76"/>
        <v>228</v>
      </c>
      <c r="O97" s="127" t="s">
        <v>159</v>
      </c>
    </row>
    <row r="98">
      <c r="A98" s="77" t="s">
        <v>163</v>
      </c>
      <c r="B98" s="91" t="s">
        <v>157</v>
      </c>
      <c r="C98" s="128">
        <f t="shared" si="70"/>
        <v>532</v>
      </c>
      <c r="D98" s="129">
        <f>(G98)/((H98-1) * 1/J98 * 60/1 + 0.58)</f>
        <v>506.43699</v>
      </c>
      <c r="E98" s="57"/>
      <c r="F98" s="81" t="s">
        <v>43</v>
      </c>
      <c r="G98" s="79">
        <f t="shared" si="71"/>
        <v>1596</v>
      </c>
      <c r="H98" s="82">
        <v>7.0</v>
      </c>
      <c r="I98" s="83" t="s">
        <v>43</v>
      </c>
      <c r="J98" s="122">
        <f t="shared" si="73"/>
        <v>140</v>
      </c>
      <c r="K98" s="111">
        <f t="shared" si="77"/>
        <v>0.2866666667</v>
      </c>
      <c r="L98" s="86" t="s">
        <v>43</v>
      </c>
      <c r="M98" s="89">
        <f t="shared" si="75"/>
        <v>135</v>
      </c>
      <c r="N98" s="90">
        <f t="shared" si="76"/>
        <v>228</v>
      </c>
      <c r="O98" s="95" t="s">
        <v>160</v>
      </c>
    </row>
    <row r="99">
      <c r="A99" s="107"/>
      <c r="B99" s="91" t="s">
        <v>164</v>
      </c>
      <c r="C99" s="130">
        <f>N99*J99*1/60 + ('Elemental Effects'!$E$4 + 'Weapon Specifics'!$D$47*3)/(15 * 1/J99 * 60/1) + 'Elemental Effects'!$E$13</f>
        <v>435.6547619</v>
      </c>
      <c r="D99" s="131">
        <f t="shared" ref="D99:D100" si="78">C99</f>
        <v>435.6547619</v>
      </c>
      <c r="E99" s="117"/>
      <c r="F99" s="118" t="s">
        <v>43</v>
      </c>
      <c r="G99" s="132" t="s">
        <v>43</v>
      </c>
      <c r="H99" s="120">
        <v>14.0</v>
      </c>
      <c r="I99" s="121" t="s">
        <v>43</v>
      </c>
      <c r="J99" s="122">
        <v>150.0</v>
      </c>
      <c r="K99" s="123">
        <v>1.24</v>
      </c>
      <c r="L99" s="124" t="s">
        <v>43</v>
      </c>
      <c r="M99" s="89">
        <v>49.0</v>
      </c>
      <c r="N99" s="90">
        <v>97.0</v>
      </c>
    </row>
    <row r="100">
      <c r="A100" s="77" t="s">
        <v>56</v>
      </c>
      <c r="B100" s="91" t="s">
        <v>164</v>
      </c>
      <c r="C100" s="89">
        <f>N100*J100*1/60 + ('Elemental Effects'!$E$4 + 'Weapon Specifics'!$D$47*3)/(10 * 1/J100 * 60/1) + 'Elemental Effects'!$E$13</f>
        <v>521.0714286</v>
      </c>
      <c r="D100" s="90">
        <f t="shared" si="78"/>
        <v>521.0714286</v>
      </c>
      <c r="E100" s="57"/>
      <c r="F100" s="81" t="s">
        <v>43</v>
      </c>
      <c r="G100" s="89" t="s">
        <v>43</v>
      </c>
      <c r="H100" s="82">
        <v>14.0</v>
      </c>
      <c r="I100" s="83" t="s">
        <v>43</v>
      </c>
      <c r="J100" s="84">
        <v>150.0</v>
      </c>
      <c r="K100" s="85">
        <v>1.24</v>
      </c>
      <c r="L100" s="86" t="s">
        <v>43</v>
      </c>
      <c r="M100" s="89">
        <f t="shared" ref="M100:N100" si="79">M99</f>
        <v>49</v>
      </c>
      <c r="N100" s="90">
        <f t="shared" si="79"/>
        <v>97</v>
      </c>
      <c r="O100" s="95" t="s">
        <v>165</v>
      </c>
    </row>
    <row r="101">
      <c r="A101" s="77" t="s">
        <v>162</v>
      </c>
      <c r="B101" s="91" t="s">
        <v>166</v>
      </c>
      <c r="C101" s="79">
        <f>(N101*H101)/(H101 * 1/J101 * 60/1) + 'Elemental Effects'!E13 
+ ('Elemental Effects'!$E$4*5)/(100*1/J101*60)</f>
        <v>405.1964286</v>
      </c>
      <c r="D101" s="80">
        <f>(N101*H101)/((H101-1) * 1/J101 * 60/1 + K101) + 'Elemental Effects'!E13 
+ ('Elemental Effects'!$E$4*5)/(100*1*1/J101*60 + FLOOR((100*1)/H101,1)*K101)</f>
        <v>365.1761229</v>
      </c>
      <c r="E101" s="57"/>
      <c r="F101" s="81" t="s">
        <v>43</v>
      </c>
      <c r="G101" s="79">
        <f>N101 * H101 + ('Elemental Effects'!$E$4)*(Floor((H101*5)/100,1))</f>
        <v>3063</v>
      </c>
      <c r="H101" s="82">
        <v>20.0</v>
      </c>
      <c r="I101" s="83" t="s">
        <v>43</v>
      </c>
      <c r="J101" s="84">
        <v>150.0</v>
      </c>
      <c r="K101" s="85">
        <v>1.24</v>
      </c>
      <c r="L101" s="86" t="s">
        <v>43</v>
      </c>
      <c r="M101" s="79">
        <f>27+35</f>
        <v>62</v>
      </c>
      <c r="N101" s="80">
        <f>35+81</f>
        <v>116</v>
      </c>
      <c r="O101" s="95" t="s">
        <v>167</v>
      </c>
    </row>
    <row r="102">
      <c r="A102" s="77" t="s">
        <v>168</v>
      </c>
      <c r="B102" s="91" t="s">
        <v>166</v>
      </c>
      <c r="C102" s="79">
        <f>(N102*H102)/(H102 * 1/J102 * 60/1) + 'Elemental Effects'!E13 
+ ('Elemental Effects'!$E$4*10)/(100*1/J102*60)</f>
        <v>498.0714286</v>
      </c>
      <c r="D102" s="80">
        <f>(N102*H102)/((H102-1) * 1/J102 * 60/1 + K102) + 'Elemental Effects'!E13 
+ ('Elemental Effects'!$E$4*10)/(100*1*1/J102*60 + FLOOR((100*1)/H102,1)*K102)</f>
        <v>445.5873783</v>
      </c>
      <c r="E102" s="57"/>
      <c r="F102" s="81" t="s">
        <v>43</v>
      </c>
      <c r="G102" s="79">
        <f>N101 * H101 + ('Elemental Effects'!$E$4)*(Floor((H101*10)/100,1))</f>
        <v>3806</v>
      </c>
      <c r="H102" s="82">
        <v>20.0</v>
      </c>
      <c r="I102" s="83" t="s">
        <v>43</v>
      </c>
      <c r="J102" s="84">
        <v>150.0</v>
      </c>
      <c r="K102" s="85">
        <v>1.24</v>
      </c>
      <c r="L102" s="86" t="s">
        <v>43</v>
      </c>
      <c r="M102" s="79">
        <f t="shared" ref="M102:N102" si="80">M101</f>
        <v>62</v>
      </c>
      <c r="N102" s="80">
        <f t="shared" si="80"/>
        <v>116</v>
      </c>
      <c r="O102" s="95" t="s">
        <v>167</v>
      </c>
    </row>
    <row r="103">
      <c r="A103" s="77" t="s">
        <v>169</v>
      </c>
      <c r="B103" s="91" t="s">
        <v>166</v>
      </c>
      <c r="C103" s="79">
        <f>(G103)/(H103 * 1/J103 * 60/1)</f>
        <v>287.5</v>
      </c>
      <c r="D103" s="80">
        <f>(G103)/((H103-1) * 1/J103 * 60/1 + K103)</f>
        <v>260.1809955</v>
      </c>
      <c r="E103" s="57"/>
      <c r="F103" s="81" t="s">
        <v>43</v>
      </c>
      <c r="G103" s="79">
        <f>N103 * H103</f>
        <v>2300</v>
      </c>
      <c r="H103" s="110">
        <f>H101</f>
        <v>20</v>
      </c>
      <c r="I103" s="83" t="s">
        <v>43</v>
      </c>
      <c r="J103" s="93">
        <f t="shared" ref="J103:K103" si="81">J101</f>
        <v>150</v>
      </c>
      <c r="K103" s="111">
        <f t="shared" si="81"/>
        <v>1.24</v>
      </c>
      <c r="L103" s="86" t="s">
        <v>43</v>
      </c>
      <c r="M103" s="79">
        <f>M101</f>
        <v>62</v>
      </c>
      <c r="N103" s="90">
        <f>80+35</f>
        <v>115</v>
      </c>
    </row>
    <row r="104">
      <c r="A104" s="107"/>
      <c r="B104" s="91" t="s">
        <v>170</v>
      </c>
      <c r="C104" s="79">
        <f>N104*J104/60</f>
        <v>242.5</v>
      </c>
      <c r="D104" s="90">
        <f>C104</f>
        <v>242.5</v>
      </c>
      <c r="E104" s="57"/>
      <c r="F104" s="81" t="s">
        <v>43</v>
      </c>
      <c r="G104" s="89" t="s">
        <v>43</v>
      </c>
      <c r="H104" s="82">
        <v>10.0</v>
      </c>
      <c r="I104" s="83" t="s">
        <v>43</v>
      </c>
      <c r="J104" s="84">
        <v>150.0</v>
      </c>
      <c r="K104" s="85">
        <v>1.24</v>
      </c>
      <c r="L104" s="86" t="s">
        <v>43</v>
      </c>
      <c r="M104" s="89">
        <v>49.0</v>
      </c>
      <c r="N104" s="90">
        <v>97.0</v>
      </c>
      <c r="O104" s="95" t="s">
        <v>171</v>
      </c>
    </row>
    <row r="105">
      <c r="A105" s="65" t="s">
        <v>172</v>
      </c>
      <c r="B105" s="66" t="s">
        <v>82</v>
      </c>
      <c r="C105" s="67">
        <f t="shared" ref="C105:C118" si="82">(G105)/(H105 * 1/J105 * 60/1)</f>
        <v>210</v>
      </c>
      <c r="D105" s="68">
        <f t="shared" ref="D105:D106" si="83">(G105)/((H105-1) * 1/J105 * 60/1 + K105)</f>
        <v>180.5896806</v>
      </c>
      <c r="E105" s="57"/>
      <c r="F105" s="69" t="s">
        <v>43</v>
      </c>
      <c r="G105" s="70">
        <f t="shared" ref="G105:G112" si="84">N105 * H105</f>
        <v>1470</v>
      </c>
      <c r="H105" s="71">
        <v>14.0</v>
      </c>
      <c r="I105" s="105" t="s">
        <v>43</v>
      </c>
      <c r="J105" s="73">
        <v>120.0</v>
      </c>
      <c r="K105" s="74">
        <v>1.64</v>
      </c>
      <c r="L105" s="106" t="s">
        <v>43</v>
      </c>
      <c r="M105" s="67">
        <v>57.0</v>
      </c>
      <c r="N105" s="76">
        <v>105.0</v>
      </c>
    </row>
    <row r="106">
      <c r="A106" s="77"/>
      <c r="B106" s="78" t="s">
        <v>46</v>
      </c>
      <c r="C106" s="79">
        <f t="shared" si="82"/>
        <v>246</v>
      </c>
      <c r="D106" s="80">
        <f t="shared" si="83"/>
        <v>203.9267016</v>
      </c>
      <c r="E106" s="57"/>
      <c r="F106" s="81" t="s">
        <v>43</v>
      </c>
      <c r="G106" s="79">
        <f t="shared" si="84"/>
        <v>1558</v>
      </c>
      <c r="H106" s="82">
        <v>19.0</v>
      </c>
      <c r="I106" s="83" t="s">
        <v>43</v>
      </c>
      <c r="J106" s="84">
        <v>180.0</v>
      </c>
      <c r="K106" s="85">
        <v>1.64</v>
      </c>
      <c r="L106" s="86" t="s">
        <v>43</v>
      </c>
      <c r="M106" s="89">
        <v>52.0</v>
      </c>
      <c r="N106" s="90">
        <v>82.0</v>
      </c>
    </row>
    <row r="107">
      <c r="A107" s="77"/>
      <c r="B107" s="78" t="s">
        <v>106</v>
      </c>
      <c r="C107" s="89">
        <f t="shared" si="82"/>
        <v>261.2833333</v>
      </c>
      <c r="D107" s="90">
        <f>(G107)/(H107 * 1/J107 * 60/1 + K107)</f>
        <v>198.0464892</v>
      </c>
      <c r="E107" s="57"/>
      <c r="F107" s="81" t="s">
        <v>43</v>
      </c>
      <c r="G107" s="89">
        <f t="shared" si="84"/>
        <v>1342</v>
      </c>
      <c r="H107" s="82">
        <v>22.0</v>
      </c>
      <c r="I107" s="83" t="s">
        <v>43</v>
      </c>
      <c r="J107" s="84">
        <v>257.0</v>
      </c>
      <c r="K107" s="85">
        <v>1.64</v>
      </c>
      <c r="L107" s="86" t="s">
        <v>43</v>
      </c>
      <c r="M107" s="89">
        <v>28.0</v>
      </c>
      <c r="N107" s="90">
        <v>61.0</v>
      </c>
    </row>
    <row r="108">
      <c r="B108" s="78" t="s">
        <v>83</v>
      </c>
      <c r="C108" s="79">
        <f t="shared" si="82"/>
        <v>214.6666667</v>
      </c>
      <c r="D108" s="80">
        <f t="shared" ref="D108:D110" si="86">(G108)/((H108-1) * 1/J108 * 60/1 + K108)</f>
        <v>178.6053883</v>
      </c>
      <c r="E108" s="57"/>
      <c r="F108" s="81" t="s">
        <v>43</v>
      </c>
      <c r="G108" s="79">
        <f t="shared" si="84"/>
        <v>1288</v>
      </c>
      <c r="H108" s="82">
        <v>14.0</v>
      </c>
      <c r="I108" s="83" t="s">
        <v>43</v>
      </c>
      <c r="J108" s="84">
        <v>140.0</v>
      </c>
      <c r="K108" s="85">
        <v>1.64</v>
      </c>
      <c r="L108" s="86" t="s">
        <v>43</v>
      </c>
      <c r="M108" s="89">
        <f t="shared" ref="M108:N108" si="85">M109</f>
        <v>52</v>
      </c>
      <c r="N108" s="90">
        <f t="shared" si="85"/>
        <v>92</v>
      </c>
      <c r="O108" s="95" t="s">
        <v>173</v>
      </c>
    </row>
    <row r="109">
      <c r="B109" s="78" t="s">
        <v>44</v>
      </c>
      <c r="C109" s="79">
        <f t="shared" si="82"/>
        <v>214.6666667</v>
      </c>
      <c r="D109" s="80">
        <f t="shared" si="86"/>
        <v>178.6053883</v>
      </c>
      <c r="E109" s="57"/>
      <c r="F109" s="81" t="s">
        <v>43</v>
      </c>
      <c r="G109" s="79">
        <f t="shared" si="84"/>
        <v>1288</v>
      </c>
      <c r="H109" s="82">
        <v>14.0</v>
      </c>
      <c r="I109" s="83" t="s">
        <v>43</v>
      </c>
      <c r="J109" s="84">
        <v>140.0</v>
      </c>
      <c r="K109" s="85">
        <v>1.64</v>
      </c>
      <c r="L109" s="86" t="s">
        <v>43</v>
      </c>
      <c r="M109" s="89">
        <v>52.0</v>
      </c>
      <c r="N109" s="90">
        <v>92.0</v>
      </c>
    </row>
    <row r="110">
      <c r="B110" s="78" t="s">
        <v>174</v>
      </c>
      <c r="C110" s="79">
        <f t="shared" si="82"/>
        <v>319.047619</v>
      </c>
      <c r="D110" s="80">
        <f t="shared" si="86"/>
        <v>279.7981556</v>
      </c>
      <c r="E110" s="57"/>
      <c r="F110" s="81" t="s">
        <v>43</v>
      </c>
      <c r="G110" s="79">
        <f t="shared" si="84"/>
        <v>2297.142857</v>
      </c>
      <c r="H110" s="82">
        <v>12.0</v>
      </c>
      <c r="I110" s="83" t="s">
        <v>43</v>
      </c>
      <c r="J110" s="84">
        <v>100.0</v>
      </c>
      <c r="K110" s="85">
        <f>K117</f>
        <v>1.61</v>
      </c>
      <c r="L110" s="86" t="s">
        <v>43</v>
      </c>
      <c r="M110" s="89">
        <f>(14*12)/1.05</f>
        <v>160</v>
      </c>
      <c r="N110" s="90">
        <f>201/1.05</f>
        <v>191.4285714</v>
      </c>
    </row>
    <row r="111">
      <c r="A111" s="107"/>
      <c r="B111" s="91" t="s">
        <v>175</v>
      </c>
      <c r="C111" s="79">
        <f t="shared" si="82"/>
        <v>283.5833333</v>
      </c>
      <c r="D111" s="80">
        <f t="shared" ref="D111:D114" si="87">(G111)/(H111 * 1/J111 * 60/1 + K111)</f>
        <v>192.5681411</v>
      </c>
      <c r="E111" s="57"/>
      <c r="F111" s="81" t="s">
        <v>43</v>
      </c>
      <c r="G111" s="79">
        <f t="shared" si="84"/>
        <v>984</v>
      </c>
      <c r="H111" s="82">
        <v>24.0</v>
      </c>
      <c r="I111" s="83" t="s">
        <v>43</v>
      </c>
      <c r="J111" s="84">
        <v>415.0</v>
      </c>
      <c r="K111" s="85">
        <v>1.64</v>
      </c>
      <c r="L111" s="86" t="s">
        <v>43</v>
      </c>
      <c r="M111" s="89">
        <v>22.0</v>
      </c>
      <c r="N111" s="90">
        <v>41.0</v>
      </c>
    </row>
    <row r="112">
      <c r="A112" s="77"/>
      <c r="B112" s="91" t="s">
        <v>176</v>
      </c>
      <c r="C112" s="79">
        <f t="shared" si="82"/>
        <v>660</v>
      </c>
      <c r="D112" s="80">
        <f t="shared" si="87"/>
        <v>373.1448763</v>
      </c>
      <c r="E112" s="57"/>
      <c r="F112" s="81" t="s">
        <v>43</v>
      </c>
      <c r="G112" s="79">
        <f t="shared" si="84"/>
        <v>1408</v>
      </c>
      <c r="H112" s="82">
        <v>8.0</v>
      </c>
      <c r="I112" s="83" t="s">
        <v>43</v>
      </c>
      <c r="J112" s="84">
        <v>225.0</v>
      </c>
      <c r="K112" s="85">
        <v>1.64</v>
      </c>
      <c r="L112" s="86" t="s">
        <v>43</v>
      </c>
      <c r="M112" s="89">
        <v>52.0</v>
      </c>
      <c r="N112" s="90">
        <v>176.0</v>
      </c>
      <c r="O112" s="95" t="s">
        <v>177</v>
      </c>
    </row>
    <row r="113">
      <c r="A113" s="107"/>
      <c r="B113" s="91" t="s">
        <v>178</v>
      </c>
      <c r="C113" s="79">
        <f t="shared" si="82"/>
        <v>471</v>
      </c>
      <c r="D113" s="80">
        <f t="shared" si="87"/>
        <v>378.0096308</v>
      </c>
      <c r="E113" s="57"/>
      <c r="F113" s="81" t="s">
        <v>43</v>
      </c>
      <c r="G113" s="79">
        <f>N113 * H113 + FLOOR(H113/5,1) * 5 * 'Weapon Specifics'!D35</f>
        <v>3140</v>
      </c>
      <c r="H113" s="82">
        <v>20.0</v>
      </c>
      <c r="I113" s="83" t="s">
        <v>43</v>
      </c>
      <c r="J113" s="84">
        <v>180.0</v>
      </c>
      <c r="K113" s="85">
        <v>1.64</v>
      </c>
      <c r="L113" s="86" t="s">
        <v>43</v>
      </c>
      <c r="M113" s="89">
        <v>55.0</v>
      </c>
      <c r="N113" s="90">
        <v>86.0</v>
      </c>
    </row>
    <row r="114">
      <c r="A114" s="77" t="s">
        <v>179</v>
      </c>
      <c r="B114" s="91" t="s">
        <v>178</v>
      </c>
      <c r="C114" s="79">
        <f t="shared" si="82"/>
        <v>565.2</v>
      </c>
      <c r="D114" s="80">
        <f t="shared" si="87"/>
        <v>453.611557</v>
      </c>
      <c r="E114" s="57"/>
      <c r="F114" s="81" t="s">
        <v>43</v>
      </c>
      <c r="G114" s="79">
        <f>N114 * H114 + FLOOR(H114/5,1) * 5 * 'Weapon Specifics'!D35*1.2</f>
        <v>3768</v>
      </c>
      <c r="H114" s="82">
        <v>20.0</v>
      </c>
      <c r="I114" s="83" t="s">
        <v>43</v>
      </c>
      <c r="J114" s="84">
        <v>180.0</v>
      </c>
      <c r="K114" s="85">
        <v>1.64</v>
      </c>
      <c r="L114" s="86" t="s">
        <v>43</v>
      </c>
      <c r="M114" s="89">
        <f t="shared" ref="M114:N114" si="88">M113*1.2</f>
        <v>66</v>
      </c>
      <c r="N114" s="90">
        <f t="shared" si="88"/>
        <v>103.2</v>
      </c>
    </row>
    <row r="115">
      <c r="A115" s="77" t="s">
        <v>180</v>
      </c>
      <c r="B115" s="91" t="s">
        <v>178</v>
      </c>
      <c r="C115" s="79">
        <f t="shared" si="82"/>
        <v>883.17</v>
      </c>
      <c r="D115" s="80">
        <f>(N115*(12+0.45*(1+2+3+4+5+6+7+8+9+10+10+10)) + (Ceiling((10-(K115+K115+1))*J115*1/60,1))*N115 + (12+18)/5*'Weapon Specifics'!D35*1.2)
/ (12*1/J115*60 + 10)</f>
        <v>506.4428571</v>
      </c>
      <c r="E115" s="57"/>
      <c r="F115" s="81" t="s">
        <v>43</v>
      </c>
      <c r="G115" s="79">
        <f>N115*(12+0.45*(1+2+3+4+5+6+7+8+9+10+10+10)) + (8*N115) + (20/5 * 'Weapon Specifics'!D35*1.2)</f>
        <v>5887.8</v>
      </c>
      <c r="H115" s="82">
        <v>20.0</v>
      </c>
      <c r="I115" s="83" t="s">
        <v>43</v>
      </c>
      <c r="J115" s="84">
        <v>180.0</v>
      </c>
      <c r="K115" s="85">
        <v>1.64</v>
      </c>
      <c r="L115" s="86" t="s">
        <v>43</v>
      </c>
      <c r="M115" s="89">
        <f t="shared" ref="M115:N115" si="89">M114</f>
        <v>66</v>
      </c>
      <c r="N115" s="90">
        <f t="shared" si="89"/>
        <v>103.2</v>
      </c>
    </row>
    <row r="116">
      <c r="A116" s="77"/>
      <c r="B116" s="91" t="s">
        <v>181</v>
      </c>
      <c r="C116" s="79">
        <f t="shared" si="82"/>
        <v>255</v>
      </c>
      <c r="D116" s="80">
        <f t="shared" ref="D116:D118" si="90">(G116)/(H116 * 1/J116 * 60/1 + K116)</f>
        <v>190.0621118</v>
      </c>
      <c r="E116" s="57"/>
      <c r="F116" s="81" t="s">
        <v>43</v>
      </c>
      <c r="G116" s="79">
        <f t="shared" ref="G116:G118" si="91">N116 * H116</f>
        <v>1224</v>
      </c>
      <c r="H116" s="82">
        <v>12.0</v>
      </c>
      <c r="I116" s="83" t="s">
        <v>43</v>
      </c>
      <c r="J116" s="84">
        <v>150.0</v>
      </c>
      <c r="K116" s="85">
        <v>1.64</v>
      </c>
      <c r="L116" s="86" t="s">
        <v>43</v>
      </c>
      <c r="M116" s="79">
        <f>26+33</f>
        <v>59</v>
      </c>
      <c r="N116" s="90">
        <f>69+33</f>
        <v>102</v>
      </c>
    </row>
    <row r="117">
      <c r="A117" s="77" t="s">
        <v>182</v>
      </c>
      <c r="B117" s="91" t="s">
        <v>183</v>
      </c>
      <c r="C117" s="79">
        <f t="shared" si="82"/>
        <v>235</v>
      </c>
      <c r="D117" s="80">
        <f t="shared" si="90"/>
        <v>179.4419971</v>
      </c>
      <c r="E117" s="57"/>
      <c r="F117" s="81" t="s">
        <v>43</v>
      </c>
      <c r="G117" s="79">
        <f t="shared" si="91"/>
        <v>1222</v>
      </c>
      <c r="H117" s="82">
        <v>13.0</v>
      </c>
      <c r="I117" s="83" t="s">
        <v>43</v>
      </c>
      <c r="J117" s="84">
        <v>150.0</v>
      </c>
      <c r="K117" s="85">
        <v>1.61</v>
      </c>
      <c r="L117" s="86" t="s">
        <v>43</v>
      </c>
      <c r="M117" s="89">
        <v>51.0</v>
      </c>
      <c r="N117" s="90">
        <v>94.0</v>
      </c>
    </row>
    <row r="118">
      <c r="A118" s="77" t="s">
        <v>184</v>
      </c>
      <c r="B118" s="91" t="s">
        <v>183</v>
      </c>
      <c r="C118" s="79">
        <f t="shared" si="82"/>
        <v>281.8333333</v>
      </c>
      <c r="D118" s="80">
        <f t="shared" si="90"/>
        <v>235.628919</v>
      </c>
      <c r="E118" s="57"/>
      <c r="F118" s="81" t="s">
        <v>43</v>
      </c>
      <c r="G118" s="79">
        <f t="shared" si="91"/>
        <v>2314</v>
      </c>
      <c r="H118" s="82">
        <v>13.0</v>
      </c>
      <c r="I118" s="83" t="s">
        <v>43</v>
      </c>
      <c r="J118" s="84">
        <v>95.0</v>
      </c>
      <c r="K118" s="85">
        <f t="shared" ref="K118:K120" si="92">$K$117</f>
        <v>1.61</v>
      </c>
      <c r="L118" s="86" t="s">
        <v>43</v>
      </c>
      <c r="M118" s="79">
        <f>54+67</f>
        <v>121</v>
      </c>
      <c r="N118" s="90">
        <f>124+54</f>
        <v>178</v>
      </c>
    </row>
    <row r="119">
      <c r="A119" s="77" t="s">
        <v>185</v>
      </c>
      <c r="B119" s="91" t="s">
        <v>183</v>
      </c>
      <c r="C119" s="79">
        <f>(($N$117 + 'Weapon Specifics'!$D$27 + 2*'Elemental Effects'!$E$7)*3 + ($N$118 + 'Weapon Specifics'!$D$28)*3) 
/(3 * 1/$J$117 * 60 + 'Weapon Specifics'!$D$41 + 3 * 1/$J$118 * 60 + 'Weapon Specifics'!$D$41)</f>
        <v>495.4671502</v>
      </c>
      <c r="D119" s="90">
        <f t="shared" ref="D119:D120" si="93">C119</f>
        <v>495.4671502</v>
      </c>
      <c r="E119" s="57"/>
      <c r="F119" s="81" t="s">
        <v>43</v>
      </c>
      <c r="G119" s="89" t="s">
        <v>60</v>
      </c>
      <c r="H119" s="82">
        <v>13.0</v>
      </c>
      <c r="I119" s="83" t="s">
        <v>43</v>
      </c>
      <c r="J119" s="84" t="s">
        <v>60</v>
      </c>
      <c r="K119" s="85">
        <f t="shared" si="92"/>
        <v>1.61</v>
      </c>
      <c r="L119" s="86" t="s">
        <v>43</v>
      </c>
      <c r="M119" s="89" t="s">
        <v>60</v>
      </c>
      <c r="N119" s="90" t="s">
        <v>60</v>
      </c>
    </row>
    <row r="120">
      <c r="A120" s="77" t="s">
        <v>185</v>
      </c>
      <c r="B120" s="91" t="s">
        <v>183</v>
      </c>
      <c r="C120" s="79">
        <f>(($N$117 + 'Weapon Specifics'!$D$27 + 2*'Elemental Effects'!$E$7+2*'Elemental Effects'!$E$8)*3 + ($N$118 + 'Weapon Specifics'!$D$28)*3) 
/(3 * 1/$J$117 * 60 + 'Weapon Specifics'!$D$41 + 3 * 1/$J$118 * 60 + 'Weapon Specifics'!$D$41)</f>
        <v>523.4321672</v>
      </c>
      <c r="D120" s="90">
        <f t="shared" si="93"/>
        <v>523.4321672</v>
      </c>
      <c r="E120" s="57"/>
      <c r="F120" s="81" t="s">
        <v>43</v>
      </c>
      <c r="G120" s="89" t="s">
        <v>60</v>
      </c>
      <c r="H120" s="82">
        <v>13.0</v>
      </c>
      <c r="I120" s="83" t="s">
        <v>43</v>
      </c>
      <c r="J120" s="84" t="s">
        <v>60</v>
      </c>
      <c r="K120" s="85">
        <f t="shared" si="92"/>
        <v>1.61</v>
      </c>
      <c r="L120" s="86" t="s">
        <v>43</v>
      </c>
      <c r="M120" s="89" t="s">
        <v>60</v>
      </c>
      <c r="N120" s="90" t="s">
        <v>60</v>
      </c>
      <c r="O120" s="95" t="s">
        <v>186</v>
      </c>
    </row>
    <row r="121">
      <c r="A121" s="77"/>
      <c r="B121" s="91" t="s">
        <v>187</v>
      </c>
      <c r="C121" s="79">
        <f t="shared" ref="C121:C124" si="94">(G121)/(H121 * 1/J121 * 60/1)</f>
        <v>226.3333333</v>
      </c>
      <c r="D121" s="80">
        <f>(G121)/(H121 * 1/J121 * 60/1 + K121)</f>
        <v>174.8613312</v>
      </c>
      <c r="E121" s="57"/>
      <c r="F121" s="81" t="s">
        <v>43</v>
      </c>
      <c r="G121" s="79">
        <f>N121 * H121</f>
        <v>1261</v>
      </c>
      <c r="H121" s="82">
        <v>13.0</v>
      </c>
      <c r="I121" s="83" t="s">
        <v>43</v>
      </c>
      <c r="J121" s="84">
        <v>140.0</v>
      </c>
      <c r="K121" s="85">
        <v>1.64</v>
      </c>
      <c r="L121" s="86" t="s">
        <v>43</v>
      </c>
      <c r="M121" s="89">
        <v>54.0</v>
      </c>
      <c r="N121" s="90">
        <v>97.0</v>
      </c>
    </row>
    <row r="122">
      <c r="A122" s="77" t="s">
        <v>188</v>
      </c>
      <c r="B122" s="91" t="s">
        <v>187</v>
      </c>
      <c r="C122" s="79">
        <f t="shared" si="94"/>
        <v>278.5641026</v>
      </c>
      <c r="D122" s="90">
        <f>(G122 - N122)/(H122 * 1/J122 * 60/1 + K122)</f>
        <v>201.7630745</v>
      </c>
      <c r="E122" s="57"/>
      <c r="F122" s="81" t="s">
        <v>43</v>
      </c>
      <c r="G122" s="79">
        <f>N122 * (H122 - 6) + 6 * N122 * 1.5</f>
        <v>1552</v>
      </c>
      <c r="H122" s="82">
        <v>13.0</v>
      </c>
      <c r="I122" s="83" t="s">
        <v>43</v>
      </c>
      <c r="J122" s="84">
        <v>140.0</v>
      </c>
      <c r="K122" s="85">
        <v>1.64</v>
      </c>
      <c r="L122" s="86" t="s">
        <v>43</v>
      </c>
      <c r="M122" s="89">
        <f t="shared" ref="M122:N122" si="95">M121</f>
        <v>54</v>
      </c>
      <c r="N122" s="90">
        <f t="shared" si="95"/>
        <v>97</v>
      </c>
      <c r="O122" s="95" t="s">
        <v>189</v>
      </c>
    </row>
    <row r="123">
      <c r="A123" s="77" t="s">
        <v>179</v>
      </c>
      <c r="B123" s="91" t="s">
        <v>190</v>
      </c>
      <c r="C123" s="79">
        <f t="shared" si="94"/>
        <v>659.2962963</v>
      </c>
      <c r="D123" s="80">
        <f t="shared" ref="D123:D124" si="97">(G123)/(H123 * 1/J123 * 60/1 + K123)</f>
        <v>462.6039501</v>
      </c>
      <c r="E123" s="57"/>
      <c r="F123" s="81" t="s">
        <v>43</v>
      </c>
      <c r="G123" s="79">
        <f>N123 * (H123-1) + 'Weapon Specifics'!D29</f>
        <v>2543</v>
      </c>
      <c r="H123" s="82">
        <v>9.0</v>
      </c>
      <c r="I123" s="83" t="s">
        <v>43</v>
      </c>
      <c r="J123" s="84">
        <v>140.0</v>
      </c>
      <c r="K123" s="85">
        <v>1.64</v>
      </c>
      <c r="L123" s="86" t="s">
        <v>43</v>
      </c>
      <c r="M123" s="89">
        <f t="shared" ref="M123:N123" si="96">M121</f>
        <v>54</v>
      </c>
      <c r="N123" s="90">
        <f t="shared" si="96"/>
        <v>97</v>
      </c>
      <c r="O123" s="95" t="s">
        <v>191</v>
      </c>
    </row>
    <row r="124">
      <c r="A124" s="107"/>
      <c r="B124" s="91" t="s">
        <v>192</v>
      </c>
      <c r="C124" s="79">
        <f t="shared" si="94"/>
        <v>226.3333333</v>
      </c>
      <c r="D124" s="80">
        <f t="shared" si="97"/>
        <v>174.8613312</v>
      </c>
      <c r="E124" s="57"/>
      <c r="F124" s="81" t="s">
        <v>43</v>
      </c>
      <c r="G124" s="79">
        <f t="shared" ref="G124:G143" si="99">N124 * H124</f>
        <v>1261</v>
      </c>
      <c r="H124" s="82">
        <v>13.0</v>
      </c>
      <c r="I124" s="83" t="s">
        <v>43</v>
      </c>
      <c r="J124" s="84">
        <v>140.0</v>
      </c>
      <c r="K124" s="85">
        <v>1.64</v>
      </c>
      <c r="L124" s="86" t="s">
        <v>43</v>
      </c>
      <c r="M124" s="89">
        <f t="shared" ref="M124:N124" si="98">M121</f>
        <v>54</v>
      </c>
      <c r="N124" s="90">
        <f t="shared" si="98"/>
        <v>97</v>
      </c>
    </row>
    <row r="125">
      <c r="A125" s="77"/>
      <c r="B125" s="91" t="s">
        <v>193</v>
      </c>
      <c r="C125" s="79">
        <f>(G125)/(H125 * 1/J125 * 60/1) + ('Weapon Specifics'!D71*(4+3+2+1))/2</f>
        <v>366.3333333</v>
      </c>
      <c r="D125" s="80">
        <f>(G125)/((H125-1) * 1/J125 * 60/1 + K125) + ('Weapon Specifics'!D71*(4+3+2+1))/2</f>
        <v>312.2378805</v>
      </c>
      <c r="E125" s="57"/>
      <c r="F125" s="81" t="s">
        <v>43</v>
      </c>
      <c r="G125" s="79">
        <f t="shared" si="99"/>
        <v>873</v>
      </c>
      <c r="H125" s="82">
        <v>9.0</v>
      </c>
      <c r="I125" s="83" t="s">
        <v>43</v>
      </c>
      <c r="J125" s="84">
        <v>140.0</v>
      </c>
      <c r="K125" s="85">
        <v>1.64</v>
      </c>
      <c r="L125" s="86" t="s">
        <v>43</v>
      </c>
      <c r="M125" s="89">
        <f t="shared" ref="M125:N125" si="100">M121</f>
        <v>54</v>
      </c>
      <c r="N125" s="90">
        <f t="shared" si="100"/>
        <v>97</v>
      </c>
    </row>
    <row r="126">
      <c r="A126" s="77" t="s">
        <v>194</v>
      </c>
      <c r="B126" s="91" t="s">
        <v>193</v>
      </c>
      <c r="C126" s="79">
        <f>(G126)/(H126 * 1/J126 * 60/1) + ('Weapon Specifics'!D72*(4+3+2+1))/2</f>
        <v>921.3333333</v>
      </c>
      <c r="D126" s="80">
        <f>(G126)/((H126-1) * 1/J126 * 60/1 + K126) + ('Weapon Specifics'!D72*(4+3+2+1))/2</f>
        <v>867.2378805</v>
      </c>
      <c r="E126" s="57"/>
      <c r="F126" s="81" t="s">
        <v>43</v>
      </c>
      <c r="G126" s="79">
        <f t="shared" si="99"/>
        <v>873</v>
      </c>
      <c r="H126" s="110">
        <f>H125</f>
        <v>9</v>
      </c>
      <c r="I126" s="83" t="s">
        <v>43</v>
      </c>
      <c r="J126" s="93">
        <f>J125</f>
        <v>140</v>
      </c>
      <c r="K126" s="85">
        <v>1.64</v>
      </c>
      <c r="L126" s="86" t="s">
        <v>43</v>
      </c>
      <c r="M126" s="89">
        <f t="shared" ref="M126:N126" si="101">M125</f>
        <v>54</v>
      </c>
      <c r="N126" s="90">
        <f t="shared" si="101"/>
        <v>97</v>
      </c>
      <c r="O126" s="112"/>
    </row>
    <row r="127">
      <c r="A127" s="107"/>
      <c r="B127" s="91" t="s">
        <v>195</v>
      </c>
      <c r="C127" s="79">
        <f t="shared" ref="C127:C136" si="102">(G127)/(H127 * 1/J127 * 60/1)</f>
        <v>220</v>
      </c>
      <c r="D127" s="80">
        <f>(G127)/((H127-1) * 1/J127 * 60/1 + K127)</f>
        <v>176.7857143</v>
      </c>
      <c r="E127" s="57"/>
      <c r="F127" s="81" t="s">
        <v>43</v>
      </c>
      <c r="G127" s="79">
        <f t="shared" si="99"/>
        <v>990</v>
      </c>
      <c r="H127" s="82">
        <v>9.0</v>
      </c>
      <c r="I127" s="83" t="s">
        <v>43</v>
      </c>
      <c r="J127" s="84">
        <v>120.0</v>
      </c>
      <c r="K127" s="85">
        <v>1.6</v>
      </c>
      <c r="L127" s="86" t="s">
        <v>43</v>
      </c>
      <c r="M127" s="89">
        <v>60.0</v>
      </c>
      <c r="N127" s="90">
        <v>110.0</v>
      </c>
    </row>
    <row r="128">
      <c r="A128" s="77" t="s">
        <v>196</v>
      </c>
      <c r="B128" s="91" t="s">
        <v>195</v>
      </c>
      <c r="C128" s="79">
        <f t="shared" si="102"/>
        <v>788</v>
      </c>
      <c r="D128" s="90" t="s">
        <v>60</v>
      </c>
      <c r="E128" s="57"/>
      <c r="F128" s="81" t="s">
        <v>43</v>
      </c>
      <c r="G128" s="79">
        <f t="shared" si="99"/>
        <v>3546</v>
      </c>
      <c r="H128" s="82">
        <v>9.0</v>
      </c>
      <c r="I128" s="83" t="s">
        <v>43</v>
      </c>
      <c r="J128" s="84">
        <v>120.0</v>
      </c>
      <c r="K128" s="85">
        <f>K127</f>
        <v>1.6</v>
      </c>
      <c r="L128" s="86" t="s">
        <v>43</v>
      </c>
      <c r="M128" s="89">
        <v>213.0</v>
      </c>
      <c r="N128" s="90">
        <v>394.0</v>
      </c>
    </row>
    <row r="129">
      <c r="A129" s="65" t="s">
        <v>197</v>
      </c>
      <c r="B129" s="66" t="s">
        <v>198</v>
      </c>
      <c r="C129" s="67">
        <f t="shared" si="102"/>
        <v>400.9833333</v>
      </c>
      <c r="D129" s="68">
        <f t="shared" ref="D129:D136" si="103">(G129)/((H129-1) * 1/J129 * 60/1 + K129)</f>
        <v>340.7181368</v>
      </c>
      <c r="E129" s="57"/>
      <c r="F129" s="69" t="s">
        <v>43</v>
      </c>
      <c r="G129" s="70">
        <f t="shared" si="99"/>
        <v>2058</v>
      </c>
      <c r="H129" s="71">
        <v>42.0</v>
      </c>
      <c r="I129" s="105" t="s">
        <v>43</v>
      </c>
      <c r="J129" s="73">
        <v>491.0</v>
      </c>
      <c r="K129" s="74">
        <v>1.03</v>
      </c>
      <c r="L129" s="106" t="s">
        <v>43</v>
      </c>
      <c r="M129" s="67">
        <v>26.0</v>
      </c>
      <c r="N129" s="76">
        <v>49.0</v>
      </c>
    </row>
    <row r="130">
      <c r="A130" s="133"/>
      <c r="B130" s="78" t="s">
        <v>42</v>
      </c>
      <c r="C130" s="79">
        <f t="shared" si="102"/>
        <v>390</v>
      </c>
      <c r="D130" s="80">
        <f t="shared" si="103"/>
        <v>309.7696585</v>
      </c>
      <c r="E130" s="57"/>
      <c r="F130" s="81" t="s">
        <v>43</v>
      </c>
      <c r="G130" s="79">
        <f t="shared" si="99"/>
        <v>1040</v>
      </c>
      <c r="H130" s="82">
        <v>20.0</v>
      </c>
      <c r="I130" s="83" t="s">
        <v>43</v>
      </c>
      <c r="J130" s="84">
        <v>450.0</v>
      </c>
      <c r="K130" s="85">
        <f>1.03*0.8</f>
        <v>0.824</v>
      </c>
      <c r="L130" s="86" t="s">
        <v>43</v>
      </c>
      <c r="M130" s="89">
        <v>33.0</v>
      </c>
      <c r="N130" s="90">
        <v>52.0</v>
      </c>
    </row>
    <row r="131">
      <c r="A131" s="107"/>
      <c r="B131" s="78" t="s">
        <v>106</v>
      </c>
      <c r="C131" s="79">
        <f t="shared" si="102"/>
        <v>352.0833333</v>
      </c>
      <c r="D131" s="80">
        <f t="shared" si="103"/>
        <v>312.3523976</v>
      </c>
      <c r="E131" s="57"/>
      <c r="F131" s="81" t="s">
        <v>43</v>
      </c>
      <c r="G131" s="79">
        <f t="shared" si="99"/>
        <v>2340</v>
      </c>
      <c r="H131" s="82">
        <v>36.0</v>
      </c>
      <c r="I131" s="83" t="s">
        <v>43</v>
      </c>
      <c r="J131" s="84">
        <v>325.0</v>
      </c>
      <c r="K131" s="85">
        <v>1.03</v>
      </c>
      <c r="L131" s="86" t="s">
        <v>43</v>
      </c>
      <c r="M131" s="89">
        <v>41.0</v>
      </c>
      <c r="N131" s="90">
        <v>65.0</v>
      </c>
    </row>
    <row r="132">
      <c r="A132" s="107"/>
      <c r="B132" s="78" t="s">
        <v>46</v>
      </c>
      <c r="C132" s="79">
        <f t="shared" si="102"/>
        <v>359.6666667</v>
      </c>
      <c r="D132" s="80">
        <f t="shared" si="103"/>
        <v>301.630688</v>
      </c>
      <c r="E132" s="57"/>
      <c r="F132" s="81" t="s">
        <v>43</v>
      </c>
      <c r="G132" s="79">
        <f t="shared" si="99"/>
        <v>1494</v>
      </c>
      <c r="H132" s="82">
        <v>18.0</v>
      </c>
      <c r="I132" s="83" t="s">
        <v>43</v>
      </c>
      <c r="J132" s="84">
        <v>260.0</v>
      </c>
      <c r="K132" s="85">
        <v>1.03</v>
      </c>
      <c r="L132" s="86" t="s">
        <v>43</v>
      </c>
      <c r="M132" s="89">
        <v>52.0</v>
      </c>
      <c r="N132" s="134">
        <v>83.0</v>
      </c>
    </row>
    <row r="133">
      <c r="A133" s="107"/>
      <c r="B133" s="78" t="s">
        <v>44</v>
      </c>
      <c r="C133" s="79">
        <f t="shared" si="102"/>
        <v>375</v>
      </c>
      <c r="D133" s="80">
        <f t="shared" si="103"/>
        <v>304.7404063</v>
      </c>
      <c r="E133" s="57"/>
      <c r="F133" s="81" t="s">
        <v>43</v>
      </c>
      <c r="G133" s="79">
        <f t="shared" si="99"/>
        <v>1350</v>
      </c>
      <c r="H133" s="82">
        <v>18.0</v>
      </c>
      <c r="I133" s="83" t="s">
        <v>43</v>
      </c>
      <c r="J133" s="84">
        <v>300.0</v>
      </c>
      <c r="K133" s="85">
        <v>1.03</v>
      </c>
      <c r="L133" s="86" t="s">
        <v>43</v>
      </c>
      <c r="M133" s="89">
        <v>47.0</v>
      </c>
      <c r="N133" s="90">
        <v>75.0</v>
      </c>
    </row>
    <row r="134">
      <c r="A134" s="107"/>
      <c r="B134" s="78" t="s">
        <v>83</v>
      </c>
      <c r="C134" s="79">
        <f t="shared" si="102"/>
        <v>390</v>
      </c>
      <c r="D134" s="80">
        <f t="shared" si="103"/>
        <v>302.8472821</v>
      </c>
      <c r="E134" s="57"/>
      <c r="F134" s="81" t="s">
        <v>43</v>
      </c>
      <c r="G134" s="79">
        <f t="shared" si="99"/>
        <v>1170</v>
      </c>
      <c r="H134" s="82">
        <v>18.0</v>
      </c>
      <c r="I134" s="83" t="s">
        <v>43</v>
      </c>
      <c r="J134" s="84">
        <v>360.0</v>
      </c>
      <c r="K134" s="85">
        <v>1.03</v>
      </c>
      <c r="L134" s="86" t="s">
        <v>43</v>
      </c>
      <c r="M134" s="135">
        <v>41.0</v>
      </c>
      <c r="N134" s="90">
        <v>65.0</v>
      </c>
    </row>
    <row r="135">
      <c r="A135" s="107"/>
      <c r="B135" s="91" t="s">
        <v>199</v>
      </c>
      <c r="C135" s="89">
        <f t="shared" si="102"/>
        <v>417.35</v>
      </c>
      <c r="D135" s="80">
        <f t="shared" si="103"/>
        <v>334.5148348</v>
      </c>
      <c r="E135" s="57"/>
      <c r="F135" s="81" t="s">
        <v>43</v>
      </c>
      <c r="G135" s="79">
        <f t="shared" si="99"/>
        <v>1530</v>
      </c>
      <c r="H135" s="82">
        <v>30.0</v>
      </c>
      <c r="I135" s="83" t="s">
        <v>43</v>
      </c>
      <c r="J135" s="84">
        <v>491.0</v>
      </c>
      <c r="K135" s="85">
        <v>1.03</v>
      </c>
      <c r="L135" s="86" t="s">
        <v>43</v>
      </c>
      <c r="M135" s="89">
        <v>28.0</v>
      </c>
      <c r="N135" s="90">
        <v>51.0</v>
      </c>
    </row>
    <row r="136">
      <c r="A136" s="77"/>
      <c r="B136" s="91" t="s">
        <v>200</v>
      </c>
      <c r="C136" s="89">
        <f t="shared" si="102"/>
        <v>825</v>
      </c>
      <c r="D136" s="80">
        <f t="shared" si="103"/>
        <v>602.189781</v>
      </c>
      <c r="E136" s="57"/>
      <c r="F136" s="81" t="s">
        <v>43</v>
      </c>
      <c r="G136" s="79">
        <f t="shared" si="99"/>
        <v>2200</v>
      </c>
      <c r="H136" s="82">
        <v>20.0</v>
      </c>
      <c r="I136" s="83" t="s">
        <v>43</v>
      </c>
      <c r="J136" s="84">
        <v>450.0</v>
      </c>
      <c r="K136" s="85">
        <v>1.12</v>
      </c>
      <c r="L136" s="86" t="s">
        <v>43</v>
      </c>
      <c r="M136" s="89">
        <v>69.0</v>
      </c>
      <c r="N136" s="90">
        <v>110.0</v>
      </c>
      <c r="O136" s="95"/>
    </row>
    <row r="137">
      <c r="A137" s="77" t="s">
        <v>201</v>
      </c>
      <c r="B137" s="91" t="s">
        <v>200</v>
      </c>
      <c r="C137" s="89">
        <f>(10*M137)/(10 * 1/J137 * 60/1 + 0.9*2) + ('Elemental Effects'!$E$12*3)/1.2</f>
        <v>375.1595745</v>
      </c>
      <c r="D137" s="80">
        <f>(G137)/((H137-1) * 1/J137 * 60/1 + K137 + 0.9*2) + ('Elemental Effects'!E12*3)/1.2</f>
        <v>467.9156479</v>
      </c>
      <c r="E137" s="57"/>
      <c r="F137" s="81" t="s">
        <v>43</v>
      </c>
      <c r="G137" s="79">
        <f t="shared" si="99"/>
        <v>2020</v>
      </c>
      <c r="H137" s="82">
        <v>20.0</v>
      </c>
      <c r="I137" s="83" t="s">
        <v>43</v>
      </c>
      <c r="J137" s="84">
        <f>J136</f>
        <v>450</v>
      </c>
      <c r="K137" s="85">
        <v>1.12</v>
      </c>
      <c r="L137" s="86" t="s">
        <v>43</v>
      </c>
      <c r="M137" s="89">
        <v>87.0</v>
      </c>
      <c r="N137" s="90">
        <v>101.0</v>
      </c>
      <c r="O137" s="95" t="s">
        <v>202</v>
      </c>
    </row>
    <row r="138">
      <c r="A138" s="77" t="s">
        <v>203</v>
      </c>
      <c r="B138" s="91" t="s">
        <v>200</v>
      </c>
      <c r="C138" s="89">
        <f>(10*N138)/(10 * 1/J138 * 60/1 + 0.9*2) + ('Elemental Effects'!$E$12*3)/1.2</f>
        <v>834.7340426</v>
      </c>
      <c r="D138" s="80">
        <f>(G138)/((H138-1) * 1/J138 * 60/1 + K138 + 0.9*2) + ('Elemental Effects'!E12*3)/1.2</f>
        <v>944.6882641</v>
      </c>
      <c r="E138" s="57"/>
      <c r="F138" s="81" t="s">
        <v>43</v>
      </c>
      <c r="G138" s="79">
        <f t="shared" si="99"/>
        <v>4620</v>
      </c>
      <c r="H138" s="82">
        <v>20.0</v>
      </c>
      <c r="I138" s="83" t="s">
        <v>43</v>
      </c>
      <c r="J138" s="84">
        <f>J136</f>
        <v>450</v>
      </c>
      <c r="K138" s="85">
        <v>1.12</v>
      </c>
      <c r="L138" s="86" t="s">
        <v>43</v>
      </c>
      <c r="M138" s="89">
        <v>73.0</v>
      </c>
      <c r="N138" s="90">
        <v>231.0</v>
      </c>
      <c r="O138" s="95" t="s">
        <v>204</v>
      </c>
    </row>
    <row r="139">
      <c r="A139" s="77" t="s">
        <v>205</v>
      </c>
      <c r="B139" s="91" t="s">
        <v>200</v>
      </c>
      <c r="C139" s="89">
        <f>(10*M139)/(10 * 1/J139 * 60/1 + 0.9*2) + ('Elemental Effects'!$E$12*3)/1.2</f>
        <v>389.0425532</v>
      </c>
      <c r="D139" s="80">
        <f>(G139)/((H139-1) * 1/J139 * 60/1 + K139 + ceiling(H139/10,1)*0.9) + ('Elemental Effects'!E12*3)/1.2</f>
        <v>475.1709402</v>
      </c>
      <c r="E139" s="57"/>
      <c r="F139" s="81" t="s">
        <v>43</v>
      </c>
      <c r="G139" s="79">
        <f t="shared" si="99"/>
        <v>2651.25</v>
      </c>
      <c r="H139" s="82">
        <f>CEILING(H136*1.25,1)</f>
        <v>25</v>
      </c>
      <c r="I139" s="83" t="s">
        <v>43</v>
      </c>
      <c r="J139" s="84">
        <f>J138</f>
        <v>450</v>
      </c>
      <c r="K139" s="85">
        <v>1.12</v>
      </c>
      <c r="L139" s="86" t="s">
        <v>43</v>
      </c>
      <c r="M139" s="89">
        <f t="shared" ref="M139:N139" si="104">M137*1.05</f>
        <v>91.35</v>
      </c>
      <c r="N139" s="90">
        <f t="shared" si="104"/>
        <v>106.05</v>
      </c>
      <c r="O139" s="95" t="s">
        <v>206</v>
      </c>
    </row>
    <row r="140">
      <c r="A140" s="77" t="s">
        <v>207</v>
      </c>
      <c r="B140" s="91" t="s">
        <v>200</v>
      </c>
      <c r="C140" s="89">
        <f>(10*N140)/(10 * 1/J140 * 60/1 + 0.9*2) + ('Elemental Effects'!$E$12*3)/1.2</f>
        <v>871.5957447</v>
      </c>
      <c r="D140" s="80">
        <f>(G140)/((H140-1) * 1/J140 * 60/1 + K140 + ceiling(H140/10,1)*0.9) + ('Elemental Effects'!E12*3)/1.2</f>
        <v>961.2820513</v>
      </c>
      <c r="E140" s="57"/>
      <c r="F140" s="81" t="s">
        <v>43</v>
      </c>
      <c r="G140" s="79">
        <f t="shared" si="99"/>
        <v>6063.75</v>
      </c>
      <c r="H140" s="82">
        <f>H139</f>
        <v>25</v>
      </c>
      <c r="I140" s="83" t="s">
        <v>43</v>
      </c>
      <c r="J140" s="84">
        <f>J138</f>
        <v>450</v>
      </c>
      <c r="K140" s="85">
        <v>1.12</v>
      </c>
      <c r="L140" s="86" t="s">
        <v>43</v>
      </c>
      <c r="M140" s="89">
        <f t="shared" ref="M140:N140" si="105">M138*1.05</f>
        <v>76.65</v>
      </c>
      <c r="N140" s="90">
        <f t="shared" si="105"/>
        <v>242.55</v>
      </c>
      <c r="O140" s="95" t="s">
        <v>206</v>
      </c>
    </row>
    <row r="141">
      <c r="A141" s="77" t="s">
        <v>205</v>
      </c>
      <c r="B141" s="91" t="s">
        <v>200</v>
      </c>
      <c r="C141" s="89">
        <f>(10*M141)/(10 * 1/J141 * 60/1 + 0.9*2) + ('Elemental Effects'!$E$12*3)/1.2</f>
        <v>389.0425532</v>
      </c>
      <c r="D141" s="80">
        <f>(G141)/((H141-1) * 1/J141 * 60/1 + K141 + ceiling(H141/10,1)*0.9) + ('Elemental Effects'!E12*3)/1.2</f>
        <v>486.4364303</v>
      </c>
      <c r="E141" s="57"/>
      <c r="F141" s="81" t="s">
        <v>43</v>
      </c>
      <c r="G141" s="79">
        <f t="shared" si="99"/>
        <v>2121</v>
      </c>
      <c r="H141" s="82">
        <f>H136</f>
        <v>20</v>
      </c>
      <c r="I141" s="83" t="s">
        <v>43</v>
      </c>
      <c r="J141" s="84">
        <f>J136</f>
        <v>450</v>
      </c>
      <c r="K141" s="85">
        <v>1.12</v>
      </c>
      <c r="L141" s="86" t="s">
        <v>43</v>
      </c>
      <c r="M141" s="89">
        <f t="shared" ref="M141:N141" si="106">M139</f>
        <v>91.35</v>
      </c>
      <c r="N141" s="90">
        <f t="shared" si="106"/>
        <v>106.05</v>
      </c>
      <c r="O141" s="95" t="s">
        <v>208</v>
      </c>
    </row>
    <row r="142">
      <c r="A142" s="77" t="s">
        <v>207</v>
      </c>
      <c r="B142" s="91" t="s">
        <v>200</v>
      </c>
      <c r="C142" s="89">
        <f>(10*N142)/(10 * 1/J142 * 60/1 + 0.9*2) + ('Elemental Effects'!$E$12*3)/1.2</f>
        <v>871.5957447</v>
      </c>
      <c r="D142" s="80">
        <f>(G142)/((H142-1) * 1/J142 * 60/1 + K142 + ceiling(H142/10,1)*0.9) + ('Elemental Effects'!E12*3)/1.2</f>
        <v>987.0476773</v>
      </c>
      <c r="E142" s="57"/>
      <c r="F142" s="81" t="s">
        <v>43</v>
      </c>
      <c r="G142" s="79">
        <f t="shared" si="99"/>
        <v>4851</v>
      </c>
      <c r="H142" s="82">
        <f>H141</f>
        <v>20</v>
      </c>
      <c r="I142" s="83" t="s">
        <v>43</v>
      </c>
      <c r="J142" s="84">
        <f>J136</f>
        <v>450</v>
      </c>
      <c r="K142" s="85">
        <v>1.12</v>
      </c>
      <c r="L142" s="86" t="s">
        <v>43</v>
      </c>
      <c r="M142" s="89">
        <f t="shared" ref="M142:N142" si="107">M140</f>
        <v>76.65</v>
      </c>
      <c r="N142" s="90">
        <f t="shared" si="107"/>
        <v>242.55</v>
      </c>
      <c r="O142" s="95" t="s">
        <v>208</v>
      </c>
    </row>
    <row r="143">
      <c r="A143" s="107"/>
      <c r="B143" s="91" t="s">
        <v>209</v>
      </c>
      <c r="C143" s="79">
        <f t="shared" ref="C143:C151" si="108">(G143)/(H143 * 1/J143 * 60/1)</f>
        <v>395</v>
      </c>
      <c r="D143" s="80">
        <f>(G143)/((H143-1) * 1/J143 * 60/1 + K143)</f>
        <v>327.1221532</v>
      </c>
      <c r="E143" s="57"/>
      <c r="F143" s="81" t="s">
        <v>43</v>
      </c>
      <c r="G143" s="79">
        <f t="shared" si="99"/>
        <v>1580</v>
      </c>
      <c r="H143" s="82">
        <v>20.0</v>
      </c>
      <c r="I143" s="83" t="s">
        <v>43</v>
      </c>
      <c r="J143" s="84">
        <v>300.0</v>
      </c>
      <c r="K143" s="85">
        <v>1.03</v>
      </c>
      <c r="L143" s="86" t="s">
        <v>43</v>
      </c>
      <c r="M143" s="89">
        <v>50.0</v>
      </c>
      <c r="N143" s="90">
        <v>79.0</v>
      </c>
    </row>
    <row r="144">
      <c r="A144" s="77" t="s">
        <v>210</v>
      </c>
      <c r="B144" s="91" t="s">
        <v>209</v>
      </c>
      <c r="C144" s="79">
        <f t="shared" si="108"/>
        <v>2251.071429</v>
      </c>
      <c r="D144" s="90" t="s">
        <v>60</v>
      </c>
      <c r="E144" s="57"/>
      <c r="F144" s="81" t="s">
        <v>43</v>
      </c>
      <c r="G144" s="79">
        <f>N144 * H144 + 'Elemental Effects'!E4</f>
        <v>2101</v>
      </c>
      <c r="H144" s="82">
        <f>20-6</f>
        <v>14</v>
      </c>
      <c r="I144" s="83" t="s">
        <v>43</v>
      </c>
      <c r="J144" s="84">
        <f>1/(4/60 * 1/60)</f>
        <v>900</v>
      </c>
      <c r="K144" s="111">
        <f>K143</f>
        <v>1.03</v>
      </c>
      <c r="L144" s="86" t="s">
        <v>43</v>
      </c>
      <c r="M144" s="89">
        <v>60.0</v>
      </c>
      <c r="N144" s="90">
        <v>97.0</v>
      </c>
      <c r="O144" s="95" t="s">
        <v>211</v>
      </c>
    </row>
    <row r="145">
      <c r="A145" s="107"/>
      <c r="B145" s="91" t="s">
        <v>212</v>
      </c>
      <c r="C145" s="79">
        <f t="shared" si="108"/>
        <v>395</v>
      </c>
      <c r="D145" s="80">
        <f t="shared" ref="D145:D151" si="110">(G145)/((H145-1) * 1/J145 * 60/1 + K145)</f>
        <v>309.3994778</v>
      </c>
      <c r="E145" s="57"/>
      <c r="F145" s="81" t="s">
        <v>43</v>
      </c>
      <c r="G145" s="79">
        <f t="shared" ref="G145:G171" si="111">N145 * H145</f>
        <v>1185</v>
      </c>
      <c r="H145" s="82">
        <v>15.0</v>
      </c>
      <c r="I145" s="83" t="s">
        <v>43</v>
      </c>
      <c r="J145" s="84">
        <v>300.0</v>
      </c>
      <c r="K145" s="111">
        <f>K129</f>
        <v>1.03</v>
      </c>
      <c r="L145" s="86" t="s">
        <v>43</v>
      </c>
      <c r="M145" s="89">
        <f t="shared" ref="M145:N145" si="109">M143</f>
        <v>50</v>
      </c>
      <c r="N145" s="90">
        <f t="shared" si="109"/>
        <v>79</v>
      </c>
    </row>
    <row r="146">
      <c r="A146" s="77" t="s">
        <v>213</v>
      </c>
      <c r="B146" s="91" t="s">
        <v>212</v>
      </c>
      <c r="C146" s="89">
        <f t="shared" si="108"/>
        <v>451.6166667</v>
      </c>
      <c r="D146" s="80">
        <f t="shared" si="110"/>
        <v>350.7595428</v>
      </c>
      <c r="E146" s="57"/>
      <c r="F146" s="81" t="s">
        <v>43</v>
      </c>
      <c r="G146" s="79">
        <f t="shared" si="111"/>
        <v>1343</v>
      </c>
      <c r="H146" s="82">
        <f>H145+2</f>
        <v>17</v>
      </c>
      <c r="I146" s="83" t="s">
        <v>43</v>
      </c>
      <c r="J146" s="84">
        <v>343.0</v>
      </c>
      <c r="K146" s="111">
        <f>K145</f>
        <v>1.03</v>
      </c>
      <c r="L146" s="86" t="s">
        <v>43</v>
      </c>
      <c r="M146" s="89">
        <f t="shared" ref="M146:M149" si="112">$M$145</f>
        <v>50</v>
      </c>
      <c r="N146" s="90">
        <f t="shared" ref="N146:N149" si="113">$N$145</f>
        <v>79</v>
      </c>
    </row>
    <row r="147">
      <c r="A147" s="77" t="s">
        <v>214</v>
      </c>
      <c r="B147" s="91" t="s">
        <v>212</v>
      </c>
      <c r="C147" s="89">
        <f t="shared" si="108"/>
        <v>500.3333333</v>
      </c>
      <c r="D147" s="80">
        <f t="shared" si="110"/>
        <v>387.6444203</v>
      </c>
      <c r="E147" s="57"/>
      <c r="F147" s="81" t="s">
        <v>43</v>
      </c>
      <c r="G147" s="79">
        <f t="shared" si="111"/>
        <v>1501</v>
      </c>
      <c r="H147" s="82">
        <f>H145+4</f>
        <v>19</v>
      </c>
      <c r="I147" s="83" t="s">
        <v>43</v>
      </c>
      <c r="J147" s="84">
        <v>380.0</v>
      </c>
      <c r="K147" s="111">
        <f t="shared" ref="K147:K149" si="114">K145</f>
        <v>1.03</v>
      </c>
      <c r="L147" s="86" t="s">
        <v>43</v>
      </c>
      <c r="M147" s="89">
        <f t="shared" si="112"/>
        <v>50</v>
      </c>
      <c r="N147" s="90">
        <f t="shared" si="113"/>
        <v>79</v>
      </c>
    </row>
    <row r="148">
      <c r="A148" s="77" t="s">
        <v>215</v>
      </c>
      <c r="B148" s="91" t="s">
        <v>212</v>
      </c>
      <c r="C148" s="89">
        <f t="shared" si="108"/>
        <v>559.5833333</v>
      </c>
      <c r="D148" s="80">
        <f t="shared" si="110"/>
        <v>430.5144253</v>
      </c>
      <c r="E148" s="57"/>
      <c r="F148" s="81" t="s">
        <v>43</v>
      </c>
      <c r="G148" s="79">
        <f t="shared" si="111"/>
        <v>1659</v>
      </c>
      <c r="H148" s="82">
        <f>H145+6</f>
        <v>21</v>
      </c>
      <c r="I148" s="83" t="s">
        <v>43</v>
      </c>
      <c r="J148" s="84">
        <v>425.0</v>
      </c>
      <c r="K148" s="111">
        <f t="shared" si="114"/>
        <v>1.03</v>
      </c>
      <c r="L148" s="86" t="s">
        <v>43</v>
      </c>
      <c r="M148" s="89">
        <f t="shared" si="112"/>
        <v>50</v>
      </c>
      <c r="N148" s="90">
        <f t="shared" si="113"/>
        <v>79</v>
      </c>
    </row>
    <row r="149">
      <c r="A149" s="77" t="s">
        <v>216</v>
      </c>
      <c r="B149" s="91" t="s">
        <v>212</v>
      </c>
      <c r="C149" s="89">
        <f t="shared" si="108"/>
        <v>676.7666667</v>
      </c>
      <c r="D149" s="80">
        <f t="shared" si="110"/>
        <v>510.3874475</v>
      </c>
      <c r="E149" s="57"/>
      <c r="F149" s="81" t="s">
        <v>43</v>
      </c>
      <c r="G149" s="79">
        <f t="shared" si="111"/>
        <v>1896</v>
      </c>
      <c r="H149" s="82">
        <f>H145+9</f>
        <v>24</v>
      </c>
      <c r="I149" s="83" t="s">
        <v>43</v>
      </c>
      <c r="J149" s="84">
        <v>514.0</v>
      </c>
      <c r="K149" s="111">
        <f t="shared" si="114"/>
        <v>1.03</v>
      </c>
      <c r="L149" s="86" t="s">
        <v>43</v>
      </c>
      <c r="M149" s="89">
        <f t="shared" si="112"/>
        <v>50</v>
      </c>
      <c r="N149" s="90">
        <f t="shared" si="113"/>
        <v>79</v>
      </c>
    </row>
    <row r="150">
      <c r="A150" s="77" t="s">
        <v>179</v>
      </c>
      <c r="B150" s="91" t="s">
        <v>217</v>
      </c>
      <c r="C150" s="89">
        <f t="shared" si="108"/>
        <v>395</v>
      </c>
      <c r="D150" s="80">
        <f t="shared" si="110"/>
        <v>317.4940898</v>
      </c>
      <c r="E150" s="57"/>
      <c r="F150" s="81" t="s">
        <v>43</v>
      </c>
      <c r="G150" s="79">
        <f t="shared" si="111"/>
        <v>1343</v>
      </c>
      <c r="H150" s="82">
        <v>17.0</v>
      </c>
      <c r="I150" s="83" t="s">
        <v>43</v>
      </c>
      <c r="J150" s="84">
        <v>300.0</v>
      </c>
      <c r="K150" s="85">
        <v>1.03</v>
      </c>
      <c r="L150" s="86" t="s">
        <v>43</v>
      </c>
      <c r="M150" s="89">
        <f t="shared" ref="M150:N150" si="115">M143</f>
        <v>50</v>
      </c>
      <c r="N150" s="90">
        <f t="shared" si="115"/>
        <v>79</v>
      </c>
    </row>
    <row r="151">
      <c r="A151" s="136"/>
      <c r="B151" s="137" t="s">
        <v>218</v>
      </c>
      <c r="C151" s="138">
        <f t="shared" si="108"/>
        <v>381.3333333</v>
      </c>
      <c r="D151" s="139">
        <f t="shared" si="110"/>
        <v>295.9258461</v>
      </c>
      <c r="E151" s="57"/>
      <c r="F151" s="140" t="s">
        <v>43</v>
      </c>
      <c r="G151" s="141">
        <f t="shared" si="111"/>
        <v>1056</v>
      </c>
      <c r="H151" s="142">
        <v>12.0</v>
      </c>
      <c r="I151" s="143" t="s">
        <v>43</v>
      </c>
      <c r="J151" s="144">
        <v>260.0</v>
      </c>
      <c r="K151" s="145">
        <v>1.03</v>
      </c>
      <c r="L151" s="146" t="s">
        <v>43</v>
      </c>
      <c r="M151" s="138">
        <v>55.0</v>
      </c>
      <c r="N151" s="147">
        <v>88.0</v>
      </c>
      <c r="O151" s="95" t="s">
        <v>219</v>
      </c>
    </row>
    <row r="152">
      <c r="A152" s="65" t="s">
        <v>220</v>
      </c>
      <c r="B152" s="66" t="s">
        <v>221</v>
      </c>
      <c r="C152" s="67">
        <f t="shared" ref="C152:C171" si="116">D152</f>
        <v>180.9090909</v>
      </c>
      <c r="D152" s="76">
        <f t="shared" ref="D152:D162" si="117">G152*J152*1/60</f>
        <v>180.9090909</v>
      </c>
      <c r="E152" s="57"/>
      <c r="F152" s="69" t="s">
        <v>43</v>
      </c>
      <c r="G152" s="70">
        <f t="shared" si="111"/>
        <v>199</v>
      </c>
      <c r="H152" s="71">
        <v>1.0</v>
      </c>
      <c r="I152" s="105" t="s">
        <v>43</v>
      </c>
      <c r="J152" s="148">
        <f>1/(500*1/1000*1/60 + K152*1/60)</f>
        <v>54.54545455</v>
      </c>
      <c r="K152" s="74">
        <v>0.6</v>
      </c>
      <c r="L152" s="106" t="s">
        <v>43</v>
      </c>
      <c r="M152" s="67">
        <v>125.0</v>
      </c>
      <c r="N152" s="76">
        <v>199.0</v>
      </c>
    </row>
    <row r="153">
      <c r="A153" s="149" t="s">
        <v>222</v>
      </c>
      <c r="B153" s="78" t="s">
        <v>221</v>
      </c>
      <c r="C153" s="89">
        <f t="shared" si="116"/>
        <v>204.1025641</v>
      </c>
      <c r="D153" s="90">
        <f t="shared" si="117"/>
        <v>204.1025641</v>
      </c>
      <c r="E153" s="57"/>
      <c r="F153" s="81" t="s">
        <v>43</v>
      </c>
      <c r="G153" s="79">
        <f t="shared" si="111"/>
        <v>199</v>
      </c>
      <c r="H153" s="82">
        <v>1.0</v>
      </c>
      <c r="I153" s="83" t="s">
        <v>43</v>
      </c>
      <c r="J153" s="93">
        <f>1/(500/1000*0.75*1/60 + K153*1/60)</f>
        <v>61.53846154</v>
      </c>
      <c r="K153" s="85">
        <v>0.6</v>
      </c>
      <c r="L153" s="86" t="s">
        <v>43</v>
      </c>
      <c r="M153" s="89">
        <f t="shared" ref="M153:N153" si="118">M152</f>
        <v>125</v>
      </c>
      <c r="N153" s="90">
        <f t="shared" si="118"/>
        <v>199</v>
      </c>
    </row>
    <row r="154">
      <c r="A154" s="149"/>
      <c r="B154" s="78" t="s">
        <v>223</v>
      </c>
      <c r="C154" s="89">
        <f t="shared" si="116"/>
        <v>173.4693878</v>
      </c>
      <c r="D154" s="90">
        <f t="shared" si="117"/>
        <v>173.4693878</v>
      </c>
      <c r="E154" s="57"/>
      <c r="F154" s="81" t="s">
        <v>43</v>
      </c>
      <c r="G154" s="79">
        <f t="shared" si="111"/>
        <v>204</v>
      </c>
      <c r="H154" s="82">
        <v>1.0</v>
      </c>
      <c r="I154" s="83" t="s">
        <v>43</v>
      </c>
      <c r="J154" s="93">
        <f>1/(576/1000*1/60 + K154*1/60)</f>
        <v>51.02040816</v>
      </c>
      <c r="K154" s="85">
        <v>0.6</v>
      </c>
      <c r="L154" s="86" t="s">
        <v>43</v>
      </c>
      <c r="M154" s="89">
        <v>157.0</v>
      </c>
      <c r="N154" s="90">
        <v>204.0</v>
      </c>
    </row>
    <row r="155">
      <c r="A155" s="149" t="s">
        <v>222</v>
      </c>
      <c r="B155" s="78" t="s">
        <v>223</v>
      </c>
      <c r="C155" s="89">
        <f t="shared" si="116"/>
        <v>197.6744186</v>
      </c>
      <c r="D155" s="90">
        <f t="shared" si="117"/>
        <v>197.6744186</v>
      </c>
      <c r="E155" s="57"/>
      <c r="F155" s="81" t="s">
        <v>43</v>
      </c>
      <c r="G155" s="79">
        <f t="shared" si="111"/>
        <v>204</v>
      </c>
      <c r="H155" s="82">
        <v>1.0</v>
      </c>
      <c r="I155" s="83" t="s">
        <v>43</v>
      </c>
      <c r="J155" s="93">
        <f>1/(576*0.75/1000*1/60 + K155*1/60)</f>
        <v>58.13953488</v>
      </c>
      <c r="K155" s="85">
        <v>0.6</v>
      </c>
      <c r="L155" s="86" t="s">
        <v>43</v>
      </c>
      <c r="M155" s="89">
        <f t="shared" ref="M155:N155" si="119">M154</f>
        <v>157</v>
      </c>
      <c r="N155" s="90">
        <f t="shared" si="119"/>
        <v>204</v>
      </c>
      <c r="O155" s="95"/>
    </row>
    <row r="156">
      <c r="A156" s="149" t="s">
        <v>224</v>
      </c>
      <c r="B156" s="78" t="s">
        <v>223</v>
      </c>
      <c r="C156" s="89">
        <f t="shared" si="116"/>
        <v>245.6647399</v>
      </c>
      <c r="D156" s="90">
        <f t="shared" si="117"/>
        <v>245.6647399</v>
      </c>
      <c r="E156" s="57"/>
      <c r="F156" s="81" t="s">
        <v>43</v>
      </c>
      <c r="G156" s="79">
        <f t="shared" si="111"/>
        <v>204</v>
      </c>
      <c r="H156" s="82">
        <v>1.0</v>
      </c>
      <c r="I156" s="83" t="s">
        <v>43</v>
      </c>
      <c r="J156" s="93">
        <f>1/(576*0.4/1000*1/60 + K156*1/60)</f>
        <v>72.25433526</v>
      </c>
      <c r="K156" s="85">
        <v>0.6</v>
      </c>
      <c r="L156" s="86" t="s">
        <v>43</v>
      </c>
      <c r="M156" s="89">
        <f t="shared" ref="M156:N156" si="120">M154</f>
        <v>157</v>
      </c>
      <c r="N156" s="90">
        <f t="shared" si="120"/>
        <v>204</v>
      </c>
      <c r="O156" s="95" t="s">
        <v>225</v>
      </c>
    </row>
    <row r="157">
      <c r="A157" s="149" t="s">
        <v>226</v>
      </c>
      <c r="B157" s="78" t="s">
        <v>223</v>
      </c>
      <c r="C157" s="89">
        <f t="shared" si="116"/>
        <v>263.9751553</v>
      </c>
      <c r="D157" s="90">
        <f t="shared" si="117"/>
        <v>263.9751553</v>
      </c>
      <c r="E157" s="57"/>
      <c r="F157" s="81" t="s">
        <v>43</v>
      </c>
      <c r="G157" s="79">
        <f t="shared" si="111"/>
        <v>204</v>
      </c>
      <c r="H157" s="82">
        <v>1.0</v>
      </c>
      <c r="I157" s="83" t="s">
        <v>43</v>
      </c>
      <c r="J157" s="93">
        <f>1/(576*0.4*0.75/1000*1/60 + K157*1/60)</f>
        <v>77.63975155</v>
      </c>
      <c r="K157" s="85">
        <v>0.6</v>
      </c>
      <c r="L157" s="86" t="s">
        <v>43</v>
      </c>
      <c r="M157" s="89">
        <f t="shared" ref="M157:N157" si="121">M154</f>
        <v>157</v>
      </c>
      <c r="N157" s="90">
        <f t="shared" si="121"/>
        <v>204</v>
      </c>
      <c r="O157" s="95" t="s">
        <v>225</v>
      </c>
    </row>
    <row r="158">
      <c r="A158" s="149"/>
      <c r="B158" s="78" t="s">
        <v>227</v>
      </c>
      <c r="C158" s="89">
        <f t="shared" si="116"/>
        <v>190.6245364</v>
      </c>
      <c r="D158" s="90">
        <f t="shared" si="117"/>
        <v>190.6245364</v>
      </c>
      <c r="E158" s="57"/>
      <c r="F158" s="81" t="s">
        <v>43</v>
      </c>
      <c r="G158" s="79">
        <f t="shared" si="111"/>
        <v>244.7619048</v>
      </c>
      <c r="H158" s="82">
        <v>1.0</v>
      </c>
      <c r="I158" s="83" t="s">
        <v>43</v>
      </c>
      <c r="J158" s="93">
        <f>1/(684/1000*1/60 + K158*1/60)</f>
        <v>46.72897196</v>
      </c>
      <c r="K158" s="85">
        <v>0.6</v>
      </c>
      <c r="L158" s="86" t="s">
        <v>43</v>
      </c>
      <c r="M158" s="89">
        <f>197/1.05</f>
        <v>187.6190476</v>
      </c>
      <c r="N158" s="90">
        <f>257/1.05</f>
        <v>244.7619048</v>
      </c>
    </row>
    <row r="159">
      <c r="A159" s="149"/>
      <c r="B159" s="150" t="s">
        <v>228</v>
      </c>
      <c r="C159" s="151">
        <f t="shared" si="116"/>
        <v>164.4542773</v>
      </c>
      <c r="D159" s="152">
        <f t="shared" si="117"/>
        <v>164.4542773</v>
      </c>
      <c r="E159" s="57"/>
      <c r="F159" s="153" t="s">
        <v>43</v>
      </c>
      <c r="G159" s="154">
        <f t="shared" si="111"/>
        <v>223</v>
      </c>
      <c r="H159" s="155">
        <v>1.0</v>
      </c>
      <c r="I159" s="156" t="s">
        <v>43</v>
      </c>
      <c r="J159" s="157">
        <f t="shared" ref="J159:J160" si="122">1/(756*1/1000*1/60 + K159*1/60)</f>
        <v>44.24778761</v>
      </c>
      <c r="K159" s="158">
        <v>0.6</v>
      </c>
      <c r="L159" s="159" t="s">
        <v>43</v>
      </c>
      <c r="M159" s="151">
        <v>139.0</v>
      </c>
      <c r="N159" s="152">
        <v>223.0</v>
      </c>
      <c r="O159" s="95" t="s">
        <v>229</v>
      </c>
    </row>
    <row r="160">
      <c r="A160" s="149" t="s">
        <v>230</v>
      </c>
      <c r="B160" s="150" t="s">
        <v>228</v>
      </c>
      <c r="C160" s="151">
        <f t="shared" si="116"/>
        <v>379.0560472</v>
      </c>
      <c r="D160" s="152">
        <f t="shared" si="117"/>
        <v>379.0560472</v>
      </c>
      <c r="E160" s="57"/>
      <c r="F160" s="153" t="s">
        <v>43</v>
      </c>
      <c r="G160" s="154">
        <f t="shared" si="111"/>
        <v>514</v>
      </c>
      <c r="H160" s="155">
        <v>1.0</v>
      </c>
      <c r="I160" s="156" t="s">
        <v>43</v>
      </c>
      <c r="J160" s="157">
        <f t="shared" si="122"/>
        <v>44.24778761</v>
      </c>
      <c r="K160" s="158">
        <v>0.6</v>
      </c>
      <c r="L160" s="159" t="s">
        <v>43</v>
      </c>
      <c r="M160" s="151">
        <f>M159 + 'Weapon Specifics'!D31*3</f>
        <v>430</v>
      </c>
      <c r="N160" s="152">
        <f>N159 + 'Weapon Specifics'!D31*3</f>
        <v>514</v>
      </c>
      <c r="O160" s="95" t="s">
        <v>231</v>
      </c>
    </row>
    <row r="161">
      <c r="A161" s="149" t="s">
        <v>232</v>
      </c>
      <c r="B161" s="150" t="s">
        <v>228</v>
      </c>
      <c r="C161" s="151">
        <f t="shared" si="116"/>
        <v>525.5623722</v>
      </c>
      <c r="D161" s="152">
        <f t="shared" si="117"/>
        <v>525.5623722</v>
      </c>
      <c r="E161" s="57"/>
      <c r="F161" s="153" t="s">
        <v>43</v>
      </c>
      <c r="G161" s="154">
        <f t="shared" si="111"/>
        <v>514</v>
      </c>
      <c r="H161" s="155">
        <v>1.0</v>
      </c>
      <c r="I161" s="156" t="s">
        <v>43</v>
      </c>
      <c r="J161" s="157">
        <f>1/(756*0.5*1/1000*1/60 + K161*1/60)</f>
        <v>61.34969325</v>
      </c>
      <c r="K161" s="158">
        <v>0.6</v>
      </c>
      <c r="L161" s="159" t="s">
        <v>43</v>
      </c>
      <c r="M161" s="151">
        <f>M159 + 'Weapon Specifics'!D31*3</f>
        <v>430</v>
      </c>
      <c r="N161" s="152">
        <f>N159 + 'Weapon Specifics'!D31*3</f>
        <v>514</v>
      </c>
      <c r="O161" s="95" t="s">
        <v>231</v>
      </c>
    </row>
    <row r="162">
      <c r="A162" s="160"/>
      <c r="B162" s="91" t="s">
        <v>233</v>
      </c>
      <c r="C162" s="89">
        <f t="shared" si="116"/>
        <v>177.1186441</v>
      </c>
      <c r="D162" s="90">
        <f t="shared" si="117"/>
        <v>177.1186441</v>
      </c>
      <c r="E162" s="57"/>
      <c r="F162" s="81" t="s">
        <v>43</v>
      </c>
      <c r="G162" s="79">
        <f t="shared" si="111"/>
        <v>209</v>
      </c>
      <c r="H162" s="82">
        <v>1.0</v>
      </c>
      <c r="I162" s="83" t="s">
        <v>43</v>
      </c>
      <c r="J162" s="93">
        <f t="shared" ref="J162:J165" si="123">1/(580*1/1000*1/60 + K162*1/60)</f>
        <v>50.84745763</v>
      </c>
      <c r="K162" s="85">
        <v>0.6</v>
      </c>
      <c r="L162" s="86" t="s">
        <v>43</v>
      </c>
      <c r="M162" s="89">
        <v>131.0</v>
      </c>
      <c r="N162" s="90">
        <v>209.0</v>
      </c>
    </row>
    <row r="163">
      <c r="A163" s="160" t="s">
        <v>234</v>
      </c>
      <c r="B163" s="91" t="s">
        <v>233</v>
      </c>
      <c r="C163" s="89">
        <f t="shared" si="116"/>
        <v>334.8314607</v>
      </c>
      <c r="D163" s="90">
        <f>(N163 + 'Weapon Specifics'!D73*3 + 'Weapon Specifics'!D74)/(580/1000+K163*2)</f>
        <v>334.8314607</v>
      </c>
      <c r="E163" s="57"/>
      <c r="F163" s="81" t="s">
        <v>43</v>
      </c>
      <c r="G163" s="79">
        <f t="shared" si="111"/>
        <v>391</v>
      </c>
      <c r="H163" s="82">
        <v>1.0</v>
      </c>
      <c r="I163" s="83" t="s">
        <v>43</v>
      </c>
      <c r="J163" s="93">
        <f t="shared" si="123"/>
        <v>50.84745763</v>
      </c>
      <c r="K163" s="85">
        <v>0.6</v>
      </c>
      <c r="L163" s="86" t="s">
        <v>43</v>
      </c>
      <c r="M163" s="89">
        <v>245.0</v>
      </c>
      <c r="N163" s="90">
        <v>391.0</v>
      </c>
      <c r="O163" s="95"/>
    </row>
    <row r="164">
      <c r="A164" s="160" t="s">
        <v>234</v>
      </c>
      <c r="B164" s="91" t="s">
        <v>233</v>
      </c>
      <c r="C164" s="89">
        <f t="shared" si="116"/>
        <v>446.6101695</v>
      </c>
      <c r="D164" s="90">
        <f>(N164 +  + 'Weapon Specifics'!D74)/(580/1000+K164)</f>
        <v>446.6101695</v>
      </c>
      <c r="E164" s="57"/>
      <c r="F164" s="81" t="s">
        <v>43</v>
      </c>
      <c r="G164" s="79">
        <f t="shared" si="111"/>
        <v>391</v>
      </c>
      <c r="H164" s="82">
        <v>1.0</v>
      </c>
      <c r="I164" s="83" t="s">
        <v>43</v>
      </c>
      <c r="J164" s="93">
        <f t="shared" si="123"/>
        <v>50.84745763</v>
      </c>
      <c r="K164" s="85">
        <v>0.6</v>
      </c>
      <c r="L164" s="86" t="s">
        <v>43</v>
      </c>
      <c r="M164" s="89">
        <f t="shared" ref="M164:N164" si="124">M163</f>
        <v>245</v>
      </c>
      <c r="N164" s="90">
        <f t="shared" si="124"/>
        <v>391</v>
      </c>
      <c r="O164" s="95" t="s">
        <v>235</v>
      </c>
    </row>
    <row r="165">
      <c r="A165" s="160"/>
      <c r="B165" s="91" t="s">
        <v>236</v>
      </c>
      <c r="C165" s="89">
        <f t="shared" si="116"/>
        <v>177.1186441</v>
      </c>
      <c r="D165" s="90">
        <f t="shared" ref="D165:D166" si="125">G165*J165*1/60</f>
        <v>177.1186441</v>
      </c>
      <c r="E165" s="57"/>
      <c r="F165" s="140" t="s">
        <v>43</v>
      </c>
      <c r="G165" s="141">
        <f t="shared" si="111"/>
        <v>209</v>
      </c>
      <c r="H165" s="142">
        <v>1.0</v>
      </c>
      <c r="I165" s="143" t="s">
        <v>43</v>
      </c>
      <c r="J165" s="161">
        <f t="shared" si="123"/>
        <v>50.84745763</v>
      </c>
      <c r="K165" s="145">
        <v>0.6</v>
      </c>
      <c r="L165" s="146" t="s">
        <v>43</v>
      </c>
      <c r="M165" s="138">
        <v>131.0</v>
      </c>
      <c r="N165" s="147">
        <v>209.0</v>
      </c>
    </row>
    <row r="166">
      <c r="A166" s="160" t="s">
        <v>179</v>
      </c>
      <c r="B166" s="91" t="s">
        <v>237</v>
      </c>
      <c r="C166" s="89">
        <f t="shared" si="116"/>
        <v>58.49358974</v>
      </c>
      <c r="D166" s="90">
        <f t="shared" si="125"/>
        <v>58.49358974</v>
      </c>
      <c r="E166" s="57"/>
      <c r="F166" s="81" t="s">
        <v>43</v>
      </c>
      <c r="G166" s="79">
        <f t="shared" si="111"/>
        <v>73</v>
      </c>
      <c r="H166" s="82">
        <v>1.0</v>
      </c>
      <c r="I166" s="83" t="s">
        <v>43</v>
      </c>
      <c r="J166" s="93">
        <f>1/(648*1/1000*1/60 + K166*1/60)</f>
        <v>48.07692308</v>
      </c>
      <c r="K166" s="85">
        <v>0.6</v>
      </c>
      <c r="L166" s="86" t="s">
        <v>43</v>
      </c>
      <c r="M166" s="89">
        <v>56.0</v>
      </c>
      <c r="N166" s="90">
        <v>73.0</v>
      </c>
    </row>
    <row r="167" ht="15.75" customHeight="1">
      <c r="A167" s="133"/>
      <c r="B167" s="91" t="s">
        <v>238</v>
      </c>
      <c r="C167" s="89">
        <f t="shared" si="116"/>
        <v>325.0825083</v>
      </c>
      <c r="D167" s="90">
        <f>(G167 + 'Weapon Specifics'!D34*6)*J167*1/60 </f>
        <v>325.0825083</v>
      </c>
      <c r="E167" s="57"/>
      <c r="F167" s="81" t="s">
        <v>43</v>
      </c>
      <c r="G167" s="79">
        <f t="shared" si="111"/>
        <v>202</v>
      </c>
      <c r="H167" s="82">
        <v>1.0</v>
      </c>
      <c r="I167" s="83" t="s">
        <v>43</v>
      </c>
      <c r="J167" s="93">
        <f t="shared" ref="J167:J168" si="126">1/(612*1/1000*1/60 + K167*1/60)</f>
        <v>49.5049505</v>
      </c>
      <c r="K167" s="85">
        <v>0.6</v>
      </c>
      <c r="L167" s="86" t="s">
        <v>43</v>
      </c>
      <c r="M167" s="89">
        <v>127.0</v>
      </c>
      <c r="N167" s="90">
        <v>202.0</v>
      </c>
      <c r="O167" s="95"/>
    </row>
    <row r="168">
      <c r="A168" s="162"/>
      <c r="B168" s="91" t="s">
        <v>239</v>
      </c>
      <c r="C168" s="89">
        <f t="shared" si="116"/>
        <v>176.5676568</v>
      </c>
      <c r="D168" s="90">
        <f t="shared" ref="D168:D169" si="127">G168*J168*1/60</f>
        <v>176.5676568</v>
      </c>
      <c r="E168" s="57"/>
      <c r="F168" s="81" t="s">
        <v>43</v>
      </c>
      <c r="G168" s="79">
        <f t="shared" si="111"/>
        <v>214</v>
      </c>
      <c r="H168" s="82">
        <v>1.0</v>
      </c>
      <c r="I168" s="83" t="s">
        <v>43</v>
      </c>
      <c r="J168" s="93">
        <f t="shared" si="126"/>
        <v>49.5049505</v>
      </c>
      <c r="K168" s="85">
        <v>0.6</v>
      </c>
      <c r="L168" s="86" t="s">
        <v>43</v>
      </c>
      <c r="M168" s="89">
        <v>164.0</v>
      </c>
      <c r="N168" s="90">
        <v>214.0</v>
      </c>
      <c r="O168" s="95"/>
    </row>
    <row r="169">
      <c r="A169" s="162"/>
      <c r="B169" s="91" t="s">
        <v>239</v>
      </c>
      <c r="C169" s="89">
        <f t="shared" si="116"/>
        <v>264.8514851</v>
      </c>
      <c r="D169" s="90">
        <f t="shared" si="127"/>
        <v>264.8514851</v>
      </c>
      <c r="E169" s="57"/>
      <c r="F169" s="81" t="s">
        <v>43</v>
      </c>
      <c r="G169" s="79">
        <f t="shared" si="111"/>
        <v>321</v>
      </c>
      <c r="H169" s="82">
        <v>1.0</v>
      </c>
      <c r="I169" s="83" t="s">
        <v>43</v>
      </c>
      <c r="J169" s="93">
        <f>J168</f>
        <v>49.5049505</v>
      </c>
      <c r="K169" s="85">
        <v>0.6</v>
      </c>
      <c r="L169" s="86" t="s">
        <v>43</v>
      </c>
      <c r="M169" s="89">
        <f t="shared" ref="M169:N169" si="128">M168*1.5</f>
        <v>246</v>
      </c>
      <c r="N169" s="90">
        <f t="shared" si="128"/>
        <v>321</v>
      </c>
      <c r="O169" s="95" t="s">
        <v>240</v>
      </c>
    </row>
    <row r="170">
      <c r="A170" s="162"/>
      <c r="B170" s="91" t="s">
        <v>239</v>
      </c>
      <c r="C170" s="89">
        <f t="shared" si="116"/>
        <v>195.718256</v>
      </c>
      <c r="D170" s="90">
        <f>(8*N170+1*N169+8*N170+1*N169+'Weapon Specifics'!$D$95+'Weapon Specifics'!$D$96)
/(1/J170+8/J170+1/J170+8/J170+1/J170)*1/60</f>
        <v>195.718256</v>
      </c>
      <c r="E170" s="57"/>
      <c r="F170" s="81" t="s">
        <v>43</v>
      </c>
      <c r="G170" s="79">
        <f t="shared" si="111"/>
        <v>214</v>
      </c>
      <c r="H170" s="82">
        <v>1.0</v>
      </c>
      <c r="I170" s="83" t="s">
        <v>43</v>
      </c>
      <c r="J170" s="93">
        <f>J168</f>
        <v>49.5049505</v>
      </c>
      <c r="K170" s="85">
        <v>0.6</v>
      </c>
      <c r="L170" s="86" t="s">
        <v>43</v>
      </c>
      <c r="M170" s="89">
        <f t="shared" ref="M170:N170" si="129">M168</f>
        <v>164</v>
      </c>
      <c r="N170" s="90">
        <f t="shared" si="129"/>
        <v>214</v>
      </c>
      <c r="O170" s="95" t="s">
        <v>241</v>
      </c>
    </row>
    <row r="171">
      <c r="A171" s="162"/>
      <c r="B171" s="163" t="s">
        <v>242</v>
      </c>
      <c r="C171" s="89">
        <f t="shared" si="116"/>
        <v>378.9855072</v>
      </c>
      <c r="D171" s="90">
        <f>G171*J171*1/60</f>
        <v>378.9855072</v>
      </c>
      <c r="E171" s="57"/>
      <c r="F171" s="81" t="s">
        <v>43</v>
      </c>
      <c r="G171" s="79">
        <f t="shared" si="111"/>
        <v>523</v>
      </c>
      <c r="H171" s="82">
        <v>1.0</v>
      </c>
      <c r="I171" s="83" t="s">
        <v>43</v>
      </c>
      <c r="J171" s="93">
        <f>1/(780*1/1000*1/60 + K171*1/60)</f>
        <v>43.47826087</v>
      </c>
      <c r="K171" s="85">
        <v>0.6</v>
      </c>
      <c r="L171" s="86" t="s">
        <v>43</v>
      </c>
      <c r="M171" s="79">
        <f>105+168*2</f>
        <v>441</v>
      </c>
      <c r="N171" s="80">
        <f>187+168*2</f>
        <v>523</v>
      </c>
      <c r="O171" s="95"/>
    </row>
    <row r="172">
      <c r="A172" s="164" t="s">
        <v>243</v>
      </c>
      <c r="B172" s="150" t="s">
        <v>244</v>
      </c>
      <c r="C172" s="67">
        <f>(G172)/(H172 * 1/J172 * 60/1)</f>
        <v>871.5</v>
      </c>
      <c r="D172" s="76">
        <f>(G172)/(K172)</f>
        <v>358.6419753</v>
      </c>
      <c r="E172" s="57"/>
      <c r="F172" s="69" t="s">
        <v>43</v>
      </c>
      <c r="G172" s="70">
        <f t="shared" ref="G172:G176" si="130">M172</f>
        <v>581</v>
      </c>
      <c r="H172" s="71">
        <v>1.0</v>
      </c>
      <c r="I172" s="105" t="s">
        <v>43</v>
      </c>
      <c r="J172" s="148">
        <v>90.0</v>
      </c>
      <c r="K172" s="74">
        <v>1.62</v>
      </c>
      <c r="L172" s="106" t="s">
        <v>43</v>
      </c>
      <c r="M172" s="67">
        <f>118+463</f>
        <v>581</v>
      </c>
      <c r="N172" s="76" t="s">
        <v>60</v>
      </c>
      <c r="O172" s="95" t="s">
        <v>245</v>
      </c>
    </row>
    <row r="173">
      <c r="A173" s="149"/>
      <c r="B173" s="137" t="s">
        <v>244</v>
      </c>
      <c r="C173" s="89">
        <f>(2*G173 + 'Elemental Effects'!E6)/(2* H173 * 1/J173 * 60/1)</f>
        <v>942.75</v>
      </c>
      <c r="D173" s="90">
        <f>(G173*2 + 'Elemental Effects'!E6)/(2*K173)</f>
        <v>387.962963</v>
      </c>
      <c r="E173" s="57"/>
      <c r="F173" s="81" t="s">
        <v>43</v>
      </c>
      <c r="G173" s="79">
        <f t="shared" si="130"/>
        <v>581</v>
      </c>
      <c r="H173" s="82">
        <v>1.0</v>
      </c>
      <c r="I173" s="83" t="s">
        <v>43</v>
      </c>
      <c r="J173" s="93">
        <v>90.0</v>
      </c>
      <c r="K173" s="85">
        <v>1.62</v>
      </c>
      <c r="L173" s="86" t="s">
        <v>43</v>
      </c>
      <c r="M173" s="89">
        <f>M172</f>
        <v>581</v>
      </c>
      <c r="N173" s="90" t="s">
        <v>60</v>
      </c>
      <c r="O173" s="95" t="s">
        <v>246</v>
      </c>
    </row>
    <row r="174">
      <c r="A174" s="160"/>
      <c r="B174" s="137" t="s">
        <v>244</v>
      </c>
      <c r="C174" s="138">
        <f>(G174 + 'Elemental Effects'!E6)/(H174 * 1/J174 * 60/1)</f>
        <v>1014</v>
      </c>
      <c r="D174" s="147">
        <f>(G174+'Elemental Effects'!E6)/K174</f>
        <v>417.2839506</v>
      </c>
      <c r="F174" s="140" t="s">
        <v>43</v>
      </c>
      <c r="G174" s="141">
        <f t="shared" si="130"/>
        <v>581</v>
      </c>
      <c r="H174" s="142">
        <v>1.0</v>
      </c>
      <c r="I174" s="143" t="s">
        <v>43</v>
      </c>
      <c r="J174" s="144">
        <v>90.0</v>
      </c>
      <c r="K174" s="145">
        <v>1.62</v>
      </c>
      <c r="L174" s="146" t="s">
        <v>43</v>
      </c>
      <c r="M174" s="141">
        <f>M172</f>
        <v>581</v>
      </c>
      <c r="N174" s="147" t="s">
        <v>60</v>
      </c>
      <c r="O174" s="95" t="s">
        <v>247</v>
      </c>
    </row>
    <row r="175">
      <c r="A175" s="160" t="s">
        <v>248</v>
      </c>
      <c r="B175" s="137" t="s">
        <v>249</v>
      </c>
      <c r="C175" s="138">
        <f>D175</f>
        <v>235.75</v>
      </c>
      <c r="D175" s="147">
        <f>(M175+'Weapon Specifics'!D5*5+'Weapon Specifics'!D6)/(4)</f>
        <v>235.75</v>
      </c>
      <c r="F175" s="140" t="s">
        <v>43</v>
      </c>
      <c r="G175" s="141">
        <f t="shared" si="130"/>
        <v>102</v>
      </c>
      <c r="H175" s="142">
        <v>1.0</v>
      </c>
      <c r="I175" s="143" t="s">
        <v>43</v>
      </c>
      <c r="J175" s="144">
        <v>90.0</v>
      </c>
      <c r="K175" s="145">
        <v>1.62</v>
      </c>
      <c r="L175" s="146" t="s">
        <v>43</v>
      </c>
      <c r="M175" s="138">
        <v>102.0</v>
      </c>
      <c r="N175" s="147" t="s">
        <v>60</v>
      </c>
      <c r="O175" s="95" t="s">
        <v>250</v>
      </c>
    </row>
    <row r="176">
      <c r="A176" s="165" t="s">
        <v>251</v>
      </c>
      <c r="B176" s="163" t="s">
        <v>249</v>
      </c>
      <c r="C176" s="166">
        <f>(M176+'Weapon Specifics'!D5*5+'Weapon Specifics'!D6)*(J176/60)</f>
        <v>1414.5</v>
      </c>
      <c r="D176" s="167">
        <f>(M176+'Weapon Specifics'!D5*5+'Weapon Specifics'!D6)/K176</f>
        <v>582.0987654</v>
      </c>
      <c r="F176" s="168" t="s">
        <v>43</v>
      </c>
      <c r="G176" s="169">
        <f t="shared" si="130"/>
        <v>102</v>
      </c>
      <c r="H176" s="170">
        <v>1.0</v>
      </c>
      <c r="I176" s="171" t="s">
        <v>43</v>
      </c>
      <c r="J176" s="172">
        <v>90.0</v>
      </c>
      <c r="K176" s="173">
        <v>1.62</v>
      </c>
      <c r="L176" s="174" t="s">
        <v>43</v>
      </c>
      <c r="M176" s="169">
        <f>M175</f>
        <v>102</v>
      </c>
      <c r="N176" s="167" t="s">
        <v>60</v>
      </c>
    </row>
    <row r="177">
      <c r="A177" s="175" t="s">
        <v>252</v>
      </c>
      <c r="B177" s="150" t="s">
        <v>253</v>
      </c>
      <c r="C177" s="151">
        <f t="shared" ref="C177:C178" si="131">(G177)/(H177 * 1/J177 * 60/1)</f>
        <v>375</v>
      </c>
      <c r="D177" s="152">
        <f t="shared" ref="D177:D178" si="132">(G177)/((H177-1) * 1/J177 * 60/1 + K177)</f>
        <v>307.7133479</v>
      </c>
      <c r="F177" s="153" t="s">
        <v>43</v>
      </c>
      <c r="G177" s="154">
        <f t="shared" ref="G177:G178" si="133">N177 * H177</f>
        <v>1875</v>
      </c>
      <c r="H177" s="155">
        <v>75.0</v>
      </c>
      <c r="I177" s="176" t="s">
        <v>43</v>
      </c>
      <c r="J177" s="177">
        <v>900.0</v>
      </c>
      <c r="K177" s="158">
        <v>1.16</v>
      </c>
      <c r="L177" s="178" t="s">
        <v>43</v>
      </c>
      <c r="M177" s="151">
        <v>19.0</v>
      </c>
      <c r="N177" s="152">
        <v>25.0</v>
      </c>
      <c r="O177" s="95" t="s">
        <v>254</v>
      </c>
    </row>
    <row r="178">
      <c r="A178" s="179"/>
      <c r="B178" s="180" t="s">
        <v>253</v>
      </c>
      <c r="C178" s="181">
        <f t="shared" si="131"/>
        <v>432</v>
      </c>
      <c r="D178" s="182">
        <f t="shared" si="132"/>
        <v>383.7044055</v>
      </c>
      <c r="F178" s="183" t="s">
        <v>43</v>
      </c>
      <c r="G178" s="184">
        <f t="shared" si="133"/>
        <v>3600</v>
      </c>
      <c r="H178" s="185">
        <f>H177</f>
        <v>75</v>
      </c>
      <c r="I178" s="186" t="s">
        <v>43</v>
      </c>
      <c r="J178" s="187">
        <f>J45</f>
        <v>540</v>
      </c>
      <c r="K178" s="188">
        <f>K177</f>
        <v>1.16</v>
      </c>
      <c r="L178" s="189" t="s">
        <v>43</v>
      </c>
      <c r="M178" s="181">
        <v>26.0</v>
      </c>
      <c r="N178" s="182">
        <v>48.0</v>
      </c>
      <c r="O178" s="95" t="s">
        <v>169</v>
      </c>
    </row>
    <row r="179">
      <c r="A179" s="190"/>
    </row>
    <row r="180" hidden="1">
      <c r="A180" s="191"/>
    </row>
    <row r="181" hidden="1">
      <c r="A181" s="191"/>
    </row>
    <row r="182" hidden="1">
      <c r="A182" s="191"/>
    </row>
    <row r="183" hidden="1">
      <c r="A183" s="191"/>
    </row>
    <row r="184" hidden="1">
      <c r="A184" s="191"/>
    </row>
    <row r="185" hidden="1">
      <c r="A185" s="191"/>
    </row>
    <row r="186" hidden="1">
      <c r="A186" s="191"/>
    </row>
    <row r="187" hidden="1">
      <c r="A187" s="191"/>
    </row>
    <row r="188" hidden="1">
      <c r="A188" s="191"/>
    </row>
    <row r="189" hidden="1">
      <c r="A189" s="191"/>
    </row>
    <row r="190" hidden="1">
      <c r="A190" s="191"/>
    </row>
    <row r="191" hidden="1">
      <c r="A191" s="191"/>
    </row>
    <row r="192" hidden="1">
      <c r="A192" s="191"/>
    </row>
    <row r="193" hidden="1">
      <c r="A193" s="191"/>
    </row>
    <row r="194" hidden="1">
      <c r="A194" s="191"/>
    </row>
    <row r="195" hidden="1">
      <c r="A195" s="191"/>
    </row>
    <row r="196" hidden="1">
      <c r="A196" s="191"/>
    </row>
    <row r="197" hidden="1">
      <c r="A197" s="191"/>
    </row>
    <row r="198" hidden="1">
      <c r="A198" s="191"/>
    </row>
    <row r="199" hidden="1">
      <c r="A199" s="191"/>
    </row>
    <row r="200" hidden="1">
      <c r="A200" s="191"/>
    </row>
    <row r="201" hidden="1">
      <c r="A201" s="191"/>
    </row>
    <row r="202" hidden="1">
      <c r="A202" s="191"/>
    </row>
    <row r="203" hidden="1">
      <c r="A203" s="191"/>
    </row>
    <row r="204" hidden="1">
      <c r="A204" s="191"/>
    </row>
    <row r="205" hidden="1">
      <c r="A205" s="191"/>
    </row>
    <row r="206" hidden="1">
      <c r="A206" s="191"/>
    </row>
    <row r="207" hidden="1">
      <c r="A207" s="191"/>
    </row>
    <row r="208" hidden="1">
      <c r="A208" s="58"/>
    </row>
    <row r="209" hidden="1">
      <c r="A209" s="58"/>
    </row>
    <row r="210" hidden="1">
      <c r="A210" s="58"/>
    </row>
    <row r="211" hidden="1">
      <c r="A211" s="58"/>
    </row>
    <row r="212" hidden="1">
      <c r="A212" s="58"/>
    </row>
    <row r="213" hidden="1">
      <c r="A213" s="58"/>
    </row>
    <row r="214" hidden="1">
      <c r="A214" s="58"/>
    </row>
    <row r="215" hidden="1">
      <c r="A215" s="58"/>
    </row>
    <row r="216" hidden="1">
      <c r="A216" s="58"/>
    </row>
    <row r="217" hidden="1">
      <c r="A217" s="58"/>
    </row>
    <row r="218" hidden="1">
      <c r="A218" s="58"/>
    </row>
    <row r="219" hidden="1">
      <c r="A219" s="58"/>
    </row>
    <row r="220" hidden="1">
      <c r="A220" s="58"/>
    </row>
    <row r="221" hidden="1">
      <c r="A221" s="58"/>
    </row>
    <row r="222" hidden="1">
      <c r="A222" s="58"/>
    </row>
    <row r="223" hidden="1">
      <c r="A223" s="58"/>
    </row>
    <row r="224" hidden="1">
      <c r="A224" s="58"/>
    </row>
    <row r="225" hidden="1">
      <c r="A225" s="58"/>
    </row>
    <row r="226" hidden="1">
      <c r="A226" s="58"/>
    </row>
    <row r="227" hidden="1">
      <c r="A227" s="58"/>
    </row>
    <row r="228" hidden="1">
      <c r="A228" s="58"/>
    </row>
    <row r="229" hidden="1">
      <c r="A229" s="58"/>
    </row>
    <row r="230" hidden="1">
      <c r="A230" s="58"/>
    </row>
    <row r="231" hidden="1">
      <c r="A231" s="58"/>
    </row>
    <row r="232" hidden="1">
      <c r="A232" s="58"/>
    </row>
    <row r="233" hidden="1">
      <c r="A233" s="58"/>
    </row>
    <row r="234" hidden="1">
      <c r="A234" s="58"/>
    </row>
    <row r="235" hidden="1">
      <c r="A235" s="58"/>
    </row>
    <row r="236" hidden="1">
      <c r="A236" s="58"/>
    </row>
    <row r="237" hidden="1">
      <c r="A237" s="58"/>
    </row>
    <row r="238" hidden="1">
      <c r="A238" s="58"/>
    </row>
    <row r="239" hidden="1">
      <c r="A239" s="58"/>
    </row>
    <row r="240" hidden="1">
      <c r="A240" s="58"/>
    </row>
    <row r="241" hidden="1">
      <c r="A241" s="58"/>
    </row>
    <row r="242" hidden="1">
      <c r="A242" s="58"/>
    </row>
    <row r="243" hidden="1">
      <c r="A243" s="58"/>
    </row>
    <row r="244" hidden="1">
      <c r="A244" s="58"/>
    </row>
    <row r="245" hidden="1">
      <c r="A245" s="58"/>
    </row>
    <row r="246" hidden="1">
      <c r="A246" s="58"/>
    </row>
    <row r="247" hidden="1">
      <c r="A247" s="58"/>
    </row>
    <row r="248" hidden="1">
      <c r="A248" s="58"/>
    </row>
    <row r="249" hidden="1">
      <c r="A249" s="58"/>
    </row>
    <row r="250" hidden="1">
      <c r="A250" s="58"/>
    </row>
    <row r="251" hidden="1">
      <c r="A251" s="58"/>
    </row>
    <row r="252" hidden="1">
      <c r="A252" s="58"/>
    </row>
    <row r="253" hidden="1">
      <c r="A253" s="58"/>
    </row>
    <row r="254" hidden="1">
      <c r="A254" s="58"/>
    </row>
    <row r="255" hidden="1">
      <c r="A255" s="58"/>
    </row>
    <row r="256" hidden="1">
      <c r="A256" s="58"/>
    </row>
    <row r="257" hidden="1">
      <c r="A257" s="58"/>
    </row>
    <row r="258" hidden="1">
      <c r="A258" s="58"/>
    </row>
    <row r="259" hidden="1">
      <c r="A259" s="58"/>
    </row>
    <row r="260" hidden="1">
      <c r="A260" s="58"/>
    </row>
    <row r="261" hidden="1">
      <c r="A261" s="58"/>
    </row>
    <row r="262" hidden="1">
      <c r="A262" s="58"/>
    </row>
    <row r="263" hidden="1">
      <c r="A263" s="58"/>
    </row>
    <row r="264" hidden="1">
      <c r="A264" s="58"/>
    </row>
    <row r="265" hidden="1">
      <c r="A265" s="58"/>
    </row>
    <row r="266" hidden="1">
      <c r="A266" s="58"/>
    </row>
    <row r="267" hidden="1">
      <c r="A267" s="58"/>
    </row>
    <row r="268" hidden="1">
      <c r="A268" s="58"/>
    </row>
    <row r="269" hidden="1">
      <c r="A269" s="58"/>
    </row>
    <row r="270" hidden="1">
      <c r="A270" s="58"/>
    </row>
    <row r="271" hidden="1">
      <c r="A271" s="58"/>
    </row>
    <row r="272" hidden="1">
      <c r="A272" s="58"/>
    </row>
    <row r="273" hidden="1">
      <c r="A273" s="58"/>
    </row>
    <row r="274" hidden="1">
      <c r="A274" s="58"/>
    </row>
    <row r="275" hidden="1">
      <c r="A275" s="58"/>
    </row>
    <row r="276" hidden="1">
      <c r="A276" s="58"/>
    </row>
    <row r="277" hidden="1">
      <c r="A277" s="58"/>
    </row>
    <row r="278" hidden="1">
      <c r="A278" s="58"/>
    </row>
    <row r="279" hidden="1">
      <c r="A279" s="58"/>
    </row>
    <row r="280" hidden="1">
      <c r="A280" s="58"/>
    </row>
    <row r="281" hidden="1">
      <c r="A281" s="58"/>
    </row>
    <row r="282" hidden="1">
      <c r="A282" s="58"/>
    </row>
    <row r="283" hidden="1">
      <c r="A283" s="58"/>
    </row>
    <row r="284" hidden="1">
      <c r="A284" s="58"/>
    </row>
    <row r="285" hidden="1">
      <c r="A285" s="58"/>
    </row>
    <row r="286" hidden="1">
      <c r="A286" s="58"/>
    </row>
    <row r="287" hidden="1">
      <c r="A287" s="58"/>
    </row>
    <row r="288" hidden="1">
      <c r="A288" s="58"/>
    </row>
    <row r="289" hidden="1">
      <c r="A289" s="58"/>
    </row>
    <row r="290" hidden="1">
      <c r="A290" s="58"/>
    </row>
    <row r="291" hidden="1">
      <c r="A291" s="58"/>
    </row>
    <row r="292" hidden="1">
      <c r="A292" s="58"/>
    </row>
    <row r="293" hidden="1">
      <c r="A293" s="58"/>
    </row>
    <row r="294" hidden="1">
      <c r="A294" s="58"/>
    </row>
    <row r="295" hidden="1">
      <c r="A295" s="58"/>
    </row>
    <row r="296" hidden="1">
      <c r="A296" s="58"/>
    </row>
    <row r="297" hidden="1">
      <c r="A297" s="58"/>
    </row>
    <row r="298" hidden="1">
      <c r="A298" s="58"/>
    </row>
    <row r="299" hidden="1">
      <c r="A299" s="58"/>
    </row>
    <row r="300" hidden="1">
      <c r="A300" s="58"/>
    </row>
    <row r="301" hidden="1">
      <c r="A301" s="58"/>
    </row>
    <row r="302" hidden="1">
      <c r="A302" s="58"/>
    </row>
    <row r="303" hidden="1">
      <c r="A303" s="58"/>
    </row>
    <row r="304" hidden="1">
      <c r="A304" s="58"/>
    </row>
    <row r="305" hidden="1">
      <c r="A305" s="58"/>
    </row>
    <row r="306" hidden="1">
      <c r="A306" s="58"/>
    </row>
    <row r="307" hidden="1">
      <c r="A307" s="58"/>
    </row>
    <row r="308" hidden="1">
      <c r="A308" s="58"/>
    </row>
    <row r="309" hidden="1">
      <c r="A309" s="58"/>
    </row>
    <row r="310" hidden="1">
      <c r="A310" s="58"/>
    </row>
    <row r="311" hidden="1">
      <c r="A311" s="58"/>
    </row>
    <row r="312" hidden="1">
      <c r="A312" s="58"/>
    </row>
    <row r="313" hidden="1">
      <c r="A313" s="58"/>
    </row>
    <row r="314" hidden="1">
      <c r="A314" s="58"/>
    </row>
    <row r="315" hidden="1">
      <c r="A315" s="58"/>
    </row>
    <row r="316" hidden="1">
      <c r="A316" s="58"/>
    </row>
    <row r="317" hidden="1">
      <c r="A317" s="58"/>
    </row>
    <row r="318" hidden="1">
      <c r="A318" s="58"/>
    </row>
    <row r="319" hidden="1">
      <c r="A319" s="58"/>
    </row>
    <row r="320" hidden="1">
      <c r="A320" s="58"/>
    </row>
    <row r="321" hidden="1">
      <c r="A321" s="58"/>
    </row>
    <row r="322" hidden="1">
      <c r="A322" s="58"/>
    </row>
    <row r="323" hidden="1">
      <c r="A323" s="58"/>
    </row>
    <row r="324" hidden="1">
      <c r="A324" s="58"/>
    </row>
    <row r="325" hidden="1">
      <c r="A325" s="58"/>
    </row>
    <row r="326" hidden="1">
      <c r="A326" s="58"/>
    </row>
    <row r="327" hidden="1">
      <c r="A327" s="58"/>
    </row>
    <row r="328" hidden="1">
      <c r="A328" s="58"/>
    </row>
    <row r="329" hidden="1">
      <c r="A329" s="58"/>
    </row>
    <row r="330" hidden="1">
      <c r="A330" s="58"/>
    </row>
    <row r="331" hidden="1">
      <c r="A331" s="58"/>
    </row>
    <row r="332" hidden="1">
      <c r="A332" s="58"/>
    </row>
    <row r="333" hidden="1">
      <c r="A333" s="58"/>
    </row>
    <row r="334" hidden="1">
      <c r="A334" s="58"/>
    </row>
    <row r="335" hidden="1">
      <c r="A335" s="58"/>
    </row>
    <row r="336" hidden="1">
      <c r="A336" s="58"/>
    </row>
    <row r="337" hidden="1">
      <c r="A337" s="58"/>
    </row>
    <row r="338" hidden="1">
      <c r="A338" s="58"/>
    </row>
    <row r="339" hidden="1">
      <c r="A339" s="58"/>
    </row>
    <row r="340" hidden="1">
      <c r="A340" s="58"/>
    </row>
    <row r="341" hidden="1">
      <c r="A341" s="58"/>
    </row>
    <row r="342" hidden="1">
      <c r="A342" s="58"/>
    </row>
    <row r="343" hidden="1">
      <c r="A343" s="58"/>
    </row>
    <row r="344" hidden="1">
      <c r="A344" s="58"/>
    </row>
    <row r="345" hidden="1">
      <c r="A345" s="58"/>
    </row>
    <row r="346" hidden="1">
      <c r="A346" s="58"/>
    </row>
    <row r="347" hidden="1">
      <c r="A347" s="58"/>
    </row>
    <row r="348" hidden="1">
      <c r="A348" s="58"/>
    </row>
    <row r="349" hidden="1">
      <c r="A349" s="58"/>
    </row>
    <row r="350" hidden="1">
      <c r="A350" s="58"/>
    </row>
    <row r="351" hidden="1">
      <c r="A351" s="58"/>
    </row>
    <row r="352" hidden="1">
      <c r="A352" s="58"/>
    </row>
    <row r="353" hidden="1">
      <c r="A353" s="58"/>
    </row>
    <row r="354" hidden="1">
      <c r="A354" s="58"/>
    </row>
    <row r="355" hidden="1">
      <c r="A355" s="58"/>
    </row>
    <row r="356" hidden="1">
      <c r="A356" s="58"/>
    </row>
    <row r="357" hidden="1">
      <c r="A357" s="58"/>
    </row>
    <row r="358" hidden="1">
      <c r="A358" s="58"/>
    </row>
    <row r="359" hidden="1">
      <c r="A359" s="58"/>
    </row>
    <row r="360" hidden="1">
      <c r="A360" s="58"/>
    </row>
    <row r="361" hidden="1">
      <c r="A361" s="58"/>
    </row>
    <row r="362" hidden="1">
      <c r="A362" s="58"/>
    </row>
    <row r="363" hidden="1">
      <c r="A363" s="58"/>
    </row>
    <row r="364" hidden="1">
      <c r="A364" s="58"/>
    </row>
    <row r="365" hidden="1">
      <c r="A365" s="58"/>
    </row>
    <row r="366" hidden="1">
      <c r="A366" s="58"/>
    </row>
    <row r="367" hidden="1">
      <c r="A367" s="58"/>
    </row>
    <row r="368" hidden="1">
      <c r="A368" s="58"/>
    </row>
    <row r="369" hidden="1">
      <c r="A369" s="58"/>
    </row>
    <row r="370" hidden="1">
      <c r="A370" s="58"/>
    </row>
    <row r="371" hidden="1">
      <c r="A371" s="58"/>
    </row>
    <row r="372" hidden="1">
      <c r="A372" s="58"/>
    </row>
    <row r="373" hidden="1">
      <c r="A373" s="58"/>
    </row>
    <row r="374" hidden="1">
      <c r="A374" s="58"/>
    </row>
    <row r="375" hidden="1">
      <c r="A375" s="58"/>
    </row>
    <row r="376" hidden="1">
      <c r="A376" s="58"/>
    </row>
    <row r="377" hidden="1">
      <c r="A377" s="58"/>
    </row>
    <row r="378" hidden="1">
      <c r="A378" s="58"/>
    </row>
    <row r="379" hidden="1">
      <c r="A379" s="58"/>
    </row>
    <row r="380" hidden="1">
      <c r="A380" s="58"/>
    </row>
    <row r="381" hidden="1">
      <c r="A381" s="58"/>
    </row>
    <row r="382" hidden="1">
      <c r="A382" s="58"/>
    </row>
    <row r="383" hidden="1">
      <c r="A383" s="58"/>
    </row>
    <row r="384" hidden="1">
      <c r="A384" s="58"/>
    </row>
    <row r="385" hidden="1">
      <c r="A385" s="58"/>
    </row>
    <row r="386" hidden="1">
      <c r="A386" s="58"/>
    </row>
    <row r="387" hidden="1">
      <c r="A387" s="58"/>
    </row>
    <row r="388" hidden="1">
      <c r="A388" s="58"/>
    </row>
    <row r="389" hidden="1">
      <c r="A389" s="58"/>
    </row>
    <row r="390" hidden="1">
      <c r="A390" s="58"/>
    </row>
    <row r="391" hidden="1">
      <c r="A391" s="58"/>
    </row>
    <row r="392" hidden="1">
      <c r="A392" s="58"/>
    </row>
    <row r="393" hidden="1">
      <c r="A393" s="58"/>
    </row>
    <row r="394" hidden="1">
      <c r="A394" s="58"/>
    </row>
    <row r="395" hidden="1">
      <c r="A395" s="58"/>
    </row>
    <row r="396" hidden="1">
      <c r="A396" s="58"/>
    </row>
    <row r="397" hidden="1">
      <c r="A397" s="58"/>
    </row>
    <row r="398" hidden="1">
      <c r="A398" s="58"/>
    </row>
    <row r="399" hidden="1">
      <c r="A399" s="58"/>
    </row>
    <row r="400" hidden="1">
      <c r="A400" s="58"/>
    </row>
    <row r="401" hidden="1">
      <c r="A401" s="58"/>
    </row>
    <row r="402" hidden="1">
      <c r="A402" s="58"/>
    </row>
    <row r="403" hidden="1">
      <c r="A403" s="58"/>
    </row>
    <row r="404" hidden="1">
      <c r="A404" s="58"/>
    </row>
    <row r="405" hidden="1">
      <c r="A405" s="58"/>
    </row>
    <row r="406" hidden="1">
      <c r="A406" s="58"/>
    </row>
    <row r="407" hidden="1">
      <c r="A407" s="58"/>
    </row>
    <row r="408" hidden="1">
      <c r="A408" s="58"/>
    </row>
    <row r="409" hidden="1">
      <c r="A409" s="58"/>
    </row>
    <row r="410" hidden="1">
      <c r="A410" s="58"/>
    </row>
    <row r="411" hidden="1">
      <c r="A411" s="58"/>
    </row>
    <row r="412" hidden="1">
      <c r="A412" s="58"/>
    </row>
    <row r="413" hidden="1">
      <c r="A413" s="58"/>
    </row>
    <row r="414" hidden="1">
      <c r="A414" s="58"/>
    </row>
    <row r="415" hidden="1">
      <c r="A415" s="58"/>
    </row>
    <row r="416" hidden="1">
      <c r="A416" s="58"/>
    </row>
    <row r="417" hidden="1">
      <c r="A417" s="58"/>
    </row>
    <row r="418" hidden="1">
      <c r="A418" s="58"/>
    </row>
    <row r="419" hidden="1">
      <c r="A419" s="58"/>
    </row>
    <row r="420" hidden="1">
      <c r="A420" s="58"/>
    </row>
    <row r="421" hidden="1">
      <c r="A421" s="58"/>
    </row>
    <row r="422" hidden="1">
      <c r="A422" s="58"/>
    </row>
    <row r="423" hidden="1">
      <c r="A423" s="58"/>
    </row>
    <row r="424" hidden="1">
      <c r="A424" s="58"/>
    </row>
    <row r="425" hidden="1">
      <c r="A425" s="58"/>
    </row>
    <row r="426" hidden="1">
      <c r="A426" s="58"/>
    </row>
    <row r="427" hidden="1">
      <c r="A427" s="58"/>
    </row>
    <row r="428" hidden="1">
      <c r="A428" s="58"/>
    </row>
    <row r="429" hidden="1">
      <c r="A429" s="58"/>
    </row>
    <row r="430" hidden="1">
      <c r="A430" s="58"/>
    </row>
    <row r="431" hidden="1">
      <c r="A431" s="58"/>
    </row>
    <row r="432" hidden="1">
      <c r="A432" s="58"/>
    </row>
    <row r="433" hidden="1">
      <c r="A433" s="58"/>
    </row>
    <row r="434" hidden="1">
      <c r="A434" s="58"/>
    </row>
    <row r="435" hidden="1">
      <c r="A435" s="58"/>
    </row>
    <row r="436" hidden="1">
      <c r="A436" s="58"/>
    </row>
    <row r="437" hidden="1">
      <c r="A437" s="58"/>
    </row>
    <row r="438" hidden="1">
      <c r="A438" s="58"/>
    </row>
    <row r="439" hidden="1">
      <c r="A439" s="58"/>
    </row>
    <row r="440" hidden="1">
      <c r="A440" s="58"/>
    </row>
    <row r="441" hidden="1">
      <c r="A441" s="58"/>
    </row>
    <row r="442" hidden="1">
      <c r="A442" s="58"/>
    </row>
    <row r="443" hidden="1">
      <c r="A443" s="58"/>
    </row>
    <row r="444" hidden="1">
      <c r="A444" s="58"/>
    </row>
    <row r="445" hidden="1">
      <c r="A445" s="58"/>
    </row>
    <row r="446" hidden="1">
      <c r="A446" s="58"/>
    </row>
    <row r="447" hidden="1">
      <c r="A447" s="58"/>
    </row>
    <row r="448" hidden="1">
      <c r="A448" s="58"/>
    </row>
    <row r="449" hidden="1">
      <c r="A449" s="58"/>
    </row>
    <row r="450" hidden="1">
      <c r="A450" s="58"/>
    </row>
    <row r="451" hidden="1">
      <c r="A451" s="58"/>
    </row>
    <row r="452" hidden="1">
      <c r="A452" s="58"/>
    </row>
    <row r="453" hidden="1">
      <c r="A453" s="58"/>
    </row>
    <row r="454" hidden="1">
      <c r="A454" s="58"/>
    </row>
    <row r="455" hidden="1">
      <c r="A455" s="58"/>
    </row>
    <row r="456" hidden="1">
      <c r="A456" s="58"/>
    </row>
    <row r="457" hidden="1">
      <c r="A457" s="58"/>
    </row>
    <row r="458" hidden="1">
      <c r="A458" s="58"/>
    </row>
    <row r="459" hidden="1">
      <c r="A459" s="58"/>
    </row>
    <row r="460" hidden="1">
      <c r="A460" s="58"/>
    </row>
    <row r="461" hidden="1">
      <c r="A461" s="58"/>
    </row>
    <row r="462" hidden="1">
      <c r="A462" s="58"/>
    </row>
    <row r="463" hidden="1">
      <c r="A463" s="58"/>
    </row>
    <row r="464" hidden="1">
      <c r="A464" s="58"/>
    </row>
    <row r="465" hidden="1">
      <c r="A465" s="58"/>
    </row>
    <row r="466" hidden="1">
      <c r="A466" s="58"/>
    </row>
    <row r="467" hidden="1">
      <c r="A467" s="58"/>
    </row>
    <row r="468" hidden="1">
      <c r="A468" s="58"/>
    </row>
    <row r="469" hidden="1">
      <c r="A469" s="58"/>
    </row>
    <row r="470" hidden="1">
      <c r="A470" s="58"/>
    </row>
    <row r="471" hidden="1">
      <c r="A471" s="58"/>
    </row>
    <row r="472" hidden="1">
      <c r="A472" s="58"/>
    </row>
    <row r="473" hidden="1">
      <c r="A473" s="58"/>
    </row>
    <row r="474" hidden="1">
      <c r="A474" s="58"/>
    </row>
    <row r="475" hidden="1">
      <c r="A475" s="58"/>
    </row>
    <row r="476" hidden="1">
      <c r="A476" s="58"/>
    </row>
    <row r="477" hidden="1">
      <c r="A477" s="58"/>
    </row>
    <row r="478" hidden="1">
      <c r="A478" s="58"/>
    </row>
    <row r="479" hidden="1">
      <c r="A479" s="58"/>
    </row>
    <row r="480" hidden="1">
      <c r="A480" s="58"/>
    </row>
    <row r="481" hidden="1">
      <c r="A481" s="58"/>
    </row>
    <row r="482" hidden="1">
      <c r="A482" s="58"/>
    </row>
    <row r="483" hidden="1">
      <c r="A483" s="58"/>
    </row>
    <row r="484" hidden="1">
      <c r="A484" s="58"/>
    </row>
    <row r="485" hidden="1">
      <c r="A485" s="58"/>
    </row>
    <row r="486" hidden="1">
      <c r="A486" s="58"/>
    </row>
    <row r="487" hidden="1">
      <c r="A487" s="58"/>
    </row>
    <row r="488" hidden="1">
      <c r="A488" s="58"/>
    </row>
    <row r="489" hidden="1">
      <c r="A489" s="58"/>
    </row>
    <row r="490" hidden="1">
      <c r="A490" s="58"/>
    </row>
    <row r="491" hidden="1">
      <c r="A491" s="58"/>
    </row>
    <row r="492" hidden="1">
      <c r="A492" s="58"/>
    </row>
    <row r="493" hidden="1">
      <c r="A493" s="58"/>
    </row>
    <row r="494" hidden="1">
      <c r="A494" s="58"/>
    </row>
    <row r="495" hidden="1">
      <c r="A495" s="58"/>
    </row>
    <row r="496" hidden="1">
      <c r="A496" s="58"/>
    </row>
    <row r="497" hidden="1">
      <c r="A497" s="58"/>
    </row>
    <row r="498" hidden="1">
      <c r="A498" s="58"/>
    </row>
    <row r="499" hidden="1">
      <c r="A499" s="58"/>
    </row>
    <row r="500" hidden="1">
      <c r="A500" s="58"/>
    </row>
    <row r="501" hidden="1">
      <c r="A501" s="58"/>
    </row>
    <row r="502" hidden="1">
      <c r="A502" s="58"/>
    </row>
    <row r="503" hidden="1">
      <c r="A503" s="58"/>
    </row>
    <row r="504" hidden="1">
      <c r="A504" s="58"/>
    </row>
    <row r="505" hidden="1">
      <c r="A505" s="58"/>
    </row>
    <row r="506" hidden="1">
      <c r="A506" s="58"/>
    </row>
    <row r="507" hidden="1">
      <c r="A507" s="58"/>
    </row>
    <row r="508" hidden="1">
      <c r="A508" s="58"/>
    </row>
    <row r="509" hidden="1">
      <c r="A509" s="58"/>
    </row>
    <row r="510" hidden="1">
      <c r="A510" s="58"/>
    </row>
    <row r="511" hidden="1">
      <c r="A511" s="58"/>
    </row>
    <row r="512" hidden="1">
      <c r="A512" s="58"/>
    </row>
    <row r="513" hidden="1">
      <c r="A513" s="58"/>
    </row>
    <row r="514" hidden="1">
      <c r="A514" s="58"/>
    </row>
    <row r="515" hidden="1">
      <c r="A515" s="58"/>
    </row>
    <row r="516" hidden="1">
      <c r="A516" s="58"/>
    </row>
    <row r="517" hidden="1">
      <c r="A517" s="58"/>
    </row>
    <row r="518" hidden="1">
      <c r="A518" s="58"/>
    </row>
    <row r="519" hidden="1">
      <c r="A519" s="58"/>
    </row>
    <row r="520" hidden="1">
      <c r="A520" s="58"/>
    </row>
    <row r="521" hidden="1">
      <c r="A521" s="58"/>
    </row>
    <row r="522" hidden="1">
      <c r="A522" s="58"/>
    </row>
    <row r="523" hidden="1">
      <c r="A523" s="58"/>
    </row>
    <row r="524" hidden="1">
      <c r="A524" s="58"/>
    </row>
    <row r="525" hidden="1">
      <c r="A525" s="58"/>
    </row>
    <row r="526" hidden="1">
      <c r="A526" s="58"/>
    </row>
    <row r="527" hidden="1">
      <c r="A527" s="58"/>
    </row>
    <row r="528" hidden="1">
      <c r="A528" s="58"/>
    </row>
    <row r="529" hidden="1">
      <c r="A529" s="58"/>
    </row>
    <row r="530" hidden="1">
      <c r="A530" s="58"/>
    </row>
    <row r="531" hidden="1">
      <c r="A531" s="58"/>
    </row>
    <row r="532" hidden="1">
      <c r="A532" s="58"/>
    </row>
    <row r="533" hidden="1">
      <c r="A533" s="58"/>
    </row>
    <row r="534" hidden="1">
      <c r="A534" s="58"/>
    </row>
    <row r="535" hidden="1">
      <c r="A535" s="58"/>
    </row>
    <row r="536" hidden="1">
      <c r="A536" s="58"/>
    </row>
    <row r="537" hidden="1">
      <c r="A537" s="58"/>
    </row>
    <row r="538" hidden="1">
      <c r="A538" s="58"/>
    </row>
    <row r="539" hidden="1">
      <c r="A539" s="58"/>
    </row>
    <row r="540" hidden="1">
      <c r="A540" s="58"/>
    </row>
    <row r="541" hidden="1">
      <c r="A541" s="58"/>
    </row>
    <row r="542" hidden="1">
      <c r="A542" s="58"/>
    </row>
    <row r="543" hidden="1">
      <c r="A543" s="58"/>
    </row>
    <row r="544" hidden="1">
      <c r="A544" s="58"/>
    </row>
    <row r="545" hidden="1">
      <c r="A545" s="58"/>
    </row>
    <row r="546" hidden="1">
      <c r="A546" s="58"/>
    </row>
    <row r="547" hidden="1">
      <c r="A547" s="58"/>
    </row>
    <row r="548" hidden="1">
      <c r="A548" s="58"/>
    </row>
    <row r="549" hidden="1">
      <c r="A549" s="58"/>
    </row>
    <row r="550" hidden="1">
      <c r="A550" s="58"/>
    </row>
    <row r="551" hidden="1">
      <c r="A551" s="58"/>
    </row>
    <row r="552" hidden="1">
      <c r="A552" s="58"/>
    </row>
    <row r="553" hidden="1">
      <c r="A553" s="58"/>
    </row>
    <row r="554" hidden="1">
      <c r="A554" s="58"/>
    </row>
    <row r="555" hidden="1">
      <c r="A555" s="58"/>
    </row>
    <row r="556" hidden="1">
      <c r="A556" s="58"/>
    </row>
    <row r="557" hidden="1">
      <c r="A557" s="58"/>
    </row>
    <row r="558" hidden="1">
      <c r="A558" s="58"/>
    </row>
    <row r="559" hidden="1">
      <c r="A559" s="58"/>
    </row>
    <row r="560" hidden="1">
      <c r="A560" s="58"/>
    </row>
    <row r="561" hidden="1">
      <c r="A561" s="58"/>
    </row>
    <row r="562" hidden="1">
      <c r="A562" s="58"/>
    </row>
    <row r="563" hidden="1">
      <c r="A563" s="58"/>
    </row>
    <row r="564" hidden="1">
      <c r="A564" s="58"/>
    </row>
    <row r="565" hidden="1">
      <c r="A565" s="58"/>
    </row>
    <row r="566" hidden="1">
      <c r="A566" s="58"/>
    </row>
    <row r="567" hidden="1">
      <c r="A567" s="58"/>
    </row>
    <row r="568" hidden="1">
      <c r="A568" s="58"/>
    </row>
    <row r="569" hidden="1">
      <c r="A569" s="58"/>
    </row>
    <row r="570" hidden="1">
      <c r="A570" s="58"/>
    </row>
    <row r="571" hidden="1">
      <c r="A571" s="58"/>
    </row>
    <row r="572" hidden="1">
      <c r="A572" s="58"/>
    </row>
    <row r="573" hidden="1">
      <c r="A573" s="58"/>
    </row>
    <row r="574" hidden="1">
      <c r="A574" s="58"/>
    </row>
    <row r="575" hidden="1">
      <c r="A575" s="58"/>
    </row>
    <row r="576" hidden="1">
      <c r="A576" s="58"/>
    </row>
    <row r="577" hidden="1">
      <c r="A577" s="58"/>
    </row>
    <row r="578" hidden="1">
      <c r="A578" s="58"/>
    </row>
    <row r="579" hidden="1">
      <c r="A579" s="58"/>
    </row>
    <row r="580" hidden="1">
      <c r="A580" s="58"/>
    </row>
    <row r="581" hidden="1">
      <c r="A581" s="58"/>
    </row>
    <row r="582" hidden="1">
      <c r="A582" s="58"/>
    </row>
    <row r="583" hidden="1">
      <c r="A583" s="58"/>
    </row>
    <row r="584" hidden="1">
      <c r="A584" s="58"/>
    </row>
    <row r="585" hidden="1">
      <c r="A585" s="58"/>
    </row>
    <row r="586" hidden="1">
      <c r="A586" s="58"/>
    </row>
    <row r="587" hidden="1">
      <c r="A587" s="58"/>
    </row>
    <row r="588" hidden="1">
      <c r="A588" s="58"/>
    </row>
    <row r="589" hidden="1">
      <c r="A589" s="58"/>
    </row>
    <row r="590" hidden="1">
      <c r="A590" s="58"/>
    </row>
    <row r="591" hidden="1">
      <c r="A591" s="58"/>
    </row>
    <row r="592" hidden="1">
      <c r="A592" s="58"/>
    </row>
    <row r="593" hidden="1">
      <c r="A593" s="58"/>
    </row>
    <row r="594" hidden="1">
      <c r="A594" s="58"/>
    </row>
    <row r="595" hidden="1">
      <c r="A595" s="58"/>
    </row>
    <row r="596" hidden="1">
      <c r="A596" s="58"/>
    </row>
    <row r="597" hidden="1">
      <c r="A597" s="58"/>
    </row>
    <row r="598" hidden="1">
      <c r="A598" s="58"/>
    </row>
    <row r="599" hidden="1">
      <c r="A599" s="58"/>
    </row>
    <row r="600" hidden="1">
      <c r="A600" s="58"/>
    </row>
    <row r="601" hidden="1">
      <c r="A601" s="58"/>
    </row>
    <row r="602" hidden="1">
      <c r="A602" s="58"/>
    </row>
    <row r="603" hidden="1">
      <c r="A603" s="58"/>
    </row>
    <row r="604" hidden="1">
      <c r="A604" s="58"/>
    </row>
    <row r="605" hidden="1">
      <c r="A605" s="58"/>
    </row>
    <row r="606" hidden="1">
      <c r="A606" s="58"/>
    </row>
    <row r="607" hidden="1">
      <c r="A607" s="58"/>
    </row>
    <row r="608" hidden="1">
      <c r="A608" s="58"/>
    </row>
    <row r="609" hidden="1">
      <c r="A609" s="58"/>
    </row>
    <row r="610" hidden="1">
      <c r="A610" s="58"/>
    </row>
    <row r="611" hidden="1">
      <c r="A611" s="58"/>
    </row>
    <row r="612" hidden="1">
      <c r="A612" s="58"/>
    </row>
    <row r="613" hidden="1">
      <c r="A613" s="58"/>
    </row>
    <row r="614" hidden="1">
      <c r="A614" s="58"/>
    </row>
    <row r="615" hidden="1">
      <c r="A615" s="58"/>
    </row>
    <row r="616" hidden="1">
      <c r="A616" s="58"/>
    </row>
    <row r="617" hidden="1">
      <c r="A617" s="58"/>
    </row>
    <row r="618" hidden="1">
      <c r="A618" s="58"/>
    </row>
    <row r="619" hidden="1">
      <c r="A619" s="58"/>
    </row>
    <row r="620" hidden="1">
      <c r="A620" s="58"/>
    </row>
    <row r="621" hidden="1">
      <c r="A621" s="58"/>
    </row>
    <row r="622" hidden="1">
      <c r="A622" s="58"/>
    </row>
    <row r="623" hidden="1">
      <c r="A623" s="58"/>
    </row>
    <row r="624" hidden="1">
      <c r="A624" s="58"/>
    </row>
    <row r="625" hidden="1">
      <c r="A625" s="58"/>
    </row>
    <row r="626" hidden="1">
      <c r="A626" s="58"/>
    </row>
    <row r="627" hidden="1">
      <c r="A627" s="58"/>
    </row>
    <row r="628" hidden="1">
      <c r="A628" s="58"/>
    </row>
    <row r="629" hidden="1">
      <c r="A629" s="58"/>
    </row>
    <row r="630" hidden="1">
      <c r="A630" s="58"/>
    </row>
    <row r="631" hidden="1">
      <c r="A631" s="58"/>
    </row>
    <row r="632" hidden="1">
      <c r="A632" s="58"/>
    </row>
    <row r="633" hidden="1">
      <c r="A633" s="58"/>
    </row>
    <row r="634" hidden="1">
      <c r="A634" s="58"/>
    </row>
    <row r="635" hidden="1">
      <c r="A635" s="58"/>
    </row>
    <row r="636" hidden="1">
      <c r="A636" s="58"/>
    </row>
    <row r="637" hidden="1">
      <c r="A637" s="58"/>
    </row>
    <row r="638" hidden="1">
      <c r="A638" s="58"/>
    </row>
    <row r="639" hidden="1">
      <c r="A639" s="58"/>
    </row>
    <row r="640" hidden="1">
      <c r="A640" s="58"/>
    </row>
    <row r="641" hidden="1">
      <c r="A641" s="58"/>
    </row>
    <row r="642" hidden="1">
      <c r="A642" s="58"/>
    </row>
    <row r="643" hidden="1">
      <c r="A643" s="58"/>
    </row>
    <row r="644" hidden="1">
      <c r="A644" s="58"/>
    </row>
    <row r="645" hidden="1">
      <c r="A645" s="58"/>
    </row>
    <row r="646" hidden="1">
      <c r="A646" s="58"/>
    </row>
    <row r="647" hidden="1">
      <c r="A647" s="58"/>
    </row>
    <row r="648" hidden="1">
      <c r="A648" s="58"/>
    </row>
    <row r="649" hidden="1">
      <c r="A649" s="58"/>
    </row>
    <row r="650" hidden="1">
      <c r="A650" s="58"/>
    </row>
    <row r="651" hidden="1">
      <c r="A651" s="58"/>
    </row>
    <row r="652" hidden="1">
      <c r="A652" s="58"/>
    </row>
    <row r="653" hidden="1">
      <c r="A653" s="58"/>
    </row>
    <row r="654" hidden="1">
      <c r="A654" s="58"/>
    </row>
    <row r="655" hidden="1">
      <c r="A655" s="58"/>
    </row>
    <row r="656" hidden="1">
      <c r="A656" s="58"/>
    </row>
    <row r="657" hidden="1">
      <c r="A657" s="58"/>
    </row>
    <row r="658" hidden="1">
      <c r="A658" s="58"/>
    </row>
    <row r="659" hidden="1">
      <c r="A659" s="58"/>
    </row>
    <row r="660" hidden="1">
      <c r="A660" s="58"/>
    </row>
    <row r="661" hidden="1">
      <c r="A661" s="58"/>
    </row>
    <row r="662" hidden="1">
      <c r="A662" s="58"/>
    </row>
    <row r="663" hidden="1">
      <c r="A663" s="58"/>
    </row>
    <row r="664" hidden="1">
      <c r="A664" s="58"/>
    </row>
    <row r="665" hidden="1">
      <c r="A665" s="58"/>
    </row>
    <row r="666" hidden="1">
      <c r="A666" s="58"/>
    </row>
    <row r="667" hidden="1">
      <c r="A667" s="58"/>
    </row>
    <row r="668" hidden="1">
      <c r="A668" s="58"/>
    </row>
    <row r="669" hidden="1">
      <c r="A669" s="58"/>
    </row>
    <row r="670" hidden="1">
      <c r="A670" s="58"/>
    </row>
    <row r="671" hidden="1">
      <c r="A671" s="58"/>
    </row>
    <row r="672" hidden="1">
      <c r="A672" s="58"/>
    </row>
    <row r="673" hidden="1">
      <c r="A673" s="58"/>
    </row>
    <row r="674" hidden="1">
      <c r="A674" s="58"/>
    </row>
    <row r="675" hidden="1">
      <c r="A675" s="58"/>
    </row>
    <row r="676" hidden="1">
      <c r="A676" s="58"/>
    </row>
    <row r="677" hidden="1">
      <c r="A677" s="58"/>
    </row>
    <row r="678" hidden="1">
      <c r="A678" s="58"/>
    </row>
    <row r="679" hidden="1">
      <c r="A679" s="58"/>
    </row>
    <row r="680" hidden="1">
      <c r="A680" s="58"/>
    </row>
    <row r="681" hidden="1">
      <c r="A681" s="58"/>
    </row>
    <row r="682" hidden="1">
      <c r="A682" s="58"/>
    </row>
    <row r="683" hidden="1">
      <c r="A683" s="58"/>
    </row>
    <row r="684" hidden="1">
      <c r="A684" s="58"/>
    </row>
    <row r="685" hidden="1">
      <c r="A685" s="58"/>
    </row>
    <row r="686" hidden="1">
      <c r="A686" s="58"/>
    </row>
    <row r="687" hidden="1">
      <c r="A687" s="58"/>
    </row>
    <row r="688" hidden="1">
      <c r="A688" s="58"/>
    </row>
    <row r="689" hidden="1">
      <c r="A689" s="58"/>
    </row>
    <row r="690" hidden="1">
      <c r="A690" s="58"/>
    </row>
    <row r="691" hidden="1">
      <c r="A691" s="58"/>
    </row>
    <row r="692" hidden="1">
      <c r="A692" s="58"/>
    </row>
    <row r="693" hidden="1">
      <c r="A693" s="58"/>
    </row>
    <row r="694" hidden="1">
      <c r="A694" s="58"/>
    </row>
    <row r="695" hidden="1">
      <c r="A695" s="58"/>
    </row>
    <row r="696" hidden="1">
      <c r="A696" s="58"/>
    </row>
    <row r="697" hidden="1">
      <c r="A697" s="58"/>
    </row>
    <row r="698" hidden="1">
      <c r="A698" s="58"/>
    </row>
    <row r="699" hidden="1">
      <c r="A699" s="58"/>
    </row>
    <row r="700" hidden="1">
      <c r="A700" s="58"/>
    </row>
    <row r="701" hidden="1">
      <c r="A701" s="58"/>
    </row>
    <row r="702" hidden="1">
      <c r="A702" s="58"/>
    </row>
    <row r="703" hidden="1">
      <c r="A703" s="58"/>
    </row>
    <row r="704" hidden="1">
      <c r="A704" s="58"/>
    </row>
    <row r="705" hidden="1">
      <c r="A705" s="58"/>
    </row>
    <row r="706" hidden="1">
      <c r="A706" s="58"/>
    </row>
    <row r="707" hidden="1">
      <c r="A707" s="58"/>
    </row>
    <row r="708" hidden="1">
      <c r="A708" s="58"/>
    </row>
    <row r="709" hidden="1">
      <c r="A709" s="58"/>
    </row>
    <row r="710" hidden="1">
      <c r="A710" s="58"/>
    </row>
    <row r="711" hidden="1">
      <c r="A711" s="58"/>
    </row>
    <row r="712" hidden="1">
      <c r="A712" s="58"/>
    </row>
    <row r="713" hidden="1">
      <c r="A713" s="58"/>
    </row>
    <row r="714" hidden="1">
      <c r="A714" s="58"/>
    </row>
    <row r="715" hidden="1">
      <c r="A715" s="58"/>
    </row>
    <row r="716" hidden="1">
      <c r="A716" s="58"/>
    </row>
    <row r="717" hidden="1">
      <c r="A717" s="58"/>
    </row>
    <row r="718" hidden="1">
      <c r="A718" s="58"/>
    </row>
    <row r="719" hidden="1">
      <c r="A719" s="58"/>
    </row>
    <row r="720" hidden="1">
      <c r="A720" s="58"/>
    </row>
    <row r="721" hidden="1">
      <c r="A721" s="58"/>
    </row>
    <row r="722" hidden="1">
      <c r="A722" s="58"/>
    </row>
    <row r="723" hidden="1">
      <c r="A723" s="58"/>
    </row>
    <row r="724" hidden="1">
      <c r="A724" s="58"/>
    </row>
    <row r="725" hidden="1">
      <c r="A725" s="58"/>
    </row>
    <row r="726" hidden="1">
      <c r="A726" s="58"/>
    </row>
    <row r="727" hidden="1">
      <c r="A727" s="58"/>
    </row>
    <row r="728" hidden="1">
      <c r="A728" s="58"/>
    </row>
    <row r="729" hidden="1">
      <c r="A729" s="58"/>
    </row>
    <row r="730" hidden="1">
      <c r="A730" s="58"/>
    </row>
    <row r="731" hidden="1">
      <c r="A731" s="58"/>
    </row>
    <row r="732" hidden="1">
      <c r="A732" s="58"/>
    </row>
    <row r="733" hidden="1">
      <c r="A733" s="58"/>
    </row>
    <row r="734" hidden="1">
      <c r="A734" s="58"/>
    </row>
    <row r="735" hidden="1">
      <c r="A735" s="58"/>
    </row>
    <row r="736" hidden="1">
      <c r="A736" s="58"/>
    </row>
    <row r="737" hidden="1">
      <c r="A737" s="58"/>
    </row>
    <row r="738" hidden="1">
      <c r="A738" s="58"/>
    </row>
    <row r="739" hidden="1">
      <c r="A739" s="58"/>
    </row>
    <row r="740" hidden="1">
      <c r="A740" s="58"/>
    </row>
    <row r="741" hidden="1">
      <c r="A741" s="58"/>
    </row>
    <row r="742" hidden="1">
      <c r="A742" s="58"/>
    </row>
    <row r="743" hidden="1">
      <c r="A743" s="58"/>
    </row>
    <row r="744" hidden="1">
      <c r="A744" s="58"/>
    </row>
    <row r="745" hidden="1">
      <c r="A745" s="58"/>
    </row>
    <row r="746" hidden="1">
      <c r="A746" s="58"/>
    </row>
    <row r="747" hidden="1">
      <c r="A747" s="58"/>
    </row>
    <row r="748" hidden="1">
      <c r="A748" s="58"/>
    </row>
    <row r="749" hidden="1">
      <c r="A749" s="58"/>
    </row>
    <row r="750" hidden="1">
      <c r="A750" s="58"/>
    </row>
    <row r="751" hidden="1">
      <c r="A751" s="58"/>
    </row>
    <row r="752" hidden="1">
      <c r="A752" s="58"/>
    </row>
    <row r="753" hidden="1">
      <c r="A753" s="58"/>
    </row>
    <row r="754" hidden="1">
      <c r="A754" s="58"/>
    </row>
    <row r="755" hidden="1">
      <c r="A755" s="58"/>
    </row>
    <row r="756" hidden="1">
      <c r="A756" s="58"/>
    </row>
    <row r="757" hidden="1">
      <c r="A757" s="58"/>
    </row>
    <row r="758" hidden="1">
      <c r="A758" s="58"/>
    </row>
    <row r="759" hidden="1">
      <c r="A759" s="58"/>
    </row>
    <row r="760" hidden="1">
      <c r="A760" s="58"/>
    </row>
    <row r="761" hidden="1">
      <c r="A761" s="58"/>
    </row>
    <row r="762" hidden="1">
      <c r="A762" s="58"/>
    </row>
    <row r="763" hidden="1">
      <c r="A763" s="58"/>
    </row>
    <row r="764" hidden="1">
      <c r="A764" s="58"/>
    </row>
    <row r="765" hidden="1">
      <c r="A765" s="58"/>
    </row>
    <row r="766" hidden="1">
      <c r="A766" s="58"/>
    </row>
    <row r="767" hidden="1">
      <c r="A767" s="58"/>
    </row>
    <row r="768" hidden="1">
      <c r="A768" s="58"/>
    </row>
    <row r="769" hidden="1">
      <c r="A769" s="58"/>
    </row>
    <row r="770" hidden="1">
      <c r="A770" s="58"/>
    </row>
    <row r="771" hidden="1">
      <c r="A771" s="58"/>
    </row>
    <row r="772" hidden="1">
      <c r="A772" s="58"/>
    </row>
    <row r="773" hidden="1">
      <c r="A773" s="58"/>
    </row>
    <row r="774" hidden="1">
      <c r="A774" s="58"/>
    </row>
    <row r="775" hidden="1">
      <c r="A775" s="58"/>
    </row>
    <row r="776" hidden="1">
      <c r="A776" s="58"/>
    </row>
    <row r="777" hidden="1">
      <c r="A777" s="58"/>
    </row>
    <row r="778" hidden="1">
      <c r="A778" s="58"/>
    </row>
    <row r="779" hidden="1">
      <c r="A779" s="58"/>
    </row>
    <row r="780" hidden="1">
      <c r="A780" s="58"/>
    </row>
    <row r="781" hidden="1">
      <c r="A781" s="58"/>
    </row>
    <row r="782" hidden="1">
      <c r="A782" s="58"/>
    </row>
    <row r="783" hidden="1">
      <c r="A783" s="58"/>
    </row>
    <row r="784" hidden="1">
      <c r="A784" s="58"/>
    </row>
    <row r="785" hidden="1">
      <c r="A785" s="58"/>
    </row>
    <row r="786" hidden="1">
      <c r="A786" s="58"/>
    </row>
    <row r="787" hidden="1">
      <c r="A787" s="58"/>
    </row>
    <row r="788" hidden="1">
      <c r="A788" s="58"/>
    </row>
    <row r="789" hidden="1">
      <c r="A789" s="58"/>
    </row>
    <row r="790" hidden="1">
      <c r="A790" s="58"/>
    </row>
    <row r="791" hidden="1">
      <c r="A791" s="58"/>
    </row>
    <row r="792" hidden="1">
      <c r="A792" s="58"/>
    </row>
    <row r="793" hidden="1">
      <c r="A793" s="58"/>
    </row>
    <row r="794" hidden="1">
      <c r="A794" s="58"/>
    </row>
    <row r="795" hidden="1">
      <c r="A795" s="58"/>
    </row>
    <row r="796" hidden="1">
      <c r="A796" s="58"/>
    </row>
    <row r="797" hidden="1">
      <c r="A797" s="58"/>
    </row>
    <row r="798" hidden="1">
      <c r="A798" s="58"/>
    </row>
    <row r="799" hidden="1">
      <c r="A799" s="58"/>
    </row>
    <row r="800" hidden="1">
      <c r="A800" s="58"/>
    </row>
    <row r="801" hidden="1">
      <c r="A801" s="58"/>
    </row>
    <row r="802" hidden="1">
      <c r="A802" s="58"/>
    </row>
    <row r="803" hidden="1">
      <c r="A803" s="58"/>
    </row>
    <row r="804" hidden="1">
      <c r="A804" s="58"/>
    </row>
    <row r="805" hidden="1">
      <c r="A805" s="58"/>
    </row>
    <row r="806" hidden="1">
      <c r="A806" s="58"/>
    </row>
    <row r="807" hidden="1">
      <c r="A807" s="58"/>
    </row>
    <row r="808" hidden="1">
      <c r="A808" s="58"/>
    </row>
    <row r="809" hidden="1">
      <c r="A809" s="58"/>
    </row>
    <row r="810" hidden="1">
      <c r="A810" s="58"/>
    </row>
    <row r="811" hidden="1">
      <c r="A811" s="58"/>
    </row>
    <row r="812" hidden="1">
      <c r="A812" s="58"/>
    </row>
    <row r="813" hidden="1">
      <c r="A813" s="58"/>
    </row>
    <row r="814" hidden="1">
      <c r="A814" s="58"/>
    </row>
    <row r="815" hidden="1">
      <c r="A815" s="58"/>
    </row>
    <row r="816" hidden="1">
      <c r="A816" s="58"/>
    </row>
    <row r="817" hidden="1">
      <c r="A817" s="58"/>
    </row>
    <row r="818" hidden="1">
      <c r="A818" s="58"/>
    </row>
    <row r="819" hidden="1">
      <c r="A819" s="58"/>
    </row>
    <row r="820" hidden="1">
      <c r="A820" s="58"/>
    </row>
    <row r="821" hidden="1">
      <c r="A821" s="58"/>
    </row>
    <row r="822" hidden="1">
      <c r="A822" s="58"/>
    </row>
    <row r="823" hidden="1">
      <c r="A823" s="58"/>
    </row>
    <row r="824" hidden="1">
      <c r="A824" s="58"/>
    </row>
    <row r="825" hidden="1">
      <c r="A825" s="58"/>
    </row>
    <row r="826" hidden="1">
      <c r="A826" s="58"/>
    </row>
    <row r="827" hidden="1">
      <c r="A827" s="58"/>
    </row>
    <row r="828" hidden="1">
      <c r="A828" s="58"/>
    </row>
    <row r="829" hidden="1">
      <c r="A829" s="58"/>
    </row>
    <row r="830" hidden="1">
      <c r="A830" s="58"/>
    </row>
    <row r="831" hidden="1">
      <c r="A831" s="58"/>
    </row>
    <row r="832" hidden="1">
      <c r="A832" s="58"/>
    </row>
    <row r="833" hidden="1">
      <c r="A833" s="58"/>
    </row>
    <row r="834" hidden="1">
      <c r="A834" s="58"/>
    </row>
    <row r="835" hidden="1">
      <c r="A835" s="58"/>
    </row>
    <row r="836" hidden="1">
      <c r="A836" s="58"/>
    </row>
    <row r="837" hidden="1">
      <c r="A837" s="58"/>
    </row>
    <row r="838" hidden="1">
      <c r="A838" s="58"/>
    </row>
    <row r="839" hidden="1">
      <c r="A839" s="58"/>
    </row>
    <row r="840" hidden="1">
      <c r="A840" s="58"/>
    </row>
    <row r="841" hidden="1">
      <c r="A841" s="58"/>
    </row>
    <row r="842" hidden="1">
      <c r="A842" s="58"/>
    </row>
    <row r="843" hidden="1">
      <c r="A843" s="58"/>
    </row>
    <row r="844" hidden="1">
      <c r="A844" s="58"/>
    </row>
    <row r="845" hidden="1">
      <c r="A845" s="58"/>
    </row>
    <row r="846" hidden="1">
      <c r="A846" s="58"/>
    </row>
    <row r="847" hidden="1">
      <c r="A847" s="58"/>
    </row>
    <row r="848" hidden="1">
      <c r="A848" s="58"/>
    </row>
    <row r="849" hidden="1">
      <c r="A849" s="58"/>
    </row>
    <row r="850" hidden="1">
      <c r="A850" s="58"/>
    </row>
    <row r="851" hidden="1">
      <c r="A851" s="58"/>
    </row>
    <row r="852" hidden="1">
      <c r="A852" s="58"/>
    </row>
    <row r="853" hidden="1">
      <c r="A853" s="58"/>
    </row>
    <row r="854" hidden="1">
      <c r="A854" s="58"/>
    </row>
    <row r="855" hidden="1">
      <c r="A855" s="58"/>
    </row>
    <row r="856" hidden="1">
      <c r="A856" s="58"/>
    </row>
    <row r="857" hidden="1">
      <c r="A857" s="58"/>
    </row>
    <row r="858" hidden="1">
      <c r="A858" s="58"/>
    </row>
    <row r="859" hidden="1">
      <c r="A859" s="58"/>
    </row>
    <row r="860" hidden="1">
      <c r="A860" s="58"/>
    </row>
    <row r="861" hidden="1">
      <c r="A861" s="58"/>
    </row>
    <row r="862" hidden="1">
      <c r="A862" s="58"/>
    </row>
    <row r="863" hidden="1">
      <c r="A863" s="58"/>
    </row>
    <row r="864" hidden="1">
      <c r="A864" s="58"/>
    </row>
    <row r="865" hidden="1">
      <c r="A865" s="58"/>
    </row>
    <row r="866" hidden="1">
      <c r="A866" s="58"/>
    </row>
    <row r="867" hidden="1">
      <c r="A867" s="58"/>
    </row>
    <row r="868" hidden="1">
      <c r="A868" s="58"/>
    </row>
    <row r="869" hidden="1">
      <c r="A869" s="58"/>
    </row>
    <row r="870" hidden="1">
      <c r="A870" s="58"/>
    </row>
    <row r="871" hidden="1">
      <c r="A871" s="58"/>
    </row>
    <row r="872" hidden="1">
      <c r="A872" s="58"/>
    </row>
    <row r="873" hidden="1">
      <c r="A873" s="58"/>
    </row>
    <row r="874" hidden="1">
      <c r="A874" s="58"/>
    </row>
    <row r="875" hidden="1">
      <c r="A875" s="58"/>
    </row>
    <row r="876" hidden="1">
      <c r="A876" s="58"/>
    </row>
    <row r="877" hidden="1">
      <c r="A877" s="58"/>
    </row>
    <row r="878" hidden="1">
      <c r="A878" s="58"/>
    </row>
    <row r="879" hidden="1">
      <c r="A879" s="58"/>
    </row>
    <row r="880" hidden="1">
      <c r="A880" s="58"/>
    </row>
    <row r="881" hidden="1">
      <c r="A881" s="58"/>
    </row>
    <row r="882" hidden="1">
      <c r="A882" s="58"/>
    </row>
    <row r="883" hidden="1">
      <c r="A883" s="58"/>
    </row>
    <row r="884" hidden="1">
      <c r="A884" s="58"/>
    </row>
    <row r="885" hidden="1">
      <c r="A885" s="58"/>
    </row>
    <row r="886" hidden="1">
      <c r="A886" s="58"/>
    </row>
    <row r="887" hidden="1">
      <c r="A887" s="58"/>
    </row>
    <row r="888" hidden="1">
      <c r="A888" s="58"/>
    </row>
    <row r="889" hidden="1">
      <c r="A889" s="58"/>
    </row>
    <row r="890" hidden="1">
      <c r="A890" s="58"/>
    </row>
    <row r="891" hidden="1">
      <c r="A891" s="58"/>
    </row>
    <row r="892" hidden="1">
      <c r="A892" s="58"/>
    </row>
    <row r="893" hidden="1">
      <c r="A893" s="58"/>
    </row>
    <row r="894" hidden="1">
      <c r="A894" s="58"/>
    </row>
    <row r="895" hidden="1">
      <c r="A895" s="58"/>
    </row>
    <row r="896" hidden="1">
      <c r="A896" s="58"/>
    </row>
    <row r="897" hidden="1">
      <c r="A897" s="58"/>
    </row>
    <row r="898" hidden="1">
      <c r="A898" s="58"/>
    </row>
    <row r="899" hidden="1">
      <c r="A899" s="58"/>
    </row>
    <row r="900" hidden="1">
      <c r="A900" s="58"/>
    </row>
    <row r="901" hidden="1">
      <c r="A901" s="58"/>
    </row>
    <row r="902" hidden="1">
      <c r="A902" s="58"/>
    </row>
    <row r="903" hidden="1">
      <c r="A903" s="58"/>
    </row>
    <row r="904" hidden="1">
      <c r="A904" s="58"/>
    </row>
    <row r="905" hidden="1">
      <c r="A905" s="58"/>
    </row>
    <row r="906" hidden="1">
      <c r="A906" s="58"/>
    </row>
    <row r="907" hidden="1">
      <c r="A907" s="58"/>
    </row>
    <row r="908" hidden="1">
      <c r="A908" s="58"/>
    </row>
    <row r="909" hidden="1">
      <c r="A909" s="58"/>
    </row>
    <row r="910" hidden="1">
      <c r="A910" s="58"/>
    </row>
    <row r="911" hidden="1">
      <c r="A911" s="58"/>
    </row>
    <row r="912" hidden="1">
      <c r="A912" s="58"/>
    </row>
    <row r="913" hidden="1">
      <c r="A913" s="58"/>
    </row>
    <row r="914" hidden="1">
      <c r="A914" s="58"/>
    </row>
    <row r="915" hidden="1">
      <c r="A915" s="58"/>
    </row>
    <row r="916" hidden="1">
      <c r="A916" s="58"/>
    </row>
    <row r="917" hidden="1">
      <c r="A917" s="58"/>
    </row>
    <row r="918" hidden="1">
      <c r="A918" s="58"/>
    </row>
    <row r="919" hidden="1">
      <c r="A919" s="58"/>
    </row>
    <row r="920" hidden="1">
      <c r="A920" s="58"/>
    </row>
    <row r="921" hidden="1">
      <c r="A921" s="58"/>
    </row>
    <row r="922" hidden="1">
      <c r="A922" s="58"/>
    </row>
    <row r="923" hidden="1">
      <c r="A923" s="58"/>
    </row>
    <row r="924" hidden="1">
      <c r="A924" s="58"/>
    </row>
    <row r="925" hidden="1">
      <c r="A925" s="58"/>
    </row>
    <row r="926" hidden="1">
      <c r="A926" s="58"/>
    </row>
    <row r="927" hidden="1">
      <c r="A927" s="58"/>
    </row>
    <row r="928" hidden="1">
      <c r="A928" s="58"/>
    </row>
    <row r="929" hidden="1">
      <c r="A929" s="58"/>
    </row>
    <row r="930" hidden="1">
      <c r="A930" s="58"/>
    </row>
    <row r="931" hidden="1">
      <c r="A931" s="58"/>
    </row>
    <row r="932" hidden="1">
      <c r="A932" s="58"/>
    </row>
    <row r="933" hidden="1">
      <c r="A933" s="58"/>
    </row>
    <row r="934" hidden="1">
      <c r="A934" s="58"/>
    </row>
    <row r="935" hidden="1">
      <c r="A935" s="58"/>
    </row>
    <row r="936" hidden="1">
      <c r="A936" s="58"/>
    </row>
    <row r="937" hidden="1">
      <c r="A937" s="58"/>
    </row>
    <row r="938" hidden="1">
      <c r="A938" s="58"/>
    </row>
    <row r="939" hidden="1">
      <c r="A939" s="58"/>
    </row>
    <row r="940" hidden="1">
      <c r="A940" s="58"/>
    </row>
    <row r="941" hidden="1">
      <c r="A941" s="58"/>
    </row>
    <row r="942" hidden="1">
      <c r="A942" s="58"/>
    </row>
    <row r="943" hidden="1">
      <c r="A943" s="58"/>
    </row>
    <row r="944" hidden="1">
      <c r="A944" s="58"/>
    </row>
    <row r="945" hidden="1">
      <c r="A945" s="58"/>
    </row>
    <row r="946" hidden="1">
      <c r="A946" s="58"/>
    </row>
    <row r="947" hidden="1">
      <c r="A947" s="58"/>
    </row>
    <row r="948" hidden="1">
      <c r="A948" s="58"/>
    </row>
    <row r="949" hidden="1">
      <c r="A949" s="58"/>
    </row>
    <row r="950" hidden="1">
      <c r="A950" s="58"/>
    </row>
    <row r="951" hidden="1">
      <c r="A951" s="58"/>
    </row>
    <row r="952" hidden="1">
      <c r="A952" s="58"/>
    </row>
    <row r="953" hidden="1">
      <c r="A953" s="58"/>
    </row>
    <row r="954" hidden="1">
      <c r="A954" s="58"/>
    </row>
    <row r="955" hidden="1">
      <c r="A955" s="58"/>
    </row>
    <row r="956" hidden="1">
      <c r="A956" s="58"/>
    </row>
    <row r="957" hidden="1">
      <c r="A957" s="58"/>
    </row>
    <row r="958" hidden="1">
      <c r="A958" s="58"/>
    </row>
    <row r="959" hidden="1">
      <c r="A959" s="58"/>
    </row>
    <row r="960" hidden="1">
      <c r="A960" s="58"/>
    </row>
    <row r="961" hidden="1">
      <c r="A961" s="58"/>
    </row>
    <row r="962" hidden="1">
      <c r="A962" s="58"/>
    </row>
    <row r="963" hidden="1">
      <c r="A963" s="58"/>
    </row>
    <row r="964" hidden="1">
      <c r="A964" s="58"/>
    </row>
    <row r="965" hidden="1">
      <c r="A965" s="58"/>
    </row>
    <row r="966" hidden="1">
      <c r="A966" s="58"/>
    </row>
    <row r="967" hidden="1">
      <c r="A967" s="58"/>
    </row>
    <row r="968" hidden="1">
      <c r="A968" s="58"/>
    </row>
    <row r="969" hidden="1">
      <c r="A969" s="58"/>
    </row>
    <row r="970" hidden="1">
      <c r="A970" s="58"/>
    </row>
    <row r="971" hidden="1">
      <c r="A971" s="58"/>
    </row>
    <row r="972" hidden="1">
      <c r="A972" s="58"/>
    </row>
    <row r="973" hidden="1">
      <c r="A973" s="58"/>
    </row>
    <row r="974" hidden="1">
      <c r="A974" s="58"/>
    </row>
    <row r="975" hidden="1">
      <c r="A975" s="58"/>
    </row>
    <row r="976" hidden="1">
      <c r="A976" s="58"/>
    </row>
    <row r="977" hidden="1">
      <c r="A977" s="58"/>
    </row>
    <row r="978" hidden="1">
      <c r="A978" s="58"/>
    </row>
    <row r="979" hidden="1">
      <c r="A979" s="58"/>
    </row>
    <row r="980" hidden="1">
      <c r="A980" s="58"/>
    </row>
    <row r="981" hidden="1">
      <c r="A981" s="58"/>
    </row>
    <row r="982" hidden="1">
      <c r="A982" s="58"/>
    </row>
    <row r="983" hidden="1">
      <c r="A983" s="58"/>
    </row>
    <row r="984" hidden="1">
      <c r="A984" s="58"/>
    </row>
    <row r="985" hidden="1">
      <c r="A985" s="58"/>
    </row>
    <row r="986" hidden="1">
      <c r="A986" s="58"/>
    </row>
    <row r="987" hidden="1">
      <c r="A987" s="58"/>
    </row>
    <row r="988" hidden="1">
      <c r="A988" s="58"/>
    </row>
    <row r="989" hidden="1">
      <c r="A989" s="58"/>
    </row>
    <row r="990" hidden="1">
      <c r="A990" s="58"/>
    </row>
    <row r="991" hidden="1">
      <c r="A991" s="58"/>
    </row>
    <row r="992" hidden="1">
      <c r="A992" s="58"/>
    </row>
    <row r="993" hidden="1">
      <c r="A993" s="58"/>
    </row>
    <row r="994" hidden="1">
      <c r="A994" s="58"/>
    </row>
    <row r="995" hidden="1">
      <c r="A995" s="58"/>
    </row>
    <row r="996" hidden="1">
      <c r="A996" s="58"/>
    </row>
    <row r="997" hidden="1">
      <c r="A997" s="58"/>
    </row>
    <row r="998" hidden="1">
      <c r="A998" s="58"/>
    </row>
    <row r="999" hidden="1">
      <c r="A999" s="58"/>
    </row>
    <row r="1000" hidden="1">
      <c r="A1000" s="58"/>
    </row>
    <row r="1001" hidden="1">
      <c r="A1001" s="58"/>
    </row>
    <row r="1002" hidden="1">
      <c r="A1002" s="58"/>
    </row>
    <row r="1003" hidden="1">
      <c r="A1003" s="58"/>
    </row>
    <row r="1004" hidden="1">
      <c r="A1004" s="58"/>
    </row>
    <row r="1005" hidden="1">
      <c r="A1005" s="58"/>
    </row>
    <row r="1006" hidden="1">
      <c r="A1006" s="58"/>
    </row>
    <row r="1007" hidden="1">
      <c r="A1007" s="58"/>
    </row>
    <row r="1008" hidden="1">
      <c r="A1008" s="58"/>
    </row>
    <row r="1009" hidden="1">
      <c r="A1009" s="58"/>
    </row>
    <row r="1010" hidden="1">
      <c r="A1010" s="58"/>
    </row>
    <row r="1011" hidden="1">
      <c r="A1011" s="58"/>
    </row>
    <row r="1012" hidden="1">
      <c r="A1012" s="58"/>
    </row>
    <row r="1013" hidden="1">
      <c r="A1013" s="58"/>
    </row>
    <row r="1014" hidden="1">
      <c r="A1014" s="58"/>
    </row>
    <row r="1015" hidden="1">
      <c r="A1015" s="58"/>
    </row>
    <row r="1016" hidden="1">
      <c r="A1016" s="58"/>
    </row>
    <row r="1017" hidden="1">
      <c r="A1017" s="58"/>
    </row>
    <row r="1018" hidden="1">
      <c r="A1018" s="58"/>
    </row>
    <row r="1019" hidden="1">
      <c r="A1019" s="58"/>
    </row>
    <row r="1020" hidden="1">
      <c r="A1020" s="58"/>
    </row>
    <row r="1021" hidden="1">
      <c r="A1021" s="58"/>
    </row>
    <row r="1022" hidden="1">
      <c r="A1022" s="58"/>
    </row>
    <row r="1023" hidden="1">
      <c r="A1023" s="58"/>
    </row>
    <row r="1024" hidden="1">
      <c r="A1024" s="58"/>
    </row>
    <row r="1025" hidden="1">
      <c r="A1025" s="58"/>
    </row>
    <row r="1026" hidden="1">
      <c r="A1026" s="58"/>
    </row>
    <row r="1027" hidden="1">
      <c r="A1027" s="58"/>
    </row>
    <row r="1028" hidden="1">
      <c r="A1028" s="58"/>
    </row>
    <row r="1029" hidden="1">
      <c r="A1029" s="58"/>
    </row>
    <row r="1030" hidden="1">
      <c r="A1030" s="58"/>
    </row>
    <row r="1031" hidden="1">
      <c r="A1031" s="58"/>
    </row>
    <row r="1032" hidden="1">
      <c r="A1032" s="58"/>
    </row>
    <row r="1033" hidden="1">
      <c r="A1033" s="58"/>
    </row>
    <row r="1034" hidden="1">
      <c r="A1034" s="58"/>
    </row>
    <row r="1035" hidden="1">
      <c r="A1035" s="58"/>
    </row>
    <row r="1036" hidden="1">
      <c r="A1036" s="58"/>
    </row>
    <row r="1037" hidden="1">
      <c r="A1037" s="58"/>
    </row>
    <row r="1038" hidden="1">
      <c r="A1038" s="58"/>
    </row>
    <row r="1039" hidden="1">
      <c r="A1039" s="58"/>
    </row>
    <row r="1040" hidden="1">
      <c r="A1040" s="58"/>
    </row>
    <row r="1041" hidden="1">
      <c r="A1041" s="58"/>
    </row>
    <row r="1042" hidden="1">
      <c r="A1042" s="58"/>
    </row>
    <row r="1043" hidden="1">
      <c r="A1043" s="58"/>
    </row>
    <row r="1044" hidden="1">
      <c r="A1044" s="58"/>
    </row>
    <row r="1045" hidden="1">
      <c r="A1045" s="58"/>
    </row>
    <row r="1046" hidden="1">
      <c r="A1046" s="58"/>
    </row>
    <row r="1047" hidden="1">
      <c r="A1047" s="58"/>
    </row>
    <row r="1048" hidden="1">
      <c r="A1048" s="58"/>
    </row>
    <row r="1049" hidden="1">
      <c r="A1049" s="58"/>
    </row>
    <row r="1050" hidden="1">
      <c r="A1050" s="58"/>
    </row>
    <row r="1051" hidden="1">
      <c r="A1051" s="58"/>
    </row>
    <row r="1052" hidden="1">
      <c r="A1052" s="58"/>
    </row>
    <row r="1053" hidden="1">
      <c r="A1053" s="58"/>
    </row>
    <row r="1054" hidden="1">
      <c r="A1054" s="58"/>
    </row>
    <row r="1055" hidden="1">
      <c r="A1055" s="58"/>
    </row>
    <row r="1056" hidden="1">
      <c r="A1056" s="58"/>
    </row>
    <row r="1057" hidden="1">
      <c r="A1057" s="58"/>
    </row>
    <row r="1058" hidden="1">
      <c r="A1058" s="58"/>
    </row>
    <row r="1059" hidden="1">
      <c r="A1059" s="58"/>
    </row>
    <row r="1060" hidden="1">
      <c r="A1060" s="58"/>
    </row>
    <row r="1061" hidden="1">
      <c r="A1061" s="58"/>
    </row>
    <row r="1062" hidden="1">
      <c r="A1062" s="58"/>
    </row>
    <row r="1063" hidden="1">
      <c r="A1063" s="58"/>
    </row>
    <row r="1064" hidden="1">
      <c r="A1064" s="58"/>
    </row>
    <row r="1065" hidden="1">
      <c r="A1065" s="58"/>
    </row>
    <row r="1066" hidden="1">
      <c r="A1066" s="58"/>
    </row>
    <row r="1067" hidden="1">
      <c r="A1067" s="58"/>
    </row>
    <row r="1068" hidden="1">
      <c r="A1068" s="58"/>
    </row>
    <row r="1069" hidden="1">
      <c r="A1069" s="58"/>
    </row>
    <row r="1070" hidden="1">
      <c r="A1070" s="58"/>
    </row>
    <row r="1071" hidden="1">
      <c r="A1071" s="58"/>
    </row>
    <row r="1072" hidden="1">
      <c r="A1072" s="58"/>
    </row>
    <row r="1073" hidden="1">
      <c r="A1073" s="58"/>
    </row>
    <row r="1074" hidden="1">
      <c r="A1074" s="58"/>
    </row>
    <row r="1075" hidden="1">
      <c r="A1075" s="58"/>
    </row>
    <row r="1076" hidden="1">
      <c r="A1076" s="58"/>
    </row>
    <row r="1077" hidden="1">
      <c r="A1077" s="58"/>
    </row>
    <row r="1078" hidden="1">
      <c r="A1078" s="58"/>
    </row>
    <row r="1079" hidden="1">
      <c r="A1079" s="58"/>
    </row>
    <row r="1080" hidden="1">
      <c r="A1080" s="58"/>
    </row>
    <row r="1081" hidden="1">
      <c r="A1081" s="58"/>
    </row>
    <row r="1082" hidden="1">
      <c r="A1082" s="58"/>
    </row>
    <row r="1083" hidden="1">
      <c r="A1083" s="58"/>
    </row>
    <row r="1084" hidden="1">
      <c r="A1084" s="58"/>
    </row>
    <row r="1085" hidden="1">
      <c r="A1085" s="58"/>
    </row>
    <row r="1086" hidden="1">
      <c r="A1086" s="58"/>
    </row>
    <row r="1087" hidden="1">
      <c r="A1087" s="58"/>
    </row>
    <row r="1088" hidden="1">
      <c r="A1088" s="58"/>
    </row>
    <row r="1089" hidden="1">
      <c r="A1089" s="58"/>
    </row>
    <row r="1090" hidden="1">
      <c r="A1090" s="58"/>
    </row>
    <row r="1091" hidden="1">
      <c r="A1091" s="58"/>
    </row>
    <row r="1092" hidden="1">
      <c r="A1092" s="58"/>
    </row>
    <row r="1093" hidden="1">
      <c r="A1093" s="58"/>
    </row>
    <row r="1094" hidden="1">
      <c r="A1094" s="58"/>
    </row>
    <row r="1095" hidden="1">
      <c r="A1095" s="58"/>
    </row>
    <row r="1096" hidden="1">
      <c r="A1096" s="58"/>
    </row>
    <row r="1097" hidden="1">
      <c r="A1097" s="58"/>
    </row>
    <row r="1098" hidden="1">
      <c r="A1098" s="58"/>
    </row>
    <row r="1099" hidden="1">
      <c r="A1099" s="58"/>
    </row>
    <row r="1100" hidden="1">
      <c r="A1100" s="58"/>
    </row>
    <row r="1101" hidden="1">
      <c r="A1101" s="58"/>
    </row>
    <row r="1102" hidden="1">
      <c r="A1102" s="58"/>
    </row>
    <row r="1103" hidden="1">
      <c r="A1103" s="58"/>
    </row>
    <row r="1104" hidden="1">
      <c r="A1104" s="58"/>
    </row>
    <row r="1105" hidden="1">
      <c r="A1105" s="58"/>
    </row>
    <row r="1106" hidden="1">
      <c r="A1106" s="58"/>
    </row>
    <row r="1107" hidden="1">
      <c r="A1107" s="58"/>
    </row>
    <row r="1108" hidden="1">
      <c r="A1108" s="58"/>
    </row>
    <row r="1109" hidden="1">
      <c r="A1109" s="58"/>
    </row>
    <row r="1110" hidden="1">
      <c r="A1110" s="58"/>
    </row>
    <row r="1111" hidden="1">
      <c r="A1111" s="58"/>
    </row>
    <row r="1112" hidden="1">
      <c r="A1112" s="58"/>
    </row>
    <row r="1113" hidden="1">
      <c r="A1113" s="58"/>
    </row>
  </sheetData>
  <mergeCells count="1">
    <mergeCell ref="A1:O1"/>
  </mergeCells>
  <conditionalFormatting sqref="C3:C178">
    <cfRule type="colorScale" priority="1">
      <colorScale>
        <cfvo type="min"/>
        <cfvo type="max"/>
        <color rgb="FFFFFFFF"/>
        <color rgb="FF57BB8A"/>
      </colorScale>
    </cfRule>
  </conditionalFormatting>
  <conditionalFormatting sqref="D3:D178">
    <cfRule type="colorScale" priority="2">
      <colorScale>
        <cfvo type="min"/>
        <cfvo type="max"/>
        <color rgb="FFFFFFFF"/>
        <color rgb="FF57BB8A"/>
      </colorScale>
    </cfRule>
  </conditionalFormatting>
  <conditionalFormatting sqref="G3:G178">
    <cfRule type="colorScale" priority="3">
      <colorScale>
        <cfvo type="min"/>
        <cfvo type="max"/>
        <color rgb="FFFFFFFF"/>
        <color rgb="FF57BB8A"/>
      </colorScale>
    </cfRule>
  </conditionalFormatting>
  <conditionalFormatting sqref="M3:M178 N17 N20 N99">
    <cfRule type="colorScale" priority="4">
      <colorScale>
        <cfvo type="min"/>
        <cfvo type="max"/>
        <color rgb="FFFFFFFF"/>
        <color rgb="FF57BB8A"/>
      </colorScale>
    </cfRule>
  </conditionalFormatting>
  <conditionalFormatting sqref="N3:N178 M87 M141:M142">
    <cfRule type="colorScale" priority="5">
      <colorScale>
        <cfvo type="min"/>
        <cfvo type="max"/>
        <color rgb="FFFFFFFF"/>
        <color rgb="FF57BB8A"/>
      </colorScale>
    </cfRule>
  </conditionalFormatting>
  <hyperlinks>
    <hyperlink display="Note: all weapons assume Backup Mag whenever applicable; All weapon damage (except exotics) is normalized.&#10;Want to contribute? Have questions, comments, or concerns? See Home page contact information." location="Home!C12:E13" ref="A1"/>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C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25"/>
    <col customWidth="1" min="2" max="2" width="20.88"/>
    <col customWidth="1" min="3" max="4" width="10.63"/>
    <col customWidth="1" min="5" max="5" width="3.75"/>
    <col customWidth="1" min="6" max="14" width="9.88"/>
    <col customWidth="1" min="15" max="15" width="74.25"/>
    <col hidden="1" min="16" max="34" width="12.63"/>
  </cols>
  <sheetData>
    <row r="1">
      <c r="A1" s="59" t="s">
        <v>255</v>
      </c>
    </row>
    <row r="2" ht="38.25" customHeight="1">
      <c r="A2" s="60"/>
      <c r="B2" s="61" t="s">
        <v>29</v>
      </c>
      <c r="C2" s="61" t="s">
        <v>30</v>
      </c>
      <c r="D2" s="62" t="s">
        <v>31</v>
      </c>
      <c r="E2" s="63"/>
      <c r="F2" s="64" t="s">
        <v>32</v>
      </c>
      <c r="G2" s="61" t="s">
        <v>33</v>
      </c>
      <c r="H2" s="61" t="s">
        <v>34</v>
      </c>
      <c r="I2" s="61" t="s">
        <v>35</v>
      </c>
      <c r="J2" s="61" t="s">
        <v>36</v>
      </c>
      <c r="K2" s="61" t="s">
        <v>37</v>
      </c>
      <c r="L2" s="192" t="s">
        <v>38</v>
      </c>
      <c r="M2" s="61" t="s">
        <v>39</v>
      </c>
      <c r="N2" s="62" t="s">
        <v>40</v>
      </c>
      <c r="P2" s="58"/>
      <c r="Q2" s="58"/>
      <c r="R2" s="58"/>
      <c r="S2" s="58"/>
      <c r="T2" s="58"/>
      <c r="U2" s="58"/>
      <c r="V2" s="58"/>
      <c r="W2" s="58"/>
      <c r="X2" s="58"/>
      <c r="Y2" s="58"/>
      <c r="Z2" s="58"/>
      <c r="AA2" s="58"/>
      <c r="AB2" s="58"/>
      <c r="AC2" s="58"/>
      <c r="AD2" s="58"/>
      <c r="AE2" s="58"/>
      <c r="AF2" s="58"/>
      <c r="AG2" s="58"/>
      <c r="AH2" s="58"/>
    </row>
    <row r="3">
      <c r="A3" s="65" t="s">
        <v>256</v>
      </c>
      <c r="B3" s="66" t="s">
        <v>42</v>
      </c>
      <c r="C3" s="67">
        <f t="shared" ref="C3:C5" si="1">(G3)/(H3 * 1/J3 * 60/1)</f>
        <v>1050</v>
      </c>
      <c r="D3" s="68">
        <f t="shared" ref="D3:D5" si="2">(G3)/((H3-1) * 1/J3 * 60/1 + K3)</f>
        <v>758.0445545</v>
      </c>
      <c r="E3" s="57"/>
      <c r="F3" s="193">
        <f t="shared" ref="F3:F12" si="3">I3*N3</f>
        <v>13950</v>
      </c>
      <c r="G3" s="70">
        <f t="shared" ref="G3:G5" si="4">N3 * H3</f>
        <v>3150</v>
      </c>
      <c r="H3" s="71">
        <v>7.0</v>
      </c>
      <c r="I3" s="73">
        <f>'Reserves Data (Reference)'!$D$3</f>
        <v>31</v>
      </c>
      <c r="J3" s="73">
        <v>140.0</v>
      </c>
      <c r="K3" s="74">
        <f t="shared" ref="K3:K6" si="5">1.98*0.8</f>
        <v>1.584</v>
      </c>
      <c r="L3" s="194">
        <f t="shared" ref="L3:L16" si="6">timeToEmpty(H3,I3,J3,K3)</f>
        <v>17.47885714</v>
      </c>
      <c r="M3" s="73">
        <v>131.0</v>
      </c>
      <c r="N3" s="195">
        <v>450.0</v>
      </c>
    </row>
    <row r="4">
      <c r="A4" s="96" t="s">
        <v>257</v>
      </c>
      <c r="B4" s="196" t="s">
        <v>42</v>
      </c>
      <c r="C4" s="197">
        <f t="shared" si="1"/>
        <v>1050</v>
      </c>
      <c r="D4" s="198">
        <f t="shared" si="2"/>
        <v>827.0321361</v>
      </c>
      <c r="E4" s="57"/>
      <c r="F4" s="199">
        <f t="shared" si="3"/>
        <v>19800</v>
      </c>
      <c r="G4" s="197">
        <f t="shared" si="4"/>
        <v>4500</v>
      </c>
      <c r="H4" s="101">
        <f>tripleTap($H$3)</f>
        <v>10</v>
      </c>
      <c r="I4" s="200">
        <f>floor(I3/H3,1)*H4+tripleTap(mod(I3, H3))</f>
        <v>44</v>
      </c>
      <c r="J4" s="103">
        <v>140.0</v>
      </c>
      <c r="K4" s="201">
        <f t="shared" si="5"/>
        <v>1.584</v>
      </c>
      <c r="L4" s="202">
        <f t="shared" si="6"/>
        <v>23.05028571</v>
      </c>
      <c r="M4" s="103">
        <f t="shared" ref="M4:N4" si="7">M3</f>
        <v>131</v>
      </c>
      <c r="N4" s="203">
        <f t="shared" si="7"/>
        <v>450</v>
      </c>
      <c r="O4" s="95" t="s">
        <v>258</v>
      </c>
    </row>
    <row r="5">
      <c r="A5" s="96" t="s">
        <v>259</v>
      </c>
      <c r="B5" s="196" t="s">
        <v>42</v>
      </c>
      <c r="C5" s="197">
        <f t="shared" si="1"/>
        <v>1050</v>
      </c>
      <c r="D5" s="198">
        <f t="shared" si="2"/>
        <v>843.3119159</v>
      </c>
      <c r="E5" s="57"/>
      <c r="F5" s="199">
        <f t="shared" si="3"/>
        <v>21150</v>
      </c>
      <c r="G5" s="197">
        <f t="shared" si="4"/>
        <v>4950</v>
      </c>
      <c r="H5" s="101">
        <f>fourthTimesTheCharm(H3)</f>
        <v>11</v>
      </c>
      <c r="I5" s="200">
        <f>floor(I3/H3,1)*H5+fourthtimesthecharm(mod(I3, H3))</f>
        <v>47</v>
      </c>
      <c r="J5" s="103">
        <v>140.0</v>
      </c>
      <c r="K5" s="201">
        <f t="shared" si="5"/>
        <v>1.584</v>
      </c>
      <c r="L5" s="202">
        <f t="shared" si="6"/>
        <v>24.336</v>
      </c>
      <c r="M5" s="103">
        <f t="shared" ref="M5:N5" si="8">M3</f>
        <v>131</v>
      </c>
      <c r="N5" s="203">
        <f t="shared" si="8"/>
        <v>450</v>
      </c>
      <c r="O5" s="112" t="s">
        <v>258</v>
      </c>
    </row>
    <row r="6">
      <c r="A6" s="96" t="s">
        <v>260</v>
      </c>
      <c r="B6" s="196" t="s">
        <v>42</v>
      </c>
      <c r="C6" s="197">
        <f>(N6)/(1/J6 * 60/1)</f>
        <v>1050</v>
      </c>
      <c r="D6" s="99">
        <f>C6</f>
        <v>1050</v>
      </c>
      <c r="E6" s="57"/>
      <c r="F6" s="199">
        <f t="shared" si="3"/>
        <v>26550</v>
      </c>
      <c r="G6" s="98" t="s">
        <v>60</v>
      </c>
      <c r="H6" s="101">
        <f>I6</f>
        <v>59</v>
      </c>
      <c r="I6" s="200">
        <f>fourthTimesTheCharm(I3)</f>
        <v>59</v>
      </c>
      <c r="J6" s="103">
        <v>140.0</v>
      </c>
      <c r="K6" s="201">
        <f t="shared" si="5"/>
        <v>1.584</v>
      </c>
      <c r="L6" s="202">
        <f t="shared" si="6"/>
        <v>24.85714286</v>
      </c>
      <c r="M6" s="103">
        <f t="shared" ref="M6:N6" si="9">M4</f>
        <v>131</v>
      </c>
      <c r="N6" s="203">
        <f t="shared" si="9"/>
        <v>450</v>
      </c>
      <c r="O6" s="95" t="s">
        <v>261</v>
      </c>
    </row>
    <row r="7">
      <c r="A7" s="77"/>
      <c r="B7" s="78" t="s">
        <v>44</v>
      </c>
      <c r="C7" s="79">
        <f t="shared" ref="C7:C12" si="10">(G7)/(H7 * 1/J7 * 60/1)</f>
        <v>891</v>
      </c>
      <c r="D7" s="80">
        <f t="shared" ref="D7:D16" si="11">(G7)/((H7-1) * 1/J7 * 60/1 + K7)</f>
        <v>695.3177258</v>
      </c>
      <c r="E7" s="57"/>
      <c r="F7" s="204">
        <f t="shared" si="3"/>
        <v>14256</v>
      </c>
      <c r="G7" s="79">
        <f t="shared" ref="G7:G12" si="12">N7 * H7</f>
        <v>4158</v>
      </c>
      <c r="H7" s="82">
        <v>7.0</v>
      </c>
      <c r="I7" s="84">
        <f>'Reserves Data (Reference)'!$D$4</f>
        <v>24</v>
      </c>
      <c r="J7" s="84">
        <v>90.0</v>
      </c>
      <c r="K7" s="85">
        <v>1.98</v>
      </c>
      <c r="L7" s="205">
        <f t="shared" si="6"/>
        <v>19.27333333</v>
      </c>
      <c r="M7" s="84">
        <v>183.0</v>
      </c>
      <c r="N7" s="206">
        <v>594.0</v>
      </c>
    </row>
    <row r="8">
      <c r="A8" s="77" t="s">
        <v>257</v>
      </c>
      <c r="B8" s="78" t="s">
        <v>44</v>
      </c>
      <c r="C8" s="79">
        <f t="shared" si="10"/>
        <v>891</v>
      </c>
      <c r="D8" s="80">
        <f t="shared" si="11"/>
        <v>744.3609023</v>
      </c>
      <c r="E8" s="57"/>
      <c r="F8" s="204">
        <f t="shared" si="3"/>
        <v>20196</v>
      </c>
      <c r="G8" s="79">
        <f t="shared" si="12"/>
        <v>5940</v>
      </c>
      <c r="H8" s="82">
        <f>tripleTap(H7)</f>
        <v>10</v>
      </c>
      <c r="I8" s="92">
        <f>floor(I7/H7,1)*H8+tripletap(mod(I7, H7))</f>
        <v>34</v>
      </c>
      <c r="J8" s="84">
        <v>90.0</v>
      </c>
      <c r="K8" s="85">
        <v>1.98</v>
      </c>
      <c r="L8" s="205">
        <f t="shared" si="6"/>
        <v>25.94</v>
      </c>
      <c r="M8" s="84">
        <f t="shared" ref="M8:N8" si="13">M7</f>
        <v>183</v>
      </c>
      <c r="N8" s="206">
        <f t="shared" si="13"/>
        <v>594</v>
      </c>
      <c r="O8" s="112" t="s">
        <v>258</v>
      </c>
    </row>
    <row r="9">
      <c r="A9" s="77" t="s">
        <v>259</v>
      </c>
      <c r="B9" s="78" t="s">
        <v>44</v>
      </c>
      <c r="C9" s="79">
        <f t="shared" si="10"/>
        <v>891</v>
      </c>
      <c r="D9" s="80">
        <f t="shared" si="11"/>
        <v>755.6669237</v>
      </c>
      <c r="E9" s="57"/>
      <c r="F9" s="204">
        <f t="shared" si="3"/>
        <v>21384</v>
      </c>
      <c r="G9" s="79">
        <f t="shared" si="12"/>
        <v>6534</v>
      </c>
      <c r="H9" s="82">
        <f>fourthTimesTheCharm($H$7)</f>
        <v>11</v>
      </c>
      <c r="I9" s="92">
        <f>floor(I7/H7,1)*H9+fourthtimesthecharm(mod(I7, H7))</f>
        <v>36</v>
      </c>
      <c r="J9" s="84">
        <v>90.0</v>
      </c>
      <c r="K9" s="85">
        <v>1.98</v>
      </c>
      <c r="L9" s="205">
        <f t="shared" si="6"/>
        <v>27.27333333</v>
      </c>
      <c r="M9" s="84">
        <f t="shared" ref="M9:N9" si="14">M7</f>
        <v>183</v>
      </c>
      <c r="N9" s="206">
        <f t="shared" si="14"/>
        <v>594</v>
      </c>
      <c r="O9" s="112" t="s">
        <v>258</v>
      </c>
    </row>
    <row r="10">
      <c r="A10" s="77"/>
      <c r="B10" s="78" t="s">
        <v>82</v>
      </c>
      <c r="C10" s="79">
        <f t="shared" si="10"/>
        <v>871.2</v>
      </c>
      <c r="D10" s="80">
        <f t="shared" si="11"/>
        <v>683.1869511</v>
      </c>
      <c r="E10" s="57"/>
      <c r="F10" s="204">
        <f t="shared" si="3"/>
        <v>14520</v>
      </c>
      <c r="G10" s="79">
        <f t="shared" si="12"/>
        <v>3630</v>
      </c>
      <c r="H10" s="82">
        <v>5.0</v>
      </c>
      <c r="I10" s="84">
        <f>'Reserves Data (Reference)'!$D$5</f>
        <v>20</v>
      </c>
      <c r="J10" s="84">
        <v>72.0</v>
      </c>
      <c r="K10" s="85">
        <v>1.98</v>
      </c>
      <c r="L10" s="205">
        <f t="shared" si="6"/>
        <v>19.27333333</v>
      </c>
      <c r="M10" s="84">
        <v>208.0</v>
      </c>
      <c r="N10" s="206">
        <v>726.0</v>
      </c>
    </row>
    <row r="11">
      <c r="A11" s="77" t="s">
        <v>257</v>
      </c>
      <c r="B11" s="78" t="s">
        <v>82</v>
      </c>
      <c r="C11" s="79">
        <f t="shared" si="10"/>
        <v>871.2</v>
      </c>
      <c r="D11" s="80">
        <f t="shared" si="11"/>
        <v>728.0802292</v>
      </c>
      <c r="E11" s="57"/>
      <c r="F11" s="204">
        <f t="shared" si="3"/>
        <v>20328</v>
      </c>
      <c r="G11" s="79">
        <f t="shared" si="12"/>
        <v>5082</v>
      </c>
      <c r="H11" s="82">
        <f>tripleTap(H10)</f>
        <v>7</v>
      </c>
      <c r="I11" s="92">
        <f>floor(I10/H10,1)*H11+tripletap(mod(I10, H10))</f>
        <v>28</v>
      </c>
      <c r="J11" s="84">
        <v>72.0</v>
      </c>
      <c r="K11" s="85">
        <v>1.98</v>
      </c>
      <c r="L11" s="205">
        <f t="shared" si="6"/>
        <v>25.94</v>
      </c>
      <c r="M11" s="84">
        <f t="shared" ref="M11:N11" si="15">M10</f>
        <v>208</v>
      </c>
      <c r="N11" s="206">
        <f t="shared" si="15"/>
        <v>726</v>
      </c>
      <c r="O11" s="95" t="s">
        <v>258</v>
      </c>
    </row>
    <row r="12">
      <c r="A12" s="77" t="s">
        <v>259</v>
      </c>
      <c r="B12" s="78" t="s">
        <v>82</v>
      </c>
      <c r="C12" s="79">
        <f t="shared" si="10"/>
        <v>871.2</v>
      </c>
      <c r="D12" s="80">
        <f t="shared" si="11"/>
        <v>728.0802292</v>
      </c>
      <c r="E12" s="57"/>
      <c r="F12" s="204">
        <f t="shared" si="3"/>
        <v>20328</v>
      </c>
      <c r="G12" s="79">
        <f t="shared" si="12"/>
        <v>5082</v>
      </c>
      <c r="H12" s="82">
        <f>fourthTimesTheCharm(H10)</f>
        <v>7</v>
      </c>
      <c r="I12" s="92">
        <f>floor(I10/H10,1)*H12+fourthtimesthecharm(mod(I10, H10))</f>
        <v>28</v>
      </c>
      <c r="J12" s="84">
        <v>72.0</v>
      </c>
      <c r="K12" s="85">
        <v>1.98</v>
      </c>
      <c r="L12" s="205">
        <f t="shared" si="6"/>
        <v>25.94</v>
      </c>
      <c r="M12" s="84">
        <f t="shared" ref="M12:N12" si="16">M10</f>
        <v>208</v>
      </c>
      <c r="N12" s="206">
        <f t="shared" si="16"/>
        <v>726</v>
      </c>
      <c r="O12" s="95" t="s">
        <v>258</v>
      </c>
    </row>
    <row r="13">
      <c r="A13" s="77"/>
      <c r="B13" s="91" t="s">
        <v>262</v>
      </c>
      <c r="C13" s="79">
        <f>N13*J13/60 + ('Weapon Specifics'!$D$10)/(3*1/J13*60/1)</f>
        <v>1552.444444</v>
      </c>
      <c r="D13" s="80">
        <f t="shared" si="11"/>
        <v>1195.930291</v>
      </c>
      <c r="E13" s="57"/>
      <c r="F13" s="204">
        <f>I13*N13 + floor(I13/3,1)*('Weapon Specifics'!$D$10)</f>
        <v>20410</v>
      </c>
      <c r="G13" s="79">
        <f>N13 * H13 + CEILING(H13/3,1)*('Weapon Specifics'!$D$10)</f>
        <v>5088</v>
      </c>
      <c r="H13" s="82">
        <v>7.0</v>
      </c>
      <c r="I13" s="84">
        <f>'Reserves Data (Reference)'!$D$6</f>
        <v>31</v>
      </c>
      <c r="J13" s="84">
        <v>140.0</v>
      </c>
      <c r="K13" s="85">
        <f>1.98*0.85</f>
        <v>1.683</v>
      </c>
      <c r="L13" s="205">
        <f t="shared" si="6"/>
        <v>17.87485714</v>
      </c>
      <c r="M13" s="84">
        <f t="shared" ref="M13:N13" si="17">M3</f>
        <v>131</v>
      </c>
      <c r="N13" s="206">
        <f t="shared" si="17"/>
        <v>450</v>
      </c>
      <c r="O13" s="95" t="s">
        <v>263</v>
      </c>
    </row>
    <row r="14">
      <c r="A14" s="77" t="s">
        <v>179</v>
      </c>
      <c r="B14" s="91" t="s">
        <v>262</v>
      </c>
      <c r="C14" s="79">
        <f>N14*J14/60 + ('Weapon Specifics'!$D$10)/(3*1/J14*60/1)</f>
        <v>1552.444444</v>
      </c>
      <c r="D14" s="80">
        <f t="shared" si="11"/>
        <v>1278.667389</v>
      </c>
      <c r="E14" s="57"/>
      <c r="F14" s="204">
        <f>I14*N14 + floor(I14/3,1)*('Weapon Specifics'!$D$10)</f>
        <v>28844</v>
      </c>
      <c r="G14" s="79">
        <f>N14 * H14 + CEILING(H14/3,1)*('Weapon Specifics'!$D$10)</f>
        <v>7084</v>
      </c>
      <c r="H14" s="82">
        <f>tripleTap(H13)</f>
        <v>10</v>
      </c>
      <c r="I14" s="83">
        <f>FLOOR(I13/H13,1)*H14+tripleTap(MOD(I13,H13))</f>
        <v>44</v>
      </c>
      <c r="J14" s="84">
        <v>140.0</v>
      </c>
      <c r="K14" s="85">
        <f>K13</f>
        <v>1.683</v>
      </c>
      <c r="L14" s="205">
        <f t="shared" si="6"/>
        <v>23.44628571</v>
      </c>
      <c r="M14" s="93">
        <f t="shared" ref="M14:N14" si="18">M13</f>
        <v>131</v>
      </c>
      <c r="N14" s="206">
        <f t="shared" si="18"/>
        <v>450</v>
      </c>
      <c r="O14" s="95" t="s">
        <v>263</v>
      </c>
    </row>
    <row r="15">
      <c r="A15" s="77"/>
      <c r="B15" s="91" t="s">
        <v>264</v>
      </c>
      <c r="C15" s="79">
        <f>(G15)/(H15 * 1/J15 * 60/1)</f>
        <v>891</v>
      </c>
      <c r="D15" s="80">
        <f t="shared" si="11"/>
        <v>596.9849246</v>
      </c>
      <c r="E15" s="57"/>
      <c r="F15" s="204">
        <f>I15*N15</f>
        <v>11880</v>
      </c>
      <c r="G15" s="79">
        <f>N15 * H15</f>
        <v>2376</v>
      </c>
      <c r="H15" s="82">
        <v>4.0</v>
      </c>
      <c r="I15" s="84">
        <f>'Reserves Data (Reference)'!$D$7</f>
        <v>20</v>
      </c>
      <c r="J15" s="84">
        <v>90.0</v>
      </c>
      <c r="K15" s="85">
        <v>1.98</v>
      </c>
      <c r="L15" s="205">
        <f t="shared" si="6"/>
        <v>17.92</v>
      </c>
      <c r="M15" s="84">
        <f t="shared" ref="M15:N15" si="19">M7</f>
        <v>183</v>
      </c>
      <c r="N15" s="206">
        <f t="shared" si="19"/>
        <v>594</v>
      </c>
    </row>
    <row r="16">
      <c r="A16" s="77" t="s">
        <v>265</v>
      </c>
      <c r="B16" s="91" t="s">
        <v>264</v>
      </c>
      <c r="C16" s="89">
        <f>D16</f>
        <v>515</v>
      </c>
      <c r="D16" s="80">
        <f t="shared" si="11"/>
        <v>515</v>
      </c>
      <c r="E16" s="57"/>
      <c r="F16" s="204">
        <f>N16*floor(I16/4,1)
+if(mod(I16, 4)=3, N15*2.31,
if(mod(I16, 4)=2, N15*1.79,
if(mod(I16, 4)=1, N15,
0)))</f>
        <v>13390</v>
      </c>
      <c r="G16" s="79">
        <f>N16*floor(H16/4,1)</f>
        <v>2678</v>
      </c>
      <c r="H16" s="82">
        <f t="shared" ref="H16:I16" si="20">H15</f>
        <v>4</v>
      </c>
      <c r="I16" s="84">
        <f t="shared" si="20"/>
        <v>20</v>
      </c>
      <c r="J16" s="84">
        <v>90.0</v>
      </c>
      <c r="K16" s="85">
        <v>3.2</v>
      </c>
      <c r="L16" s="205">
        <f t="shared" si="6"/>
        <v>22.8</v>
      </c>
      <c r="M16" s="84">
        <v>466.0</v>
      </c>
      <c r="N16" s="206">
        <v>2678.0</v>
      </c>
    </row>
    <row r="17">
      <c r="A17" s="77"/>
      <c r="B17" s="91" t="s">
        <v>266</v>
      </c>
      <c r="C17" s="79">
        <f>(G17)/((H17+3) * 1/J17 * 60/1 + 'Weapon Specifics'!$D$59)</f>
        <v>1140.803109</v>
      </c>
      <c r="D17" s="80">
        <f>(G17)/((H17+3-1) * 1/J17 * 60/1 + K17 + 'Weapon Specifics'!$D$59)</f>
        <v>974.9446494</v>
      </c>
      <c r="E17" s="57"/>
      <c r="F17" s="204">
        <f>I17*N17 + floor(I17/6+1,1)*('Weapon Specifics'!$D$61)</f>
        <v>32852</v>
      </c>
      <c r="G17" s="79">
        <f>N17 * H17 + ('Weapon Specifics'!$D$61)</f>
        <v>8807</v>
      </c>
      <c r="H17" s="82">
        <v>6.0</v>
      </c>
      <c r="I17" s="84">
        <f>'Reserves Data (Reference)'!D8</f>
        <v>20</v>
      </c>
      <c r="J17" s="84">
        <v>90.0</v>
      </c>
      <c r="K17" s="85">
        <v>1.98</v>
      </c>
      <c r="L17" s="205">
        <f>3*1/J17*60
+ floor(I17/H17,1)*(6*1/J17*60 + 'Weapon Specifics'!$D$59 + 3*1/J17*60 + K17)
+ (mod(I17, H17)-1)*1/J17*60</f>
        <v>31.76666667</v>
      </c>
      <c r="M17" s="84">
        <f t="shared" ref="M17:N17" si="21">M7</f>
        <v>183</v>
      </c>
      <c r="N17" s="206">
        <f t="shared" si="21"/>
        <v>594</v>
      </c>
      <c r="O17" s="95" t="s">
        <v>267</v>
      </c>
    </row>
    <row r="18">
      <c r="A18" s="77" t="s">
        <v>268</v>
      </c>
      <c r="B18" s="91" t="s">
        <v>266</v>
      </c>
      <c r="C18" s="79">
        <f>(G18)/((H18+1) * 1/J18 * 60/1 + 'Weapon Specifics'!$D$59)</f>
        <v>1358.298539</v>
      </c>
      <c r="D18" s="80">
        <f>(G18)/((H18+1-1) * 1/J18 * 60/1 + K18 + 'Weapon Specifics'!$D$59)</f>
        <v>1126.623377</v>
      </c>
      <c r="E18" s="57"/>
      <c r="F18" s="204">
        <f>I18*N18 + floor(I18/6+1,1)*'Weapon Specifics'!$D$63</f>
        <v>32324</v>
      </c>
      <c r="G18" s="79">
        <f>N18 * H18 + 'Weapon Specifics'!$D$63</f>
        <v>8675</v>
      </c>
      <c r="H18" s="82">
        <v>6.0</v>
      </c>
      <c r="I18" s="84">
        <f>I17</f>
        <v>20</v>
      </c>
      <c r="J18" s="84">
        <v>90.0</v>
      </c>
      <c r="K18" s="85">
        <v>1.98</v>
      </c>
      <c r="L18" s="205">
        <f>1*1/J18*60
+ floor(I18/H18,1)*(6*1/J18*60 + 'Weapon Specifics'!$D$59 + 1*1/J18*60 + K18)
+ (mod(I18, H18)-1)*1/J18*60</f>
        <v>26.43333333</v>
      </c>
      <c r="M18" s="84">
        <f t="shared" ref="M18:N18" si="22">M17</f>
        <v>183</v>
      </c>
      <c r="N18" s="206">
        <f t="shared" si="22"/>
        <v>594</v>
      </c>
      <c r="O18" s="95" t="s">
        <v>267</v>
      </c>
    </row>
    <row r="19">
      <c r="A19" s="77"/>
      <c r="B19" s="91" t="s">
        <v>269</v>
      </c>
      <c r="C19" s="79">
        <f>(G19)/(H19 * 1/J19 * 60/1)</f>
        <v>871.2</v>
      </c>
      <c r="D19" s="80">
        <f>(G19)/((H19-1) * 1/J19 * 60/1 + K19)</f>
        <v>683.1869511</v>
      </c>
      <c r="E19" s="57"/>
      <c r="F19" s="204">
        <f t="shared" ref="F19:F24" si="24">I19*N19</f>
        <v>14520</v>
      </c>
      <c r="G19" s="79">
        <f t="shared" ref="G19:G24" si="25">N19 * H19</f>
        <v>3630</v>
      </c>
      <c r="H19" s="82">
        <v>5.0</v>
      </c>
      <c r="I19" s="84">
        <f>'Reserves Data (Reference)'!$D$9</f>
        <v>20</v>
      </c>
      <c r="J19" s="84">
        <v>72.0</v>
      </c>
      <c r="K19" s="85">
        <v>1.98</v>
      </c>
      <c r="L19" s="205">
        <f t="shared" ref="L19:L22" si="26">timeToEmpty(H19,I19,J19,K19)</f>
        <v>19.27333333</v>
      </c>
      <c r="M19" s="84">
        <f t="shared" ref="M19:N19" si="23">M10</f>
        <v>208</v>
      </c>
      <c r="N19" s="206">
        <f t="shared" si="23"/>
        <v>726</v>
      </c>
    </row>
    <row r="20">
      <c r="A20" s="77" t="s">
        <v>270</v>
      </c>
      <c r="B20" s="91" t="s">
        <v>269</v>
      </c>
      <c r="C20" s="79">
        <f>(G20)/((H20-1) * 1/J20 * 60/1)</f>
        <v>1524.6</v>
      </c>
      <c r="D20" s="90" t="s">
        <v>60</v>
      </c>
      <c r="E20" s="57"/>
      <c r="F20" s="204">
        <f t="shared" si="24"/>
        <v>20328</v>
      </c>
      <c r="G20" s="79">
        <f t="shared" si="25"/>
        <v>5082</v>
      </c>
      <c r="H20" s="82">
        <v>5.0</v>
      </c>
      <c r="I20" s="84">
        <f>'Reserves Data (Reference)'!$D$9</f>
        <v>20</v>
      </c>
      <c r="J20" s="84">
        <v>72.0</v>
      </c>
      <c r="K20" s="85">
        <v>1.98</v>
      </c>
      <c r="L20" s="205">
        <f t="shared" si="26"/>
        <v>19.27333333</v>
      </c>
      <c r="M20" s="84">
        <f t="shared" ref="M20:N20" si="27">M19*1.4</f>
        <v>291.2</v>
      </c>
      <c r="N20" s="206">
        <f t="shared" si="27"/>
        <v>1016.4</v>
      </c>
    </row>
    <row r="21">
      <c r="A21" s="77" t="s">
        <v>271</v>
      </c>
      <c r="B21" s="97" t="s">
        <v>272</v>
      </c>
      <c r="C21" s="98">
        <f t="shared" ref="C21:C24" si="28">(G21)/(H21 * 1/J21 * 60/1)</f>
        <v>556.2162162</v>
      </c>
      <c r="D21" s="198">
        <f t="shared" ref="D21:D24" si="29">(G21)/((H21-1) * 1/J21 * 60/1 + K21)</f>
        <v>551.3730743</v>
      </c>
      <c r="E21" s="57"/>
      <c r="F21" s="199">
        <f t="shared" si="24"/>
        <v>41160</v>
      </c>
      <c r="G21" s="197">
        <f t="shared" si="25"/>
        <v>8232</v>
      </c>
      <c r="H21" s="101">
        <v>8.0</v>
      </c>
      <c r="I21" s="103">
        <f>'Reserves Data (Reference)'!D10</f>
        <v>40</v>
      </c>
      <c r="J21" s="103">
        <f>1/(1.85 * 1/60)</f>
        <v>32.43243243</v>
      </c>
      <c r="K21" s="201">
        <v>1.98</v>
      </c>
      <c r="L21" s="205">
        <f t="shared" si="26"/>
        <v>72.67</v>
      </c>
      <c r="M21" s="103">
        <v>374.0</v>
      </c>
      <c r="N21" s="203">
        <v>1029.0</v>
      </c>
      <c r="O21" s="95" t="s">
        <v>273</v>
      </c>
    </row>
    <row r="22">
      <c r="A22" s="77" t="s">
        <v>271</v>
      </c>
      <c r="B22" s="97" t="s">
        <v>272</v>
      </c>
      <c r="C22" s="98">
        <f t="shared" si="28"/>
        <v>751.0948905</v>
      </c>
      <c r="D22" s="198">
        <f t="shared" si="29"/>
        <v>711.4952463</v>
      </c>
      <c r="E22" s="57"/>
      <c r="F22" s="199">
        <f t="shared" si="24"/>
        <v>41160</v>
      </c>
      <c r="G22" s="197">
        <f t="shared" si="25"/>
        <v>8232</v>
      </c>
      <c r="H22" s="101">
        <f t="shared" ref="H22:I22" si="30">H21</f>
        <v>8</v>
      </c>
      <c r="I22" s="103">
        <f t="shared" si="30"/>
        <v>40</v>
      </c>
      <c r="J22" s="103">
        <f>1/(1.37 * 1/60)</f>
        <v>43.79562044</v>
      </c>
      <c r="K22" s="201">
        <f>K21</f>
        <v>1.98</v>
      </c>
      <c r="L22" s="205">
        <f t="shared" si="26"/>
        <v>55.87</v>
      </c>
      <c r="M22" s="103">
        <f t="shared" ref="M22:N22" si="31">M21</f>
        <v>374</v>
      </c>
      <c r="N22" s="203">
        <f t="shared" si="31"/>
        <v>1029</v>
      </c>
      <c r="O22" s="95" t="s">
        <v>274</v>
      </c>
    </row>
    <row r="23">
      <c r="A23" s="77" t="s">
        <v>275</v>
      </c>
      <c r="B23" s="97" t="s">
        <v>272</v>
      </c>
      <c r="C23" s="98">
        <f t="shared" si="28"/>
        <v>1123.357664</v>
      </c>
      <c r="D23" s="198">
        <f t="shared" si="29"/>
        <v>1064.131374</v>
      </c>
      <c r="E23" s="57"/>
      <c r="F23" s="199">
        <f t="shared" si="24"/>
        <v>61560</v>
      </c>
      <c r="G23" s="197">
        <f t="shared" si="25"/>
        <v>12312</v>
      </c>
      <c r="H23" s="101">
        <f t="shared" ref="H23:I23" si="32">H21</f>
        <v>8</v>
      </c>
      <c r="I23" s="103">
        <f t="shared" si="32"/>
        <v>40</v>
      </c>
      <c r="J23" s="103">
        <f t="shared" ref="J23:J24" si="34">J22</f>
        <v>43.79562044</v>
      </c>
      <c r="K23" s="201">
        <f>K21</f>
        <v>1.98</v>
      </c>
      <c r="L23" s="205">
        <f>L22</f>
        <v>55.87</v>
      </c>
      <c r="M23" s="103">
        <f>M21</f>
        <v>374</v>
      </c>
      <c r="N23" s="203">
        <v>1539.0</v>
      </c>
      <c r="O23" s="95" t="s">
        <v>276</v>
      </c>
    </row>
    <row r="24">
      <c r="A24" s="77" t="s">
        <v>277</v>
      </c>
      <c r="B24" s="97" t="s">
        <v>272</v>
      </c>
      <c r="C24" s="98">
        <f t="shared" si="28"/>
        <v>1276.642336</v>
      </c>
      <c r="D24" s="198">
        <f t="shared" si="29"/>
        <v>1209.334486</v>
      </c>
      <c r="E24" s="57"/>
      <c r="F24" s="199">
        <f t="shared" si="24"/>
        <v>69960</v>
      </c>
      <c r="G24" s="197">
        <f t="shared" si="25"/>
        <v>13992</v>
      </c>
      <c r="H24" s="101">
        <f t="shared" ref="H24:I24" si="33">H21</f>
        <v>8</v>
      </c>
      <c r="I24" s="103">
        <f t="shared" si="33"/>
        <v>40</v>
      </c>
      <c r="J24" s="103">
        <f t="shared" si="34"/>
        <v>43.79562044</v>
      </c>
      <c r="K24" s="201">
        <f>K21</f>
        <v>1.98</v>
      </c>
      <c r="L24" s="205">
        <f>L22</f>
        <v>55.87</v>
      </c>
      <c r="M24" s="103">
        <f>M21</f>
        <v>374</v>
      </c>
      <c r="N24" s="203">
        <v>1749.0</v>
      </c>
      <c r="O24" s="95" t="s">
        <v>278</v>
      </c>
    </row>
    <row r="25">
      <c r="A25" s="207"/>
      <c r="B25" s="97" t="s">
        <v>279</v>
      </c>
      <c r="C25" s="98">
        <f>G25/L25</f>
        <v>871.3833333</v>
      </c>
      <c r="D25" s="198">
        <f>C25</f>
        <v>871.3833333</v>
      </c>
      <c r="E25" s="57"/>
      <c r="F25" s="199">
        <f>G25</f>
        <v>10670</v>
      </c>
      <c r="G25" s="197">
        <f>H25*N25</f>
        <v>10670</v>
      </c>
      <c r="H25" s="101">
        <v>10.0</v>
      </c>
      <c r="I25" s="200" t="s">
        <v>60</v>
      </c>
      <c r="J25" s="103">
        <v>49.0</v>
      </c>
      <c r="K25" s="201" t="s">
        <v>60</v>
      </c>
      <c r="L25" s="202">
        <f>H25*1/J25*60</f>
        <v>12.24489796</v>
      </c>
      <c r="M25" s="103">
        <v>305.0</v>
      </c>
      <c r="N25" s="203">
        <v>1067.0</v>
      </c>
    </row>
    <row r="26">
      <c r="A26" s="65" t="s">
        <v>252</v>
      </c>
      <c r="B26" s="66" t="s">
        <v>44</v>
      </c>
      <c r="C26" s="67">
        <f t="shared" ref="C26:C28" si="35">(G26)/(H26 * 1/J26 * 60/1)</f>
        <v>420</v>
      </c>
      <c r="D26" s="68">
        <f t="shared" ref="D26:D28" si="36">(G26)/((H26-1) * 1/J26 * 60/1 + K26)</f>
        <v>350.5617978</v>
      </c>
      <c r="E26" s="57"/>
      <c r="F26" s="193">
        <f t="shared" ref="F26:F28" si="37">I26*N26</f>
        <v>14560</v>
      </c>
      <c r="G26" s="70">
        <f t="shared" ref="G26:G28" si="38">N26 * H26</f>
        <v>2912</v>
      </c>
      <c r="H26" s="71">
        <v>104.0</v>
      </c>
      <c r="I26" s="73">
        <f>'Reserves Data (Reference)'!$D$11</f>
        <v>520</v>
      </c>
      <c r="J26" s="73">
        <v>900.0</v>
      </c>
      <c r="K26" s="74">
        <v>1.44</v>
      </c>
      <c r="L26" s="194">
        <f t="shared" ref="L26:L28" si="39">timeToEmpty(H26,I26,J26,K26)</f>
        <v>40.09333333</v>
      </c>
      <c r="M26" s="73">
        <v>21.0</v>
      </c>
      <c r="N26" s="195">
        <v>28.0</v>
      </c>
    </row>
    <row r="27">
      <c r="A27" s="77"/>
      <c r="B27" s="91" t="s">
        <v>280</v>
      </c>
      <c r="C27" s="79">
        <f t="shared" si="35"/>
        <v>615</v>
      </c>
      <c r="D27" s="80">
        <f t="shared" si="36"/>
        <v>504.4502618</v>
      </c>
      <c r="E27" s="57"/>
      <c r="F27" s="204">
        <f t="shared" si="37"/>
        <v>19270</v>
      </c>
      <c r="G27" s="79">
        <f t="shared" si="38"/>
        <v>3854</v>
      </c>
      <c r="H27" s="82">
        <v>94.0</v>
      </c>
      <c r="I27" s="84">
        <f>'Reserves Data (Reference)'!$D$12</f>
        <v>470</v>
      </c>
      <c r="J27" s="84">
        <v>900.0</v>
      </c>
      <c r="K27" s="85">
        <v>1.44</v>
      </c>
      <c r="L27" s="205">
        <f t="shared" si="39"/>
        <v>36.76</v>
      </c>
      <c r="M27" s="84">
        <v>30.0</v>
      </c>
      <c r="N27" s="206">
        <v>41.0</v>
      </c>
    </row>
    <row r="28">
      <c r="A28" s="77" t="s">
        <v>179</v>
      </c>
      <c r="B28" s="91" t="s">
        <v>280</v>
      </c>
      <c r="C28" s="79">
        <f t="shared" si="35"/>
        <v>799.5</v>
      </c>
      <c r="D28" s="80">
        <f t="shared" si="36"/>
        <v>655.7853403</v>
      </c>
      <c r="E28" s="57"/>
      <c r="F28" s="204">
        <f t="shared" si="37"/>
        <v>25051</v>
      </c>
      <c r="G28" s="79">
        <f t="shared" si="38"/>
        <v>5010.2</v>
      </c>
      <c r="H28" s="82">
        <f t="shared" ref="H28:J28" si="40">H27</f>
        <v>94</v>
      </c>
      <c r="I28" s="84">
        <f t="shared" si="40"/>
        <v>470</v>
      </c>
      <c r="J28" s="84">
        <f t="shared" si="40"/>
        <v>900</v>
      </c>
      <c r="K28" s="85">
        <v>1.44</v>
      </c>
      <c r="L28" s="205">
        <f t="shared" si="39"/>
        <v>36.76</v>
      </c>
      <c r="M28" s="84">
        <f t="shared" ref="M28:N28" si="41">M27*1.3</f>
        <v>39</v>
      </c>
      <c r="N28" s="206">
        <f t="shared" si="41"/>
        <v>53.3</v>
      </c>
      <c r="O28" s="95" t="s">
        <v>281</v>
      </c>
    </row>
    <row r="29">
      <c r="A29" s="77" t="s">
        <v>282</v>
      </c>
      <c r="B29" s="91" t="s">
        <v>280</v>
      </c>
      <c r="C29" s="79">
        <f>(G29)/((H29-1) * 1/J29 * 60/1 + 48/60)</f>
        <v>601.8954248</v>
      </c>
      <c r="D29" s="90" t="s">
        <v>60</v>
      </c>
      <c r="E29" s="57"/>
      <c r="F29" s="204">
        <f t="shared" ref="F29:F30" si="42">G29</f>
        <v>9209</v>
      </c>
      <c r="G29" s="79">
        <f>M29 * (H29-1) + 'Weapon Specifics'!$D$54</f>
        <v>9209</v>
      </c>
      <c r="H29" s="82">
        <v>30.0</v>
      </c>
      <c r="I29" s="92">
        <v>30.0</v>
      </c>
      <c r="J29" s="84">
        <f>1/(30/60*1/60)</f>
        <v>120</v>
      </c>
      <c r="K29" s="85" t="s">
        <v>60</v>
      </c>
      <c r="L29" s="205">
        <f>I29*1/J29*60/1</f>
        <v>15</v>
      </c>
      <c r="M29" s="84">
        <v>271.0</v>
      </c>
      <c r="N29" s="206">
        <v>203.0</v>
      </c>
      <c r="O29" s="95" t="s">
        <v>283</v>
      </c>
    </row>
    <row r="30">
      <c r="A30" s="77" t="s">
        <v>284</v>
      </c>
      <c r="B30" s="91" t="s">
        <v>280</v>
      </c>
      <c r="C30" s="79">
        <f>(G30)/(L30+0.8)</f>
        <v>238.5964912</v>
      </c>
      <c r="D30" s="80" t="s">
        <v>60</v>
      </c>
      <c r="E30" s="57"/>
      <c r="F30" s="204">
        <f t="shared" si="42"/>
        <v>2040</v>
      </c>
      <c r="G30" s="79">
        <f>M30 * H30 + 'Weapon Specifics'!$D$54</f>
        <v>2040</v>
      </c>
      <c r="H30" s="82">
        <v>30.0</v>
      </c>
      <c r="I30" s="92">
        <v>30.0</v>
      </c>
      <c r="J30" s="84">
        <f>1/(0.25*1/60)</f>
        <v>240</v>
      </c>
      <c r="K30" s="85" t="s">
        <v>60</v>
      </c>
      <c r="L30" s="205">
        <f>(I30-3)*1/J30*60/1 + (3-1)*0.5</f>
        <v>7.75</v>
      </c>
      <c r="M30" s="84">
        <v>23.0</v>
      </c>
      <c r="N30" s="206">
        <f>M30</f>
        <v>23</v>
      </c>
      <c r="O30" s="95" t="s">
        <v>285</v>
      </c>
    </row>
    <row r="31">
      <c r="A31" s="77" t="s">
        <v>286</v>
      </c>
      <c r="B31" s="91" t="s">
        <v>287</v>
      </c>
      <c r="C31" s="79">
        <f>(H31*N31)/(H31 * 1/J31 * 60/1) + 'Weapon Specifics'!$D$16/1.3/((17+60)*1/J31*60)</f>
        <v>335.5894106</v>
      </c>
      <c r="D31" s="80">
        <f t="shared" ref="D31:D34" si="43">(G31)/((H31-1) * 1/J31 * 60/1 + K31)</f>
        <v>282.7622052</v>
      </c>
      <c r="E31" s="57"/>
      <c r="F31" s="204">
        <f t="shared" ref="F31:F35" si="44">I31*N31</f>
        <v>7050</v>
      </c>
      <c r="G31" s="79">
        <f>N31 * H31 + FLOOR((H32-17)/60,1)*('Weapon Specifics'!$D$16*1/1.3)</f>
        <v>4045.384615</v>
      </c>
      <c r="H31" s="82">
        <v>194.0</v>
      </c>
      <c r="I31" s="84">
        <f>'Reserves Data (Reference)'!$D$13</f>
        <v>470</v>
      </c>
      <c r="J31" s="84">
        <v>900.0</v>
      </c>
      <c r="K31" s="85">
        <v>1.44</v>
      </c>
      <c r="L31" s="205">
        <f>timeToEmpty(H31,I31,J31,K31)</f>
        <v>34.01333333</v>
      </c>
      <c r="M31" s="84">
        <v>11.0</v>
      </c>
      <c r="N31" s="206">
        <v>15.0</v>
      </c>
      <c r="O31" s="95" t="s">
        <v>288</v>
      </c>
    </row>
    <row r="32">
      <c r="A32" s="77" t="s">
        <v>289</v>
      </c>
      <c r="B32" s="91" t="s">
        <v>287</v>
      </c>
      <c r="C32" s="79">
        <f>(H32*N32)/(H32 * 1/J32 * 60/1) + 'Weapon Specifics'!$D$16/((17+60)*1/J32*60)</f>
        <v>436.2662338</v>
      </c>
      <c r="D32" s="80">
        <f t="shared" si="43"/>
        <v>413.8280522</v>
      </c>
      <c r="E32" s="57"/>
      <c r="F32" s="204">
        <f t="shared" si="44"/>
        <v>9165</v>
      </c>
      <c r="G32" s="79">
        <f>17*N31 + N32 * (H32-17) + FLOOR((H32-10)/60,1)*'Weapon Specifics'!$D$16</f>
        <v>5920.5</v>
      </c>
      <c r="H32" s="82">
        <f t="shared" ref="H32:L32" si="45">H31</f>
        <v>194</v>
      </c>
      <c r="I32" s="84">
        <f t="shared" si="45"/>
        <v>470</v>
      </c>
      <c r="J32" s="84">
        <f t="shared" si="45"/>
        <v>900</v>
      </c>
      <c r="K32" s="85">
        <f t="shared" si="45"/>
        <v>1.44</v>
      </c>
      <c r="L32" s="205">
        <f t="shared" si="45"/>
        <v>34.01333333</v>
      </c>
      <c r="M32" s="84">
        <f>N32</f>
        <v>19.5</v>
      </c>
      <c r="N32" s="206">
        <f>N31*1.3</f>
        <v>19.5</v>
      </c>
      <c r="O32" s="95" t="s">
        <v>290</v>
      </c>
    </row>
    <row r="33">
      <c r="A33" s="77"/>
      <c r="B33" s="91" t="s">
        <v>291</v>
      </c>
      <c r="C33" s="79">
        <f t="shared" ref="C33:C34" si="46">(G33)/(H33 * 1/J33 * 60/1)</f>
        <v>709.9752475</v>
      </c>
      <c r="D33" s="80">
        <f t="shared" si="43"/>
        <v>589.6998355</v>
      </c>
      <c r="E33" s="57"/>
      <c r="F33" s="204">
        <f t="shared" si="44"/>
        <v>14645</v>
      </c>
      <c r="G33" s="79">
        <f>((N33+'Weapon Specifics'!$D$11)/2 * 41) + 'Weapon Specifics'!$D$11*(H33-41)</f>
        <v>4780.5</v>
      </c>
      <c r="H33" s="82">
        <v>101.0</v>
      </c>
      <c r="I33" s="84">
        <f>'Reserves Data (Reference)'!$D$14</f>
        <v>505</v>
      </c>
      <c r="J33" s="84">
        <v>900.0</v>
      </c>
      <c r="K33" s="85">
        <v>1.44</v>
      </c>
      <c r="L33" s="205">
        <f t="shared" ref="L33:L39" si="48">timeToEmpty(H33,I33,J33,K33)</f>
        <v>39.09333333</v>
      </c>
      <c r="M33" s="84">
        <v>22.0</v>
      </c>
      <c r="N33" s="206">
        <v>29.0</v>
      </c>
      <c r="O33" s="95"/>
    </row>
    <row r="34">
      <c r="A34" s="77" t="s">
        <v>292</v>
      </c>
      <c r="B34" s="91" t="s">
        <v>291</v>
      </c>
      <c r="C34" s="79">
        <f t="shared" si="46"/>
        <v>723.6386139</v>
      </c>
      <c r="D34" s="80">
        <f t="shared" si="43"/>
        <v>601.0485197</v>
      </c>
      <c r="E34" s="57"/>
      <c r="F34" s="204">
        <f t="shared" si="44"/>
        <v>14645</v>
      </c>
      <c r="G34" s="79">
        <f>((N34+'Weapon Specifics'!$D$11)/2 * 33) + 'Weapon Specifics'!$D$11*(H34-33)</f>
        <v>4872.5</v>
      </c>
      <c r="H34" s="82">
        <f t="shared" ref="H34:J34" si="47">H33</f>
        <v>101</v>
      </c>
      <c r="I34" s="84">
        <f t="shared" si="47"/>
        <v>505</v>
      </c>
      <c r="J34" s="84">
        <f t="shared" si="47"/>
        <v>900</v>
      </c>
      <c r="K34" s="85">
        <v>1.44</v>
      </c>
      <c r="L34" s="205">
        <f t="shared" si="48"/>
        <v>39.09333333</v>
      </c>
      <c r="M34" s="84">
        <f t="shared" ref="M34:N34" si="49">M33</f>
        <v>22</v>
      </c>
      <c r="N34" s="206">
        <f t="shared" si="49"/>
        <v>29</v>
      </c>
      <c r="O34" s="95" t="s">
        <v>293</v>
      </c>
    </row>
    <row r="35">
      <c r="A35" s="77"/>
      <c r="B35" s="91" t="s">
        <v>294</v>
      </c>
      <c r="C35" s="79">
        <f>(G35)/(H35 * 1/J35 * 60/1)  + 'Elemental Effects'!$E$13</f>
        <v>412.3214286</v>
      </c>
      <c r="D35" s="80">
        <f>(G35)/((H35-1) * 1/J35 * 60/1 + K35) + 'Elemental Effects'!$E$13</f>
        <v>345.7045131</v>
      </c>
      <c r="E35" s="57"/>
      <c r="F35" s="204">
        <f t="shared" si="44"/>
        <v>13000</v>
      </c>
      <c r="G35" s="79">
        <f t="shared" ref="G35:G41" si="50">N35 * H35</f>
        <v>2600</v>
      </c>
      <c r="H35" s="82">
        <v>100.0</v>
      </c>
      <c r="I35" s="84">
        <f>'Reserves Data (Reference)'!$D$15</f>
        <v>500</v>
      </c>
      <c r="J35" s="84">
        <v>900.0</v>
      </c>
      <c r="K35" s="85">
        <v>1.44</v>
      </c>
      <c r="L35" s="205">
        <f t="shared" si="48"/>
        <v>38.76</v>
      </c>
      <c r="M35" s="84">
        <v>19.0</v>
      </c>
      <c r="N35" s="206">
        <v>26.0</v>
      </c>
      <c r="O35" s="95" t="s">
        <v>295</v>
      </c>
    </row>
    <row r="36">
      <c r="A36" s="77"/>
      <c r="B36" s="91" t="s">
        <v>294</v>
      </c>
      <c r="C36" s="79">
        <f>(G36)/(H36 * 1/J36 * 60/1)  
+ 'Elemental Effects'!$E$13
+ 'Elemental Effects'!$E$4 / (150*1/J37*60)</f>
        <v>486.6214286</v>
      </c>
      <c r="D36" s="80">
        <f>(G36)/((H36-1) * 1/J36 * 60/1 + K36) + 'Elemental Effects'!$E$13</f>
        <v>345.7045131</v>
      </c>
      <c r="E36" s="57"/>
      <c r="F36" s="204">
        <f>I36*N36 + 3*'Elemental Effects'!$E$4</f>
        <v>15229</v>
      </c>
      <c r="G36" s="79">
        <f t="shared" si="50"/>
        <v>2600</v>
      </c>
      <c r="H36" s="82">
        <v>100.0</v>
      </c>
      <c r="I36" s="84">
        <f>'Reserves Data (Reference)'!$D$15</f>
        <v>500</v>
      </c>
      <c r="J36" s="84">
        <v>900.0</v>
      </c>
      <c r="K36" s="85">
        <v>1.44</v>
      </c>
      <c r="L36" s="205">
        <f t="shared" si="48"/>
        <v>38.76</v>
      </c>
      <c r="M36" s="84">
        <f t="shared" ref="M36:N36" si="51">M35</f>
        <v>19</v>
      </c>
      <c r="N36" s="206">
        <f t="shared" si="51"/>
        <v>26</v>
      </c>
      <c r="O36" s="95" t="s">
        <v>296</v>
      </c>
    </row>
    <row r="37">
      <c r="A37" s="77" t="s">
        <v>56</v>
      </c>
      <c r="B37" s="91" t="s">
        <v>294</v>
      </c>
      <c r="C37" s="79">
        <f>(G37)/(H37 * 1/J37 * 60/1)  
+ 'Elemental Effects'!$E$13
+ 'Elemental Effects'!$E$4 / (100*1/J37*60)</f>
        <v>523.7714286</v>
      </c>
      <c r="D37" s="80">
        <f>(G37)/((H37-1) * 1/J37 * 60/1 + K37) + 'Elemental Effects'!$E$13</f>
        <v>345.7045131</v>
      </c>
      <c r="E37" s="57"/>
      <c r="F37" s="204">
        <f>I37*N37 + floor(I37/H37,1) * 'Elemental Effects'!$E$4</f>
        <v>16715</v>
      </c>
      <c r="G37" s="79">
        <f t="shared" si="50"/>
        <v>2600</v>
      </c>
      <c r="H37" s="82">
        <v>100.0</v>
      </c>
      <c r="I37" s="84">
        <f>'Reserves Data (Reference)'!$D$15</f>
        <v>500</v>
      </c>
      <c r="J37" s="84">
        <v>900.0</v>
      </c>
      <c r="K37" s="85">
        <v>1.44</v>
      </c>
      <c r="L37" s="205">
        <f t="shared" si="48"/>
        <v>38.76</v>
      </c>
      <c r="M37" s="84">
        <f t="shared" ref="M37:N37" si="52">M35</f>
        <v>19</v>
      </c>
      <c r="N37" s="206">
        <f t="shared" si="52"/>
        <v>26</v>
      </c>
      <c r="O37" s="95" t="s">
        <v>297</v>
      </c>
    </row>
    <row r="38">
      <c r="A38" s="77"/>
      <c r="B38" s="91" t="s">
        <v>298</v>
      </c>
      <c r="C38" s="79">
        <f t="shared" ref="C38:C41" si="54">(G38)/(H38 * 1/J38 * 60/1)</f>
        <v>435</v>
      </c>
      <c r="D38" s="80">
        <f t="shared" ref="D38:D41" si="55">(G38)/((H38-1) * 1/J38 * 60/1 + K38)</f>
        <v>358.8010204</v>
      </c>
      <c r="E38" s="57"/>
      <c r="F38" s="204">
        <f t="shared" ref="F38:F41" si="56">I38*N38</f>
        <v>14065</v>
      </c>
      <c r="G38" s="79">
        <f t="shared" si="50"/>
        <v>2813</v>
      </c>
      <c r="H38" s="82">
        <v>97.0</v>
      </c>
      <c r="I38" s="84">
        <f>'Reserves Data (Reference)'!$D$16</f>
        <v>485</v>
      </c>
      <c r="J38" s="84">
        <v>900.0</v>
      </c>
      <c r="K38" s="85">
        <v>1.44</v>
      </c>
      <c r="L38" s="205">
        <f t="shared" si="48"/>
        <v>37.76</v>
      </c>
      <c r="M38" s="84">
        <f t="shared" ref="M38:N38" si="53">M33</f>
        <v>22</v>
      </c>
      <c r="N38" s="206">
        <f t="shared" si="53"/>
        <v>29</v>
      </c>
    </row>
    <row r="39">
      <c r="A39" s="77" t="s">
        <v>299</v>
      </c>
      <c r="B39" s="91" t="s">
        <v>300</v>
      </c>
      <c r="C39" s="79">
        <f t="shared" si="54"/>
        <v>580</v>
      </c>
      <c r="D39" s="80">
        <f t="shared" si="55"/>
        <v>480.9286899</v>
      </c>
      <c r="E39" s="57"/>
      <c r="F39" s="204">
        <f t="shared" si="56"/>
        <v>19333.33333</v>
      </c>
      <c r="G39" s="79">
        <f t="shared" si="50"/>
        <v>3866.666667</v>
      </c>
      <c r="H39" s="82">
        <v>100.0</v>
      </c>
      <c r="I39" s="84">
        <f>'Reserves Data (Reference)'!$D$17</f>
        <v>500</v>
      </c>
      <c r="J39" s="84">
        <v>900.0</v>
      </c>
      <c r="K39" s="85">
        <v>1.44</v>
      </c>
      <c r="L39" s="205">
        <f t="shared" si="48"/>
        <v>38.76</v>
      </c>
      <c r="M39" s="84">
        <f>AVERAGE('Weapon Specifics'!$D$82,'Weapon Specifics'!$D$83,'Weapon Specifics'!$D$84)</f>
        <v>29</v>
      </c>
      <c r="N39" s="206">
        <f>AVERAGE('Weapon Specifics'!$D$85,'Weapon Specifics'!$D$86,'Weapon Specifics'!$D$87)</f>
        <v>38.66666667</v>
      </c>
    </row>
    <row r="40">
      <c r="A40" s="77" t="s">
        <v>301</v>
      </c>
      <c r="B40" s="91" t="s">
        <v>300</v>
      </c>
      <c r="C40" s="79">
        <f t="shared" si="54"/>
        <v>735</v>
      </c>
      <c r="D40" s="80">
        <f t="shared" si="55"/>
        <v>609.4527363</v>
      </c>
      <c r="E40" s="57"/>
      <c r="F40" s="204">
        <f t="shared" si="56"/>
        <v>24500</v>
      </c>
      <c r="G40" s="79">
        <f t="shared" si="50"/>
        <v>4900</v>
      </c>
      <c r="H40" s="82">
        <f t="shared" ref="H40:L40" si="57">H39</f>
        <v>100</v>
      </c>
      <c r="I40" s="84">
        <f t="shared" si="57"/>
        <v>500</v>
      </c>
      <c r="J40" s="84">
        <f t="shared" si="57"/>
        <v>900</v>
      </c>
      <c r="K40" s="85">
        <f t="shared" si="57"/>
        <v>1.44</v>
      </c>
      <c r="L40" s="205">
        <f t="shared" si="57"/>
        <v>38.76</v>
      </c>
      <c r="M40" s="84">
        <f>'Weapon Specifics'!D84</f>
        <v>36</v>
      </c>
      <c r="N40" s="206">
        <f>'Weapon Specifics'!D87</f>
        <v>49</v>
      </c>
      <c r="O40" s="95" t="s">
        <v>302</v>
      </c>
    </row>
    <row r="41">
      <c r="A41" s="77"/>
      <c r="B41" s="91" t="s">
        <v>303</v>
      </c>
      <c r="C41" s="79">
        <f t="shared" si="54"/>
        <v>570</v>
      </c>
      <c r="D41" s="80">
        <f t="shared" si="55"/>
        <v>470.1530612</v>
      </c>
      <c r="E41" s="57"/>
      <c r="F41" s="204">
        <f t="shared" si="56"/>
        <v>18430</v>
      </c>
      <c r="G41" s="79">
        <f t="shared" si="50"/>
        <v>3686</v>
      </c>
      <c r="H41" s="82">
        <v>97.0</v>
      </c>
      <c r="I41" s="84">
        <f>'Reserves Data (Reference)'!$D$18</f>
        <v>485</v>
      </c>
      <c r="J41" s="84">
        <v>900.0</v>
      </c>
      <c r="K41" s="85">
        <v>1.44</v>
      </c>
      <c r="L41" s="205">
        <f>timeToEmpty(H41,I41,J41,K41)</f>
        <v>37.76</v>
      </c>
      <c r="M41" s="84">
        <v>28.0</v>
      </c>
      <c r="N41" s="206">
        <v>38.0</v>
      </c>
    </row>
    <row r="42">
      <c r="A42" s="77" t="s">
        <v>179</v>
      </c>
      <c r="B42" s="91" t="s">
        <v>303</v>
      </c>
      <c r="C42" s="79">
        <f>(G42)/((H42-1) * 1/J42 * 60/1)</f>
        <v>1311.683938</v>
      </c>
      <c r="D42" s="90" t="s">
        <v>60</v>
      </c>
      <c r="E42" s="57"/>
      <c r="F42" s="204">
        <f>G42</f>
        <v>16877</v>
      </c>
      <c r="G42" s="79">
        <f>FLOOR(H42/20,1)*(10*N42 + 10*'Weapon Specifics'!D4 + 'Elemental Effects'!$E$9) + MOD(H42, 20)*N42</f>
        <v>16877</v>
      </c>
      <c r="H42" s="82">
        <v>194.0</v>
      </c>
      <c r="I42" s="84">
        <f>I41</f>
        <v>485</v>
      </c>
      <c r="J42" s="84">
        <v>900.0</v>
      </c>
      <c r="K42" s="85">
        <v>1.44</v>
      </c>
      <c r="L42" s="205">
        <f>H42*1/J42*60</f>
        <v>12.93333333</v>
      </c>
      <c r="M42" s="84">
        <v>50.0</v>
      </c>
      <c r="N42" s="206">
        <v>67.0</v>
      </c>
      <c r="O42" s="95" t="s">
        <v>304</v>
      </c>
    </row>
    <row r="43">
      <c r="A43" s="65" t="s">
        <v>305</v>
      </c>
      <c r="B43" s="66" t="s">
        <v>42</v>
      </c>
      <c r="C43" s="67">
        <f t="shared" ref="C43:C48" si="58">(G43)/(H43 * 1/J43 * 60/1)</f>
        <v>645.1327434</v>
      </c>
      <c r="D43" s="68">
        <f t="shared" ref="D43:D44" si="59">(G43)/(H43 * 1/J43 * 60/1 + K43 - (0.63 - 9*2 * 1/60))</f>
        <v>597.1738685</v>
      </c>
      <c r="E43" s="57"/>
      <c r="F43" s="193">
        <f t="shared" ref="F43:F48" si="60">I43*M43</f>
        <v>16038</v>
      </c>
      <c r="G43" s="70">
        <f t="shared" ref="G43:G48" si="61">M43 * H43</f>
        <v>5832</v>
      </c>
      <c r="H43" s="71">
        <v>8.0</v>
      </c>
      <c r="I43" s="73">
        <f>'Reserves Data (Reference)'!$D$19</f>
        <v>22</v>
      </c>
      <c r="J43" s="73">
        <f>1/((500/1000 + 0.63) * 1/60)</f>
        <v>53.09734513</v>
      </c>
      <c r="K43" s="74">
        <f>1.32*0.8</f>
        <v>1.056</v>
      </c>
      <c r="L43" s="194">
        <f>timeToEmpty_fusions(H43, I43, 0.02, 9, 0.5, 0.63, K43)</f>
        <v>25.562</v>
      </c>
      <c r="M43" s="73">
        <f>81*9</f>
        <v>729</v>
      </c>
      <c r="N43" s="195" t="s">
        <v>60</v>
      </c>
    </row>
    <row r="44">
      <c r="A44" s="96" t="s">
        <v>306</v>
      </c>
      <c r="B44" s="196" t="s">
        <v>42</v>
      </c>
      <c r="C44" s="98">
        <f t="shared" si="58"/>
        <v>810</v>
      </c>
      <c r="D44" s="99">
        <f t="shared" si="59"/>
        <v>747.2133248</v>
      </c>
      <c r="E44" s="57"/>
      <c r="F44" s="199">
        <f t="shared" si="60"/>
        <v>19245.6</v>
      </c>
      <c r="G44" s="98">
        <f t="shared" si="61"/>
        <v>6998.4</v>
      </c>
      <c r="H44" s="101">
        <v>8.0</v>
      </c>
      <c r="I44" s="103">
        <f>'Reserves Data (Reference)'!$D$19</f>
        <v>22</v>
      </c>
      <c r="J44" s="103">
        <f>1/((500/1000*0.9 + 0.63) * 1/60)</f>
        <v>55.55555556</v>
      </c>
      <c r="K44" s="201">
        <f>K43</f>
        <v>1.056</v>
      </c>
      <c r="L44" s="202">
        <f>timeToEmpty_fusions(H44, I44, 0.02, 9, 0.5*0.9, 0.63, K44)</f>
        <v>24.462</v>
      </c>
      <c r="M44" s="103">
        <f>M43*1.2</f>
        <v>874.8</v>
      </c>
      <c r="N44" s="203" t="s">
        <v>60</v>
      </c>
    </row>
    <row r="45">
      <c r="A45" s="96"/>
      <c r="B45" s="196" t="s">
        <v>44</v>
      </c>
      <c r="C45" s="98">
        <f t="shared" si="58"/>
        <v>671.0743802</v>
      </c>
      <c r="D45" s="99">
        <f>(G45)/(H45 * 1/J45 * 60/1 + K45 - (0.55 - 7*2 * 1/60))</f>
        <v>608.049922</v>
      </c>
      <c r="E45" s="57"/>
      <c r="F45" s="199">
        <f t="shared" si="60"/>
        <v>15428</v>
      </c>
      <c r="G45" s="98">
        <f t="shared" si="61"/>
        <v>6496</v>
      </c>
      <c r="H45" s="101">
        <v>8.0</v>
      </c>
      <c r="I45" s="103">
        <f>'Reserves Data (Reference)'!$D$20</f>
        <v>19</v>
      </c>
      <c r="J45" s="103">
        <f>1/((660/1000 + 0.55) * 1/60)</f>
        <v>49.58677686</v>
      </c>
      <c r="K45" s="201">
        <v>1.32</v>
      </c>
      <c r="L45" s="202">
        <f>timeToEmpty_fusions(H45, I45, 0.02, 7, 0.66, 0.55, K45)</f>
        <v>24.34</v>
      </c>
      <c r="M45" s="103">
        <f>116*7</f>
        <v>812</v>
      </c>
      <c r="N45" s="203" t="s">
        <v>60</v>
      </c>
    </row>
    <row r="46">
      <c r="A46" s="96"/>
      <c r="B46" s="196" t="s">
        <v>82</v>
      </c>
      <c r="C46" s="98">
        <f t="shared" si="58"/>
        <v>734.4827586</v>
      </c>
      <c r="D46" s="99">
        <f>(G46)/(H46 * 1/J46 * 60/1 + K46 - 0.5)</f>
        <v>674.8514851</v>
      </c>
      <c r="E46" s="57"/>
      <c r="F46" s="199">
        <f t="shared" si="60"/>
        <v>18744</v>
      </c>
      <c r="G46" s="89">
        <f t="shared" si="61"/>
        <v>6816</v>
      </c>
      <c r="H46" s="101">
        <v>8.0</v>
      </c>
      <c r="I46" s="103">
        <f>'Reserves Data (Reference)'!$D$21</f>
        <v>22</v>
      </c>
      <c r="J46" s="103">
        <f>1/((660/1000 + 0.5) * 1/60)</f>
        <v>51.72413793</v>
      </c>
      <c r="K46" s="201">
        <v>1.32</v>
      </c>
      <c r="L46" s="202">
        <f>timeToEmpty_fusions(H46, I46, 0, 12, 660/1000, 0.5, K46)</f>
        <v>26.66</v>
      </c>
      <c r="M46" s="103">
        <f>71*12</f>
        <v>852</v>
      </c>
      <c r="N46" s="203" t="s">
        <v>60</v>
      </c>
    </row>
    <row r="47">
      <c r="A47" s="77"/>
      <c r="B47" s="78" t="s">
        <v>46</v>
      </c>
      <c r="C47" s="79">
        <f t="shared" si="58"/>
        <v>616.4179104</v>
      </c>
      <c r="D47" s="80">
        <f>(G47)/(H47 * 1/J47 * 60/1 + K47 - (0.52 - 7*2 * 1/60))</f>
        <v>562.2234827</v>
      </c>
      <c r="E47" s="57"/>
      <c r="F47" s="204">
        <f t="shared" si="60"/>
        <v>15694</v>
      </c>
      <c r="G47" s="79">
        <f t="shared" si="61"/>
        <v>6608</v>
      </c>
      <c r="H47" s="82">
        <v>8.0</v>
      </c>
      <c r="I47" s="84">
        <f>'Reserves Data (Reference)'!$D$22</f>
        <v>19</v>
      </c>
      <c r="J47" s="84">
        <f>1/((780/1000 + 0.56) * 1/60)</f>
        <v>44.7761194</v>
      </c>
      <c r="K47" s="85">
        <v>1.32</v>
      </c>
      <c r="L47" s="205">
        <f>timeToEmpty_fusions(H47, I47, 0.02, 7, 0.78, 0.56, K47)</f>
        <v>26.78</v>
      </c>
      <c r="M47" s="84">
        <f>118*7</f>
        <v>826</v>
      </c>
      <c r="N47" s="206" t="s">
        <v>60</v>
      </c>
    </row>
    <row r="48">
      <c r="A48" s="96"/>
      <c r="B48" s="196" t="s">
        <v>47</v>
      </c>
      <c r="C48" s="98">
        <f t="shared" si="58"/>
        <v>692.0529801</v>
      </c>
      <c r="D48" s="99">
        <f>(G48)/(H48 * 1/J48 * 60/1 + K48 - (0.55 - 5*2 * 1/60))</f>
        <v>642.2535211</v>
      </c>
      <c r="E48" s="57"/>
      <c r="F48" s="199">
        <f t="shared" si="60"/>
        <v>19855</v>
      </c>
      <c r="G48" s="89">
        <f t="shared" si="61"/>
        <v>8360</v>
      </c>
      <c r="H48" s="101">
        <v>8.0</v>
      </c>
      <c r="I48" s="103">
        <f>'Reserves Data (Reference)'!$D$23</f>
        <v>19</v>
      </c>
      <c r="J48" s="103">
        <f>1/((960/1000 + 0.55) * 1/60)</f>
        <v>39.73509934</v>
      </c>
      <c r="K48" s="201">
        <v>1.32</v>
      </c>
      <c r="L48" s="202">
        <f>timeToEmpty_fusions(H48, I48, 0.02, 5, 0.96, 0.55, K48)</f>
        <v>29.92</v>
      </c>
      <c r="M48" s="103">
        <f>209*5</f>
        <v>1045</v>
      </c>
      <c r="N48" s="203" t="s">
        <v>60</v>
      </c>
    </row>
    <row r="49">
      <c r="A49" s="77"/>
      <c r="B49" s="208" t="s">
        <v>307</v>
      </c>
      <c r="C49" s="132">
        <f>G49/(
(1000+472 + 755+388 + 492+309)/1000 + (216+286)/1000 * (H49-3)
)</f>
        <v>259.19676</v>
      </c>
      <c r="D49" s="209">
        <f t="shared" ref="D49:D50" si="62">F49/L49</f>
        <v>328.0683959</v>
      </c>
      <c r="E49" s="210"/>
      <c r="F49" s="211">
        <f>'Weapon Specifics'!$D$74 + 'Weapon Specifics'!$D$75 + 'Weapon Specifics'!$D$76 + (I49-3)*M49</f>
        <v>4528</v>
      </c>
      <c r="G49" s="132">
        <f>'Weapon Specifics'!$D$74 + 'Weapon Specifics'!$D$75 + 'Weapon Specifics'!$D$76 + (H49-3)*M49</f>
        <v>1536</v>
      </c>
      <c r="H49" s="212">
        <v>8.0</v>
      </c>
      <c r="I49" s="213">
        <f>'Reserves Data (Reference)'!$D$24</f>
        <v>19</v>
      </c>
      <c r="J49" s="214">
        <f t="shared" ref="J49:J50" si="64">1/((1000/1000 + 0.53) * 1/60)</f>
        <v>39.21568627</v>
      </c>
      <c r="K49" s="215">
        <v>1.32</v>
      </c>
      <c r="L49" s="216">
        <f>(1000+472 + 755+388 + 492+309)/1000 + (216+286)/1000 * (I49-3) + floor(I49/H49,1)*K49 - 286/1000</f>
        <v>13.802</v>
      </c>
      <c r="M49" s="213">
        <f>'Weapon Specifics'!D77</f>
        <v>272</v>
      </c>
      <c r="N49" s="217" t="s">
        <v>60</v>
      </c>
      <c r="O49" s="95" t="s">
        <v>308</v>
      </c>
    </row>
    <row r="50">
      <c r="A50" s="77" t="s">
        <v>309</v>
      </c>
      <c r="B50" s="208" t="s">
        <v>307</v>
      </c>
      <c r="C50" s="132">
        <f>G50/(
(755+388 + 492+309)/1000 + (216+286)/1000 * (H50-2-1)
)</f>
        <v>471.4863044</v>
      </c>
      <c r="D50" s="209">
        <f t="shared" si="62"/>
        <v>478.2368826</v>
      </c>
      <c r="E50" s="210"/>
      <c r="F50" s="211">
        <f>('Weapon Specifics'!$D$75 + 'Weapon Specifics'!$D$76)*1.5 + M50*(I50 - 1 - floor((I50-1)/(H50),1))</f>
        <v>6588</v>
      </c>
      <c r="G50" s="132">
        <f>('Weapon Specifics'!$D$75 + 'Weapon Specifics'!$D$76)*1.5 + (H50-2-1)*M50</f>
        <v>2100</v>
      </c>
      <c r="H50" s="212">
        <f t="shared" ref="H50:I50" si="63">H49</f>
        <v>8</v>
      </c>
      <c r="I50" s="213">
        <f t="shared" si="63"/>
        <v>19</v>
      </c>
      <c r="J50" s="214">
        <f t="shared" si="64"/>
        <v>39.21568627</v>
      </c>
      <c r="K50" s="215">
        <f>1.32*0.66</f>
        <v>0.8712</v>
      </c>
      <c r="L50" s="216">
        <f>(1000+472)/1000 + K50 + (755+388 + 492+309)/1000 + (216+286)/1000 * (I50-2-1) + floor((I50-1)/H50,1)*K50 - 286/1000</f>
        <v>13.7756</v>
      </c>
      <c r="M50" s="213">
        <f>M49*1.5</f>
        <v>408</v>
      </c>
      <c r="N50" s="217" t="s">
        <v>60</v>
      </c>
      <c r="O50" s="95" t="s">
        <v>310</v>
      </c>
    </row>
    <row r="51">
      <c r="A51" s="77"/>
      <c r="B51" s="208" t="s">
        <v>311</v>
      </c>
      <c r="C51" s="132">
        <f t="shared" ref="C51:C57" si="65">(G51)/(H51 * 1/J51 * 60/1)</f>
        <v>1664.615385</v>
      </c>
      <c r="D51" s="209">
        <f t="shared" ref="D51:D52" si="66">(G51)/(H51 * 1/J51 * 60/1 + K51 - 0.48)</f>
        <v>1438.829787</v>
      </c>
      <c r="E51" s="210"/>
      <c r="F51" s="211">
        <f t="shared" ref="F51:F60" si="67">I51*M51</f>
        <v>17832</v>
      </c>
      <c r="G51" s="132">
        <f>(M51 + ('Weapon Specifics'!$D$78*7)) * H51</f>
        <v>10820</v>
      </c>
      <c r="H51" s="212">
        <v>5.0</v>
      </c>
      <c r="I51" s="213">
        <f>'Reserves Data (Reference)'!$D$25</f>
        <v>24</v>
      </c>
      <c r="J51" s="214">
        <f>1/((820/1000 + 0.48) * 1/60)</f>
        <v>46.15384615</v>
      </c>
      <c r="K51" s="218">
        <f t="shared" ref="K51:K52" si="69">45/30</f>
        <v>1.5</v>
      </c>
      <c r="L51" s="216">
        <f>timeToEmpty_fusions(H51, I51, 0, 1, 0.82, 0.48, K51)</f>
        <v>34.8</v>
      </c>
      <c r="M51" s="214">
        <f>164+579</f>
        <v>743</v>
      </c>
      <c r="N51" s="217" t="s">
        <v>60</v>
      </c>
      <c r="O51" s="95" t="s">
        <v>312</v>
      </c>
    </row>
    <row r="52">
      <c r="A52" s="77" t="s">
        <v>313</v>
      </c>
      <c r="B52" s="208" t="s">
        <v>311</v>
      </c>
      <c r="C52" s="132">
        <f t="shared" si="65"/>
        <v>1838.572642</v>
      </c>
      <c r="D52" s="209">
        <f t="shared" si="66"/>
        <v>1566.980449</v>
      </c>
      <c r="E52" s="210"/>
      <c r="F52" s="211">
        <f t="shared" si="67"/>
        <v>17832</v>
      </c>
      <c r="G52" s="132">
        <f>(M52 + ('Weapon Specifics'!$D$78*7)) * H52</f>
        <v>10820</v>
      </c>
      <c r="H52" s="120">
        <f t="shared" ref="H52:I52" si="68">H51</f>
        <v>5</v>
      </c>
      <c r="I52" s="214">
        <f t="shared" si="68"/>
        <v>24</v>
      </c>
      <c r="J52" s="214">
        <f>1/((820/1000 * 0.85 + 0.48) * 1/60)</f>
        <v>50.97706032</v>
      </c>
      <c r="K52" s="218">
        <f t="shared" si="69"/>
        <v>1.5</v>
      </c>
      <c r="L52" s="216">
        <f>timeToEmpty_fusions(H52, I52, 0, 1, 0.82 * 0.85, 0.48, K52)</f>
        <v>31.848</v>
      </c>
      <c r="M52" s="214">
        <f>M51</f>
        <v>743</v>
      </c>
      <c r="N52" s="217" t="s">
        <v>60</v>
      </c>
      <c r="O52" s="95" t="s">
        <v>312</v>
      </c>
    </row>
    <row r="53">
      <c r="A53" s="77"/>
      <c r="B53" s="208" t="s">
        <v>314</v>
      </c>
      <c r="C53" s="132">
        <f t="shared" si="65"/>
        <v>647.0588235</v>
      </c>
      <c r="D53" s="209">
        <f>(G53)/(H53 * 1/J53 * 60/1 + K53 - (0.53 - 7*2 * 1/60))</f>
        <v>553.7355174</v>
      </c>
      <c r="E53" s="210"/>
      <c r="F53" s="211">
        <f t="shared" si="67"/>
        <v>16940</v>
      </c>
      <c r="G53" s="132">
        <f t="shared" ref="G53:G60" si="70">M53 * H53</f>
        <v>4620</v>
      </c>
      <c r="H53" s="212">
        <v>6.0</v>
      </c>
      <c r="I53" s="213">
        <f>'Reserves Data (Reference)'!$D$26</f>
        <v>22</v>
      </c>
      <c r="J53" s="214">
        <f>1/((0.66+0.53)*1/60)</f>
        <v>50.42016807</v>
      </c>
      <c r="K53" s="218">
        <v>1.5</v>
      </c>
      <c r="L53" s="216">
        <f>timeToEmpty_fusions(H53, I53, 0.02, 7, 0.66, 0.53, K53)</f>
        <v>29.04</v>
      </c>
      <c r="M53" s="214">
        <f>110*7</f>
        <v>770</v>
      </c>
      <c r="N53" s="217" t="s">
        <v>60</v>
      </c>
      <c r="O53" s="95"/>
    </row>
    <row r="54">
      <c r="A54" s="77" t="s">
        <v>162</v>
      </c>
      <c r="B54" s="208" t="s">
        <v>315</v>
      </c>
      <c r="C54" s="132">
        <f t="shared" si="65"/>
        <v>740.7407407</v>
      </c>
      <c r="D54" s="209">
        <f t="shared" ref="D54:D55" si="71">(G54)/(H54 * 1/J54 * 60/1 + K54 - (0.58 - 16/2*2 * 1/60))</f>
        <v>641.1398041</v>
      </c>
      <c r="E54" s="210"/>
      <c r="F54" s="211">
        <f t="shared" si="67"/>
        <v>20800</v>
      </c>
      <c r="G54" s="132">
        <f t="shared" si="70"/>
        <v>4800</v>
      </c>
      <c r="H54" s="212">
        <v>6.0</v>
      </c>
      <c r="I54" s="213">
        <f>'Reserves Data (Reference)'!$D$27</f>
        <v>26</v>
      </c>
      <c r="J54" s="214">
        <f>1/((500/1000 + 0.58) * 1/60)</f>
        <v>55.55555556</v>
      </c>
      <c r="K54" s="218">
        <f t="shared" ref="K54:K55" si="73">1.32</f>
        <v>1.32</v>
      </c>
      <c r="L54" s="216">
        <f>timeToEmpty_fusions(H54, I54, 0.02, 16, 0.5, 0.58, K54)</f>
        <v>31.96</v>
      </c>
      <c r="M54" s="214">
        <f>50*16</f>
        <v>800</v>
      </c>
      <c r="N54" s="217" t="s">
        <v>60</v>
      </c>
      <c r="O54" s="95" t="s">
        <v>316</v>
      </c>
    </row>
    <row r="55">
      <c r="A55" s="77" t="s">
        <v>169</v>
      </c>
      <c r="B55" s="208" t="s">
        <v>315</v>
      </c>
      <c r="C55" s="132">
        <f t="shared" si="65"/>
        <v>607.4074074</v>
      </c>
      <c r="D55" s="209">
        <f t="shared" si="71"/>
        <v>525.7346394</v>
      </c>
      <c r="E55" s="210"/>
      <c r="F55" s="211">
        <f t="shared" si="67"/>
        <v>17056</v>
      </c>
      <c r="G55" s="132">
        <f t="shared" si="70"/>
        <v>3936</v>
      </c>
      <c r="H55" s="212">
        <v>6.0</v>
      </c>
      <c r="I55" s="213">
        <f t="shared" ref="I55:J55" si="72">I54</f>
        <v>26</v>
      </c>
      <c r="J55" s="214">
        <f t="shared" si="72"/>
        <v>55.55555556</v>
      </c>
      <c r="K55" s="215">
        <f t="shared" si="73"/>
        <v>1.32</v>
      </c>
      <c r="L55" s="216">
        <f>timeToEmpty_fusions(H56, I56, 0.02, 8, 0.5, 0.58, K56)</f>
        <v>21.84</v>
      </c>
      <c r="M55" s="214">
        <f>41*2*8</f>
        <v>656</v>
      </c>
      <c r="N55" s="217" t="s">
        <v>60</v>
      </c>
      <c r="O55" s="95" t="s">
        <v>317</v>
      </c>
    </row>
    <row r="56">
      <c r="A56" s="77" t="s">
        <v>179</v>
      </c>
      <c r="B56" s="208" t="s">
        <v>318</v>
      </c>
      <c r="C56" s="132">
        <f t="shared" si="65"/>
        <v>750.7246377</v>
      </c>
      <c r="D56" s="209">
        <f>(G56)/(H56 * 1/J56 * 60/1 + K56 - (0.56 - 7*2 * 1/60))</f>
        <v>680.7259074</v>
      </c>
      <c r="E56" s="210"/>
      <c r="F56" s="211">
        <f t="shared" si="67"/>
        <v>19684</v>
      </c>
      <c r="G56" s="132">
        <f t="shared" si="70"/>
        <v>7252</v>
      </c>
      <c r="H56" s="212">
        <v>7.0</v>
      </c>
      <c r="I56" s="213">
        <f>'Reserves Data (Reference)'!$D$28</f>
        <v>19</v>
      </c>
      <c r="J56" s="214">
        <f>1/((820/1000 + 0.56) * 1/60)</f>
        <v>43.47826087</v>
      </c>
      <c r="K56" s="215">
        <v>1.32</v>
      </c>
      <c r="L56" s="216">
        <f>timeToEmpty_fusions(H56, I56, 0.02, 7, 0.82, 0.56, K56)</f>
        <v>27.54</v>
      </c>
      <c r="M56" s="214">
        <f>(144+4)*7</f>
        <v>1036</v>
      </c>
      <c r="N56" s="217" t="s">
        <v>60</v>
      </c>
    </row>
    <row r="57">
      <c r="A57" s="77"/>
      <c r="B57" s="208" t="s">
        <v>319</v>
      </c>
      <c r="C57" s="132">
        <f t="shared" si="65"/>
        <v>813.75</v>
      </c>
      <c r="D57" s="209">
        <f>(G57)/(H57 * 1/J57 * 60/1 + K57 - (0.82 - 3*0.18))</f>
        <v>700</v>
      </c>
      <c r="E57" s="210"/>
      <c r="F57" s="211">
        <f t="shared" si="67"/>
        <v>27342</v>
      </c>
      <c r="G57" s="132">
        <f t="shared" si="70"/>
        <v>5208</v>
      </c>
      <c r="H57" s="212">
        <v>4.0</v>
      </c>
      <c r="I57" s="213">
        <f>'Reserves Data (Reference)'!$D$29</f>
        <v>21</v>
      </c>
      <c r="J57" s="214">
        <f>1/((780/1000 + 0.82) * 1/60)</f>
        <v>37.5</v>
      </c>
      <c r="K57" s="215">
        <v>1.32</v>
      </c>
      <c r="L57" s="216">
        <f>timeToEmpty_fusions(H57, I57, 0.18, 3, 0.78, 0.82, K57)</f>
        <v>37.44</v>
      </c>
      <c r="M57" s="214">
        <f>62*7*3</f>
        <v>1302</v>
      </c>
      <c r="N57" s="217" t="s">
        <v>60</v>
      </c>
    </row>
    <row r="58">
      <c r="A58" s="77" t="s">
        <v>320</v>
      </c>
      <c r="B58" s="208" t="s">
        <v>319</v>
      </c>
      <c r="C58" s="132">
        <f>(G58 + 'Elemental Effects'!$E$3*4)/(H58 * 1/J58 * 60/1)</f>
        <v>1400.604027</v>
      </c>
      <c r="D58" s="209">
        <f>(G58 + 'Elemental Effects'!$E$3*4)/(H58 * 1/J58 * 60/1 + K58 - (0.82 - 3*0.18) + 1)</f>
        <v>1043.45</v>
      </c>
      <c r="E58" s="210"/>
      <c r="F58" s="211">
        <f t="shared" si="67"/>
        <v>39645.9</v>
      </c>
      <c r="G58" s="132">
        <f t="shared" si="70"/>
        <v>7551.6</v>
      </c>
      <c r="H58" s="212">
        <v>4.0</v>
      </c>
      <c r="I58" s="213">
        <f>'Reserves Data (Reference)'!$D$29</f>
        <v>21</v>
      </c>
      <c r="J58" s="214">
        <f>1/((670/1000 + 0.82) * 1/60)</f>
        <v>40.26845638</v>
      </c>
      <c r="K58" s="215">
        <v>1.32</v>
      </c>
      <c r="L58" s="216">
        <f>timeToEmpty_fusions(H58, I58, 0.18, 3, 0.67, 0.82, K58) + 1 * floor(I58/H58,1)</f>
        <v>40.13</v>
      </c>
      <c r="M58" s="214">
        <f>M57*1.45</f>
        <v>1887.9</v>
      </c>
      <c r="N58" s="217" t="s">
        <v>60</v>
      </c>
      <c r="O58" s="95" t="s">
        <v>321</v>
      </c>
    </row>
    <row r="59">
      <c r="A59" s="65" t="s">
        <v>322</v>
      </c>
      <c r="B59" s="66" t="s">
        <v>42</v>
      </c>
      <c r="C59" s="67">
        <f t="shared" ref="C59:C62" si="74">(G59)/(H59 * 1/J59 * 60/1)</f>
        <v>1204</v>
      </c>
      <c r="D59" s="68">
        <f t="shared" ref="D59:D62" si="75">(G59)/((H59-1) * 1/J59 * 60/1 + 0.68+K59*(H59-1))</f>
        <v>700.0565291</v>
      </c>
      <c r="E59" s="57"/>
      <c r="F59" s="193">
        <f t="shared" si="67"/>
        <v>12900</v>
      </c>
      <c r="G59" s="70">
        <f t="shared" si="70"/>
        <v>4128</v>
      </c>
      <c r="H59" s="71">
        <v>8.0</v>
      </c>
      <c r="I59" s="73">
        <f>'Reserves Data (Reference)'!$D$30</f>
        <v>25</v>
      </c>
      <c r="J59" s="73">
        <v>140.0</v>
      </c>
      <c r="K59" s="74">
        <f t="shared" ref="K59:K61" si="76">19/60</f>
        <v>0.3166666667</v>
      </c>
      <c r="L59" s="194">
        <f t="shared" ref="L59:L62" si="77">timeToEmpty_shotgun(H59,I59,J59,K59)</f>
        <v>17.69</v>
      </c>
      <c r="M59" s="73">
        <f>43*12</f>
        <v>516</v>
      </c>
      <c r="N59" s="195">
        <v>567.0</v>
      </c>
    </row>
    <row r="60">
      <c r="A60" s="96" t="s">
        <v>323</v>
      </c>
      <c r="B60" s="219" t="s">
        <v>42</v>
      </c>
      <c r="C60" s="220">
        <f t="shared" si="74"/>
        <v>2006.666667</v>
      </c>
      <c r="D60" s="221">
        <f t="shared" si="75"/>
        <v>878.9212207</v>
      </c>
      <c r="E60" s="222"/>
      <c r="F60" s="223">
        <f t="shared" si="67"/>
        <v>12900</v>
      </c>
      <c r="G60" s="220">
        <f t="shared" si="70"/>
        <v>4128</v>
      </c>
      <c r="H60" s="224">
        <v>8.0</v>
      </c>
      <c r="I60" s="225">
        <f>I59</f>
        <v>25</v>
      </c>
      <c r="J60" s="225">
        <f>J59*5/3</f>
        <v>233.3333333</v>
      </c>
      <c r="K60" s="226">
        <f t="shared" si="76"/>
        <v>0.3166666667</v>
      </c>
      <c r="L60" s="227">
        <f t="shared" si="77"/>
        <v>14.09</v>
      </c>
      <c r="M60" s="225">
        <f t="shared" ref="M60:N60" si="78">M59</f>
        <v>516</v>
      </c>
      <c r="N60" s="228">
        <f t="shared" si="78"/>
        <v>567</v>
      </c>
    </row>
    <row r="61">
      <c r="A61" s="96"/>
      <c r="B61" s="219" t="s">
        <v>324</v>
      </c>
      <c r="C61" s="220">
        <f t="shared" si="74"/>
        <v>967.1428571</v>
      </c>
      <c r="D61" s="221">
        <f t="shared" si="75"/>
        <v>681.9870302</v>
      </c>
      <c r="E61" s="222"/>
      <c r="F61" s="223">
        <f>I61*N61</f>
        <v>15474.28571</v>
      </c>
      <c r="G61" s="220">
        <f>N61 * H61</f>
        <v>5158.095238</v>
      </c>
      <c r="H61" s="224">
        <v>8.0</v>
      </c>
      <c r="I61" s="225">
        <f>'Reserves Data (Reference)'!$D$31</f>
        <v>24</v>
      </c>
      <c r="J61" s="225">
        <v>90.0</v>
      </c>
      <c r="K61" s="226">
        <f t="shared" si="76"/>
        <v>0.3166666667</v>
      </c>
      <c r="L61" s="227">
        <f t="shared" si="77"/>
        <v>22.01</v>
      </c>
      <c r="M61" s="225">
        <f>386/1.05</f>
        <v>367.6190476</v>
      </c>
      <c r="N61" s="228">
        <f>677/1.05</f>
        <v>644.7619048</v>
      </c>
    </row>
    <row r="62">
      <c r="A62" s="77"/>
      <c r="B62" s="229" t="s">
        <v>83</v>
      </c>
      <c r="C62" s="132">
        <f t="shared" si="74"/>
        <v>880</v>
      </c>
      <c r="D62" s="209">
        <f t="shared" si="75"/>
        <v>590.6040268</v>
      </c>
      <c r="E62" s="210"/>
      <c r="F62" s="211">
        <f t="shared" ref="F62:F64" si="79">I62*M62</f>
        <v>11880</v>
      </c>
      <c r="G62" s="132">
        <f t="shared" ref="G62:G64" si="80">M62 * H62</f>
        <v>5280</v>
      </c>
      <c r="H62" s="212">
        <v>8.0</v>
      </c>
      <c r="I62" s="213">
        <f>'Reserves Data (Reference)'!$D$32</f>
        <v>18</v>
      </c>
      <c r="J62" s="213">
        <v>80.0</v>
      </c>
      <c r="K62" s="218">
        <v>0.43</v>
      </c>
      <c r="L62" s="216">
        <f t="shared" si="77"/>
        <v>19.06</v>
      </c>
      <c r="M62" s="214">
        <f>55*12</f>
        <v>660</v>
      </c>
      <c r="N62" s="217">
        <v>727.0</v>
      </c>
    </row>
    <row r="63">
      <c r="A63" s="77" t="s">
        <v>325</v>
      </c>
      <c r="B63" s="229" t="s">
        <v>83</v>
      </c>
      <c r="C63" s="230">
        <f>D63</f>
        <v>913.8461538</v>
      </c>
      <c r="D63" s="231">
        <f>(M63*3)/(3*1/J63*60 + 1)</f>
        <v>913.8461538</v>
      </c>
      <c r="E63" s="210"/>
      <c r="F63" s="211">
        <f t="shared" si="79"/>
        <v>17820</v>
      </c>
      <c r="G63" s="132">
        <f t="shared" si="80"/>
        <v>7920</v>
      </c>
      <c r="H63" s="212">
        <v>8.0</v>
      </c>
      <c r="I63" s="213">
        <f>I62</f>
        <v>18</v>
      </c>
      <c r="J63" s="213">
        <v>80.0</v>
      </c>
      <c r="K63" s="218">
        <v>0.43</v>
      </c>
      <c r="L63" s="216">
        <f>I63*1/J63*60</f>
        <v>13.5</v>
      </c>
      <c r="M63" s="214">
        <f t="shared" ref="M63:N63" si="81">M62*1.5</f>
        <v>990</v>
      </c>
      <c r="N63" s="217">
        <f t="shared" si="81"/>
        <v>1090.5</v>
      </c>
      <c r="O63" s="95" t="s">
        <v>326</v>
      </c>
    </row>
    <row r="64">
      <c r="A64" s="77"/>
      <c r="B64" s="229" t="s">
        <v>46</v>
      </c>
      <c r="C64" s="132">
        <f t="shared" ref="C64:C66" si="82">(G64)/(H64 * 1/J64 * 60/1)</f>
        <v>715</v>
      </c>
      <c r="D64" s="209">
        <f t="shared" ref="D64:D66" si="83">(G64)/((H64-1) * 1/J64 * 60/1 + 0.68+K64*(H64-1))</f>
        <v>525.0917993</v>
      </c>
      <c r="E64" s="210"/>
      <c r="F64" s="211">
        <f t="shared" si="79"/>
        <v>11880</v>
      </c>
      <c r="G64" s="132">
        <f t="shared" si="80"/>
        <v>4620</v>
      </c>
      <c r="H64" s="212">
        <v>7.0</v>
      </c>
      <c r="I64" s="213">
        <f>'Reserves Data (Reference)'!$D$33</f>
        <v>18</v>
      </c>
      <c r="J64" s="213">
        <v>65.0</v>
      </c>
      <c r="K64" s="218">
        <v>0.43</v>
      </c>
      <c r="L64" s="216">
        <f t="shared" ref="L64:L66" si="84">timeToEmpty_shotgun(H64,I64,J64,K64)</f>
        <v>21.65615385</v>
      </c>
      <c r="M64" s="213">
        <f>55*12</f>
        <v>660</v>
      </c>
      <c r="N64" s="217">
        <v>727.0</v>
      </c>
    </row>
    <row r="65">
      <c r="A65" s="77"/>
      <c r="B65" s="229" t="s">
        <v>327</v>
      </c>
      <c r="C65" s="132">
        <f t="shared" si="82"/>
        <v>768.0833333</v>
      </c>
      <c r="D65" s="209">
        <f t="shared" si="83"/>
        <v>558.7330454</v>
      </c>
      <c r="E65" s="210"/>
      <c r="F65" s="211">
        <f>I65*N65</f>
        <v>12762</v>
      </c>
      <c r="G65" s="132">
        <f>N65 * H65</f>
        <v>5672</v>
      </c>
      <c r="H65" s="212">
        <v>8.0</v>
      </c>
      <c r="I65" s="213">
        <f>'Reserves Data (Reference)'!$D$34</f>
        <v>18</v>
      </c>
      <c r="J65" s="213">
        <v>65.0</v>
      </c>
      <c r="K65" s="218">
        <v>0.43</v>
      </c>
      <c r="L65" s="216">
        <f t="shared" si="84"/>
        <v>21.65615385</v>
      </c>
      <c r="M65" s="213">
        <v>404.0</v>
      </c>
      <c r="N65" s="217">
        <v>709.0</v>
      </c>
      <c r="O65" s="95" t="s">
        <v>328</v>
      </c>
    </row>
    <row r="66">
      <c r="A66" s="77"/>
      <c r="B66" s="229" t="s">
        <v>82</v>
      </c>
      <c r="C66" s="132">
        <f t="shared" si="82"/>
        <v>770</v>
      </c>
      <c r="D66" s="209">
        <f t="shared" si="83"/>
        <v>608.3616811</v>
      </c>
      <c r="E66" s="210"/>
      <c r="F66" s="211">
        <f t="shared" ref="F66:F67" si="85">I66*M66</f>
        <v>15960</v>
      </c>
      <c r="G66" s="132">
        <f t="shared" ref="G66:G67" si="86">M66 * H66</f>
        <v>5040</v>
      </c>
      <c r="H66" s="212">
        <v>6.0</v>
      </c>
      <c r="I66" s="213">
        <f>'Reserves Data (Reference)'!$D$35</f>
        <v>19</v>
      </c>
      <c r="J66" s="213">
        <v>55.0</v>
      </c>
      <c r="K66" s="218">
        <v>0.43</v>
      </c>
      <c r="L66" s="216">
        <f t="shared" si="84"/>
        <v>24.85363636</v>
      </c>
      <c r="M66" s="214">
        <f>70*12</f>
        <v>840</v>
      </c>
      <c r="N66" s="217">
        <v>930.0</v>
      </c>
    </row>
    <row r="67">
      <c r="A67" s="77" t="s">
        <v>325</v>
      </c>
      <c r="B67" s="229" t="s">
        <v>82</v>
      </c>
      <c r="C67" s="230">
        <f>D67</f>
        <v>884.6808511</v>
      </c>
      <c r="D67" s="231">
        <f>(M67*3)/(3*1/J67*60 + 1)</f>
        <v>884.6808511</v>
      </c>
      <c r="E67" s="210"/>
      <c r="F67" s="211">
        <f t="shared" si="85"/>
        <v>23940</v>
      </c>
      <c r="G67" s="132">
        <f t="shared" si="86"/>
        <v>7560</v>
      </c>
      <c r="H67" s="212">
        <v>6.0</v>
      </c>
      <c r="I67" s="213">
        <f>I66</f>
        <v>19</v>
      </c>
      <c r="J67" s="213">
        <v>55.0</v>
      </c>
      <c r="K67" s="218">
        <v>0.43</v>
      </c>
      <c r="L67" s="216">
        <f>I67*1/J67*60</f>
        <v>20.72727273</v>
      </c>
      <c r="M67" s="214">
        <f t="shared" ref="M67:N67" si="87">M66*1.5</f>
        <v>1260</v>
      </c>
      <c r="N67" s="217">
        <f t="shared" si="87"/>
        <v>1395</v>
      </c>
      <c r="O67" s="95" t="s">
        <v>329</v>
      </c>
    </row>
    <row r="68">
      <c r="A68" s="77"/>
      <c r="B68" s="229" t="s">
        <v>106</v>
      </c>
      <c r="C68" s="132">
        <f>(G68)/(H68 * 1/J68 * 60/1)</f>
        <v>2069.767442</v>
      </c>
      <c r="D68" s="209">
        <f t="shared" ref="D68:D70" si="88">(G68)/((H68-1) * 1/J68 * 60/1 + 0.68+K68*(H68-1))</f>
        <v>1021.777347</v>
      </c>
      <c r="E68" s="210"/>
      <c r="F68" s="211">
        <f>I68*N68</f>
        <v>28819.04762</v>
      </c>
      <c r="G68" s="132">
        <f>N68 * H68</f>
        <v>13561.90476</v>
      </c>
      <c r="H68" s="212">
        <v>16.0</v>
      </c>
      <c r="I68" s="213">
        <f>'Reserves Data (Reference)'!$D$36</f>
        <v>34</v>
      </c>
      <c r="J68" s="213">
        <f>14/((535-191)/60) * 60</f>
        <v>146.5116279</v>
      </c>
      <c r="K68" s="218">
        <v>0.43</v>
      </c>
      <c r="L68" s="216">
        <f t="shared" ref="L68:L70" si="89">timeToEmpty_shotgun(H68,I68,J68,K68)</f>
        <v>27.3852381</v>
      </c>
      <c r="M68" s="213">
        <f>254/1.05*2</f>
        <v>483.8095238</v>
      </c>
      <c r="N68" s="217">
        <f>445/1.05*2</f>
        <v>847.6190476</v>
      </c>
      <c r="O68" s="95" t="s">
        <v>328</v>
      </c>
    </row>
    <row r="69">
      <c r="A69" s="77"/>
      <c r="B69" s="208" t="s">
        <v>330</v>
      </c>
      <c r="C69" s="132">
        <f t="shared" ref="C69:C70" si="90">(G69)/((H69-1) * 1/J69 * 60/1)</f>
        <v>5263.2</v>
      </c>
      <c r="D69" s="209">
        <f t="shared" si="88"/>
        <v>1228.762646</v>
      </c>
      <c r="E69" s="210"/>
      <c r="F69" s="211">
        <f t="shared" ref="F69:F70" si="91">G69*floor(I69/H69,1)</f>
        <v>15789.6</v>
      </c>
      <c r="G69" s="132">
        <f>M69 + M69*1.18 + M69*1.39 + M69*1.59</f>
        <v>3157.92</v>
      </c>
      <c r="H69" s="212">
        <v>4.0</v>
      </c>
      <c r="I69" s="213">
        <f>'Reserves Data (Reference)'!$D$37</f>
        <v>20</v>
      </c>
      <c r="J69" s="213">
        <v>300.0</v>
      </c>
      <c r="K69" s="218">
        <v>0.43</v>
      </c>
      <c r="L69" s="216">
        <f t="shared" si="89"/>
        <v>12.17</v>
      </c>
      <c r="M69" s="213">
        <f>51*12</f>
        <v>612</v>
      </c>
      <c r="N69" s="217">
        <v>676.0</v>
      </c>
    </row>
    <row r="70">
      <c r="A70" s="77" t="s">
        <v>179</v>
      </c>
      <c r="B70" s="208" t="s">
        <v>330</v>
      </c>
      <c r="C70" s="132">
        <f t="shared" si="90"/>
        <v>5332.05</v>
      </c>
      <c r="D70" s="209">
        <f t="shared" si="88"/>
        <v>1333.0125</v>
      </c>
      <c r="E70" s="210"/>
      <c r="F70" s="211">
        <f t="shared" si="91"/>
        <v>17062.56</v>
      </c>
      <c r="G70" s="132">
        <f>M70 + M70*1.18 + M70*1.39 + M70*1.59 + M70*1.81</f>
        <v>4265.64</v>
      </c>
      <c r="H70" s="212">
        <v>5.0</v>
      </c>
      <c r="I70" s="214">
        <f t="shared" ref="I70:J70" si="92">I69</f>
        <v>20</v>
      </c>
      <c r="J70" s="214">
        <f t="shared" si="92"/>
        <v>300</v>
      </c>
      <c r="K70" s="218">
        <v>0.43</v>
      </c>
      <c r="L70" s="216">
        <f t="shared" si="89"/>
        <v>12.12</v>
      </c>
      <c r="M70" s="214">
        <f t="shared" ref="M70:N70" si="93">M69</f>
        <v>612</v>
      </c>
      <c r="N70" s="232">
        <f t="shared" si="93"/>
        <v>676</v>
      </c>
    </row>
    <row r="71">
      <c r="A71" s="77"/>
      <c r="B71" s="208" t="s">
        <v>331</v>
      </c>
      <c r="C71" s="132">
        <f>(G71)/(H71 * 1/55 * 60/1)</f>
        <v>1208.625</v>
      </c>
      <c r="D71" s="209">
        <f>(G71)/((H71-1) * 1/55 * 60/1 + K71)</f>
        <v>1225.993238</v>
      </c>
      <c r="E71" s="210"/>
      <c r="F71" s="211">
        <f>G71*floor(I71/H71,1) + mod(I71, 2) * (M71 + 'Elemental Effects'!E9)</f>
        <v>24778</v>
      </c>
      <c r="G71" s="132">
        <f>M71+ 'Weapon Specifics'!D13+'Elemental Effects'!E9+'Weapon Specifics'!D12</f>
        <v>2637</v>
      </c>
      <c r="H71" s="212">
        <v>2.0</v>
      </c>
      <c r="I71" s="213">
        <f>'Reserves Data (Reference)'!D38</f>
        <v>19</v>
      </c>
      <c r="J71" s="213">
        <v>165.0</v>
      </c>
      <c r="K71" s="218">
        <v>1.06</v>
      </c>
      <c r="L71" s="216">
        <f>timeToEmpty(H71,I71,55,K71)</f>
        <v>19.35818182</v>
      </c>
      <c r="M71" s="214">
        <f>57*12</f>
        <v>684</v>
      </c>
      <c r="N71" s="217">
        <v>889.0</v>
      </c>
      <c r="O71" s="95" t="s">
        <v>332</v>
      </c>
    </row>
    <row r="72">
      <c r="A72" s="77"/>
      <c r="B72" s="208" t="s">
        <v>333</v>
      </c>
      <c r="C72" s="132">
        <f t="shared" ref="C72:C73" si="94">(G72)/(H72 * 1/J72 * 60/1)</f>
        <v>789.8333333</v>
      </c>
      <c r="D72" s="209">
        <f t="shared" ref="D72:D73" si="95">(G72)/((H72-1) * 1/J72 * 60/1 + 0.68+K72*(H72-1))</f>
        <v>570.8492271</v>
      </c>
      <c r="E72" s="210"/>
      <c r="F72" s="211">
        <f>I72*N72</f>
        <v>12186</v>
      </c>
      <c r="G72" s="132">
        <f t="shared" ref="G72:G73" si="96">N72 * H72</f>
        <v>4062</v>
      </c>
      <c r="H72" s="212">
        <v>6.0</v>
      </c>
      <c r="I72" s="213">
        <f>'Reserves Data (Reference)'!D39</f>
        <v>18</v>
      </c>
      <c r="J72" s="213">
        <v>70.0</v>
      </c>
      <c r="K72" s="218">
        <v>0.43</v>
      </c>
      <c r="L72" s="216">
        <f t="shared" ref="L72:L73" si="97">timeToEmpty_shotgun(H72,I72,J72,K72)</f>
        <v>20.66714286</v>
      </c>
      <c r="M72" s="213">
        <v>386.0</v>
      </c>
      <c r="N72" s="217">
        <v>677.0</v>
      </c>
    </row>
    <row r="73">
      <c r="A73" s="77" t="s">
        <v>334</v>
      </c>
      <c r="B73" s="208" t="s">
        <v>333</v>
      </c>
      <c r="C73" s="132">
        <f t="shared" si="94"/>
        <v>1651.88</v>
      </c>
      <c r="D73" s="209">
        <f t="shared" si="95"/>
        <v>1034.040689</v>
      </c>
      <c r="E73" s="210"/>
      <c r="F73" s="211">
        <f>(I73 - 2)*N73 + N72</f>
        <v>13892.04</v>
      </c>
      <c r="G73" s="132">
        <f t="shared" si="96"/>
        <v>4955.64</v>
      </c>
      <c r="H73" s="212">
        <v>6.0</v>
      </c>
      <c r="I73" s="213">
        <f>I72</f>
        <v>18</v>
      </c>
      <c r="J73" s="213">
        <v>120.0</v>
      </c>
      <c r="K73" s="218">
        <f>0.43*0.75</f>
        <v>0.3225</v>
      </c>
      <c r="L73" s="216">
        <f t="shared" si="97"/>
        <v>13.6975</v>
      </c>
      <c r="M73" s="213">
        <f t="shared" ref="M73:M74" si="99">M72</f>
        <v>386</v>
      </c>
      <c r="N73" s="217">
        <f>N72*1.22</f>
        <v>825.94</v>
      </c>
      <c r="O73" s="95" t="s">
        <v>335</v>
      </c>
    </row>
    <row r="74">
      <c r="A74" s="77" t="s">
        <v>334</v>
      </c>
      <c r="B74" s="208" t="s">
        <v>333</v>
      </c>
      <c r="C74" s="132">
        <f>D74</f>
        <v>1214.617647</v>
      </c>
      <c r="D74" s="209">
        <f>N74/0.68</f>
        <v>1214.617647</v>
      </c>
      <c r="E74" s="210"/>
      <c r="F74" s="211">
        <f t="shared" ref="F74:K74" si="98">F73</f>
        <v>13892.04</v>
      </c>
      <c r="G74" s="132">
        <f t="shared" si="98"/>
        <v>4955.64</v>
      </c>
      <c r="H74" s="212">
        <f t="shared" si="98"/>
        <v>6</v>
      </c>
      <c r="I74" s="213">
        <f t="shared" si="98"/>
        <v>18</v>
      </c>
      <c r="J74" s="213">
        <f t="shared" si="98"/>
        <v>120</v>
      </c>
      <c r="K74" s="218">
        <f t="shared" si="98"/>
        <v>0.3225</v>
      </c>
      <c r="L74" s="216">
        <f>0.68*(I74-1)</f>
        <v>11.56</v>
      </c>
      <c r="M74" s="213">
        <f t="shared" si="99"/>
        <v>386</v>
      </c>
      <c r="N74" s="217">
        <f>N73</f>
        <v>825.94</v>
      </c>
      <c r="O74" s="95" t="s">
        <v>336</v>
      </c>
    </row>
    <row r="75">
      <c r="A75" s="77" t="s">
        <v>169</v>
      </c>
      <c r="B75" s="208" t="s">
        <v>337</v>
      </c>
      <c r="C75" s="132">
        <f t="shared" ref="C75:C78" si="100">(G75)/(H75 * 1/J75 * 60/1)</f>
        <v>1045.333333</v>
      </c>
      <c r="D75" s="209">
        <f t="shared" ref="D75:D78" si="101">(G75)/((H75-1) * 1/J75 * 60/1 + K75)</f>
        <v>807.9697698</v>
      </c>
      <c r="E75" s="210"/>
      <c r="F75" s="211">
        <f>I75*M75</f>
        <v>18522</v>
      </c>
      <c r="G75" s="132">
        <f>M75 * H75</f>
        <v>2940</v>
      </c>
      <c r="H75" s="212">
        <v>30.0</v>
      </c>
      <c r="I75" s="213">
        <f>'Reserves Data (Reference)'!$D$40</f>
        <v>189</v>
      </c>
      <c r="J75" s="213">
        <v>640.0</v>
      </c>
      <c r="K75" s="218">
        <v>0.92</v>
      </c>
      <c r="L75" s="216">
        <f t="shared" ref="L75:L76" si="102">(I75-Floor(I75/H75,1)-1)*1/J75*60/1 + (Floor(I75/H75,1)) * K75</f>
        <v>22.5825</v>
      </c>
      <c r="M75" s="213">
        <v>98.0</v>
      </c>
      <c r="N75" s="217">
        <v>176.0</v>
      </c>
      <c r="O75" s="95" t="s">
        <v>338</v>
      </c>
    </row>
    <row r="76">
      <c r="A76" s="77" t="s">
        <v>169</v>
      </c>
      <c r="B76" s="208" t="s">
        <v>337</v>
      </c>
      <c r="C76" s="132">
        <f t="shared" si="100"/>
        <v>1877.333333</v>
      </c>
      <c r="D76" s="209">
        <f t="shared" si="101"/>
        <v>1451.04775</v>
      </c>
      <c r="E76" s="210"/>
      <c r="F76" s="211">
        <f>I76*N76</f>
        <v>33264</v>
      </c>
      <c r="G76" s="132">
        <f>N76 * H76</f>
        <v>5280</v>
      </c>
      <c r="H76" s="212">
        <f t="shared" ref="H76:H82" si="104">$H$75</f>
        <v>30</v>
      </c>
      <c r="I76" s="213">
        <f>'Reserves Data (Reference)'!$D$40</f>
        <v>189</v>
      </c>
      <c r="J76" s="213">
        <f>J75</f>
        <v>640</v>
      </c>
      <c r="K76" s="218">
        <f t="shared" ref="K76:K82" si="105">$K$75</f>
        <v>0.92</v>
      </c>
      <c r="L76" s="216">
        <f t="shared" si="102"/>
        <v>22.5825</v>
      </c>
      <c r="M76" s="213">
        <f t="shared" ref="M76:N76" si="103">M75</f>
        <v>98</v>
      </c>
      <c r="N76" s="217">
        <f t="shared" si="103"/>
        <v>176</v>
      </c>
      <c r="O76" s="95" t="s">
        <v>339</v>
      </c>
    </row>
    <row r="77">
      <c r="A77" s="77" t="s">
        <v>254</v>
      </c>
      <c r="B77" s="208" t="s">
        <v>337</v>
      </c>
      <c r="C77" s="132">
        <f t="shared" si="100"/>
        <v>1527.166667</v>
      </c>
      <c r="D77" s="209">
        <f t="shared" si="101"/>
        <v>1096.769818</v>
      </c>
      <c r="E77" s="210"/>
      <c r="F77" s="211">
        <f>I77*M77</f>
        <v>20790</v>
      </c>
      <c r="G77" s="132">
        <f>M77 * H77</f>
        <v>3300</v>
      </c>
      <c r="H77" s="212">
        <f t="shared" si="104"/>
        <v>30</v>
      </c>
      <c r="I77" s="213">
        <f>'Reserves Data (Reference)'!$D$40</f>
        <v>189</v>
      </c>
      <c r="J77" s="213">
        <v>833.0</v>
      </c>
      <c r="K77" s="218">
        <f t="shared" si="105"/>
        <v>0.92</v>
      </c>
      <c r="L77" s="216">
        <f t="shared" ref="L77:L86" si="106">timeToEmpty(H77,I77,J77,K77)</f>
        <v>18.6292437</v>
      </c>
      <c r="M77" s="213">
        <v>110.0</v>
      </c>
      <c r="N77" s="217">
        <v>171.0</v>
      </c>
      <c r="O77" s="95" t="s">
        <v>338</v>
      </c>
    </row>
    <row r="78">
      <c r="A78" s="77" t="s">
        <v>254</v>
      </c>
      <c r="B78" s="208" t="s">
        <v>337</v>
      </c>
      <c r="C78" s="132">
        <f t="shared" si="100"/>
        <v>2374.05</v>
      </c>
      <c r="D78" s="209">
        <f t="shared" si="101"/>
        <v>1704.978535</v>
      </c>
      <c r="E78" s="210"/>
      <c r="F78" s="211">
        <f t="shared" ref="F78:F84" si="108">I78*N78</f>
        <v>32319</v>
      </c>
      <c r="G78" s="132">
        <f>N78 * H78</f>
        <v>5130</v>
      </c>
      <c r="H78" s="212">
        <f t="shared" si="104"/>
        <v>30</v>
      </c>
      <c r="I78" s="213">
        <f>'Reserves Data (Reference)'!$D$40</f>
        <v>189</v>
      </c>
      <c r="J78" s="213">
        <f>J77</f>
        <v>833</v>
      </c>
      <c r="K78" s="218">
        <f t="shared" si="105"/>
        <v>0.92</v>
      </c>
      <c r="L78" s="216">
        <f t="shared" si="106"/>
        <v>18.6292437</v>
      </c>
      <c r="M78" s="213">
        <f t="shared" ref="M78:N78" si="107">M77</f>
        <v>110</v>
      </c>
      <c r="N78" s="217">
        <f t="shared" si="107"/>
        <v>171</v>
      </c>
      <c r="O78" s="95" t="s">
        <v>339</v>
      </c>
    </row>
    <row r="79">
      <c r="A79" s="77" t="s">
        <v>340</v>
      </c>
      <c r="B79" s="208" t="s">
        <v>337</v>
      </c>
      <c r="C79" s="132">
        <f>(G79)/(H79 * 1/J79 * 60/1)  
+ 'Elemental Effects'!$E$13
+ ('Elemental Effects'!$E$4)/(75 * 1/J79 * 60/1)</f>
        <v>1687.025651</v>
      </c>
      <c r="D79" s="209">
        <f>(G79)/((H79-1) * 1/J79 * 60/1 + K79)  
+ 'Elemental Effects'!$E$13
+ ('Elemental Effects'!$E$4)/(75 * 1/J79 * 60 + FLOOR(75/H79,1)*K79)</f>
        <v>1221.684935</v>
      </c>
      <c r="E79" s="210"/>
      <c r="F79" s="211">
        <f t="shared" si="108"/>
        <v>32319</v>
      </c>
      <c r="G79" s="233">
        <f>M79 * H79</f>
        <v>3300</v>
      </c>
      <c r="H79" s="212">
        <f t="shared" si="104"/>
        <v>30</v>
      </c>
      <c r="I79" s="213">
        <f>'Reserves Data (Reference)'!$D$40</f>
        <v>189</v>
      </c>
      <c r="J79" s="213">
        <f t="shared" ref="J79:J82" si="109">$J$77</f>
        <v>833</v>
      </c>
      <c r="K79" s="218">
        <f t="shared" si="105"/>
        <v>0.92</v>
      </c>
      <c r="L79" s="216">
        <f t="shared" si="106"/>
        <v>18.6292437</v>
      </c>
      <c r="M79" s="213">
        <f t="shared" ref="M79:M82" si="110">$M$77</f>
        <v>110</v>
      </c>
      <c r="N79" s="217">
        <f t="shared" ref="N79:N82" si="111">$N$77</f>
        <v>171</v>
      </c>
      <c r="O79" s="95" t="s">
        <v>341</v>
      </c>
    </row>
    <row r="80">
      <c r="A80" s="77" t="s">
        <v>340</v>
      </c>
      <c r="B80" s="208" t="s">
        <v>337</v>
      </c>
      <c r="C80" s="132">
        <f>(G80)/(H80 * 1/J80 * 60/1)  
+ 'Elemental Effects'!$E$13
+ ('Elemental Effects'!$E$4)/(75 * 1/J80 * 60/1)</f>
        <v>2533.908984</v>
      </c>
      <c r="D80" s="209">
        <f>(G80)/((H80-1) * 1/J80 * 60/1 + K80)  
+ 'Elemental Effects'!$E$13
+ ('Elemental Effects'!$E$4)/(75 * 1/J80 * 60 + FLOOR(75/H80,1)*K80)</f>
        <v>1829.893652</v>
      </c>
      <c r="E80" s="210"/>
      <c r="F80" s="211">
        <f t="shared" si="108"/>
        <v>32319</v>
      </c>
      <c r="G80" s="132">
        <f>N80 * H80</f>
        <v>5130</v>
      </c>
      <c r="H80" s="212">
        <f t="shared" si="104"/>
        <v>30</v>
      </c>
      <c r="I80" s="213">
        <f>'Reserves Data (Reference)'!$D$40</f>
        <v>189</v>
      </c>
      <c r="J80" s="213">
        <f t="shared" si="109"/>
        <v>833</v>
      </c>
      <c r="K80" s="218">
        <f t="shared" si="105"/>
        <v>0.92</v>
      </c>
      <c r="L80" s="216">
        <f t="shared" si="106"/>
        <v>18.6292437</v>
      </c>
      <c r="M80" s="213">
        <f t="shared" si="110"/>
        <v>110</v>
      </c>
      <c r="N80" s="217">
        <f t="shared" si="111"/>
        <v>171</v>
      </c>
      <c r="O80" s="95" t="s">
        <v>342</v>
      </c>
    </row>
    <row r="81">
      <c r="A81" s="234" t="s">
        <v>343</v>
      </c>
      <c r="B81" s="235" t="s">
        <v>337</v>
      </c>
      <c r="C81" s="132">
        <f>(G81)/(H81 * 1/J81 * 60/1)  
+ 'Elemental Effects'!$E$13
+ ('Elemental Effects'!$E$4)/(45 * 1/J81 * 60/1)</f>
        <v>1778.717354</v>
      </c>
      <c r="D81" s="209">
        <f>(G81)/((H81-1) * 1/J81 * 60/1 + K81)  
+ 'Elemental Effects'!$E$13
+ ('Elemental Effects'!$E$4)/(45 * 1/J81 * 60 + FLOOR(45/H81,1)*K81)</f>
        <v>1297.641368</v>
      </c>
      <c r="E81" s="236"/>
      <c r="F81" s="237">
        <f t="shared" si="108"/>
        <v>32319</v>
      </c>
      <c r="G81" s="233">
        <f>M81 * H81</f>
        <v>3300</v>
      </c>
      <c r="H81" s="120">
        <f t="shared" si="104"/>
        <v>30</v>
      </c>
      <c r="I81" s="214">
        <f>'Reserves Data (Reference)'!$D$40</f>
        <v>189</v>
      </c>
      <c r="J81" s="214">
        <f t="shared" si="109"/>
        <v>833</v>
      </c>
      <c r="K81" s="215">
        <f t="shared" si="105"/>
        <v>0.92</v>
      </c>
      <c r="L81" s="216">
        <f t="shared" si="106"/>
        <v>18.6292437</v>
      </c>
      <c r="M81" s="238">
        <f t="shared" si="110"/>
        <v>110</v>
      </c>
      <c r="N81" s="239">
        <f t="shared" si="111"/>
        <v>171</v>
      </c>
      <c r="O81" s="127" t="s">
        <v>344</v>
      </c>
    </row>
    <row r="82">
      <c r="A82" s="234" t="s">
        <v>343</v>
      </c>
      <c r="B82" s="235" t="s">
        <v>337</v>
      </c>
      <c r="C82" s="132">
        <f>(G82)/(H82 * 1/J82 * 60/1)  
+ 'Elemental Effects'!$E$13
+ ('Elemental Effects'!$E$4)/(45 * 1/J82 * 60/1)</f>
        <v>2625.600688</v>
      </c>
      <c r="D82" s="209">
        <f>(G82)/((H82-1) * 1/J82 * 60/1 + K82)  
+ 'Elemental Effects'!$E$13
+ ('Elemental Effects'!$E$4)/(45 * 1/J82 * 60 + FLOOR(45/H82,1)*K82)</f>
        <v>1905.850085</v>
      </c>
      <c r="E82" s="236"/>
      <c r="F82" s="237">
        <f t="shared" si="108"/>
        <v>32319</v>
      </c>
      <c r="G82" s="233">
        <f>N82 * H82</f>
        <v>5130</v>
      </c>
      <c r="H82" s="120">
        <f t="shared" si="104"/>
        <v>30</v>
      </c>
      <c r="I82" s="214">
        <f>'Reserves Data (Reference)'!$D$40</f>
        <v>189</v>
      </c>
      <c r="J82" s="214">
        <f t="shared" si="109"/>
        <v>833</v>
      </c>
      <c r="K82" s="215">
        <f t="shared" si="105"/>
        <v>0.92</v>
      </c>
      <c r="L82" s="216">
        <f t="shared" si="106"/>
        <v>18.6292437</v>
      </c>
      <c r="M82" s="238">
        <f t="shared" si="110"/>
        <v>110</v>
      </c>
      <c r="N82" s="239">
        <f t="shared" si="111"/>
        <v>171</v>
      </c>
      <c r="O82" s="127" t="s">
        <v>345</v>
      </c>
    </row>
    <row r="83">
      <c r="A83" s="77" t="s">
        <v>346</v>
      </c>
      <c r="B83" s="208" t="s">
        <v>347</v>
      </c>
      <c r="C83" s="132">
        <f t="shared" ref="C83:C86" si="112">(G83)/(H83 * 1/J83 * 60/1)</f>
        <v>754</v>
      </c>
      <c r="D83" s="209">
        <f t="shared" ref="D83:D85" si="113">(G83)/((H83-1) * 1/J83 * 60/1 + IF(K83 &gt; 1/J83*60, K83, 1/J83*60))</f>
        <v>754</v>
      </c>
      <c r="E83" s="210"/>
      <c r="F83" s="211">
        <f t="shared" si="108"/>
        <v>12971</v>
      </c>
      <c r="G83" s="132">
        <f>M83 * H83</f>
        <v>5568</v>
      </c>
      <c r="H83" s="212">
        <v>8.0</v>
      </c>
      <c r="I83" s="213">
        <f>'Reserves Data (Reference)'!D41</f>
        <v>17</v>
      </c>
      <c r="J83" s="213">
        <v>65.0</v>
      </c>
      <c r="K83" s="218">
        <f>51/60 * 0.8</f>
        <v>0.68</v>
      </c>
      <c r="L83" s="216">
        <f t="shared" si="106"/>
        <v>14.28307692</v>
      </c>
      <c r="M83" s="213">
        <f>58*12</f>
        <v>696</v>
      </c>
      <c r="N83" s="217">
        <v>763.0</v>
      </c>
    </row>
    <row r="84">
      <c r="A84" s="77" t="s">
        <v>348</v>
      </c>
      <c r="B84" s="208" t="s">
        <v>347</v>
      </c>
      <c r="C84" s="132">
        <f t="shared" si="112"/>
        <v>1135.333333</v>
      </c>
      <c r="D84" s="209">
        <f t="shared" si="113"/>
        <v>1135.333333</v>
      </c>
      <c r="E84" s="210"/>
      <c r="F84" s="211">
        <f t="shared" si="108"/>
        <v>17816</v>
      </c>
      <c r="G84" s="132">
        <f t="shared" ref="G84:G86" si="115">N84 * H84</f>
        <v>8384</v>
      </c>
      <c r="H84" s="120">
        <f t="shared" ref="H84:K84" si="114">H83</f>
        <v>8</v>
      </c>
      <c r="I84" s="214">
        <f t="shared" si="114"/>
        <v>17</v>
      </c>
      <c r="J84" s="214">
        <f t="shared" si="114"/>
        <v>65</v>
      </c>
      <c r="K84" s="215">
        <f t="shared" si="114"/>
        <v>0.68</v>
      </c>
      <c r="L84" s="216">
        <f t="shared" si="106"/>
        <v>14.28307692</v>
      </c>
      <c r="M84" s="213">
        <v>597.0</v>
      </c>
      <c r="N84" s="217">
        <v>1048.0</v>
      </c>
      <c r="O84" s="95" t="s">
        <v>339</v>
      </c>
    </row>
    <row r="85">
      <c r="A85" s="77" t="s">
        <v>349</v>
      </c>
      <c r="B85" s="208" t="s">
        <v>347</v>
      </c>
      <c r="C85" s="132">
        <f t="shared" si="112"/>
        <v>1759.766667</v>
      </c>
      <c r="D85" s="209">
        <f t="shared" si="113"/>
        <v>1759.766667</v>
      </c>
      <c r="E85" s="210"/>
      <c r="F85" s="211">
        <f>(I85-3)*N85 + 3*M83</f>
        <v>24829.6</v>
      </c>
      <c r="G85" s="132">
        <f t="shared" si="115"/>
        <v>12995.2</v>
      </c>
      <c r="H85" s="120">
        <f t="shared" ref="H85:K85" si="116">H84</f>
        <v>8</v>
      </c>
      <c r="I85" s="214">
        <f t="shared" si="116"/>
        <v>17</v>
      </c>
      <c r="J85" s="214">
        <f t="shared" si="116"/>
        <v>65</v>
      </c>
      <c r="K85" s="215">
        <f t="shared" si="116"/>
        <v>0.68</v>
      </c>
      <c r="L85" s="216">
        <f t="shared" si="106"/>
        <v>14.28307692</v>
      </c>
      <c r="M85" s="213">
        <f>M84</f>
        <v>597</v>
      </c>
      <c r="N85" s="217">
        <f>N84*1.55</f>
        <v>1624.4</v>
      </c>
      <c r="O85" s="95" t="s">
        <v>350</v>
      </c>
    </row>
    <row r="86">
      <c r="A86" s="207"/>
      <c r="B86" s="208" t="s">
        <v>351</v>
      </c>
      <c r="C86" s="132">
        <f t="shared" si="112"/>
        <v>1280.151515</v>
      </c>
      <c r="D86" s="209">
        <f>(G86)/((H86-1) * 1/J86 * 60/1 + K86)</f>
        <v>1184.639921</v>
      </c>
      <c r="E86" s="210"/>
      <c r="F86" s="211">
        <f>I86*N86</f>
        <v>18653.63636</v>
      </c>
      <c r="G86" s="132">
        <f t="shared" si="115"/>
        <v>8778.181818</v>
      </c>
      <c r="H86" s="212">
        <v>8.0</v>
      </c>
      <c r="I86" s="213">
        <f>'Reserves Data (Reference)'!D42</f>
        <v>17</v>
      </c>
      <c r="J86" s="213">
        <v>70.0</v>
      </c>
      <c r="K86" s="218">
        <v>1.41</v>
      </c>
      <c r="L86" s="216">
        <f t="shared" si="106"/>
        <v>14.82</v>
      </c>
      <c r="M86" s="213">
        <f>(425+(66*7))</f>
        <v>887</v>
      </c>
      <c r="N86" s="217">
        <f>(745+(66*7)) *1/1.1</f>
        <v>1097.272727</v>
      </c>
      <c r="O86" s="95" t="s">
        <v>352</v>
      </c>
    </row>
    <row r="87">
      <c r="A87" s="65" t="s">
        <v>243</v>
      </c>
      <c r="B87" s="66" t="s">
        <v>353</v>
      </c>
      <c r="C87" s="67" t="s">
        <v>60</v>
      </c>
      <c r="D87" s="68">
        <f t="shared" ref="D87:D88" si="117">M87/K87</f>
        <v>475.308642</v>
      </c>
      <c r="E87" s="57"/>
      <c r="F87" s="193">
        <f t="shared" ref="F87:F91" si="118">I87*M87</f>
        <v>15400</v>
      </c>
      <c r="G87" s="70">
        <f t="shared" ref="G87:G91" si="119">M87 * H87</f>
        <v>770</v>
      </c>
      <c r="H87" s="71">
        <v>1.0</v>
      </c>
      <c r="I87" s="73">
        <f>'Reserves Data (Reference)'!D43</f>
        <v>20</v>
      </c>
      <c r="J87" s="73">
        <v>100.0</v>
      </c>
      <c r="K87" s="74">
        <v>1.62</v>
      </c>
      <c r="L87" s="194">
        <f t="shared" ref="L87:L88" si="120">I87*K87</f>
        <v>32.4</v>
      </c>
      <c r="M87" s="73">
        <f>(186+199)*2</f>
        <v>770</v>
      </c>
      <c r="N87" s="195" t="s">
        <v>60</v>
      </c>
    </row>
    <row r="88">
      <c r="A88" s="96"/>
      <c r="B88" s="240" t="s">
        <v>83</v>
      </c>
      <c r="C88" s="241">
        <f t="shared" ref="C88:C91" si="121">(G88)/(H88 * 1/J88 * 60/1)</f>
        <v>900</v>
      </c>
      <c r="D88" s="242">
        <f t="shared" si="117"/>
        <v>370.3703704</v>
      </c>
      <c r="E88" s="57"/>
      <c r="F88" s="243">
        <f t="shared" si="118"/>
        <v>12000</v>
      </c>
      <c r="G88" s="244">
        <f t="shared" si="119"/>
        <v>600</v>
      </c>
      <c r="H88" s="245">
        <v>1.0</v>
      </c>
      <c r="I88" s="246">
        <f>'Reserves Data (Reference)'!D44</f>
        <v>20</v>
      </c>
      <c r="J88" s="246">
        <v>90.0</v>
      </c>
      <c r="K88" s="247">
        <v>1.62</v>
      </c>
      <c r="L88" s="248">
        <f t="shared" si="120"/>
        <v>32.4</v>
      </c>
      <c r="M88" s="246">
        <f>176+424</f>
        <v>600</v>
      </c>
      <c r="N88" s="249" t="s">
        <v>60</v>
      </c>
    </row>
    <row r="89">
      <c r="A89" s="96" t="s">
        <v>354</v>
      </c>
      <c r="B89" s="240" t="s">
        <v>83</v>
      </c>
      <c r="C89" s="241">
        <f t="shared" si="121"/>
        <v>750</v>
      </c>
      <c r="D89" s="242">
        <f>M89*J89*1/60</f>
        <v>750</v>
      </c>
      <c r="E89" s="57"/>
      <c r="F89" s="243">
        <f t="shared" si="118"/>
        <v>12000</v>
      </c>
      <c r="G89" s="244">
        <f t="shared" si="119"/>
        <v>600</v>
      </c>
      <c r="H89" s="245">
        <v>1.0</v>
      </c>
      <c r="I89" s="246">
        <f>I88</f>
        <v>20</v>
      </c>
      <c r="J89" s="246">
        <f>1/(0.8*1/60)</f>
        <v>75</v>
      </c>
      <c r="K89" s="247">
        <v>0.33</v>
      </c>
      <c r="L89" s="248">
        <f>I89*1/J89*60</f>
        <v>16</v>
      </c>
      <c r="M89" s="246">
        <f>M88</f>
        <v>600</v>
      </c>
      <c r="N89" s="249" t="s">
        <v>60</v>
      </c>
    </row>
    <row r="90">
      <c r="A90" s="77"/>
      <c r="B90" s="229" t="s">
        <v>355</v>
      </c>
      <c r="C90" s="230">
        <f t="shared" si="121"/>
        <v>658.5</v>
      </c>
      <c r="D90" s="209">
        <f t="shared" ref="D90:D91" si="122">M90/K90</f>
        <v>270.9876543</v>
      </c>
      <c r="E90" s="210"/>
      <c r="F90" s="211">
        <f t="shared" si="118"/>
        <v>8780</v>
      </c>
      <c r="G90" s="132">
        <f t="shared" si="119"/>
        <v>439</v>
      </c>
      <c r="H90" s="212">
        <v>1.0</v>
      </c>
      <c r="I90" s="213">
        <f>'Reserves Data (Reference)'!D45</f>
        <v>20</v>
      </c>
      <c r="J90" s="213">
        <v>90.0</v>
      </c>
      <c r="K90" s="218">
        <v>1.62</v>
      </c>
      <c r="L90" s="216">
        <f t="shared" ref="L90:L91" si="123">I90*K90</f>
        <v>32.4</v>
      </c>
      <c r="M90" s="213">
        <v>439.0</v>
      </c>
      <c r="N90" s="217" t="s">
        <v>60</v>
      </c>
    </row>
    <row r="91">
      <c r="A91" s="77"/>
      <c r="B91" s="229" t="s">
        <v>356</v>
      </c>
      <c r="C91" s="230">
        <f t="shared" si="121"/>
        <v>1168.5</v>
      </c>
      <c r="D91" s="209">
        <f t="shared" si="122"/>
        <v>480.8641975</v>
      </c>
      <c r="E91" s="210"/>
      <c r="F91" s="211">
        <f t="shared" si="118"/>
        <v>15580</v>
      </c>
      <c r="G91" s="132">
        <f t="shared" si="119"/>
        <v>779</v>
      </c>
      <c r="H91" s="212">
        <v>1.0</v>
      </c>
      <c r="I91" s="213">
        <f>'Reserves Data (Reference)'!D46</f>
        <v>20</v>
      </c>
      <c r="J91" s="213">
        <v>90.0</v>
      </c>
      <c r="K91" s="218">
        <v>1.62</v>
      </c>
      <c r="L91" s="216">
        <f t="shared" si="123"/>
        <v>32.4</v>
      </c>
      <c r="M91" s="213">
        <f>254+525</f>
        <v>779</v>
      </c>
      <c r="N91" s="217" t="s">
        <v>60</v>
      </c>
    </row>
    <row r="92">
      <c r="A92" s="77"/>
      <c r="B92" s="229" t="s">
        <v>357</v>
      </c>
      <c r="C92" s="230">
        <f>(M92 + 'Weapon Specifics'!$D$9*22)/(0.4 + 0.27*22)</f>
        <v>158.9905363</v>
      </c>
      <c r="D92" s="209">
        <f t="shared" ref="D92:D93" si="124">C92</f>
        <v>158.9905363</v>
      </c>
      <c r="E92" s="210"/>
      <c r="F92" s="211">
        <f t="shared" ref="F92:F93" si="125">G92*I92</f>
        <v>20160</v>
      </c>
      <c r="G92" s="132">
        <f>M92 + 22*'Weapon Specifics'!$D$9</f>
        <v>1008</v>
      </c>
      <c r="H92" s="212">
        <v>1.0</v>
      </c>
      <c r="I92" s="213">
        <f>'Reserves Data (Reference)'!D46</f>
        <v>20</v>
      </c>
      <c r="J92" s="213">
        <v>72.0</v>
      </c>
      <c r="K92" s="218">
        <v>1.62</v>
      </c>
      <c r="L92" s="216">
        <f>I92*(0.4 + 0.27*22)</f>
        <v>126.8</v>
      </c>
      <c r="M92" s="213">
        <v>18.0</v>
      </c>
      <c r="N92" s="217" t="s">
        <v>60</v>
      </c>
      <c r="O92" s="95" t="s">
        <v>358</v>
      </c>
    </row>
    <row r="93">
      <c r="A93" s="77"/>
      <c r="B93" s="229" t="s">
        <v>357</v>
      </c>
      <c r="C93" s="230">
        <f>(G93)/(0.13*(5-1) + 0.27*22)</f>
        <v>174.1486068</v>
      </c>
      <c r="D93" s="209">
        <f t="shared" si="124"/>
        <v>174.1486068</v>
      </c>
      <c r="E93" s="210"/>
      <c r="F93" s="211">
        <f t="shared" si="125"/>
        <v>22500</v>
      </c>
      <c r="G93" s="132">
        <f>5*M93 + floor(0.13*(5-1) / 0.27,1)*'Weapon Specifics'!$D$9 + 22*'Weapon Specifics'!$D$9</f>
        <v>1125</v>
      </c>
      <c r="H93" s="212">
        <v>1.0</v>
      </c>
      <c r="I93" s="213">
        <f>'Reserves Data (Reference)'!D47</f>
        <v>20</v>
      </c>
      <c r="J93" s="213">
        <v>72.0</v>
      </c>
      <c r="K93" s="218">
        <v>1.62</v>
      </c>
      <c r="L93" s="216">
        <f>I93*(0.13*5 + 0.27*22)</f>
        <v>131.8</v>
      </c>
      <c r="M93" s="213">
        <f t="shared" ref="M93:M94" si="126">$M$92</f>
        <v>18</v>
      </c>
      <c r="N93" s="217" t="s">
        <v>60</v>
      </c>
      <c r="O93" s="95" t="s">
        <v>359</v>
      </c>
    </row>
    <row r="94">
      <c r="A94" s="250"/>
      <c r="B94" s="251" t="s">
        <v>357</v>
      </c>
      <c r="C94" s="252" t="s">
        <v>60</v>
      </c>
      <c r="D94" s="239">
        <f>G94/(0.13*(5-1) + K94)</f>
        <v>189.2523364</v>
      </c>
      <c r="E94" s="236"/>
      <c r="F94" s="253">
        <f>G94*I94 + 22*'Weapon Specifics'!$D$9</f>
        <v>9090</v>
      </c>
      <c r="G94" s="254">
        <f>5*M94 + floor((0.13*(5-1) + K94) / 0.27,1)*'Weapon Specifics'!$D$9</f>
        <v>405</v>
      </c>
      <c r="H94" s="120">
        <v>1.0</v>
      </c>
      <c r="I94" s="214">
        <f>'Reserves Data (Reference)'!D47</f>
        <v>20</v>
      </c>
      <c r="J94" s="214">
        <v>72.0</v>
      </c>
      <c r="K94" s="215">
        <v>1.62</v>
      </c>
      <c r="L94" s="216">
        <f>I94*(0.13*(5-1) + K94)</f>
        <v>42.8</v>
      </c>
      <c r="M94" s="213">
        <f t="shared" si="126"/>
        <v>18</v>
      </c>
      <c r="N94" s="232" t="s">
        <v>60</v>
      </c>
      <c r="O94" s="127" t="s">
        <v>360</v>
      </c>
    </row>
    <row r="95">
      <c r="A95" s="77" t="s">
        <v>361</v>
      </c>
      <c r="B95" s="208" t="s">
        <v>362</v>
      </c>
      <c r="C95" s="230">
        <f>M95*J95*1/60 + ('Weapon Specifics'!$D$22)/((CEILING(3*J95/60,1)+2)*1/J95*60)</f>
        <v>711.6</v>
      </c>
      <c r="D95" s="209">
        <f t="shared" ref="D95:D102" si="127">C95</f>
        <v>711.6</v>
      </c>
      <c r="E95" s="210"/>
      <c r="F95" s="211">
        <f t="shared" ref="F95:F96" si="128">I95*M95</f>
        <v>21595</v>
      </c>
      <c r="G95" s="132">
        <f t="shared" ref="G95:G96" si="129">M95 * H95</f>
        <v>617</v>
      </c>
      <c r="H95" s="212">
        <v>1.0</v>
      </c>
      <c r="I95" s="213">
        <f>'Reserves Data (Reference)'!D48</f>
        <v>35</v>
      </c>
      <c r="J95" s="213">
        <v>60.0</v>
      </c>
      <c r="K95" s="218" t="s">
        <v>60</v>
      </c>
      <c r="L95" s="216">
        <f t="shared" ref="L95:L96" si="130">I95*1/J95*60</f>
        <v>35</v>
      </c>
      <c r="M95" s="213">
        <f>282+335</f>
        <v>617</v>
      </c>
      <c r="N95" s="217" t="s">
        <v>60</v>
      </c>
      <c r="O95" s="95"/>
    </row>
    <row r="96">
      <c r="A96" s="77" t="s">
        <v>363</v>
      </c>
      <c r="B96" s="208" t="s">
        <v>362</v>
      </c>
      <c r="C96" s="230">
        <f>M96*J96*1/60 + ('Weapon Specifics'!$D$22)/((CEILING(3*J96/60,1)+2)*1/J96*60)</f>
        <v>1079.100752</v>
      </c>
      <c r="D96" s="209">
        <f t="shared" si="127"/>
        <v>1079.100752</v>
      </c>
      <c r="E96" s="210"/>
      <c r="F96" s="211">
        <f t="shared" si="128"/>
        <v>21595</v>
      </c>
      <c r="G96" s="132">
        <f t="shared" si="129"/>
        <v>617</v>
      </c>
      <c r="H96" s="212">
        <v>1.0</v>
      </c>
      <c r="I96" s="213">
        <f>I95</f>
        <v>35</v>
      </c>
      <c r="J96" s="213">
        <f>5/((375-185)*1/59.9)*60</f>
        <v>94.57894737</v>
      </c>
      <c r="K96" s="218" t="s">
        <v>60</v>
      </c>
      <c r="L96" s="216">
        <f t="shared" si="130"/>
        <v>22.20367279</v>
      </c>
      <c r="M96" s="213">
        <f>M95</f>
        <v>617</v>
      </c>
      <c r="N96" s="217" t="s">
        <v>60</v>
      </c>
      <c r="O96" s="95"/>
    </row>
    <row r="97">
      <c r="A97" s="77" t="s">
        <v>364</v>
      </c>
      <c r="B97" s="208" t="s">
        <v>365</v>
      </c>
      <c r="C97" s="230">
        <f>('Weapon Specifics'!$D$97 + 17*'Weapon Specifics'!$D$99)/(9.5)</f>
        <v>216.7368421</v>
      </c>
      <c r="D97" s="255">
        <f t="shared" si="127"/>
        <v>216.7368421</v>
      </c>
      <c r="E97" s="210"/>
      <c r="F97" s="211">
        <f>(M97 + 'Weapon Specifics'!$D$85*17) * I97</f>
        <v>10440</v>
      </c>
      <c r="G97" s="132">
        <f>'Weapon Specifics'!$D$83 + 17*'Weapon Specifics'!$D$85</f>
        <v>522</v>
      </c>
      <c r="H97" s="212">
        <v>1.0</v>
      </c>
      <c r="I97" s="213">
        <f>'Reserves Data (Reference)'!D49</f>
        <v>20</v>
      </c>
      <c r="J97" s="213">
        <v>90.0</v>
      </c>
      <c r="K97" s="218">
        <v>1.62</v>
      </c>
      <c r="L97" s="216">
        <f t="shared" ref="L97:L98" si="131">I97*4.5</f>
        <v>90</v>
      </c>
      <c r="M97" s="213">
        <f>'Weapon Specifics'!$D$83</f>
        <v>29</v>
      </c>
      <c r="N97" s="217" t="s">
        <v>60</v>
      </c>
      <c r="O97" s="95" t="s">
        <v>366</v>
      </c>
    </row>
    <row r="98">
      <c r="A98" s="77" t="s">
        <v>364</v>
      </c>
      <c r="B98" s="208" t="s">
        <v>365</v>
      </c>
      <c r="C98" s="230">
        <f>('Weapon Specifics'!$D$98+'Weapon Specifics'!$D$98 + 17*'Weapon Specifics'!$D$99)/(9.5)</f>
        <v>325.3684211</v>
      </c>
      <c r="D98" s="255">
        <f t="shared" si="127"/>
        <v>325.3684211</v>
      </c>
      <c r="E98" s="210"/>
      <c r="F98" s="211">
        <f>('Weapon Specifics'!$D$85*17)*I98 + (M98 + 'Weapon Specifics'!D84) * (I98-1)</f>
        <v>11095</v>
      </c>
      <c r="G98" s="132">
        <f>'Weapon Specifics'!$D$84 + 17*'Weapon Specifics'!$D$85</f>
        <v>529</v>
      </c>
      <c r="H98" s="212">
        <v>1.0</v>
      </c>
      <c r="I98" s="213">
        <f t="shared" ref="I98:I99" si="132">I97</f>
        <v>20</v>
      </c>
      <c r="J98" s="213">
        <v>90.0</v>
      </c>
      <c r="K98" s="218">
        <v>1.62</v>
      </c>
      <c r="L98" s="216">
        <f t="shared" si="131"/>
        <v>90</v>
      </c>
      <c r="M98" s="213">
        <f>'Weapon Specifics'!$D$83</f>
        <v>29</v>
      </c>
      <c r="N98" s="217" t="s">
        <v>60</v>
      </c>
      <c r="O98" s="95" t="s">
        <v>367</v>
      </c>
    </row>
    <row r="99">
      <c r="A99" s="77" t="s">
        <v>368</v>
      </c>
      <c r="B99" s="208" t="s">
        <v>365</v>
      </c>
      <c r="C99" s="230">
        <f>('Weapon Specifics'!$D$100)/(3.7) + 'Weapon Specifics'!$D$101/0.27</f>
        <v>254.3843844</v>
      </c>
      <c r="D99" s="255">
        <f t="shared" si="127"/>
        <v>254.3843844</v>
      </c>
      <c r="E99" s="210"/>
      <c r="F99" s="211">
        <f>('Weapon Specifics'!$D$86 + 14*'Weapon Specifics'!$D$87)*I99</f>
        <v>14480</v>
      </c>
      <c r="G99" s="132">
        <f>'Weapon Specifics'!$D$86 + 14*'Weapon Specifics'!$D$87</f>
        <v>724</v>
      </c>
      <c r="H99" s="212">
        <v>1.0</v>
      </c>
      <c r="I99" s="213">
        <f t="shared" si="132"/>
        <v>20</v>
      </c>
      <c r="J99" s="213">
        <v>90.0</v>
      </c>
      <c r="K99" s="218">
        <v>1.62</v>
      </c>
      <c r="L99" s="216">
        <f>I99*3.7</f>
        <v>74</v>
      </c>
      <c r="M99" s="213">
        <f>'Weapon Specifics'!$D$83</f>
        <v>29</v>
      </c>
      <c r="N99" s="217" t="s">
        <v>60</v>
      </c>
      <c r="O99" s="95" t="s">
        <v>369</v>
      </c>
    </row>
    <row r="100">
      <c r="A100" s="77" t="s">
        <v>370</v>
      </c>
      <c r="B100" s="208" t="s">
        <v>365</v>
      </c>
      <c r="C100" s="230">
        <f>('Weapon Specifics'!$D$98+'Weapon Specifics'!$D$98)/(2.5) + ('Weapon Specifics'!$D$99)/0.56</f>
        <v>639.7</v>
      </c>
      <c r="D100" s="255">
        <f t="shared" si="127"/>
        <v>639.7</v>
      </c>
      <c r="E100" s="210"/>
      <c r="F100" s="211">
        <f>('Weapon Specifics'!$D$85*17)*I100 + ('Weapon Specifics'!$D$84) * (I100-1)</f>
        <v>10544</v>
      </c>
      <c r="G100" s="132">
        <f>$G$98</f>
        <v>529</v>
      </c>
      <c r="H100" s="212">
        <v>1.0</v>
      </c>
      <c r="I100" s="213">
        <f t="shared" ref="I100:I101" si="133">I97</f>
        <v>20</v>
      </c>
      <c r="J100" s="213">
        <v>90.0</v>
      </c>
      <c r="K100" s="218">
        <v>1.62</v>
      </c>
      <c r="L100" s="216">
        <f t="shared" ref="L100:L101" si="134">I100*2.5</f>
        <v>50</v>
      </c>
      <c r="M100" s="213">
        <f>'Weapon Specifics'!$D$83</f>
        <v>29</v>
      </c>
      <c r="N100" s="217" t="s">
        <v>60</v>
      </c>
      <c r="O100" s="95" t="s">
        <v>371</v>
      </c>
    </row>
    <row r="101">
      <c r="A101" s="77" t="s">
        <v>372</v>
      </c>
      <c r="B101" s="208" t="s">
        <v>365</v>
      </c>
      <c r="C101" s="230">
        <f>('Weapon Specifics'!$D$101)/(2.5) + ('Weapon Specifics'!$D$101)/0.27</f>
        <v>246.2222222</v>
      </c>
      <c r="D101" s="255">
        <f t="shared" si="127"/>
        <v>246.2222222</v>
      </c>
      <c r="E101" s="210"/>
      <c r="F101" s="211">
        <f>('Weapon Specifics'!$D$87*14 + 'Weapon Specifics'!$D$86)*I101</f>
        <v>14480</v>
      </c>
      <c r="G101" s="132">
        <f>$G$99</f>
        <v>724</v>
      </c>
      <c r="H101" s="212">
        <v>1.0</v>
      </c>
      <c r="I101" s="213">
        <f t="shared" si="133"/>
        <v>20</v>
      </c>
      <c r="J101" s="213">
        <v>90.0</v>
      </c>
      <c r="K101" s="218">
        <v>1.62</v>
      </c>
      <c r="L101" s="216">
        <f t="shared" si="134"/>
        <v>50</v>
      </c>
      <c r="M101" s="213">
        <f>'Weapon Specifics'!$D$83</f>
        <v>29</v>
      </c>
      <c r="N101" s="217" t="s">
        <v>60</v>
      </c>
      <c r="O101" s="95" t="s">
        <v>373</v>
      </c>
    </row>
    <row r="102">
      <c r="A102" s="77" t="s">
        <v>374</v>
      </c>
      <c r="B102" s="208" t="s">
        <v>365</v>
      </c>
      <c r="C102" s="230">
        <f>('Weapon Specifics'!$D$98 + 'Weapon Specifics'!$D$101)/3.7 + ('Weapon Specifics'!$D$99)/0.56 + ('Weapon Specifics'!$D$101)/0.27</f>
        <v>595.2627628</v>
      </c>
      <c r="D102" s="255">
        <f t="shared" si="127"/>
        <v>595.2627628</v>
      </c>
      <c r="E102" s="210"/>
      <c r="F102" s="211">
        <f>M102 + ('Weapon Specifics'!$D$85*17)*floor(I102/2,1) + ('Weapon Specifics'!$D$84)*floor(I102/2-1,1) + ('Weapon Specifics'!$D$86+'Weapon Specifics'!$D$87*14)*ceiling(I102/2,1)</f>
        <v>12523</v>
      </c>
      <c r="G102" s="230" t="s">
        <v>60</v>
      </c>
      <c r="H102" s="212">
        <v>1.0</v>
      </c>
      <c r="I102" s="214">
        <f>I97</f>
        <v>20</v>
      </c>
      <c r="J102" s="213">
        <v>90.0</v>
      </c>
      <c r="K102" s="218">
        <v>1.62</v>
      </c>
      <c r="L102" s="216">
        <f>floor(I102/2,1) * 4.5 + mod(I102, 2) * 4.5</f>
        <v>45</v>
      </c>
      <c r="M102" s="213">
        <f>'Weapon Specifics'!$D$83</f>
        <v>29</v>
      </c>
      <c r="N102" s="217" t="s">
        <v>60</v>
      </c>
      <c r="O102" s="95" t="s">
        <v>375</v>
      </c>
    </row>
    <row r="103">
      <c r="A103" s="77" t="s">
        <v>376</v>
      </c>
      <c r="B103" s="208" t="s">
        <v>365</v>
      </c>
      <c r="C103" s="230">
        <f>('Weapon Specifics'!$D$98)/(1*1/J103*60) + ('Weapon Specifics'!$D$99)/0.56</f>
        <v>1013.5</v>
      </c>
      <c r="D103" s="209">
        <f>(M103+'Weapon Specifics'!$D$98)/(K103) + ('Weapon Specifics'!$D$99)/0.56</f>
        <v>560.0308642</v>
      </c>
      <c r="E103" s="210"/>
      <c r="F103" s="211">
        <f>M103
+ 'Weapon Specifics'!$D$85*floor((K103+0.5)/0.56,1) * I103
+ 'Weapon Specifics'!$D$84*(I103-1)</f>
        <v>2453</v>
      </c>
      <c r="G103" s="230">
        <f>$G$98</f>
        <v>529</v>
      </c>
      <c r="H103" s="212">
        <v>1.0</v>
      </c>
      <c r="I103" s="214">
        <f>I97</f>
        <v>20</v>
      </c>
      <c r="J103" s="213">
        <v>90.0</v>
      </c>
      <c r="K103" s="218">
        <v>1.62</v>
      </c>
      <c r="L103" s="216">
        <f t="shared" ref="L103:L105" si="135">I103*K103</f>
        <v>32.4</v>
      </c>
      <c r="M103" s="213">
        <f>'Weapon Specifics'!$D$83</f>
        <v>29</v>
      </c>
      <c r="N103" s="217" t="s">
        <v>60</v>
      </c>
      <c r="O103" s="95" t="s">
        <v>377</v>
      </c>
    </row>
    <row r="104">
      <c r="A104" s="77" t="s">
        <v>378</v>
      </c>
      <c r="B104" s="208" t="s">
        <v>365</v>
      </c>
      <c r="C104" s="230">
        <f>((('Weapon Specifics'!$D$98)*2 + 'Weapon Specifics'!$D$101)/(3 * 1/J104 * 60)) + ('Weapon Specifics'!$D$99)/0.56 + ('Weapon Specifics'!$D$101)/(0.27)</f>
        <v>998.7222222</v>
      </c>
      <c r="D104" s="209">
        <f>(((M104+'Weapon Specifics'!$D$98)*2 + 'Weapon Specifics'!$D$101)/(K104*3)) + ('Weapon Specifics'!$D$99)/0.56 + ('Weapon Specifics'!$D$101)/(0.27)</f>
        <v>678.755144</v>
      </c>
      <c r="E104" s="210"/>
      <c r="F104" s="211">
        <f>(('Weapon Specifics'!$D$85*floor((K104*2+0.5)/0.56,1) + 'Weapon Specifics'!$D$84)*2
+ ('Weapon Specifics'!$D$87*14 + 'Weapon Specifics'!$D$86))*floor(I104/3,1)
+ if(mod(I104, 3)=2, 
('Weapon Specifics'!$D$87*14 + 'Weapon Specifics'!$D$86) + ('Weapon Specifics'!$D$85*floor((K104*2+0.5)/0.56,1) + 'Weapon Specifics'!D84),
('Weapon Specifics'!$D$87*14 + 'Weapon Specifics'!$D$86))</f>
        <v>7798</v>
      </c>
      <c r="G104" s="230" t="s">
        <v>60</v>
      </c>
      <c r="H104" s="212">
        <v>1.0</v>
      </c>
      <c r="I104" s="213">
        <f>I97</f>
        <v>20</v>
      </c>
      <c r="J104" s="213">
        <v>90.0</v>
      </c>
      <c r="K104" s="218">
        <v>1.62</v>
      </c>
      <c r="L104" s="216">
        <f t="shared" si="135"/>
        <v>32.4</v>
      </c>
      <c r="M104" s="213">
        <f>'Weapon Specifics'!$D$83</f>
        <v>29</v>
      </c>
      <c r="N104" s="217" t="s">
        <v>60</v>
      </c>
      <c r="O104" s="95" t="s">
        <v>379</v>
      </c>
    </row>
    <row r="105">
      <c r="A105" s="77"/>
      <c r="B105" s="208" t="s">
        <v>380</v>
      </c>
      <c r="C105" s="230">
        <f t="shared" ref="C105:C106" si="136">(G105)/(H105 * 1/J105 * 60/1)</f>
        <v>2074.5</v>
      </c>
      <c r="D105" s="209">
        <f>M105/K105</f>
        <v>853.7037037</v>
      </c>
      <c r="E105" s="210"/>
      <c r="F105" s="211">
        <f t="shared" ref="F105:F106" si="137">I105*M105</f>
        <v>27660</v>
      </c>
      <c r="G105" s="132">
        <f t="shared" ref="G105:G106" si="138">M105 * H105</f>
        <v>1383</v>
      </c>
      <c r="H105" s="212">
        <v>1.0</v>
      </c>
      <c r="I105" s="213">
        <f>'Reserves Data (Reference)'!D50</f>
        <v>20</v>
      </c>
      <c r="J105" s="213">
        <f>J90</f>
        <v>90</v>
      </c>
      <c r="K105" s="218">
        <v>1.62</v>
      </c>
      <c r="L105" s="216">
        <f t="shared" si="135"/>
        <v>32.4</v>
      </c>
      <c r="M105" s="213">
        <f>461*3</f>
        <v>1383</v>
      </c>
      <c r="N105" s="217" t="s">
        <v>60</v>
      </c>
    </row>
    <row r="106">
      <c r="A106" s="65" t="s">
        <v>381</v>
      </c>
      <c r="B106" s="66" t="s">
        <v>42</v>
      </c>
      <c r="C106" s="67">
        <f t="shared" si="136"/>
        <v>482.6666667</v>
      </c>
      <c r="D106" s="68">
        <f>(G106)/((H106-1) * 1/J106 * 60/1 + K106)</f>
        <v>417.4629325</v>
      </c>
      <c r="E106" s="57"/>
      <c r="F106" s="193">
        <f t="shared" si="137"/>
        <v>11222</v>
      </c>
      <c r="G106" s="70">
        <f t="shared" si="138"/>
        <v>2534</v>
      </c>
      <c r="H106" s="71">
        <v>7.0</v>
      </c>
      <c r="I106" s="73">
        <f>'Reserves Data (Reference)'!D51</f>
        <v>31</v>
      </c>
      <c r="J106" s="73">
        <v>80.0</v>
      </c>
      <c r="K106" s="74">
        <v>1.57</v>
      </c>
      <c r="L106" s="194">
        <f>timeToEmpty(H106,I106,J106,K106)</f>
        <v>25.78</v>
      </c>
      <c r="M106" s="73">
        <v>362.0</v>
      </c>
      <c r="N106" s="195" t="s">
        <v>60</v>
      </c>
    </row>
    <row r="107">
      <c r="A107" s="77" t="s">
        <v>382</v>
      </c>
      <c r="B107" s="256" t="s">
        <v>42</v>
      </c>
      <c r="C107" s="132">
        <f>M107*J107*1/60</f>
        <v>253.3333333</v>
      </c>
      <c r="D107" s="255">
        <f>C107</f>
        <v>253.3333333</v>
      </c>
      <c r="E107" s="210"/>
      <c r="F107" s="257" t="s">
        <v>43</v>
      </c>
      <c r="G107" s="230" t="s">
        <v>60</v>
      </c>
      <c r="H107" s="213" t="s">
        <v>60</v>
      </c>
      <c r="I107" s="213" t="s">
        <v>60</v>
      </c>
      <c r="J107" s="214">
        <f>2/(0.9 * 1/60)</f>
        <v>133.3333333</v>
      </c>
      <c r="K107" s="213" t="s">
        <v>60</v>
      </c>
      <c r="L107" s="213" t="s">
        <v>60</v>
      </c>
      <c r="M107" s="213">
        <v>114.0</v>
      </c>
      <c r="N107" s="217" t="s">
        <v>60</v>
      </c>
      <c r="O107" s="95" t="s">
        <v>383</v>
      </c>
    </row>
    <row r="108">
      <c r="A108" s="77"/>
      <c r="B108" s="256" t="s">
        <v>44</v>
      </c>
      <c r="C108" s="132">
        <f>(G108)/(H108 * 1/J108 * 60/1)</f>
        <v>421.6666667</v>
      </c>
      <c r="D108" s="255">
        <f>(G108)/((H108-1) * 1/J108 * 60/1 + K108)</f>
        <v>392.907985</v>
      </c>
      <c r="E108" s="210"/>
      <c r="F108" s="257">
        <f>I108*M108</f>
        <v>13340</v>
      </c>
      <c r="G108" s="230">
        <f>M108 * H108</f>
        <v>2760</v>
      </c>
      <c r="H108" s="212">
        <v>6.0</v>
      </c>
      <c r="I108" s="213">
        <f>'Reserves Data (Reference)'!D52</f>
        <v>29</v>
      </c>
      <c r="J108" s="214">
        <v>55.0</v>
      </c>
      <c r="K108" s="218">
        <v>1.57</v>
      </c>
      <c r="L108" s="258">
        <f>timeToEmpty(H108,I108,J108,K108)</f>
        <v>32.46181818</v>
      </c>
      <c r="M108" s="213">
        <v>460.0</v>
      </c>
      <c r="N108" s="217" t="s">
        <v>60</v>
      </c>
    </row>
    <row r="109">
      <c r="A109" s="77" t="s">
        <v>382</v>
      </c>
      <c r="B109" s="256" t="s">
        <v>44</v>
      </c>
      <c r="C109" s="132">
        <f>M109*J109*1/60</f>
        <v>253.3333333</v>
      </c>
      <c r="D109" s="255">
        <f t="shared" ref="D109:D110" si="139">C109</f>
        <v>253.3333333</v>
      </c>
      <c r="E109" s="210"/>
      <c r="F109" s="257" t="s">
        <v>43</v>
      </c>
      <c r="G109" s="230" t="s">
        <v>60</v>
      </c>
      <c r="H109" s="213" t="s">
        <v>60</v>
      </c>
      <c r="I109" s="213" t="s">
        <v>60</v>
      </c>
      <c r="J109" s="214">
        <f>2/(0.9 * 1/60)</f>
        <v>133.3333333</v>
      </c>
      <c r="K109" s="213" t="s">
        <v>60</v>
      </c>
      <c r="L109" s="213" t="s">
        <v>60</v>
      </c>
      <c r="M109" s="213">
        <f>M107</f>
        <v>114</v>
      </c>
      <c r="N109" s="217" t="s">
        <v>60</v>
      </c>
      <c r="O109" s="95" t="s">
        <v>384</v>
      </c>
    </row>
    <row r="110">
      <c r="A110" s="77" t="s">
        <v>382</v>
      </c>
      <c r="B110" s="256" t="s">
        <v>44</v>
      </c>
      <c r="C110" s="132">
        <f>(M110+M110+'Weapon Specifics'!$D$3)/(0.44+0.48+0.63)</f>
        <v>182.5806452</v>
      </c>
      <c r="D110" s="255">
        <f t="shared" si="139"/>
        <v>182.5806452</v>
      </c>
      <c r="E110" s="210"/>
      <c r="F110" s="211" t="s">
        <v>43</v>
      </c>
      <c r="G110" s="230" t="s">
        <v>60</v>
      </c>
      <c r="H110" s="213" t="s">
        <v>60</v>
      </c>
      <c r="I110" s="213" t="s">
        <v>60</v>
      </c>
      <c r="J110" s="213">
        <f>3/(0.44+0.48+0.63)*60</f>
        <v>116.1290323</v>
      </c>
      <c r="K110" s="213" t="s">
        <v>60</v>
      </c>
      <c r="L110" s="213" t="s">
        <v>60</v>
      </c>
      <c r="M110" s="213">
        <f>M109</f>
        <v>114</v>
      </c>
      <c r="N110" s="217" t="s">
        <v>60</v>
      </c>
      <c r="O110" s="95" t="s">
        <v>385</v>
      </c>
    </row>
    <row r="111">
      <c r="A111" s="77"/>
      <c r="B111" s="256" t="s">
        <v>82</v>
      </c>
      <c r="C111" s="132">
        <f>(G111)/(H111 * 1/J111 * 60/1)</f>
        <v>396</v>
      </c>
      <c r="D111" s="209">
        <f>(G111)/((H111-1) * 1/J111 * 60/1 + K111)</f>
        <v>384.6216107</v>
      </c>
      <c r="E111" s="210"/>
      <c r="F111" s="211">
        <f>I111*M111</f>
        <v>17424</v>
      </c>
      <c r="G111" s="132">
        <f>M111 * H111</f>
        <v>3168</v>
      </c>
      <c r="H111" s="212">
        <v>6.0</v>
      </c>
      <c r="I111" s="213">
        <f>'Reserves Data (Reference)'!D53</f>
        <v>33</v>
      </c>
      <c r="J111" s="213">
        <v>45.0</v>
      </c>
      <c r="K111" s="218">
        <v>1.57</v>
      </c>
      <c r="L111" s="216">
        <f>timeToEmpty(H111,I111,J111,K111)</f>
        <v>43.85</v>
      </c>
      <c r="M111" s="213">
        <v>528.0</v>
      </c>
      <c r="N111" s="217" t="s">
        <v>60</v>
      </c>
    </row>
    <row r="112">
      <c r="A112" s="77" t="s">
        <v>382</v>
      </c>
      <c r="B112" s="259" t="s">
        <v>82</v>
      </c>
      <c r="C112" s="132">
        <f>M112*J112*1/60</f>
        <v>253.3333333</v>
      </c>
      <c r="D112" s="255">
        <f>C112</f>
        <v>253.3333333</v>
      </c>
      <c r="E112" s="210"/>
      <c r="F112" s="257" t="s">
        <v>43</v>
      </c>
      <c r="G112" s="230" t="s">
        <v>60</v>
      </c>
      <c r="H112" s="213" t="s">
        <v>60</v>
      </c>
      <c r="I112" s="213" t="s">
        <v>60</v>
      </c>
      <c r="J112" s="214">
        <f>J109</f>
        <v>133.3333333</v>
      </c>
      <c r="K112" s="213" t="s">
        <v>60</v>
      </c>
      <c r="L112" s="213" t="s">
        <v>60</v>
      </c>
      <c r="M112" s="213">
        <f>M107</f>
        <v>114</v>
      </c>
      <c r="N112" s="217" t="s">
        <v>60</v>
      </c>
      <c r="O112" s="95" t="s">
        <v>384</v>
      </c>
    </row>
    <row r="113">
      <c r="A113" s="260"/>
      <c r="B113" s="208" t="s">
        <v>386</v>
      </c>
      <c r="C113" s="132">
        <f>(G113)/(H113 * 1/J113 * 60/1)</f>
        <v>660</v>
      </c>
      <c r="D113" s="209">
        <f>(G113)/((H113-1) * 1/J113 * 60/1 + K113)</f>
        <v>558.2706767</v>
      </c>
      <c r="E113" s="210"/>
      <c r="F113" s="211">
        <f>I113*M113</f>
        <v>16335</v>
      </c>
      <c r="G113" s="132">
        <f>M113 * H113</f>
        <v>2970</v>
      </c>
      <c r="H113" s="212">
        <v>6.0</v>
      </c>
      <c r="I113" s="213">
        <f>'Reserves Data (Reference)'!D54</f>
        <v>33</v>
      </c>
      <c r="J113" s="213">
        <v>80.0</v>
      </c>
      <c r="K113" s="218">
        <v>1.57</v>
      </c>
      <c r="L113" s="216">
        <f>timeToEmpty(H113,I113,J113,K113)</f>
        <v>28.1</v>
      </c>
      <c r="M113" s="214">
        <f>99*5</f>
        <v>495</v>
      </c>
      <c r="N113" s="217" t="s">
        <v>60</v>
      </c>
    </row>
    <row r="114">
      <c r="A114" s="77" t="s">
        <v>382</v>
      </c>
      <c r="B114" s="208" t="s">
        <v>386</v>
      </c>
      <c r="C114" s="132">
        <f t="shared" ref="C114:C115" si="140">M114*J114*1/60</f>
        <v>253.3333333</v>
      </c>
      <c r="D114" s="255">
        <f t="shared" ref="D114:D115" si="141">C114</f>
        <v>253.3333333</v>
      </c>
      <c r="E114" s="210"/>
      <c r="F114" s="257" t="s">
        <v>43</v>
      </c>
      <c r="G114" s="230" t="s">
        <v>60</v>
      </c>
      <c r="H114" s="213" t="s">
        <v>60</v>
      </c>
      <c r="I114" s="213" t="s">
        <v>60</v>
      </c>
      <c r="J114" s="214">
        <f>J109</f>
        <v>133.3333333</v>
      </c>
      <c r="K114" s="213" t="s">
        <v>60</v>
      </c>
      <c r="L114" s="213" t="s">
        <v>60</v>
      </c>
      <c r="M114" s="213">
        <f>M107</f>
        <v>114</v>
      </c>
      <c r="N114" s="217" t="s">
        <v>60</v>
      </c>
      <c r="O114" s="95" t="s">
        <v>384</v>
      </c>
    </row>
    <row r="115">
      <c r="A115" s="77" t="s">
        <v>387</v>
      </c>
      <c r="B115" s="208" t="s">
        <v>386</v>
      </c>
      <c r="C115" s="132">
        <f t="shared" si="140"/>
        <v>304</v>
      </c>
      <c r="D115" s="255">
        <f t="shared" si="141"/>
        <v>304</v>
      </c>
      <c r="E115" s="210"/>
      <c r="F115" s="257" t="s">
        <v>43</v>
      </c>
      <c r="G115" s="230" t="s">
        <v>60</v>
      </c>
      <c r="H115" s="213" t="s">
        <v>60</v>
      </c>
      <c r="I115" s="213" t="s">
        <v>60</v>
      </c>
      <c r="J115" s="214">
        <f>J109</f>
        <v>133.3333333</v>
      </c>
      <c r="K115" s="213" t="s">
        <v>60</v>
      </c>
      <c r="L115" s="213" t="s">
        <v>60</v>
      </c>
      <c r="M115" s="213">
        <f>M114*1.2</f>
        <v>136.8</v>
      </c>
      <c r="N115" s="217" t="s">
        <v>60</v>
      </c>
      <c r="O115" s="95" t="s">
        <v>384</v>
      </c>
    </row>
    <row r="116">
      <c r="A116" s="260"/>
      <c r="B116" s="208" t="s">
        <v>388</v>
      </c>
      <c r="C116" s="132">
        <f>(G116)/(H116 * 1/J116 * 60/1)</f>
        <v>482.6666667</v>
      </c>
      <c r="D116" s="209">
        <f>(G116)/(H116 * 1/J116 * 60/1 + K116)</f>
        <v>371.5542522</v>
      </c>
      <c r="E116" s="210"/>
      <c r="F116" s="211">
        <f>I116*M116</f>
        <v>11946</v>
      </c>
      <c r="G116" s="132">
        <f>M116 * H116</f>
        <v>2534</v>
      </c>
      <c r="H116" s="212">
        <v>7.0</v>
      </c>
      <c r="I116" s="213">
        <f>'Reserves Data (Reference)'!D55</f>
        <v>33</v>
      </c>
      <c r="J116" s="213">
        <v>80.0</v>
      </c>
      <c r="K116" s="218">
        <v>1.57</v>
      </c>
      <c r="L116" s="216">
        <f>I116*1/J116*60/1 + Floor(I116/H116,1) * K116</f>
        <v>31.03</v>
      </c>
      <c r="M116" s="213">
        <f t="shared" ref="M116:M118" si="142">M106</f>
        <v>362</v>
      </c>
      <c r="N116" s="217" t="s">
        <v>60</v>
      </c>
      <c r="O116" s="95" t="s">
        <v>389</v>
      </c>
    </row>
    <row r="117">
      <c r="A117" s="77" t="s">
        <v>382</v>
      </c>
      <c r="B117" s="208" t="s">
        <v>388</v>
      </c>
      <c r="C117" s="132">
        <f>M117*J117*1/60</f>
        <v>253.3333333</v>
      </c>
      <c r="D117" s="255">
        <f>C117</f>
        <v>253.3333333</v>
      </c>
      <c r="E117" s="210"/>
      <c r="F117" s="257" t="s">
        <v>43</v>
      </c>
      <c r="G117" s="230" t="s">
        <v>60</v>
      </c>
      <c r="H117" s="213" t="s">
        <v>60</v>
      </c>
      <c r="I117" s="213" t="s">
        <v>60</v>
      </c>
      <c r="J117" s="213">
        <f>J109</f>
        <v>133.3333333</v>
      </c>
      <c r="K117" s="213" t="s">
        <v>60</v>
      </c>
      <c r="L117" s="213" t="s">
        <v>60</v>
      </c>
      <c r="M117" s="213">
        <f t="shared" si="142"/>
        <v>114</v>
      </c>
      <c r="N117" s="217" t="s">
        <v>60</v>
      </c>
      <c r="O117" s="95" t="s">
        <v>384</v>
      </c>
    </row>
    <row r="118">
      <c r="A118" s="260"/>
      <c r="B118" s="208" t="s">
        <v>390</v>
      </c>
      <c r="C118" s="132">
        <f>(G118)/(H118 * 1/J118 * 60/1)</f>
        <v>421.6666667</v>
      </c>
      <c r="D118" s="209">
        <f>(G118)/((H118-1) * 1/J118 * 60/1 + K118)</f>
        <v>392.907985</v>
      </c>
      <c r="E118" s="210"/>
      <c r="F118" s="211">
        <f>I118*M118</f>
        <v>13340</v>
      </c>
      <c r="G118" s="132">
        <f>M118 * H118</f>
        <v>2760</v>
      </c>
      <c r="H118" s="212">
        <v>6.0</v>
      </c>
      <c r="I118" s="213">
        <f>'Reserves Data (Reference)'!D56</f>
        <v>29</v>
      </c>
      <c r="J118" s="213">
        <v>55.0</v>
      </c>
      <c r="K118" s="218">
        <v>1.57</v>
      </c>
      <c r="L118" s="216">
        <f>timeToEmpty(H118,I118,J118,K118)</f>
        <v>32.46181818</v>
      </c>
      <c r="M118" s="213">
        <f t="shared" si="142"/>
        <v>460</v>
      </c>
      <c r="N118" s="217" t="s">
        <v>60</v>
      </c>
      <c r="O118" s="95" t="s">
        <v>391</v>
      </c>
    </row>
    <row r="119">
      <c r="A119" s="77" t="s">
        <v>382</v>
      </c>
      <c r="B119" s="208" t="s">
        <v>390</v>
      </c>
      <c r="C119" s="132">
        <f>M119*J119*1/60</f>
        <v>253.3333333</v>
      </c>
      <c r="D119" s="255">
        <f>C119</f>
        <v>253.3333333</v>
      </c>
      <c r="E119" s="210"/>
      <c r="F119" s="257" t="s">
        <v>43</v>
      </c>
      <c r="G119" s="230" t="s">
        <v>60</v>
      </c>
      <c r="H119" s="213" t="s">
        <v>60</v>
      </c>
      <c r="I119" s="213" t="s">
        <v>60</v>
      </c>
      <c r="J119" s="214">
        <f>J109</f>
        <v>133.3333333</v>
      </c>
      <c r="K119" s="213" t="s">
        <v>60</v>
      </c>
      <c r="L119" s="213" t="s">
        <v>60</v>
      </c>
      <c r="M119" s="213">
        <f>M107</f>
        <v>114</v>
      </c>
      <c r="N119" s="217" t="s">
        <v>60</v>
      </c>
      <c r="O119" s="95" t="s">
        <v>384</v>
      </c>
    </row>
    <row r="120">
      <c r="A120" s="77"/>
      <c r="B120" s="208" t="s">
        <v>392</v>
      </c>
      <c r="C120" s="132">
        <f>(G120)/(H120 * 1/J120 * 60/1)</f>
        <v>396</v>
      </c>
      <c r="D120" s="209">
        <f>(G120)/(H120 * 1/J120 * 60/1 + K120)</f>
        <v>320.5180089</v>
      </c>
      <c r="E120" s="210"/>
      <c r="F120" s="211">
        <f>I120*M120</f>
        <v>16368</v>
      </c>
      <c r="G120" s="132">
        <f>M120 * H120</f>
        <v>2640</v>
      </c>
      <c r="H120" s="212">
        <v>5.0</v>
      </c>
      <c r="I120" s="213">
        <f>'Reserves Data (Reference)'!D57</f>
        <v>31</v>
      </c>
      <c r="J120" s="213">
        <v>45.0</v>
      </c>
      <c r="K120" s="218">
        <v>1.57</v>
      </c>
      <c r="L120" s="216">
        <f>I120*1/J120*60/1 + Floor(I120/H120,1) * K120</f>
        <v>50.75333333</v>
      </c>
      <c r="M120" s="213">
        <f>M111</f>
        <v>528</v>
      </c>
      <c r="N120" s="217" t="s">
        <v>60</v>
      </c>
    </row>
    <row r="121">
      <c r="A121" s="77" t="s">
        <v>382</v>
      </c>
      <c r="B121" s="208" t="s">
        <v>392</v>
      </c>
      <c r="C121" s="132">
        <f>M121*J121*1/60</f>
        <v>253.3333333</v>
      </c>
      <c r="D121" s="255">
        <f>C121</f>
        <v>253.3333333</v>
      </c>
      <c r="E121" s="210"/>
      <c r="F121" s="257" t="s">
        <v>43</v>
      </c>
      <c r="G121" s="230" t="s">
        <v>60</v>
      </c>
      <c r="H121" s="213" t="s">
        <v>60</v>
      </c>
      <c r="I121" s="213" t="s">
        <v>60</v>
      </c>
      <c r="J121" s="213">
        <f>J109</f>
        <v>133.3333333</v>
      </c>
      <c r="K121" s="213" t="s">
        <v>60</v>
      </c>
      <c r="L121" s="213" t="s">
        <v>60</v>
      </c>
      <c r="M121" s="213">
        <f>M107</f>
        <v>114</v>
      </c>
      <c r="N121" s="217" t="s">
        <v>60</v>
      </c>
      <c r="O121" s="95" t="s">
        <v>384</v>
      </c>
    </row>
    <row r="122">
      <c r="A122" s="65" t="s">
        <v>393</v>
      </c>
      <c r="B122" s="261" t="s">
        <v>394</v>
      </c>
      <c r="C122" s="67">
        <f t="shared" ref="C122:C125" si="143">(G122)/(H122 * 1/J122 * 60/1)</f>
        <v>820.909971</v>
      </c>
      <c r="D122" s="68">
        <f t="shared" ref="D122:D125" si="144">(G122)/(H122 * 1/J122 * 60/1 + K122 - 0.5)</f>
        <v>724.9928755</v>
      </c>
      <c r="E122" s="57"/>
      <c r="F122" s="193">
        <f t="shared" ref="F122:F125" si="145">I122*N122</f>
        <v>17808</v>
      </c>
      <c r="G122" s="70">
        <f t="shared" ref="G122:G125" si="146">N122 * H122</f>
        <v>5088</v>
      </c>
      <c r="H122" s="71">
        <v>6.0</v>
      </c>
      <c r="I122" s="73">
        <f>'Reserves Data (Reference)'!D58</f>
        <v>21</v>
      </c>
      <c r="J122" s="73">
        <f>1/(533/1000*1/60 + 0.5*1/60)</f>
        <v>58.08325266</v>
      </c>
      <c r="K122" s="74">
        <v>1.32</v>
      </c>
      <c r="L122" s="194">
        <f>timeToEmpty_fusions(H122, I122, 0, 1, 0.533, 0.5, K122)</f>
        <v>23.653</v>
      </c>
      <c r="M122" s="73">
        <v>247.0</v>
      </c>
      <c r="N122" s="195">
        <v>848.0</v>
      </c>
    </row>
    <row r="123">
      <c r="A123" s="77" t="s">
        <v>395</v>
      </c>
      <c r="B123" s="262" t="s">
        <v>394</v>
      </c>
      <c r="C123" s="132">
        <f t="shared" si="143"/>
        <v>1231.364956</v>
      </c>
      <c r="D123" s="209">
        <f t="shared" si="144"/>
        <v>1087.489313</v>
      </c>
      <c r="E123" s="210"/>
      <c r="F123" s="211">
        <f t="shared" si="145"/>
        <v>26712</v>
      </c>
      <c r="G123" s="132">
        <f t="shared" si="146"/>
        <v>7632</v>
      </c>
      <c r="H123" s="120">
        <f t="shared" ref="H123:J123" si="147">H122</f>
        <v>6</v>
      </c>
      <c r="I123" s="214">
        <f t="shared" si="147"/>
        <v>21</v>
      </c>
      <c r="J123" s="214">
        <f t="shared" si="147"/>
        <v>58.08325266</v>
      </c>
      <c r="K123" s="218">
        <v>1.32</v>
      </c>
      <c r="L123" s="216">
        <f>L122</f>
        <v>23.653</v>
      </c>
      <c r="M123" s="214">
        <f t="shared" ref="M123:N123" si="148">M122*1.5</f>
        <v>370.5</v>
      </c>
      <c r="N123" s="232">
        <f t="shared" si="148"/>
        <v>1272</v>
      </c>
    </row>
    <row r="124">
      <c r="A124" s="77" t="s">
        <v>179</v>
      </c>
      <c r="B124" s="208" t="s">
        <v>396</v>
      </c>
      <c r="C124" s="132">
        <f t="shared" si="143"/>
        <v>820.2059315</v>
      </c>
      <c r="D124" s="209">
        <f t="shared" si="144"/>
        <v>724.3710977</v>
      </c>
      <c r="E124" s="210"/>
      <c r="F124" s="211">
        <f t="shared" si="145"/>
        <v>17792.72727</v>
      </c>
      <c r="G124" s="132">
        <f t="shared" si="146"/>
        <v>5083.636364</v>
      </c>
      <c r="H124" s="212">
        <v>6.0</v>
      </c>
      <c r="I124" s="213">
        <f>'Reserves Data (Reference)'!D59</f>
        <v>21</v>
      </c>
      <c r="J124" s="214">
        <f>1/(533/1000*1/60 + 0.5*1/60)</f>
        <v>58.08325266</v>
      </c>
      <c r="K124" s="218">
        <v>1.32</v>
      </c>
      <c r="L124" s="216">
        <f>timeToEmpty_fusions(H124, I124, 0, 1, 0.533, 0.5, K124)</f>
        <v>23.653</v>
      </c>
      <c r="M124" s="213">
        <f>271*1/1.1</f>
        <v>246.3636364</v>
      </c>
      <c r="N124" s="217">
        <f>932*1/1.1</f>
        <v>847.2727273</v>
      </c>
    </row>
    <row r="125">
      <c r="A125" s="207"/>
      <c r="B125" s="263" t="s">
        <v>397</v>
      </c>
      <c r="C125" s="132">
        <f t="shared" si="143"/>
        <v>790.02079</v>
      </c>
      <c r="D125" s="209">
        <f t="shared" si="144"/>
        <v>721.6712387</v>
      </c>
      <c r="E125" s="210"/>
      <c r="F125" s="211">
        <f t="shared" si="145"/>
        <v>23940</v>
      </c>
      <c r="G125" s="132">
        <f t="shared" si="146"/>
        <v>6840</v>
      </c>
      <c r="H125" s="212">
        <v>6.0</v>
      </c>
      <c r="I125" s="213">
        <f>'Reserves Data (Reference)'!$D$60</f>
        <v>21</v>
      </c>
      <c r="J125" s="214">
        <f t="shared" ref="J125:J127" si="149">1/(533*1/1000*1/60 + 0.91*1/60)</f>
        <v>41.58004158</v>
      </c>
      <c r="K125" s="218">
        <v>1.32</v>
      </c>
      <c r="L125" s="216">
        <f>timeToEmpty_fusions(H125, I125, 0.2, 3, 0.533, 0.91, K125)</f>
        <v>32.223</v>
      </c>
      <c r="M125" s="213">
        <f>111*3</f>
        <v>333</v>
      </c>
      <c r="N125" s="217">
        <f>380*3</f>
        <v>1140</v>
      </c>
      <c r="O125" s="95" t="s">
        <v>398</v>
      </c>
    </row>
    <row r="126">
      <c r="A126" s="207"/>
      <c r="B126" s="263" t="s">
        <v>397</v>
      </c>
      <c r="C126" s="132">
        <f>(G126)/((H126-1)*(0.533+0.91) + 0.533+0.2*(3-1))</f>
        <v>1364.359352</v>
      </c>
      <c r="D126" s="209">
        <f t="shared" ref="D126:D127" si="151">F126/L126</f>
        <v>1456.810353</v>
      </c>
      <c r="E126" s="210"/>
      <c r="F126" s="211">
        <f>N126*(2*(floor(50/(2*3),1)) * (1 + 0.02 * cumSum(0, floor(50/(2*3),1))))
+ N126 * 1.5 * (I126 - (2*(floor(50/(2*3),1))))
+ 'Elemental Effects'!$E$11*3*floor(I126/2,1)</f>
        <v>46942.8</v>
      </c>
      <c r="G126" s="132">
        <f>N126 * (2 + 2*(1+0.02*3) + 2*(1+0.2*3*2))
+ 'Elemental Effects'!$E$11*3*2</f>
        <v>11116.8</v>
      </c>
      <c r="H126" s="212">
        <v>6.0</v>
      </c>
      <c r="I126" s="213">
        <f>'Reserves Data (Reference)'!$D$60</f>
        <v>21</v>
      </c>
      <c r="J126" s="214">
        <f t="shared" si="149"/>
        <v>41.58004158</v>
      </c>
      <c r="K126" s="218">
        <v>1.32</v>
      </c>
      <c r="L126" s="216">
        <f t="shared" ref="L126:N126" si="150">L125</f>
        <v>32.223</v>
      </c>
      <c r="M126" s="213">
        <f t="shared" si="150"/>
        <v>333</v>
      </c>
      <c r="N126" s="217">
        <f t="shared" si="150"/>
        <v>1140</v>
      </c>
      <c r="O126" s="95" t="s">
        <v>399</v>
      </c>
    </row>
    <row r="127">
      <c r="A127" s="207"/>
      <c r="B127" s="263" t="s">
        <v>397</v>
      </c>
      <c r="C127" s="230">
        <f>G127/((H127-1)*(0.533+0.91) + 0.533+0.2*(3-1))</f>
        <v>1131.516937</v>
      </c>
      <c r="D127" s="255">
        <f t="shared" si="151"/>
        <v>1158.216181</v>
      </c>
      <c r="E127" s="210"/>
      <c r="F127" s="257">
        <f>euphony_totalDamage_fallingThreadlings(N127, 'Elemental Effects'!$E$11, I127)</f>
        <v>37321.2</v>
      </c>
      <c r="G127" s="230">
        <f>N127*3 + N127*2*(1+0.02*3) + N127*(1+0.02*6)
+ 'Elemental Effects'!$E$11 * 3 * 3</f>
        <v>9219.6</v>
      </c>
      <c r="H127" s="212">
        <v>6.0</v>
      </c>
      <c r="I127" s="213">
        <f>'Reserves Data (Reference)'!$D$60</f>
        <v>21</v>
      </c>
      <c r="J127" s="214">
        <f t="shared" si="149"/>
        <v>41.58004158</v>
      </c>
      <c r="K127" s="218">
        <v>1.32</v>
      </c>
      <c r="L127" s="216">
        <f>L125</f>
        <v>32.223</v>
      </c>
      <c r="M127" s="213">
        <f t="shared" ref="M127:N127" si="152">M126</f>
        <v>333</v>
      </c>
      <c r="N127" s="217">
        <f t="shared" si="152"/>
        <v>1140</v>
      </c>
      <c r="O127" s="95" t="s">
        <v>400</v>
      </c>
    </row>
    <row r="128">
      <c r="A128" s="65" t="s">
        <v>41</v>
      </c>
      <c r="B128" s="261" t="s">
        <v>401</v>
      </c>
      <c r="C128" s="67">
        <f t="shared" ref="C128:C129" si="153">(G128)/(H128/5 * 1/J128 * 60/1)</f>
        <v>2011.363636</v>
      </c>
      <c r="D128" s="68">
        <f t="shared" ref="D128:D129" si="154">(G128)/((H128/5-1) * 1/J128 * 60/1 + K128)</f>
        <v>1226.441242</v>
      </c>
      <c r="E128" s="57"/>
      <c r="F128" s="193">
        <f>I128/5 * M128</f>
        <v>24136.36364</v>
      </c>
      <c r="G128" s="70">
        <f t="shared" ref="G128:G129" si="155">M128 * H128/5</f>
        <v>2681.818182</v>
      </c>
      <c r="H128" s="71">
        <v>25.0</v>
      </c>
      <c r="I128" s="73">
        <f>'Reserves Data (Reference)'!D61</f>
        <v>225</v>
      </c>
      <c r="J128" s="73">
        <v>225.0</v>
      </c>
      <c r="K128" s="74">
        <v>1.12</v>
      </c>
      <c r="L128" s="194">
        <f t="shared" ref="L128:L129" si="156">timeToEmpty(H128/5,CEILING(I128/5,1),J128,K128)</f>
        <v>18.56</v>
      </c>
      <c r="M128" s="73">
        <f>(107+11)*5*1/1.1</f>
        <v>536.3636364</v>
      </c>
      <c r="N128" s="195" t="s">
        <v>60</v>
      </c>
      <c r="O128" s="95" t="s">
        <v>402</v>
      </c>
    </row>
    <row r="129">
      <c r="A129" s="207"/>
      <c r="B129" s="97" t="s">
        <v>401</v>
      </c>
      <c r="C129" s="98">
        <f t="shared" si="153"/>
        <v>2056.363636</v>
      </c>
      <c r="D129" s="198">
        <f t="shared" si="154"/>
        <v>1253.880266</v>
      </c>
      <c r="E129" s="57"/>
      <c r="F129" s="199">
        <f>M129*(floor(I129/5,1) + mod(I129, 5))</f>
        <v>24676.36364</v>
      </c>
      <c r="G129" s="197">
        <f t="shared" si="155"/>
        <v>2741.818182</v>
      </c>
      <c r="H129" s="101">
        <v>25.0</v>
      </c>
      <c r="I129" s="103">
        <f>I128</f>
        <v>225</v>
      </c>
      <c r="J129" s="103">
        <v>225.0</v>
      </c>
      <c r="K129" s="201">
        <v>1.12</v>
      </c>
      <c r="L129" s="202">
        <f t="shared" si="156"/>
        <v>18.56</v>
      </c>
      <c r="M129" s="103">
        <f>(62+535*1/1.1)</f>
        <v>548.3636364</v>
      </c>
      <c r="N129" s="203" t="s">
        <v>60</v>
      </c>
      <c r="O129" s="95" t="s">
        <v>403</v>
      </c>
    </row>
    <row r="130">
      <c r="A130" s="107"/>
      <c r="B130" s="91" t="s">
        <v>401</v>
      </c>
      <c r="C130" s="89">
        <f t="shared" ref="C130:C135" si="158">(G130)/(H130 * 1/J130 * 60/1)</f>
        <v>934.0909091</v>
      </c>
      <c r="D130" s="80">
        <f t="shared" ref="D130:D135" si="159">(G130)/((H130-1) * 1/J130 * 60/1 + K130)</f>
        <v>828.0947776</v>
      </c>
      <c r="E130" s="57"/>
      <c r="F130" s="204">
        <f t="shared" ref="F130:F135" si="160">I130*N130</f>
        <v>56045.45455</v>
      </c>
      <c r="G130" s="79">
        <f t="shared" ref="G130:G135" si="161">N130 * H130</f>
        <v>6227.272727</v>
      </c>
      <c r="H130" s="82">
        <f t="shared" ref="H130:I130" si="157">H128</f>
        <v>25</v>
      </c>
      <c r="I130" s="84">
        <f t="shared" si="157"/>
        <v>225</v>
      </c>
      <c r="J130" s="84">
        <v>225.0</v>
      </c>
      <c r="K130" s="85">
        <v>1.12</v>
      </c>
      <c r="L130" s="205">
        <f t="shared" ref="L130:L135" si="162">timeToEmpty(H130,I130,J130,K130)</f>
        <v>66.56</v>
      </c>
      <c r="M130" s="84">
        <f>153*1/1.1</f>
        <v>139.0909091</v>
      </c>
      <c r="N130" s="206">
        <f>274*1/1.1</f>
        <v>249.0909091</v>
      </c>
      <c r="O130" s="95" t="s">
        <v>169</v>
      </c>
    </row>
    <row r="131">
      <c r="A131" s="65" t="s">
        <v>102</v>
      </c>
      <c r="B131" s="66" t="s">
        <v>404</v>
      </c>
      <c r="C131" s="67">
        <f t="shared" si="158"/>
        <v>1064</v>
      </c>
      <c r="D131" s="68">
        <f t="shared" si="159"/>
        <v>1050.604789</v>
      </c>
      <c r="E131" s="57"/>
      <c r="F131" s="193">
        <f t="shared" si="160"/>
        <v>20160</v>
      </c>
      <c r="G131" s="70">
        <f t="shared" si="161"/>
        <v>8960</v>
      </c>
      <c r="H131" s="71">
        <v>8.0</v>
      </c>
      <c r="I131" s="73">
        <f>'Reserves Data (Reference)'!$D$63</f>
        <v>18</v>
      </c>
      <c r="J131" s="73">
        <v>57.0</v>
      </c>
      <c r="K131" s="74">
        <f>Primaries!$K$46</f>
        <v>1.16</v>
      </c>
      <c r="L131" s="194">
        <f t="shared" si="162"/>
        <v>18.10947368</v>
      </c>
      <c r="M131" s="73">
        <f>(160+193)/1.05 * 3</f>
        <v>1008.571429</v>
      </c>
      <c r="N131" s="195">
        <f>(160+232)/1.05 * 3</f>
        <v>1120</v>
      </c>
      <c r="O131" s="95" t="s">
        <v>405</v>
      </c>
    </row>
    <row r="132">
      <c r="A132" s="65" t="s">
        <v>172</v>
      </c>
      <c r="B132" s="261" t="s">
        <v>406</v>
      </c>
      <c r="C132" s="67">
        <f t="shared" si="158"/>
        <v>700.9090909</v>
      </c>
      <c r="D132" s="68">
        <f t="shared" si="159"/>
        <v>601.3519369</v>
      </c>
      <c r="E132" s="57"/>
      <c r="F132" s="193">
        <f t="shared" si="160"/>
        <v>16354.54545</v>
      </c>
      <c r="G132" s="70">
        <f t="shared" si="161"/>
        <v>4205.454545</v>
      </c>
      <c r="H132" s="71">
        <v>9.0</v>
      </c>
      <c r="I132" s="73">
        <f>'Reserves Data (Reference)'!D62</f>
        <v>35</v>
      </c>
      <c r="J132" s="73">
        <v>90.0</v>
      </c>
      <c r="K132" s="74">
        <v>1.66</v>
      </c>
      <c r="L132" s="194">
        <f t="shared" si="162"/>
        <v>25.64666667</v>
      </c>
      <c r="M132" s="73">
        <f>322*1/1.1</f>
        <v>292.7272727</v>
      </c>
      <c r="N132" s="195">
        <f>514*1/1.1</f>
        <v>467.2727273</v>
      </c>
      <c r="O132" s="95" t="s">
        <v>407</v>
      </c>
    </row>
    <row r="133">
      <c r="A133" s="164" t="s">
        <v>197</v>
      </c>
      <c r="B133" s="66" t="s">
        <v>404</v>
      </c>
      <c r="C133" s="264">
        <f t="shared" si="158"/>
        <v>473.3333333</v>
      </c>
      <c r="D133" s="265">
        <f t="shared" si="159"/>
        <v>459.9190283</v>
      </c>
      <c r="E133" s="57"/>
      <c r="F133" s="266">
        <f t="shared" si="160"/>
        <v>11360</v>
      </c>
      <c r="G133" s="267">
        <f t="shared" si="161"/>
        <v>4544</v>
      </c>
      <c r="H133" s="268">
        <v>16.0</v>
      </c>
      <c r="I133" s="269">
        <f>'Reserves Data (Reference)'!D64</f>
        <v>40</v>
      </c>
      <c r="J133" s="269">
        <v>100.0</v>
      </c>
      <c r="K133" s="270">
        <v>0.88</v>
      </c>
      <c r="L133" s="271">
        <f t="shared" si="162"/>
        <v>23.96</v>
      </c>
      <c r="M133" s="269">
        <f>120+136</f>
        <v>256</v>
      </c>
      <c r="N133" s="272">
        <f>120+164</f>
        <v>284</v>
      </c>
      <c r="O133" s="95" t="s">
        <v>408</v>
      </c>
    </row>
    <row r="134">
      <c r="A134" s="175"/>
      <c r="B134" s="150" t="s">
        <v>409</v>
      </c>
      <c r="C134" s="151">
        <f t="shared" si="158"/>
        <v>513.3333333</v>
      </c>
      <c r="D134" s="273">
        <f t="shared" si="159"/>
        <v>482.6210826</v>
      </c>
      <c r="E134" s="57"/>
      <c r="F134" s="274">
        <f t="shared" si="160"/>
        <v>15400</v>
      </c>
      <c r="G134" s="154">
        <f t="shared" si="161"/>
        <v>3388</v>
      </c>
      <c r="H134" s="155">
        <v>11.0</v>
      </c>
      <c r="I134" s="177">
        <f>'Reserves Data (Reference)'!D65</f>
        <v>50</v>
      </c>
      <c r="J134" s="177">
        <v>100.0</v>
      </c>
      <c r="K134" s="158">
        <v>1.02</v>
      </c>
      <c r="L134" s="275">
        <f t="shared" si="162"/>
        <v>31.08</v>
      </c>
      <c r="M134" s="177">
        <f>128*2</f>
        <v>256</v>
      </c>
      <c r="N134" s="276">
        <f>154*2</f>
        <v>308</v>
      </c>
      <c r="O134" s="95" t="s">
        <v>410</v>
      </c>
    </row>
    <row r="135">
      <c r="A135" s="136"/>
      <c r="B135" s="137" t="s">
        <v>411</v>
      </c>
      <c r="C135" s="138">
        <f t="shared" si="158"/>
        <v>946.6666667</v>
      </c>
      <c r="D135" s="139">
        <f t="shared" si="159"/>
        <v>691.2778905</v>
      </c>
      <c r="E135" s="57"/>
      <c r="F135" s="277">
        <f t="shared" si="160"/>
        <v>19880</v>
      </c>
      <c r="G135" s="141">
        <f t="shared" si="161"/>
        <v>3408</v>
      </c>
      <c r="H135" s="142">
        <v>12.0</v>
      </c>
      <c r="I135" s="144">
        <f>'Reserves Data (Reference)'!D66</f>
        <v>70</v>
      </c>
      <c r="J135" s="144">
        <v>200.0</v>
      </c>
      <c r="K135" s="145">
        <v>1.63</v>
      </c>
      <c r="L135" s="278">
        <f t="shared" si="162"/>
        <v>27.35</v>
      </c>
      <c r="M135" s="144">
        <f>55</f>
        <v>55</v>
      </c>
      <c r="N135" s="279">
        <v>284.0</v>
      </c>
    </row>
    <row r="136">
      <c r="A136" s="280" t="s">
        <v>412</v>
      </c>
      <c r="B136" s="281" t="s">
        <v>413</v>
      </c>
      <c r="C136" s="282"/>
      <c r="D136" s="283"/>
      <c r="E136" s="57"/>
      <c r="F136" s="284" t="s">
        <v>413</v>
      </c>
      <c r="G136" s="282"/>
      <c r="H136" s="282"/>
      <c r="I136" s="282"/>
      <c r="J136" s="282"/>
      <c r="K136" s="282"/>
      <c r="L136" s="282"/>
      <c r="M136" s="282"/>
      <c r="N136" s="283"/>
    </row>
    <row r="137">
      <c r="A137" s="190"/>
      <c r="L137" s="285"/>
    </row>
    <row r="138" hidden="1">
      <c r="A138" s="191"/>
      <c r="L138" s="285"/>
    </row>
    <row r="139" hidden="1">
      <c r="A139" s="191"/>
      <c r="L139" s="285"/>
    </row>
    <row r="140" hidden="1">
      <c r="A140" s="191"/>
      <c r="L140" s="285"/>
    </row>
    <row r="141" hidden="1">
      <c r="A141" s="191"/>
      <c r="L141" s="285"/>
    </row>
    <row r="142" hidden="1">
      <c r="A142" s="191"/>
      <c r="L142" s="285"/>
    </row>
    <row r="143" hidden="1">
      <c r="A143" s="191"/>
      <c r="L143" s="285"/>
    </row>
    <row r="144" hidden="1">
      <c r="A144" s="191"/>
      <c r="L144" s="285"/>
    </row>
    <row r="145" hidden="1">
      <c r="A145" s="191"/>
      <c r="L145" s="285"/>
    </row>
    <row r="146" hidden="1">
      <c r="A146" s="191"/>
      <c r="L146" s="285"/>
    </row>
    <row r="147" hidden="1">
      <c r="A147" s="191"/>
      <c r="L147" s="285"/>
    </row>
    <row r="148" hidden="1">
      <c r="A148" s="191"/>
      <c r="L148" s="285"/>
    </row>
    <row r="149" hidden="1">
      <c r="A149" s="191"/>
      <c r="L149" s="285"/>
    </row>
    <row r="150" hidden="1">
      <c r="A150" s="191"/>
      <c r="L150" s="285"/>
    </row>
    <row r="151" hidden="1">
      <c r="A151" s="191"/>
      <c r="L151" s="285"/>
    </row>
    <row r="152" hidden="1">
      <c r="A152" s="191"/>
      <c r="L152" s="285"/>
    </row>
    <row r="153" hidden="1">
      <c r="A153" s="191"/>
      <c r="L153" s="285"/>
    </row>
    <row r="154" hidden="1">
      <c r="A154" s="191"/>
      <c r="L154" s="285"/>
    </row>
    <row r="155" hidden="1">
      <c r="A155" s="191"/>
      <c r="L155" s="285"/>
    </row>
    <row r="156" hidden="1">
      <c r="A156" s="191"/>
      <c r="L156" s="285"/>
    </row>
    <row r="157" hidden="1">
      <c r="A157" s="191"/>
      <c r="L157" s="285"/>
    </row>
    <row r="158" hidden="1">
      <c r="A158" s="191"/>
      <c r="L158" s="285"/>
    </row>
    <row r="159" hidden="1">
      <c r="A159" s="191"/>
      <c r="L159" s="285"/>
    </row>
    <row r="160" hidden="1">
      <c r="A160" s="191"/>
      <c r="L160" s="285"/>
    </row>
    <row r="161" hidden="1">
      <c r="A161" s="191"/>
      <c r="L161" s="285"/>
    </row>
    <row r="162" hidden="1">
      <c r="A162" s="191"/>
      <c r="L162" s="285"/>
    </row>
    <row r="163" hidden="1">
      <c r="A163" s="191"/>
      <c r="L163" s="285"/>
    </row>
    <row r="164" hidden="1">
      <c r="A164" s="191"/>
      <c r="L164" s="285"/>
    </row>
    <row r="165" hidden="1">
      <c r="A165" s="191"/>
      <c r="L165" s="285"/>
    </row>
    <row r="166" hidden="1">
      <c r="A166" s="58"/>
      <c r="L166" s="285"/>
    </row>
    <row r="167" hidden="1">
      <c r="A167" s="58"/>
      <c r="L167" s="285"/>
    </row>
    <row r="168" hidden="1">
      <c r="A168" s="58"/>
      <c r="L168" s="285"/>
    </row>
    <row r="169" hidden="1">
      <c r="A169" s="58"/>
      <c r="L169" s="285"/>
    </row>
    <row r="170" hidden="1">
      <c r="A170" s="58"/>
      <c r="L170" s="285"/>
    </row>
    <row r="171" hidden="1">
      <c r="A171" s="58"/>
      <c r="L171" s="285"/>
    </row>
    <row r="172" hidden="1">
      <c r="A172" s="58"/>
      <c r="L172" s="285"/>
    </row>
    <row r="173" hidden="1">
      <c r="A173" s="58"/>
      <c r="L173" s="285"/>
    </row>
    <row r="174" hidden="1">
      <c r="A174" s="58"/>
      <c r="L174" s="285"/>
    </row>
    <row r="175" hidden="1">
      <c r="A175" s="58"/>
      <c r="L175" s="285"/>
    </row>
    <row r="176" hidden="1">
      <c r="A176" s="58"/>
      <c r="L176" s="285"/>
    </row>
    <row r="177" hidden="1">
      <c r="A177" s="58"/>
      <c r="L177" s="285"/>
    </row>
    <row r="178" hidden="1">
      <c r="A178" s="58"/>
      <c r="L178" s="285"/>
    </row>
    <row r="179" hidden="1">
      <c r="A179" s="58"/>
      <c r="L179" s="285"/>
    </row>
    <row r="180" hidden="1">
      <c r="A180" s="58"/>
      <c r="L180" s="285"/>
    </row>
    <row r="181" hidden="1">
      <c r="A181" s="58"/>
      <c r="L181" s="285"/>
    </row>
    <row r="182" hidden="1">
      <c r="A182" s="58"/>
      <c r="L182" s="285"/>
    </row>
    <row r="183" hidden="1">
      <c r="A183" s="58"/>
      <c r="L183" s="285"/>
    </row>
    <row r="184" hidden="1">
      <c r="A184" s="58"/>
      <c r="L184" s="285"/>
    </row>
    <row r="185" hidden="1">
      <c r="A185" s="58"/>
      <c r="L185" s="285"/>
    </row>
    <row r="186" hidden="1">
      <c r="A186" s="58"/>
      <c r="L186" s="285"/>
    </row>
    <row r="187" hidden="1">
      <c r="A187" s="58"/>
      <c r="L187" s="285"/>
    </row>
    <row r="188" hidden="1">
      <c r="A188" s="58"/>
      <c r="L188" s="285"/>
    </row>
    <row r="189" hidden="1">
      <c r="A189" s="58"/>
      <c r="L189" s="285"/>
    </row>
    <row r="190" hidden="1">
      <c r="A190" s="58"/>
      <c r="L190" s="285"/>
    </row>
    <row r="191" hidden="1">
      <c r="A191" s="58"/>
      <c r="L191" s="285"/>
    </row>
    <row r="192" hidden="1">
      <c r="A192" s="58"/>
      <c r="L192" s="285"/>
    </row>
    <row r="193" hidden="1">
      <c r="A193" s="58"/>
      <c r="L193" s="285"/>
    </row>
    <row r="194" hidden="1">
      <c r="A194" s="58"/>
      <c r="L194" s="285"/>
    </row>
    <row r="195" hidden="1">
      <c r="A195" s="58"/>
      <c r="L195" s="285"/>
    </row>
    <row r="196" hidden="1">
      <c r="A196" s="58"/>
      <c r="L196" s="285"/>
    </row>
    <row r="197" hidden="1">
      <c r="A197" s="58"/>
      <c r="L197" s="285"/>
    </row>
    <row r="198" hidden="1">
      <c r="A198" s="58"/>
      <c r="L198" s="285"/>
    </row>
    <row r="199" hidden="1">
      <c r="A199" s="58"/>
      <c r="L199" s="285"/>
    </row>
    <row r="200" hidden="1">
      <c r="A200" s="58"/>
      <c r="L200" s="285"/>
    </row>
    <row r="201" hidden="1">
      <c r="A201" s="58"/>
      <c r="L201" s="285"/>
    </row>
    <row r="202" hidden="1">
      <c r="A202" s="58"/>
      <c r="L202" s="285"/>
    </row>
    <row r="203" hidden="1">
      <c r="A203" s="58"/>
      <c r="L203" s="285"/>
    </row>
    <row r="204" hidden="1">
      <c r="A204" s="58"/>
      <c r="L204" s="285"/>
    </row>
    <row r="205" hidden="1">
      <c r="A205" s="58"/>
      <c r="L205" s="285"/>
    </row>
    <row r="206" hidden="1">
      <c r="A206" s="58"/>
      <c r="L206" s="285"/>
    </row>
    <row r="207" hidden="1">
      <c r="A207" s="58"/>
      <c r="L207" s="285"/>
    </row>
    <row r="208" hidden="1">
      <c r="A208" s="58"/>
      <c r="L208" s="285"/>
    </row>
    <row r="209" hidden="1">
      <c r="A209" s="58"/>
      <c r="L209" s="285"/>
    </row>
    <row r="210" hidden="1">
      <c r="A210" s="58"/>
      <c r="L210" s="285"/>
    </row>
    <row r="211" hidden="1">
      <c r="A211" s="58"/>
      <c r="L211" s="285"/>
    </row>
    <row r="212" hidden="1">
      <c r="A212" s="58"/>
      <c r="L212" s="285"/>
    </row>
    <row r="213" hidden="1">
      <c r="A213" s="58"/>
      <c r="L213" s="285"/>
    </row>
    <row r="214" hidden="1">
      <c r="A214" s="58"/>
      <c r="L214" s="285"/>
    </row>
    <row r="215" hidden="1">
      <c r="A215" s="58"/>
      <c r="L215" s="285"/>
    </row>
    <row r="216" hidden="1">
      <c r="A216" s="58"/>
      <c r="L216" s="285"/>
    </row>
    <row r="217" hidden="1">
      <c r="A217" s="58"/>
      <c r="L217" s="285"/>
    </row>
    <row r="218" hidden="1">
      <c r="A218" s="58"/>
      <c r="L218" s="285"/>
    </row>
    <row r="219" hidden="1">
      <c r="A219" s="58"/>
      <c r="L219" s="285"/>
    </row>
    <row r="220" hidden="1">
      <c r="A220" s="58"/>
      <c r="L220" s="285"/>
    </row>
    <row r="221" hidden="1">
      <c r="A221" s="58"/>
      <c r="L221" s="285"/>
    </row>
    <row r="222" hidden="1">
      <c r="A222" s="58"/>
      <c r="L222" s="285"/>
    </row>
    <row r="223" hidden="1">
      <c r="A223" s="58"/>
      <c r="L223" s="285"/>
    </row>
    <row r="224" hidden="1">
      <c r="A224" s="58"/>
      <c r="L224" s="285"/>
    </row>
    <row r="225" hidden="1">
      <c r="A225" s="58"/>
      <c r="L225" s="285"/>
    </row>
    <row r="226" hidden="1">
      <c r="A226" s="58"/>
      <c r="L226" s="285"/>
    </row>
    <row r="227" hidden="1">
      <c r="A227" s="58"/>
      <c r="L227" s="285"/>
    </row>
    <row r="228" hidden="1">
      <c r="A228" s="58"/>
      <c r="L228" s="285"/>
    </row>
    <row r="229" hidden="1">
      <c r="A229" s="58"/>
      <c r="L229" s="285"/>
    </row>
    <row r="230" hidden="1">
      <c r="A230" s="58"/>
      <c r="L230" s="285"/>
    </row>
    <row r="231" hidden="1">
      <c r="A231" s="58"/>
      <c r="L231" s="285"/>
    </row>
    <row r="232" hidden="1">
      <c r="A232" s="58"/>
      <c r="L232" s="285"/>
    </row>
    <row r="233" hidden="1">
      <c r="A233" s="58"/>
      <c r="L233" s="285"/>
    </row>
    <row r="234" hidden="1">
      <c r="A234" s="58"/>
      <c r="L234" s="285"/>
    </row>
    <row r="235" hidden="1">
      <c r="A235" s="58"/>
      <c r="L235" s="285"/>
    </row>
    <row r="236" hidden="1">
      <c r="A236" s="58"/>
      <c r="L236" s="285"/>
    </row>
    <row r="237" hidden="1">
      <c r="A237" s="58"/>
      <c r="L237" s="285"/>
    </row>
    <row r="238" hidden="1">
      <c r="A238" s="58"/>
      <c r="L238" s="285"/>
    </row>
    <row r="239" hidden="1">
      <c r="A239" s="58"/>
      <c r="L239" s="285"/>
    </row>
    <row r="240" hidden="1">
      <c r="A240" s="58"/>
      <c r="L240" s="285"/>
    </row>
    <row r="241" hidden="1">
      <c r="A241" s="58"/>
      <c r="L241" s="285"/>
    </row>
    <row r="242" hidden="1">
      <c r="A242" s="58"/>
      <c r="L242" s="285"/>
    </row>
    <row r="243" hidden="1">
      <c r="A243" s="58"/>
      <c r="L243" s="285"/>
    </row>
    <row r="244" hidden="1">
      <c r="A244" s="58"/>
      <c r="L244" s="285"/>
    </row>
    <row r="245" hidden="1">
      <c r="A245" s="58"/>
      <c r="L245" s="285"/>
    </row>
    <row r="246" hidden="1">
      <c r="A246" s="58"/>
      <c r="L246" s="285"/>
    </row>
    <row r="247" hidden="1">
      <c r="A247" s="58"/>
      <c r="L247" s="285"/>
    </row>
    <row r="248" hidden="1">
      <c r="A248" s="58"/>
      <c r="L248" s="285"/>
    </row>
    <row r="249" hidden="1">
      <c r="A249" s="58"/>
      <c r="L249" s="285"/>
    </row>
    <row r="250" hidden="1">
      <c r="A250" s="58"/>
      <c r="L250" s="285"/>
    </row>
    <row r="251" hidden="1">
      <c r="A251" s="58"/>
      <c r="L251" s="285"/>
    </row>
    <row r="252" hidden="1">
      <c r="A252" s="58"/>
      <c r="L252" s="285"/>
    </row>
    <row r="253" hidden="1">
      <c r="A253" s="58"/>
      <c r="L253" s="285"/>
    </row>
    <row r="254" hidden="1">
      <c r="A254" s="58"/>
      <c r="L254" s="285"/>
    </row>
    <row r="255" hidden="1">
      <c r="A255" s="58"/>
      <c r="L255" s="285"/>
    </row>
    <row r="256" hidden="1">
      <c r="A256" s="58"/>
      <c r="L256" s="285"/>
    </row>
    <row r="257" hidden="1">
      <c r="A257" s="58"/>
      <c r="L257" s="285"/>
    </row>
    <row r="258" hidden="1">
      <c r="A258" s="58"/>
      <c r="L258" s="285"/>
    </row>
    <row r="259" hidden="1">
      <c r="A259" s="58"/>
      <c r="L259" s="285"/>
    </row>
    <row r="260" hidden="1">
      <c r="A260" s="58"/>
      <c r="L260" s="285"/>
    </row>
    <row r="261" hidden="1">
      <c r="A261" s="58"/>
      <c r="L261" s="285"/>
    </row>
    <row r="262" hidden="1">
      <c r="A262" s="58"/>
      <c r="L262" s="285"/>
    </row>
    <row r="263" hidden="1">
      <c r="A263" s="58"/>
      <c r="L263" s="285"/>
    </row>
    <row r="264" hidden="1">
      <c r="A264" s="58"/>
      <c r="L264" s="285"/>
    </row>
    <row r="265" hidden="1">
      <c r="A265" s="58"/>
      <c r="L265" s="285"/>
    </row>
    <row r="266" hidden="1">
      <c r="A266" s="58"/>
      <c r="L266" s="285"/>
    </row>
    <row r="267" hidden="1">
      <c r="A267" s="58"/>
      <c r="L267" s="285"/>
    </row>
    <row r="268" hidden="1">
      <c r="A268" s="58"/>
      <c r="L268" s="285"/>
    </row>
    <row r="269" hidden="1">
      <c r="A269" s="58"/>
      <c r="L269" s="285"/>
    </row>
    <row r="270" hidden="1">
      <c r="A270" s="58"/>
      <c r="L270" s="285"/>
    </row>
    <row r="271" hidden="1">
      <c r="A271" s="58"/>
      <c r="L271" s="285"/>
    </row>
    <row r="272" hidden="1">
      <c r="A272" s="58"/>
      <c r="L272" s="285"/>
    </row>
    <row r="273" hidden="1">
      <c r="A273" s="58"/>
      <c r="L273" s="285"/>
    </row>
    <row r="274" hidden="1">
      <c r="A274" s="58"/>
      <c r="L274" s="285"/>
    </row>
    <row r="275" hidden="1">
      <c r="A275" s="58"/>
      <c r="L275" s="285"/>
    </row>
    <row r="276" hidden="1">
      <c r="A276" s="58"/>
      <c r="L276" s="285"/>
    </row>
    <row r="277" hidden="1">
      <c r="A277" s="58"/>
      <c r="L277" s="285"/>
    </row>
    <row r="278" hidden="1">
      <c r="A278" s="58"/>
      <c r="L278" s="285"/>
    </row>
    <row r="279" hidden="1">
      <c r="A279" s="58"/>
      <c r="L279" s="285"/>
    </row>
    <row r="280" hidden="1">
      <c r="A280" s="58"/>
      <c r="L280" s="285"/>
    </row>
    <row r="281" hidden="1">
      <c r="A281" s="58"/>
      <c r="L281" s="285"/>
    </row>
    <row r="282" hidden="1">
      <c r="A282" s="58"/>
      <c r="L282" s="285"/>
    </row>
    <row r="283" hidden="1">
      <c r="A283" s="58"/>
      <c r="L283" s="285"/>
    </row>
    <row r="284" hidden="1">
      <c r="A284" s="58"/>
      <c r="L284" s="285"/>
    </row>
    <row r="285" hidden="1">
      <c r="A285" s="58"/>
      <c r="L285" s="285"/>
    </row>
    <row r="286" hidden="1">
      <c r="A286" s="58"/>
      <c r="L286" s="285"/>
    </row>
    <row r="287" hidden="1">
      <c r="A287" s="58"/>
      <c r="L287" s="285"/>
    </row>
    <row r="288" hidden="1">
      <c r="A288" s="58"/>
      <c r="L288" s="285"/>
    </row>
    <row r="289" hidden="1">
      <c r="A289" s="58"/>
      <c r="L289" s="285"/>
    </row>
    <row r="290" hidden="1">
      <c r="A290" s="58"/>
      <c r="L290" s="285"/>
    </row>
    <row r="291" hidden="1">
      <c r="A291" s="58"/>
      <c r="L291" s="285"/>
    </row>
    <row r="292" hidden="1">
      <c r="A292" s="58"/>
      <c r="L292" s="285"/>
    </row>
    <row r="293" hidden="1">
      <c r="A293" s="58"/>
      <c r="L293" s="285"/>
    </row>
    <row r="294" hidden="1">
      <c r="A294" s="58"/>
      <c r="L294" s="285"/>
    </row>
    <row r="295" hidden="1">
      <c r="A295" s="58"/>
      <c r="L295" s="285"/>
    </row>
    <row r="296" hidden="1">
      <c r="A296" s="58"/>
      <c r="L296" s="285"/>
    </row>
    <row r="297" hidden="1">
      <c r="A297" s="58"/>
      <c r="L297" s="285"/>
    </row>
    <row r="298" hidden="1">
      <c r="A298" s="58"/>
      <c r="L298" s="285"/>
    </row>
    <row r="299" hidden="1">
      <c r="A299" s="58"/>
      <c r="L299" s="285"/>
    </row>
    <row r="300" hidden="1">
      <c r="A300" s="58"/>
      <c r="L300" s="285"/>
    </row>
    <row r="301" hidden="1">
      <c r="A301" s="58"/>
      <c r="L301" s="285"/>
    </row>
    <row r="302" hidden="1">
      <c r="A302" s="58"/>
      <c r="L302" s="285"/>
    </row>
    <row r="303" hidden="1">
      <c r="A303" s="58"/>
      <c r="L303" s="285"/>
    </row>
    <row r="304" hidden="1">
      <c r="A304" s="58"/>
      <c r="L304" s="285"/>
    </row>
    <row r="305" hidden="1">
      <c r="A305" s="58"/>
      <c r="L305" s="285"/>
    </row>
    <row r="306" hidden="1">
      <c r="A306" s="58"/>
      <c r="L306" s="285"/>
    </row>
    <row r="307" hidden="1">
      <c r="A307" s="58"/>
      <c r="L307" s="285"/>
    </row>
    <row r="308" hidden="1">
      <c r="A308" s="58"/>
      <c r="L308" s="285"/>
    </row>
    <row r="309" hidden="1">
      <c r="A309" s="58"/>
      <c r="L309" s="285"/>
    </row>
    <row r="310" hidden="1">
      <c r="A310" s="58"/>
      <c r="L310" s="285"/>
    </row>
    <row r="311" hidden="1">
      <c r="A311" s="58"/>
      <c r="L311" s="285"/>
    </row>
    <row r="312" hidden="1">
      <c r="A312" s="58"/>
      <c r="L312" s="285"/>
    </row>
    <row r="313" hidden="1">
      <c r="A313" s="58"/>
      <c r="L313" s="285"/>
    </row>
    <row r="314" hidden="1">
      <c r="A314" s="58"/>
      <c r="L314" s="285"/>
    </row>
    <row r="315" hidden="1">
      <c r="A315" s="58"/>
      <c r="L315" s="285"/>
    </row>
    <row r="316" hidden="1">
      <c r="A316" s="58"/>
      <c r="L316" s="285"/>
    </row>
    <row r="317" hidden="1">
      <c r="A317" s="58"/>
      <c r="L317" s="285"/>
    </row>
    <row r="318" hidden="1">
      <c r="A318" s="58"/>
      <c r="L318" s="285"/>
    </row>
    <row r="319" hidden="1">
      <c r="A319" s="58"/>
      <c r="L319" s="285"/>
    </row>
    <row r="320" hidden="1">
      <c r="A320" s="58"/>
      <c r="L320" s="285"/>
    </row>
    <row r="321" hidden="1">
      <c r="A321" s="58"/>
      <c r="L321" s="285"/>
    </row>
    <row r="322" hidden="1">
      <c r="A322" s="58"/>
      <c r="L322" s="285"/>
    </row>
    <row r="323" hidden="1">
      <c r="A323" s="58"/>
      <c r="L323" s="285"/>
    </row>
    <row r="324" hidden="1">
      <c r="A324" s="58"/>
      <c r="L324" s="285"/>
    </row>
    <row r="325" hidden="1">
      <c r="A325" s="58"/>
      <c r="L325" s="285"/>
    </row>
    <row r="326" hidden="1">
      <c r="A326" s="58"/>
      <c r="L326" s="285"/>
    </row>
    <row r="327" hidden="1">
      <c r="A327" s="58"/>
      <c r="L327" s="285"/>
    </row>
    <row r="328" hidden="1">
      <c r="A328" s="58"/>
      <c r="L328" s="285"/>
    </row>
    <row r="329" hidden="1">
      <c r="A329" s="58"/>
      <c r="L329" s="285"/>
    </row>
    <row r="330" hidden="1">
      <c r="A330" s="58"/>
      <c r="L330" s="285"/>
    </row>
    <row r="331" hidden="1">
      <c r="A331" s="58"/>
      <c r="L331" s="285"/>
    </row>
    <row r="332" hidden="1">
      <c r="A332" s="58"/>
      <c r="L332" s="285"/>
    </row>
    <row r="333" hidden="1">
      <c r="A333" s="58"/>
      <c r="L333" s="285"/>
    </row>
    <row r="334" hidden="1">
      <c r="A334" s="58"/>
      <c r="L334" s="285"/>
    </row>
    <row r="335" hidden="1">
      <c r="A335" s="58"/>
      <c r="L335" s="285"/>
    </row>
    <row r="336" hidden="1">
      <c r="A336" s="58"/>
      <c r="L336" s="285"/>
    </row>
    <row r="337" hidden="1">
      <c r="A337" s="58"/>
      <c r="L337" s="285"/>
    </row>
    <row r="338" hidden="1">
      <c r="A338" s="58"/>
      <c r="L338" s="285"/>
    </row>
    <row r="339" hidden="1">
      <c r="A339" s="58"/>
      <c r="L339" s="285"/>
    </row>
    <row r="340" hidden="1">
      <c r="A340" s="58"/>
      <c r="L340" s="285"/>
    </row>
    <row r="341" hidden="1">
      <c r="A341" s="58"/>
      <c r="L341" s="285"/>
    </row>
    <row r="342" hidden="1">
      <c r="A342" s="58"/>
      <c r="L342" s="285"/>
    </row>
    <row r="343" hidden="1">
      <c r="A343" s="58"/>
      <c r="L343" s="285"/>
    </row>
    <row r="344" hidden="1">
      <c r="A344" s="58"/>
      <c r="L344" s="285"/>
    </row>
    <row r="345" hidden="1">
      <c r="A345" s="58"/>
      <c r="L345" s="285"/>
    </row>
    <row r="346" hidden="1">
      <c r="A346" s="58"/>
      <c r="L346" s="285"/>
    </row>
    <row r="347" hidden="1">
      <c r="A347" s="58"/>
      <c r="L347" s="285"/>
    </row>
    <row r="348" hidden="1">
      <c r="A348" s="58"/>
      <c r="L348" s="285"/>
    </row>
    <row r="349" hidden="1">
      <c r="A349" s="58"/>
      <c r="L349" s="285"/>
    </row>
    <row r="350" hidden="1">
      <c r="A350" s="58"/>
      <c r="L350" s="285"/>
    </row>
    <row r="351" hidden="1">
      <c r="A351" s="58"/>
      <c r="L351" s="285"/>
    </row>
    <row r="352" hidden="1">
      <c r="A352" s="58"/>
      <c r="L352" s="285"/>
    </row>
    <row r="353" hidden="1">
      <c r="A353" s="58"/>
      <c r="L353" s="285"/>
    </row>
    <row r="354" hidden="1">
      <c r="A354" s="58"/>
      <c r="L354" s="285"/>
    </row>
    <row r="355" hidden="1">
      <c r="A355" s="58"/>
      <c r="L355" s="285"/>
    </row>
    <row r="356" hidden="1">
      <c r="A356" s="58"/>
      <c r="L356" s="285"/>
    </row>
    <row r="357" hidden="1">
      <c r="A357" s="58"/>
      <c r="L357" s="285"/>
    </row>
    <row r="358" hidden="1">
      <c r="A358" s="58"/>
      <c r="L358" s="285"/>
    </row>
    <row r="359" hidden="1">
      <c r="A359" s="58"/>
      <c r="L359" s="285"/>
    </row>
    <row r="360" hidden="1">
      <c r="A360" s="58"/>
      <c r="L360" s="285"/>
    </row>
    <row r="361" hidden="1">
      <c r="A361" s="58"/>
      <c r="L361" s="285"/>
    </row>
    <row r="362" hidden="1">
      <c r="A362" s="58"/>
      <c r="L362" s="285"/>
    </row>
    <row r="363" hidden="1">
      <c r="A363" s="58"/>
      <c r="L363" s="285"/>
    </row>
    <row r="364" hidden="1">
      <c r="A364" s="58"/>
      <c r="L364" s="285"/>
    </row>
    <row r="365" hidden="1">
      <c r="A365" s="58"/>
      <c r="L365" s="285"/>
    </row>
    <row r="366" hidden="1">
      <c r="A366" s="58"/>
      <c r="L366" s="285"/>
    </row>
    <row r="367" hidden="1">
      <c r="A367" s="58"/>
      <c r="L367" s="285"/>
    </row>
    <row r="368" hidden="1">
      <c r="A368" s="58"/>
      <c r="L368" s="285"/>
    </row>
    <row r="369" hidden="1">
      <c r="A369" s="58"/>
      <c r="L369" s="285"/>
    </row>
    <row r="370" hidden="1">
      <c r="A370" s="58"/>
      <c r="L370" s="285"/>
    </row>
    <row r="371" hidden="1">
      <c r="A371" s="58"/>
      <c r="L371" s="285"/>
    </row>
    <row r="372" hidden="1">
      <c r="A372" s="58"/>
      <c r="L372" s="285"/>
    </row>
    <row r="373" hidden="1">
      <c r="A373" s="58"/>
      <c r="L373" s="285"/>
    </row>
    <row r="374" hidden="1">
      <c r="A374" s="58"/>
      <c r="L374" s="285"/>
    </row>
    <row r="375" hidden="1">
      <c r="A375" s="58"/>
      <c r="L375" s="285"/>
    </row>
    <row r="376" hidden="1">
      <c r="A376" s="58"/>
      <c r="L376" s="285"/>
    </row>
    <row r="377" hidden="1">
      <c r="A377" s="58"/>
      <c r="L377" s="285"/>
    </row>
    <row r="378" hidden="1">
      <c r="A378" s="58"/>
      <c r="L378" s="285"/>
    </row>
    <row r="379" hidden="1">
      <c r="A379" s="58"/>
      <c r="L379" s="285"/>
    </row>
    <row r="380" hidden="1">
      <c r="A380" s="58"/>
      <c r="L380" s="285"/>
    </row>
    <row r="381" hidden="1">
      <c r="A381" s="58"/>
      <c r="L381" s="285"/>
    </row>
    <row r="382" hidden="1">
      <c r="A382" s="58"/>
      <c r="L382" s="285"/>
    </row>
    <row r="383" hidden="1">
      <c r="A383" s="58"/>
      <c r="L383" s="285"/>
    </row>
    <row r="384" hidden="1">
      <c r="A384" s="58"/>
      <c r="L384" s="285"/>
    </row>
    <row r="385" hidden="1">
      <c r="A385" s="58"/>
      <c r="L385" s="285"/>
    </row>
    <row r="386" hidden="1">
      <c r="A386" s="58"/>
      <c r="L386" s="285"/>
    </row>
    <row r="387" hidden="1">
      <c r="A387" s="58"/>
      <c r="L387" s="285"/>
    </row>
    <row r="388" hidden="1">
      <c r="A388" s="58"/>
      <c r="L388" s="285"/>
    </row>
    <row r="389" hidden="1">
      <c r="A389" s="58"/>
      <c r="L389" s="285"/>
    </row>
    <row r="390" hidden="1">
      <c r="A390" s="58"/>
      <c r="L390" s="285"/>
    </row>
    <row r="391" hidden="1">
      <c r="A391" s="58"/>
      <c r="L391" s="285"/>
    </row>
    <row r="392" hidden="1">
      <c r="A392" s="58"/>
      <c r="L392" s="285"/>
    </row>
    <row r="393" hidden="1">
      <c r="A393" s="58"/>
      <c r="L393" s="285"/>
    </row>
    <row r="394" hidden="1">
      <c r="A394" s="58"/>
      <c r="L394" s="285"/>
    </row>
    <row r="395" hidden="1">
      <c r="A395" s="58"/>
      <c r="L395" s="285"/>
    </row>
    <row r="396" hidden="1">
      <c r="A396" s="58"/>
      <c r="L396" s="285"/>
    </row>
    <row r="397" hidden="1">
      <c r="A397" s="58"/>
      <c r="L397" s="285"/>
    </row>
    <row r="398" hidden="1">
      <c r="A398" s="58"/>
      <c r="L398" s="285"/>
    </row>
    <row r="399" hidden="1">
      <c r="A399" s="58"/>
      <c r="L399" s="285"/>
    </row>
    <row r="400" hidden="1">
      <c r="A400" s="58"/>
      <c r="L400" s="285"/>
    </row>
    <row r="401" hidden="1">
      <c r="A401" s="58"/>
      <c r="L401" s="285"/>
    </row>
    <row r="402" hidden="1">
      <c r="A402" s="58"/>
      <c r="L402" s="285"/>
    </row>
    <row r="403" hidden="1">
      <c r="A403" s="58"/>
      <c r="L403" s="285"/>
    </row>
    <row r="404" hidden="1">
      <c r="A404" s="58"/>
      <c r="L404" s="285"/>
    </row>
    <row r="405" hidden="1">
      <c r="A405" s="58"/>
      <c r="L405" s="285"/>
    </row>
    <row r="406" hidden="1">
      <c r="A406" s="58"/>
      <c r="L406" s="285"/>
    </row>
    <row r="407" hidden="1">
      <c r="A407" s="58"/>
      <c r="L407" s="285"/>
    </row>
    <row r="408" hidden="1">
      <c r="A408" s="58"/>
      <c r="L408" s="285"/>
    </row>
    <row r="409" hidden="1">
      <c r="A409" s="58"/>
      <c r="L409" s="285"/>
    </row>
    <row r="410" hidden="1">
      <c r="A410" s="58"/>
      <c r="L410" s="285"/>
    </row>
    <row r="411" hidden="1">
      <c r="A411" s="58"/>
      <c r="L411" s="285"/>
    </row>
    <row r="412" hidden="1">
      <c r="A412" s="58"/>
      <c r="L412" s="285"/>
    </row>
    <row r="413" hidden="1">
      <c r="A413" s="58"/>
      <c r="L413" s="285"/>
    </row>
    <row r="414" hidden="1">
      <c r="A414" s="58"/>
      <c r="L414" s="285"/>
    </row>
    <row r="415" hidden="1">
      <c r="A415" s="58"/>
      <c r="L415" s="285"/>
    </row>
    <row r="416" hidden="1">
      <c r="A416" s="58"/>
      <c r="L416" s="285"/>
    </row>
    <row r="417" hidden="1">
      <c r="A417" s="58"/>
      <c r="L417" s="285"/>
    </row>
    <row r="418" hidden="1">
      <c r="A418" s="58"/>
      <c r="L418" s="285"/>
    </row>
    <row r="419" hidden="1">
      <c r="A419" s="58"/>
      <c r="L419" s="285"/>
    </row>
    <row r="420" hidden="1">
      <c r="A420" s="58"/>
      <c r="L420" s="285"/>
    </row>
    <row r="421" hidden="1">
      <c r="A421" s="58"/>
      <c r="L421" s="285"/>
    </row>
    <row r="422" hidden="1">
      <c r="A422" s="58"/>
      <c r="L422" s="285"/>
    </row>
    <row r="423" hidden="1">
      <c r="A423" s="58"/>
      <c r="L423" s="285"/>
    </row>
    <row r="424" hidden="1">
      <c r="A424" s="58"/>
      <c r="L424" s="285"/>
    </row>
    <row r="425" hidden="1">
      <c r="A425" s="58"/>
      <c r="L425" s="285"/>
    </row>
    <row r="426" hidden="1">
      <c r="A426" s="58"/>
      <c r="L426" s="285"/>
    </row>
    <row r="427" hidden="1">
      <c r="A427" s="58"/>
      <c r="L427" s="285"/>
    </row>
    <row r="428" hidden="1">
      <c r="A428" s="58"/>
      <c r="L428" s="285"/>
    </row>
    <row r="429" hidden="1">
      <c r="A429" s="58"/>
      <c r="L429" s="285"/>
    </row>
    <row r="430" hidden="1">
      <c r="A430" s="58"/>
      <c r="L430" s="285"/>
    </row>
    <row r="431" hidden="1">
      <c r="A431" s="58"/>
      <c r="L431" s="285"/>
    </row>
    <row r="432" hidden="1">
      <c r="A432" s="58"/>
      <c r="L432" s="285"/>
    </row>
    <row r="433" hidden="1">
      <c r="A433" s="58"/>
      <c r="L433" s="285"/>
    </row>
    <row r="434" hidden="1">
      <c r="A434" s="58"/>
      <c r="L434" s="285"/>
    </row>
    <row r="435" hidden="1">
      <c r="A435" s="58"/>
      <c r="L435" s="285"/>
    </row>
    <row r="436" hidden="1">
      <c r="A436" s="58"/>
      <c r="L436" s="285"/>
    </row>
    <row r="437" hidden="1">
      <c r="A437" s="58"/>
      <c r="L437" s="285"/>
    </row>
    <row r="438" hidden="1">
      <c r="A438" s="58"/>
      <c r="L438" s="285"/>
    </row>
    <row r="439" hidden="1">
      <c r="A439" s="58"/>
      <c r="L439" s="285"/>
    </row>
    <row r="440" hidden="1">
      <c r="A440" s="58"/>
      <c r="L440" s="285"/>
    </row>
    <row r="441" hidden="1">
      <c r="A441" s="58"/>
      <c r="L441" s="285"/>
    </row>
    <row r="442" hidden="1">
      <c r="A442" s="58"/>
      <c r="L442" s="285"/>
    </row>
    <row r="443" hidden="1">
      <c r="A443" s="58"/>
      <c r="L443" s="285"/>
    </row>
    <row r="444" hidden="1">
      <c r="A444" s="58"/>
      <c r="L444" s="285"/>
    </row>
    <row r="445" hidden="1">
      <c r="A445" s="58"/>
      <c r="L445" s="285"/>
    </row>
    <row r="446" hidden="1">
      <c r="A446" s="58"/>
      <c r="L446" s="285"/>
    </row>
    <row r="447" hidden="1">
      <c r="A447" s="58"/>
      <c r="L447" s="285"/>
    </row>
    <row r="448" hidden="1">
      <c r="A448" s="58"/>
      <c r="L448" s="285"/>
    </row>
    <row r="449" hidden="1">
      <c r="A449" s="58"/>
      <c r="L449" s="285"/>
    </row>
    <row r="450" hidden="1">
      <c r="A450" s="58"/>
      <c r="L450" s="285"/>
    </row>
    <row r="451" hidden="1">
      <c r="A451" s="58"/>
      <c r="L451" s="285"/>
    </row>
    <row r="452" hidden="1">
      <c r="A452" s="58"/>
      <c r="L452" s="285"/>
    </row>
    <row r="453" hidden="1">
      <c r="A453" s="58"/>
      <c r="L453" s="285"/>
    </row>
    <row r="454" hidden="1">
      <c r="A454" s="58"/>
      <c r="L454" s="285"/>
    </row>
    <row r="455" hidden="1">
      <c r="A455" s="58"/>
      <c r="L455" s="285"/>
    </row>
    <row r="456" hidden="1">
      <c r="A456" s="58"/>
      <c r="L456" s="285"/>
    </row>
    <row r="457" hidden="1">
      <c r="A457" s="58"/>
      <c r="L457" s="285"/>
    </row>
    <row r="458" hidden="1">
      <c r="A458" s="58"/>
      <c r="L458" s="285"/>
    </row>
    <row r="459" hidden="1">
      <c r="A459" s="58"/>
      <c r="L459" s="285"/>
    </row>
    <row r="460" hidden="1">
      <c r="A460" s="58"/>
      <c r="L460" s="285"/>
    </row>
    <row r="461" hidden="1">
      <c r="A461" s="58"/>
      <c r="L461" s="285"/>
    </row>
    <row r="462" hidden="1">
      <c r="A462" s="58"/>
      <c r="L462" s="285"/>
    </row>
    <row r="463" hidden="1">
      <c r="A463" s="58"/>
      <c r="L463" s="285"/>
    </row>
    <row r="464" hidden="1">
      <c r="A464" s="58"/>
      <c r="L464" s="285"/>
    </row>
    <row r="465" hidden="1">
      <c r="A465" s="58"/>
      <c r="L465" s="285"/>
    </row>
    <row r="466" hidden="1">
      <c r="A466" s="58"/>
      <c r="L466" s="285"/>
    </row>
    <row r="467" hidden="1">
      <c r="A467" s="58"/>
      <c r="L467" s="285"/>
    </row>
    <row r="468" hidden="1">
      <c r="A468" s="58"/>
      <c r="L468" s="285"/>
    </row>
    <row r="469" hidden="1">
      <c r="A469" s="58"/>
      <c r="L469" s="285"/>
    </row>
    <row r="470" hidden="1">
      <c r="A470" s="58"/>
      <c r="L470" s="285"/>
    </row>
    <row r="471" hidden="1">
      <c r="A471" s="58"/>
      <c r="L471" s="285"/>
    </row>
    <row r="472" hidden="1">
      <c r="A472" s="58"/>
      <c r="L472" s="285"/>
    </row>
    <row r="473" hidden="1">
      <c r="A473" s="58"/>
      <c r="L473" s="285"/>
    </row>
    <row r="474" hidden="1">
      <c r="A474" s="58"/>
      <c r="L474" s="285"/>
    </row>
    <row r="475" hidden="1">
      <c r="A475" s="58"/>
      <c r="L475" s="285"/>
    </row>
    <row r="476" hidden="1">
      <c r="A476" s="58"/>
      <c r="L476" s="285"/>
    </row>
    <row r="477" hidden="1">
      <c r="A477" s="58"/>
      <c r="L477" s="285"/>
    </row>
    <row r="478" hidden="1">
      <c r="A478" s="58"/>
      <c r="L478" s="285"/>
    </row>
    <row r="479" hidden="1">
      <c r="A479" s="58"/>
      <c r="L479" s="285"/>
    </row>
    <row r="480" hidden="1">
      <c r="A480" s="58"/>
      <c r="L480" s="285"/>
    </row>
    <row r="481" hidden="1">
      <c r="A481" s="58"/>
      <c r="L481" s="285"/>
    </row>
    <row r="482" hidden="1">
      <c r="A482" s="58"/>
      <c r="L482" s="285"/>
    </row>
    <row r="483" hidden="1">
      <c r="A483" s="58"/>
      <c r="L483" s="285"/>
    </row>
    <row r="484" hidden="1">
      <c r="A484" s="58"/>
      <c r="L484" s="285"/>
    </row>
    <row r="485" hidden="1">
      <c r="A485" s="58"/>
      <c r="L485" s="285"/>
    </row>
    <row r="486" hidden="1">
      <c r="A486" s="58"/>
      <c r="L486" s="285"/>
    </row>
    <row r="487" hidden="1">
      <c r="A487" s="58"/>
      <c r="L487" s="285"/>
    </row>
    <row r="488" hidden="1">
      <c r="A488" s="58"/>
      <c r="L488" s="285"/>
    </row>
    <row r="489" hidden="1">
      <c r="A489" s="58"/>
      <c r="L489" s="285"/>
    </row>
    <row r="490" hidden="1">
      <c r="A490" s="58"/>
      <c r="L490" s="285"/>
    </row>
    <row r="491" hidden="1">
      <c r="A491" s="58"/>
      <c r="L491" s="285"/>
    </row>
    <row r="492" hidden="1">
      <c r="A492" s="58"/>
      <c r="L492" s="285"/>
    </row>
    <row r="493" hidden="1">
      <c r="A493" s="58"/>
      <c r="L493" s="285"/>
    </row>
    <row r="494" hidden="1">
      <c r="A494" s="58"/>
      <c r="L494" s="285"/>
    </row>
    <row r="495" hidden="1">
      <c r="A495" s="58"/>
      <c r="L495" s="285"/>
    </row>
    <row r="496" hidden="1">
      <c r="A496" s="58"/>
      <c r="L496" s="285"/>
    </row>
    <row r="497" hidden="1">
      <c r="A497" s="58"/>
      <c r="L497" s="285"/>
    </row>
    <row r="498" hidden="1">
      <c r="A498" s="58"/>
      <c r="L498" s="285"/>
    </row>
    <row r="499" hidden="1">
      <c r="A499" s="58"/>
      <c r="L499" s="285"/>
    </row>
    <row r="500" hidden="1">
      <c r="A500" s="58"/>
      <c r="L500" s="285"/>
    </row>
    <row r="501" hidden="1">
      <c r="A501" s="58"/>
      <c r="L501" s="285"/>
    </row>
    <row r="502" hidden="1">
      <c r="A502" s="58"/>
      <c r="L502" s="285"/>
    </row>
    <row r="503" hidden="1">
      <c r="A503" s="58"/>
      <c r="L503" s="285"/>
    </row>
    <row r="504" hidden="1">
      <c r="A504" s="58"/>
      <c r="L504" s="285"/>
    </row>
    <row r="505" hidden="1">
      <c r="A505" s="58"/>
      <c r="L505" s="285"/>
    </row>
    <row r="506" hidden="1">
      <c r="A506" s="58"/>
      <c r="L506" s="285"/>
    </row>
    <row r="507" hidden="1">
      <c r="A507" s="58"/>
      <c r="L507" s="285"/>
    </row>
    <row r="508" hidden="1">
      <c r="A508" s="58"/>
      <c r="L508" s="285"/>
    </row>
    <row r="509" hidden="1">
      <c r="A509" s="58"/>
      <c r="L509" s="285"/>
    </row>
    <row r="510" hidden="1">
      <c r="A510" s="58"/>
      <c r="L510" s="285"/>
    </row>
    <row r="511" hidden="1">
      <c r="A511" s="58"/>
      <c r="L511" s="285"/>
    </row>
    <row r="512" hidden="1">
      <c r="A512" s="58"/>
      <c r="L512" s="285"/>
    </row>
    <row r="513" hidden="1">
      <c r="A513" s="58"/>
      <c r="L513" s="285"/>
    </row>
    <row r="514" hidden="1">
      <c r="A514" s="58"/>
      <c r="L514" s="285"/>
    </row>
    <row r="515" hidden="1">
      <c r="A515" s="58"/>
      <c r="L515" s="285"/>
    </row>
    <row r="516" hidden="1">
      <c r="A516" s="58"/>
      <c r="L516" s="285"/>
    </row>
    <row r="517" hidden="1">
      <c r="A517" s="58"/>
      <c r="L517" s="285"/>
    </row>
    <row r="518" hidden="1">
      <c r="A518" s="58"/>
      <c r="L518" s="285"/>
    </row>
    <row r="519" hidden="1">
      <c r="A519" s="58"/>
      <c r="L519" s="285"/>
    </row>
    <row r="520" hidden="1">
      <c r="A520" s="58"/>
      <c r="L520" s="285"/>
    </row>
    <row r="521" hidden="1">
      <c r="A521" s="58"/>
      <c r="L521" s="285"/>
    </row>
    <row r="522" hidden="1">
      <c r="A522" s="58"/>
      <c r="L522" s="285"/>
    </row>
    <row r="523" hidden="1">
      <c r="A523" s="58"/>
      <c r="L523" s="285"/>
    </row>
    <row r="524" hidden="1">
      <c r="A524" s="58"/>
      <c r="L524" s="285"/>
    </row>
    <row r="525" hidden="1">
      <c r="A525" s="58"/>
      <c r="L525" s="285"/>
    </row>
    <row r="526" hidden="1">
      <c r="A526" s="58"/>
      <c r="L526" s="285"/>
    </row>
    <row r="527" hidden="1">
      <c r="A527" s="58"/>
      <c r="L527" s="285"/>
    </row>
    <row r="528" hidden="1">
      <c r="A528" s="58"/>
      <c r="L528" s="285"/>
    </row>
    <row r="529" hidden="1">
      <c r="A529" s="58"/>
      <c r="L529" s="285"/>
    </row>
    <row r="530" hidden="1">
      <c r="A530" s="58"/>
      <c r="L530" s="285"/>
    </row>
    <row r="531" hidden="1">
      <c r="A531" s="58"/>
      <c r="L531" s="285"/>
    </row>
    <row r="532" hidden="1">
      <c r="A532" s="58"/>
      <c r="L532" s="285"/>
    </row>
    <row r="533" hidden="1">
      <c r="A533" s="58"/>
      <c r="L533" s="285"/>
    </row>
    <row r="534" hidden="1">
      <c r="A534" s="58"/>
      <c r="L534" s="285"/>
    </row>
    <row r="535" hidden="1">
      <c r="A535" s="58"/>
      <c r="L535" s="285"/>
    </row>
    <row r="536" hidden="1">
      <c r="A536" s="58"/>
      <c r="L536" s="285"/>
    </row>
    <row r="537" hidden="1">
      <c r="A537" s="58"/>
      <c r="L537" s="285"/>
    </row>
    <row r="538" hidden="1">
      <c r="A538" s="58"/>
      <c r="L538" s="285"/>
    </row>
    <row r="539" hidden="1">
      <c r="A539" s="58"/>
      <c r="L539" s="285"/>
    </row>
    <row r="540" hidden="1">
      <c r="A540" s="58"/>
      <c r="L540" s="285"/>
    </row>
    <row r="541" hidden="1">
      <c r="A541" s="58"/>
      <c r="L541" s="285"/>
    </row>
    <row r="542" hidden="1">
      <c r="A542" s="58"/>
      <c r="L542" s="285"/>
    </row>
    <row r="543" hidden="1">
      <c r="A543" s="58"/>
      <c r="L543" s="285"/>
    </row>
    <row r="544" hidden="1">
      <c r="A544" s="58"/>
      <c r="L544" s="285"/>
    </row>
    <row r="545" hidden="1">
      <c r="A545" s="58"/>
      <c r="L545" s="285"/>
    </row>
    <row r="546" hidden="1">
      <c r="A546" s="58"/>
      <c r="L546" s="285"/>
    </row>
    <row r="547" hidden="1">
      <c r="A547" s="58"/>
      <c r="L547" s="285"/>
    </row>
    <row r="548" hidden="1">
      <c r="A548" s="58"/>
      <c r="L548" s="285"/>
    </row>
    <row r="549" hidden="1">
      <c r="A549" s="58"/>
      <c r="L549" s="285"/>
    </row>
    <row r="550" hidden="1">
      <c r="A550" s="58"/>
      <c r="L550" s="285"/>
    </row>
    <row r="551" hidden="1">
      <c r="A551" s="58"/>
      <c r="L551" s="285"/>
    </row>
    <row r="552" hidden="1">
      <c r="A552" s="58"/>
      <c r="L552" s="285"/>
    </row>
    <row r="553" hidden="1">
      <c r="A553" s="58"/>
      <c r="L553" s="285"/>
    </row>
    <row r="554" hidden="1">
      <c r="A554" s="58"/>
      <c r="L554" s="285"/>
    </row>
    <row r="555" hidden="1">
      <c r="A555" s="58"/>
      <c r="L555" s="285"/>
    </row>
    <row r="556" hidden="1">
      <c r="A556" s="58"/>
      <c r="L556" s="285"/>
    </row>
    <row r="557" hidden="1">
      <c r="A557" s="58"/>
      <c r="L557" s="285"/>
    </row>
    <row r="558" hidden="1">
      <c r="A558" s="58"/>
      <c r="L558" s="285"/>
    </row>
    <row r="559" hidden="1">
      <c r="A559" s="58"/>
      <c r="L559" s="285"/>
    </row>
    <row r="560" hidden="1">
      <c r="A560" s="58"/>
      <c r="L560" s="285"/>
    </row>
    <row r="561" hidden="1">
      <c r="A561" s="58"/>
      <c r="L561" s="285"/>
    </row>
    <row r="562" hidden="1">
      <c r="A562" s="58"/>
      <c r="L562" s="285"/>
    </row>
    <row r="563" hidden="1">
      <c r="A563" s="58"/>
      <c r="L563" s="285"/>
    </row>
    <row r="564" hidden="1">
      <c r="A564" s="58"/>
      <c r="L564" s="285"/>
    </row>
    <row r="565" hidden="1">
      <c r="A565" s="58"/>
      <c r="L565" s="285"/>
    </row>
    <row r="566" hidden="1">
      <c r="A566" s="58"/>
      <c r="L566" s="285"/>
    </row>
    <row r="567" hidden="1">
      <c r="A567" s="58"/>
      <c r="L567" s="285"/>
    </row>
    <row r="568" hidden="1">
      <c r="A568" s="58"/>
      <c r="L568" s="285"/>
    </row>
    <row r="569" hidden="1">
      <c r="A569" s="58"/>
      <c r="L569" s="285"/>
    </row>
    <row r="570" hidden="1">
      <c r="A570" s="58"/>
      <c r="L570" s="285"/>
    </row>
    <row r="571" hidden="1">
      <c r="A571" s="58"/>
      <c r="L571" s="285"/>
    </row>
    <row r="572" hidden="1">
      <c r="A572" s="58"/>
      <c r="L572" s="285"/>
    </row>
    <row r="573" hidden="1">
      <c r="A573" s="58"/>
      <c r="L573" s="285"/>
    </row>
    <row r="574" hidden="1">
      <c r="A574" s="58"/>
      <c r="L574" s="285"/>
    </row>
    <row r="575" hidden="1">
      <c r="A575" s="58"/>
      <c r="L575" s="285"/>
    </row>
    <row r="576" hidden="1">
      <c r="A576" s="58"/>
      <c r="L576" s="285"/>
    </row>
    <row r="577" hidden="1">
      <c r="A577" s="58"/>
      <c r="L577" s="285"/>
    </row>
    <row r="578" hidden="1">
      <c r="A578" s="58"/>
      <c r="L578" s="285"/>
    </row>
    <row r="579" hidden="1">
      <c r="A579" s="58"/>
      <c r="L579" s="285"/>
    </row>
    <row r="580" hidden="1">
      <c r="A580" s="58"/>
      <c r="L580" s="285"/>
    </row>
    <row r="581" hidden="1">
      <c r="A581" s="58"/>
      <c r="L581" s="285"/>
    </row>
    <row r="582" hidden="1">
      <c r="A582" s="58"/>
      <c r="L582" s="285"/>
    </row>
    <row r="583" hidden="1">
      <c r="A583" s="58"/>
      <c r="L583" s="285"/>
    </row>
    <row r="584" hidden="1">
      <c r="A584" s="58"/>
      <c r="L584" s="285"/>
    </row>
    <row r="585" hidden="1">
      <c r="A585" s="58"/>
      <c r="L585" s="285"/>
    </row>
    <row r="586" hidden="1">
      <c r="A586" s="58"/>
      <c r="L586" s="285"/>
    </row>
    <row r="587" hidden="1">
      <c r="A587" s="58"/>
      <c r="L587" s="285"/>
    </row>
    <row r="588" hidden="1">
      <c r="A588" s="58"/>
      <c r="L588" s="285"/>
    </row>
    <row r="589" hidden="1">
      <c r="A589" s="58"/>
      <c r="L589" s="285"/>
    </row>
    <row r="590" hidden="1">
      <c r="A590" s="58"/>
      <c r="L590" s="285"/>
    </row>
    <row r="591" hidden="1">
      <c r="A591" s="58"/>
      <c r="L591" s="285"/>
    </row>
    <row r="592" hidden="1">
      <c r="A592" s="58"/>
      <c r="L592" s="285"/>
    </row>
    <row r="593" hidden="1">
      <c r="A593" s="58"/>
      <c r="L593" s="285"/>
    </row>
    <row r="594" hidden="1">
      <c r="A594" s="58"/>
      <c r="L594" s="285"/>
    </row>
    <row r="595" hidden="1">
      <c r="A595" s="58"/>
      <c r="L595" s="285"/>
    </row>
    <row r="596" hidden="1">
      <c r="A596" s="58"/>
      <c r="L596" s="285"/>
    </row>
    <row r="597" hidden="1">
      <c r="A597" s="58"/>
      <c r="L597" s="285"/>
    </row>
    <row r="598" hidden="1">
      <c r="A598" s="58"/>
      <c r="L598" s="285"/>
    </row>
    <row r="599" hidden="1">
      <c r="A599" s="58"/>
      <c r="L599" s="285"/>
    </row>
    <row r="600" hidden="1">
      <c r="A600" s="58"/>
      <c r="L600" s="285"/>
    </row>
    <row r="601" hidden="1">
      <c r="A601" s="58"/>
      <c r="L601" s="285"/>
    </row>
    <row r="602" hidden="1">
      <c r="A602" s="58"/>
      <c r="L602" s="285"/>
    </row>
    <row r="603" hidden="1">
      <c r="A603" s="58"/>
      <c r="L603" s="285"/>
    </row>
    <row r="604" hidden="1">
      <c r="A604" s="58"/>
      <c r="L604" s="285"/>
    </row>
    <row r="605" hidden="1">
      <c r="A605" s="58"/>
      <c r="L605" s="285"/>
    </row>
    <row r="606" hidden="1">
      <c r="A606" s="58"/>
      <c r="L606" s="285"/>
    </row>
    <row r="607" hidden="1">
      <c r="A607" s="58"/>
      <c r="L607" s="285"/>
    </row>
    <row r="608" hidden="1">
      <c r="A608" s="58"/>
      <c r="L608" s="285"/>
    </row>
    <row r="609" hidden="1">
      <c r="A609" s="58"/>
      <c r="L609" s="285"/>
    </row>
    <row r="610" hidden="1">
      <c r="A610" s="58"/>
      <c r="L610" s="285"/>
    </row>
    <row r="611" hidden="1">
      <c r="A611" s="58"/>
      <c r="L611" s="285"/>
    </row>
    <row r="612" hidden="1">
      <c r="A612" s="58"/>
      <c r="L612" s="285"/>
    </row>
    <row r="613" hidden="1">
      <c r="A613" s="58"/>
      <c r="L613" s="285"/>
    </row>
    <row r="614" hidden="1">
      <c r="A614" s="58"/>
      <c r="L614" s="285"/>
    </row>
    <row r="615" hidden="1">
      <c r="A615" s="58"/>
      <c r="L615" s="285"/>
    </row>
    <row r="616" hidden="1">
      <c r="A616" s="58"/>
      <c r="L616" s="285"/>
    </row>
    <row r="617" hidden="1">
      <c r="A617" s="58"/>
      <c r="L617" s="285"/>
    </row>
    <row r="618" hidden="1">
      <c r="A618" s="58"/>
      <c r="L618" s="285"/>
    </row>
    <row r="619" hidden="1">
      <c r="A619" s="58"/>
      <c r="L619" s="285"/>
    </row>
    <row r="620" hidden="1">
      <c r="A620" s="58"/>
      <c r="L620" s="285"/>
    </row>
    <row r="621" hidden="1">
      <c r="A621" s="58"/>
      <c r="L621" s="285"/>
    </row>
    <row r="622" hidden="1">
      <c r="A622" s="58"/>
      <c r="L622" s="285"/>
    </row>
    <row r="623" hidden="1">
      <c r="A623" s="58"/>
      <c r="L623" s="285"/>
    </row>
    <row r="624" hidden="1">
      <c r="A624" s="58"/>
      <c r="L624" s="285"/>
    </row>
    <row r="625" hidden="1">
      <c r="A625" s="58"/>
      <c r="L625" s="285"/>
    </row>
    <row r="626" hidden="1">
      <c r="A626" s="58"/>
      <c r="L626" s="285"/>
    </row>
    <row r="627" hidden="1">
      <c r="A627" s="58"/>
      <c r="L627" s="285"/>
    </row>
    <row r="628" hidden="1">
      <c r="A628" s="58"/>
      <c r="L628" s="285"/>
    </row>
    <row r="629" hidden="1">
      <c r="A629" s="58"/>
      <c r="L629" s="285"/>
    </row>
    <row r="630" hidden="1">
      <c r="A630" s="58"/>
      <c r="L630" s="285"/>
    </row>
    <row r="631" hidden="1">
      <c r="A631" s="58"/>
      <c r="L631" s="285"/>
    </row>
    <row r="632" hidden="1">
      <c r="A632" s="58"/>
      <c r="L632" s="285"/>
    </row>
    <row r="633" hidden="1">
      <c r="A633" s="58"/>
      <c r="L633" s="285"/>
    </row>
    <row r="634" hidden="1">
      <c r="A634" s="58"/>
      <c r="L634" s="285"/>
    </row>
    <row r="635" hidden="1">
      <c r="A635" s="58"/>
      <c r="L635" s="285"/>
    </row>
    <row r="636" hidden="1">
      <c r="A636" s="58"/>
      <c r="L636" s="285"/>
    </row>
    <row r="637" hidden="1">
      <c r="A637" s="58"/>
      <c r="L637" s="285"/>
    </row>
    <row r="638" hidden="1">
      <c r="A638" s="58"/>
      <c r="L638" s="285"/>
    </row>
    <row r="639" hidden="1">
      <c r="A639" s="58"/>
      <c r="L639" s="285"/>
    </row>
    <row r="640" hidden="1">
      <c r="A640" s="58"/>
      <c r="L640" s="285"/>
    </row>
    <row r="641" hidden="1">
      <c r="A641" s="58"/>
      <c r="L641" s="285"/>
    </row>
    <row r="642" hidden="1">
      <c r="A642" s="58"/>
      <c r="L642" s="285"/>
    </row>
    <row r="643" hidden="1">
      <c r="A643" s="58"/>
      <c r="L643" s="285"/>
    </row>
    <row r="644" hidden="1">
      <c r="A644" s="58"/>
      <c r="L644" s="285"/>
    </row>
    <row r="645" hidden="1">
      <c r="A645" s="58"/>
      <c r="L645" s="285"/>
    </row>
    <row r="646" hidden="1">
      <c r="A646" s="58"/>
      <c r="L646" s="285"/>
    </row>
    <row r="647" hidden="1">
      <c r="A647" s="58"/>
      <c r="L647" s="285"/>
    </row>
    <row r="648" hidden="1">
      <c r="A648" s="58"/>
      <c r="L648" s="285"/>
    </row>
    <row r="649" hidden="1">
      <c r="A649" s="58"/>
      <c r="L649" s="285"/>
    </row>
    <row r="650" hidden="1">
      <c r="A650" s="58"/>
      <c r="L650" s="285"/>
    </row>
    <row r="651" hidden="1">
      <c r="A651" s="58"/>
      <c r="L651" s="285"/>
    </row>
    <row r="652" hidden="1">
      <c r="A652" s="58"/>
      <c r="L652" s="285"/>
    </row>
    <row r="653" hidden="1">
      <c r="A653" s="58"/>
      <c r="L653" s="285"/>
    </row>
    <row r="654" hidden="1">
      <c r="A654" s="58"/>
      <c r="L654" s="285"/>
    </row>
    <row r="655" hidden="1">
      <c r="A655" s="58"/>
      <c r="L655" s="285"/>
    </row>
    <row r="656" hidden="1">
      <c r="A656" s="58"/>
      <c r="L656" s="285"/>
    </row>
    <row r="657" hidden="1">
      <c r="A657" s="58"/>
      <c r="L657" s="285"/>
    </row>
    <row r="658" hidden="1">
      <c r="A658" s="58"/>
      <c r="L658" s="285"/>
    </row>
    <row r="659" hidden="1">
      <c r="A659" s="58"/>
      <c r="L659" s="285"/>
    </row>
    <row r="660" hidden="1">
      <c r="A660" s="58"/>
      <c r="L660" s="285"/>
    </row>
    <row r="661" hidden="1">
      <c r="A661" s="58"/>
      <c r="L661" s="285"/>
    </row>
    <row r="662" hidden="1">
      <c r="A662" s="58"/>
      <c r="L662" s="285"/>
    </row>
    <row r="663" hidden="1">
      <c r="A663" s="58"/>
      <c r="L663" s="285"/>
    </row>
    <row r="664" hidden="1">
      <c r="A664" s="58"/>
      <c r="L664" s="285"/>
    </row>
    <row r="665" hidden="1">
      <c r="A665" s="58"/>
      <c r="L665" s="285"/>
    </row>
    <row r="666" hidden="1">
      <c r="A666" s="58"/>
      <c r="L666" s="285"/>
    </row>
    <row r="667" hidden="1">
      <c r="A667" s="58"/>
      <c r="L667" s="285"/>
    </row>
    <row r="668" hidden="1">
      <c r="A668" s="58"/>
      <c r="L668" s="285"/>
    </row>
    <row r="669" hidden="1">
      <c r="A669" s="58"/>
      <c r="L669" s="285"/>
    </row>
    <row r="670" hidden="1">
      <c r="A670" s="58"/>
      <c r="L670" s="285"/>
    </row>
    <row r="671" hidden="1">
      <c r="A671" s="58"/>
      <c r="L671" s="285"/>
    </row>
    <row r="672" hidden="1">
      <c r="A672" s="58"/>
      <c r="L672" s="285"/>
    </row>
    <row r="673" hidden="1">
      <c r="A673" s="58"/>
      <c r="L673" s="285"/>
    </row>
    <row r="674" hidden="1">
      <c r="A674" s="58"/>
      <c r="L674" s="285"/>
    </row>
    <row r="675" hidden="1">
      <c r="A675" s="58"/>
      <c r="L675" s="285"/>
    </row>
    <row r="676" hidden="1">
      <c r="A676" s="58"/>
      <c r="L676" s="285"/>
    </row>
    <row r="677" hidden="1">
      <c r="A677" s="58"/>
      <c r="L677" s="285"/>
    </row>
    <row r="678" hidden="1">
      <c r="A678" s="58"/>
      <c r="L678" s="285"/>
    </row>
    <row r="679" hidden="1">
      <c r="A679" s="58"/>
      <c r="L679" s="285"/>
    </row>
    <row r="680" hidden="1">
      <c r="A680" s="58"/>
      <c r="L680" s="285"/>
    </row>
    <row r="681" hidden="1">
      <c r="A681" s="58"/>
      <c r="L681" s="285"/>
    </row>
    <row r="682" hidden="1">
      <c r="A682" s="58"/>
      <c r="L682" s="285"/>
    </row>
    <row r="683" hidden="1">
      <c r="A683" s="58"/>
      <c r="L683" s="285"/>
    </row>
    <row r="684" hidden="1">
      <c r="A684" s="58"/>
      <c r="L684" s="285"/>
    </row>
    <row r="685" hidden="1">
      <c r="A685" s="58"/>
      <c r="L685" s="285"/>
    </row>
    <row r="686" hidden="1">
      <c r="A686" s="58"/>
      <c r="L686" s="285"/>
    </row>
    <row r="687" hidden="1">
      <c r="A687" s="58"/>
      <c r="L687" s="285"/>
    </row>
    <row r="688" hidden="1">
      <c r="A688" s="58"/>
      <c r="L688" s="285"/>
    </row>
    <row r="689" hidden="1">
      <c r="A689" s="58"/>
      <c r="L689" s="285"/>
    </row>
    <row r="690" hidden="1">
      <c r="A690" s="58"/>
      <c r="L690" s="285"/>
    </row>
    <row r="691" hidden="1">
      <c r="A691" s="58"/>
      <c r="L691" s="285"/>
    </row>
    <row r="692" hidden="1">
      <c r="A692" s="58"/>
      <c r="L692" s="285"/>
    </row>
    <row r="693" hidden="1">
      <c r="A693" s="58"/>
      <c r="L693" s="285"/>
    </row>
    <row r="694" hidden="1">
      <c r="A694" s="58"/>
      <c r="L694" s="285"/>
    </row>
    <row r="695" hidden="1">
      <c r="A695" s="58"/>
      <c r="L695" s="285"/>
    </row>
    <row r="696" hidden="1">
      <c r="A696" s="58"/>
      <c r="L696" s="285"/>
    </row>
    <row r="697" hidden="1">
      <c r="A697" s="58"/>
      <c r="L697" s="285"/>
    </row>
    <row r="698" hidden="1">
      <c r="A698" s="58"/>
      <c r="L698" s="285"/>
    </row>
    <row r="699" hidden="1">
      <c r="A699" s="58"/>
      <c r="L699" s="285"/>
    </row>
    <row r="700" hidden="1">
      <c r="A700" s="58"/>
      <c r="L700" s="285"/>
    </row>
    <row r="701" hidden="1">
      <c r="A701" s="58"/>
      <c r="L701" s="285"/>
    </row>
    <row r="702" hidden="1">
      <c r="A702" s="58"/>
      <c r="L702" s="285"/>
    </row>
    <row r="703" hidden="1">
      <c r="A703" s="58"/>
      <c r="L703" s="285"/>
    </row>
    <row r="704" hidden="1">
      <c r="A704" s="58"/>
      <c r="L704" s="285"/>
    </row>
    <row r="705" hidden="1">
      <c r="A705" s="58"/>
      <c r="L705" s="285"/>
    </row>
    <row r="706" hidden="1">
      <c r="A706" s="58"/>
      <c r="L706" s="285"/>
    </row>
    <row r="707" hidden="1">
      <c r="A707" s="58"/>
      <c r="L707" s="285"/>
    </row>
    <row r="708" hidden="1">
      <c r="A708" s="58"/>
      <c r="L708" s="285"/>
    </row>
    <row r="709" hidden="1">
      <c r="A709" s="58"/>
      <c r="L709" s="285"/>
    </row>
    <row r="710" hidden="1">
      <c r="A710" s="58"/>
      <c r="L710" s="285"/>
    </row>
    <row r="711" hidden="1">
      <c r="A711" s="58"/>
      <c r="L711" s="285"/>
    </row>
    <row r="712" hidden="1">
      <c r="A712" s="58"/>
      <c r="L712" s="285"/>
    </row>
    <row r="713" hidden="1">
      <c r="A713" s="58"/>
      <c r="L713" s="285"/>
    </row>
    <row r="714" hidden="1">
      <c r="A714" s="58"/>
      <c r="L714" s="285"/>
    </row>
    <row r="715" hidden="1">
      <c r="A715" s="58"/>
      <c r="L715" s="285"/>
    </row>
    <row r="716" hidden="1">
      <c r="A716" s="58"/>
      <c r="L716" s="285"/>
    </row>
    <row r="717" hidden="1">
      <c r="A717" s="58"/>
      <c r="L717" s="285"/>
    </row>
    <row r="718" hidden="1">
      <c r="A718" s="58"/>
      <c r="L718" s="285"/>
    </row>
    <row r="719" hidden="1">
      <c r="A719" s="58"/>
      <c r="L719" s="285"/>
    </row>
    <row r="720" hidden="1">
      <c r="A720" s="58"/>
      <c r="L720" s="285"/>
    </row>
    <row r="721" hidden="1">
      <c r="A721" s="58"/>
      <c r="L721" s="285"/>
    </row>
    <row r="722" hidden="1">
      <c r="A722" s="58"/>
      <c r="L722" s="285"/>
    </row>
    <row r="723" hidden="1">
      <c r="A723" s="58"/>
      <c r="L723" s="285"/>
    </row>
    <row r="724" hidden="1">
      <c r="A724" s="58"/>
      <c r="L724" s="285"/>
    </row>
    <row r="725" hidden="1">
      <c r="A725" s="58"/>
      <c r="L725" s="285"/>
    </row>
    <row r="726" hidden="1">
      <c r="A726" s="58"/>
      <c r="L726" s="285"/>
    </row>
    <row r="727" hidden="1">
      <c r="A727" s="58"/>
      <c r="L727" s="285"/>
    </row>
    <row r="728" hidden="1">
      <c r="A728" s="58"/>
      <c r="L728" s="285"/>
    </row>
    <row r="729" hidden="1">
      <c r="A729" s="58"/>
      <c r="L729" s="285"/>
    </row>
    <row r="730" hidden="1">
      <c r="A730" s="58"/>
      <c r="L730" s="285"/>
    </row>
    <row r="731" hidden="1">
      <c r="A731" s="58"/>
      <c r="L731" s="285"/>
    </row>
    <row r="732" hidden="1">
      <c r="A732" s="58"/>
      <c r="L732" s="285"/>
    </row>
    <row r="733" hidden="1">
      <c r="A733" s="58"/>
      <c r="L733" s="285"/>
    </row>
    <row r="734" hidden="1">
      <c r="A734" s="58"/>
      <c r="L734" s="285"/>
    </row>
    <row r="735" hidden="1">
      <c r="A735" s="58"/>
      <c r="L735" s="285"/>
    </row>
    <row r="736" hidden="1">
      <c r="A736" s="58"/>
      <c r="L736" s="285"/>
    </row>
    <row r="737" hidden="1">
      <c r="A737" s="58"/>
      <c r="L737" s="285"/>
    </row>
    <row r="738" hidden="1">
      <c r="A738" s="58"/>
      <c r="L738" s="285"/>
    </row>
    <row r="739" hidden="1">
      <c r="A739" s="58"/>
      <c r="L739" s="285"/>
    </row>
    <row r="740" hidden="1">
      <c r="A740" s="58"/>
      <c r="L740" s="285"/>
    </row>
    <row r="741" hidden="1">
      <c r="A741" s="58"/>
      <c r="L741" s="285"/>
    </row>
    <row r="742" hidden="1">
      <c r="A742" s="58"/>
      <c r="L742" s="285"/>
    </row>
    <row r="743" hidden="1">
      <c r="A743" s="58"/>
      <c r="L743" s="285"/>
    </row>
    <row r="744" hidden="1">
      <c r="A744" s="58"/>
      <c r="L744" s="285"/>
    </row>
    <row r="745" hidden="1">
      <c r="A745" s="58"/>
      <c r="L745" s="285"/>
    </row>
    <row r="746" hidden="1">
      <c r="A746" s="58"/>
      <c r="L746" s="285"/>
    </row>
    <row r="747" hidden="1">
      <c r="A747" s="58"/>
      <c r="L747" s="285"/>
    </row>
    <row r="748" hidden="1">
      <c r="A748" s="58"/>
      <c r="L748" s="285"/>
    </row>
    <row r="749" hidden="1">
      <c r="A749" s="58"/>
      <c r="L749" s="285"/>
    </row>
    <row r="750" hidden="1">
      <c r="A750" s="58"/>
      <c r="L750" s="285"/>
    </row>
    <row r="751" hidden="1">
      <c r="A751" s="58"/>
      <c r="L751" s="285"/>
    </row>
    <row r="752" hidden="1">
      <c r="A752" s="58"/>
      <c r="L752" s="285"/>
    </row>
    <row r="753" hidden="1">
      <c r="A753" s="58"/>
      <c r="L753" s="285"/>
    </row>
    <row r="754" hidden="1">
      <c r="A754" s="58"/>
      <c r="L754" s="285"/>
    </row>
    <row r="755" hidden="1">
      <c r="A755" s="58"/>
      <c r="L755" s="285"/>
    </row>
    <row r="756" hidden="1">
      <c r="A756" s="58"/>
      <c r="L756" s="285"/>
    </row>
    <row r="757" hidden="1">
      <c r="A757" s="58"/>
      <c r="L757" s="285"/>
    </row>
    <row r="758" hidden="1">
      <c r="A758" s="58"/>
      <c r="L758" s="285"/>
    </row>
    <row r="759" hidden="1">
      <c r="A759" s="58"/>
      <c r="L759" s="285"/>
    </row>
    <row r="760" hidden="1">
      <c r="A760" s="58"/>
      <c r="L760" s="285"/>
    </row>
    <row r="761" hidden="1">
      <c r="A761" s="58"/>
      <c r="L761" s="285"/>
    </row>
    <row r="762" hidden="1">
      <c r="A762" s="58"/>
      <c r="L762" s="285"/>
    </row>
    <row r="763" hidden="1">
      <c r="A763" s="58"/>
      <c r="L763" s="285"/>
    </row>
    <row r="764" hidden="1">
      <c r="A764" s="58"/>
      <c r="L764" s="285"/>
    </row>
    <row r="765" hidden="1">
      <c r="A765" s="58"/>
      <c r="L765" s="285"/>
    </row>
    <row r="766" hidden="1">
      <c r="A766" s="58"/>
      <c r="L766" s="285"/>
    </row>
    <row r="767" hidden="1">
      <c r="A767" s="58"/>
      <c r="L767" s="285"/>
    </row>
    <row r="768" hidden="1">
      <c r="A768" s="58"/>
      <c r="L768" s="285"/>
    </row>
    <row r="769" hidden="1">
      <c r="A769" s="58"/>
      <c r="L769" s="285"/>
    </row>
    <row r="770" hidden="1">
      <c r="A770" s="58"/>
      <c r="L770" s="285"/>
    </row>
    <row r="771" hidden="1">
      <c r="A771" s="58"/>
      <c r="L771" s="285"/>
    </row>
    <row r="772" hidden="1">
      <c r="A772" s="58"/>
      <c r="L772" s="285"/>
    </row>
    <row r="773" hidden="1">
      <c r="A773" s="58"/>
      <c r="L773" s="285"/>
    </row>
    <row r="774" hidden="1">
      <c r="A774" s="58"/>
      <c r="L774" s="285"/>
    </row>
    <row r="775" hidden="1">
      <c r="A775" s="58"/>
      <c r="L775" s="285"/>
    </row>
    <row r="776" hidden="1">
      <c r="A776" s="58"/>
      <c r="L776" s="285"/>
    </row>
    <row r="777" hidden="1">
      <c r="A777" s="58"/>
      <c r="L777" s="285"/>
    </row>
    <row r="778" hidden="1">
      <c r="A778" s="58"/>
      <c r="L778" s="285"/>
    </row>
    <row r="779" hidden="1">
      <c r="A779" s="58"/>
      <c r="L779" s="285"/>
    </row>
    <row r="780" hidden="1">
      <c r="A780" s="58"/>
      <c r="L780" s="285"/>
    </row>
    <row r="781" hidden="1">
      <c r="A781" s="58"/>
      <c r="L781" s="285"/>
    </row>
    <row r="782" hidden="1">
      <c r="A782" s="58"/>
      <c r="L782" s="285"/>
    </row>
    <row r="783" hidden="1">
      <c r="A783" s="58"/>
      <c r="L783" s="285"/>
    </row>
    <row r="784" hidden="1">
      <c r="A784" s="58"/>
      <c r="L784" s="285"/>
    </row>
    <row r="785" hidden="1">
      <c r="A785" s="58"/>
      <c r="L785" s="285"/>
    </row>
    <row r="786" hidden="1">
      <c r="A786" s="58"/>
      <c r="L786" s="285"/>
    </row>
    <row r="787" hidden="1">
      <c r="A787" s="58"/>
      <c r="L787" s="285"/>
    </row>
    <row r="788" hidden="1">
      <c r="A788" s="58"/>
      <c r="L788" s="285"/>
    </row>
    <row r="789" hidden="1">
      <c r="A789" s="58"/>
      <c r="L789" s="285"/>
    </row>
    <row r="790" hidden="1">
      <c r="A790" s="58"/>
      <c r="L790" s="285"/>
    </row>
    <row r="791" hidden="1">
      <c r="A791" s="58"/>
      <c r="L791" s="285"/>
    </row>
    <row r="792" hidden="1">
      <c r="A792" s="58"/>
      <c r="L792" s="285"/>
    </row>
    <row r="793" hidden="1">
      <c r="A793" s="58"/>
      <c r="L793" s="285"/>
    </row>
    <row r="794" hidden="1">
      <c r="A794" s="58"/>
      <c r="L794" s="285"/>
    </row>
    <row r="795" hidden="1">
      <c r="A795" s="58"/>
      <c r="L795" s="285"/>
    </row>
    <row r="796" hidden="1">
      <c r="A796" s="58"/>
      <c r="L796" s="285"/>
    </row>
    <row r="797" hidden="1">
      <c r="A797" s="58"/>
      <c r="L797" s="285"/>
    </row>
    <row r="798" hidden="1">
      <c r="A798" s="58"/>
      <c r="L798" s="285"/>
    </row>
    <row r="799" hidden="1">
      <c r="A799" s="58"/>
      <c r="L799" s="285"/>
    </row>
    <row r="800" hidden="1">
      <c r="A800" s="58"/>
      <c r="L800" s="285"/>
    </row>
    <row r="801" hidden="1">
      <c r="A801" s="58"/>
      <c r="L801" s="285"/>
    </row>
    <row r="802" hidden="1">
      <c r="A802" s="58"/>
      <c r="L802" s="285"/>
    </row>
    <row r="803" hidden="1">
      <c r="A803" s="58"/>
      <c r="L803" s="285"/>
    </row>
    <row r="804" hidden="1">
      <c r="A804" s="58"/>
      <c r="L804" s="285"/>
    </row>
    <row r="805" hidden="1">
      <c r="A805" s="58"/>
      <c r="L805" s="285"/>
    </row>
    <row r="806" hidden="1">
      <c r="A806" s="58"/>
      <c r="L806" s="285"/>
    </row>
    <row r="807" hidden="1">
      <c r="A807" s="58"/>
      <c r="L807" s="285"/>
    </row>
    <row r="808" hidden="1">
      <c r="A808" s="58"/>
      <c r="L808" s="285"/>
    </row>
    <row r="809" hidden="1">
      <c r="A809" s="58"/>
      <c r="L809" s="285"/>
    </row>
    <row r="810" hidden="1">
      <c r="A810" s="58"/>
      <c r="L810" s="285"/>
    </row>
    <row r="811" hidden="1">
      <c r="A811" s="58"/>
      <c r="L811" s="285"/>
    </row>
    <row r="812" hidden="1">
      <c r="A812" s="58"/>
      <c r="L812" s="285"/>
    </row>
    <row r="813" hidden="1">
      <c r="A813" s="58"/>
      <c r="L813" s="285"/>
    </row>
    <row r="814" hidden="1">
      <c r="A814" s="58"/>
      <c r="L814" s="285"/>
    </row>
    <row r="815" hidden="1">
      <c r="A815" s="58"/>
      <c r="L815" s="285"/>
    </row>
    <row r="816" hidden="1">
      <c r="A816" s="58"/>
      <c r="L816" s="285"/>
    </row>
    <row r="817" hidden="1">
      <c r="A817" s="58"/>
      <c r="L817" s="285"/>
    </row>
    <row r="818" hidden="1">
      <c r="A818" s="58"/>
      <c r="L818" s="285"/>
    </row>
    <row r="819" hidden="1">
      <c r="A819" s="58"/>
      <c r="L819" s="285"/>
    </row>
    <row r="820" hidden="1">
      <c r="A820" s="58"/>
      <c r="L820" s="285"/>
    </row>
    <row r="821" hidden="1">
      <c r="A821" s="58"/>
      <c r="L821" s="285"/>
    </row>
    <row r="822" hidden="1">
      <c r="A822" s="58"/>
      <c r="L822" s="285"/>
    </row>
    <row r="823" hidden="1">
      <c r="A823" s="58"/>
      <c r="L823" s="285"/>
    </row>
    <row r="824" hidden="1">
      <c r="A824" s="58"/>
      <c r="L824" s="285"/>
    </row>
    <row r="825" hidden="1">
      <c r="A825" s="58"/>
      <c r="L825" s="285"/>
    </row>
    <row r="826" hidden="1">
      <c r="A826" s="58"/>
      <c r="L826" s="285"/>
    </row>
    <row r="827" hidden="1">
      <c r="A827" s="58"/>
      <c r="L827" s="285"/>
    </row>
    <row r="828" hidden="1">
      <c r="A828" s="58"/>
      <c r="L828" s="285"/>
    </row>
    <row r="829" hidden="1">
      <c r="A829" s="58"/>
      <c r="L829" s="285"/>
    </row>
    <row r="830" hidden="1">
      <c r="A830" s="58"/>
      <c r="L830" s="285"/>
    </row>
    <row r="831" hidden="1">
      <c r="A831" s="58"/>
      <c r="L831" s="285"/>
    </row>
    <row r="832" hidden="1">
      <c r="A832" s="58"/>
      <c r="L832" s="285"/>
    </row>
    <row r="833" hidden="1">
      <c r="A833" s="58"/>
      <c r="L833" s="285"/>
    </row>
    <row r="834" hidden="1">
      <c r="A834" s="58"/>
      <c r="L834" s="285"/>
    </row>
    <row r="835" hidden="1">
      <c r="A835" s="58"/>
      <c r="L835" s="285"/>
    </row>
    <row r="836" hidden="1">
      <c r="A836" s="58"/>
      <c r="L836" s="285"/>
    </row>
    <row r="837" hidden="1">
      <c r="A837" s="58"/>
      <c r="L837" s="285"/>
    </row>
    <row r="838" hidden="1">
      <c r="A838" s="58"/>
      <c r="L838" s="285"/>
    </row>
    <row r="839" hidden="1">
      <c r="A839" s="58"/>
      <c r="L839" s="285"/>
    </row>
    <row r="840" hidden="1">
      <c r="A840" s="58"/>
      <c r="L840" s="285"/>
    </row>
    <row r="841" hidden="1">
      <c r="A841" s="58"/>
      <c r="L841" s="285"/>
    </row>
    <row r="842" hidden="1">
      <c r="A842" s="58"/>
      <c r="L842" s="285"/>
    </row>
    <row r="843" hidden="1">
      <c r="A843" s="58"/>
      <c r="L843" s="285"/>
    </row>
    <row r="844" hidden="1">
      <c r="A844" s="58"/>
      <c r="L844" s="285"/>
    </row>
    <row r="845" hidden="1">
      <c r="A845" s="58"/>
      <c r="L845" s="285"/>
    </row>
    <row r="846" hidden="1">
      <c r="A846" s="58"/>
      <c r="L846" s="285"/>
    </row>
    <row r="847" hidden="1">
      <c r="A847" s="58"/>
      <c r="L847" s="285"/>
    </row>
    <row r="848" hidden="1">
      <c r="A848" s="58"/>
      <c r="L848" s="285"/>
    </row>
    <row r="849" hidden="1">
      <c r="A849" s="58"/>
      <c r="L849" s="285"/>
    </row>
    <row r="850" hidden="1">
      <c r="A850" s="58"/>
      <c r="L850" s="285"/>
    </row>
    <row r="851" hidden="1">
      <c r="A851" s="58"/>
      <c r="L851" s="285"/>
    </row>
    <row r="852" hidden="1">
      <c r="A852" s="58"/>
      <c r="L852" s="285"/>
    </row>
    <row r="853" hidden="1">
      <c r="A853" s="58"/>
      <c r="L853" s="285"/>
    </row>
    <row r="854" hidden="1">
      <c r="A854" s="58"/>
      <c r="L854" s="285"/>
    </row>
    <row r="855" hidden="1">
      <c r="A855" s="58"/>
      <c r="L855" s="285"/>
    </row>
    <row r="856" hidden="1">
      <c r="A856" s="58"/>
      <c r="L856" s="285"/>
    </row>
    <row r="857" hidden="1">
      <c r="A857" s="58"/>
      <c r="L857" s="285"/>
    </row>
    <row r="858" hidden="1">
      <c r="A858" s="58"/>
      <c r="L858" s="285"/>
    </row>
    <row r="859" hidden="1">
      <c r="A859" s="58"/>
      <c r="L859" s="285"/>
    </row>
    <row r="860" hidden="1">
      <c r="A860" s="58"/>
      <c r="L860" s="285"/>
    </row>
    <row r="861" hidden="1">
      <c r="A861" s="58"/>
      <c r="L861" s="285"/>
    </row>
    <row r="862" hidden="1">
      <c r="A862" s="58"/>
      <c r="L862" s="285"/>
    </row>
    <row r="863" hidden="1">
      <c r="A863" s="58"/>
      <c r="L863" s="285"/>
    </row>
    <row r="864" hidden="1">
      <c r="A864" s="58"/>
      <c r="L864" s="285"/>
    </row>
    <row r="865" hidden="1">
      <c r="A865" s="58"/>
      <c r="L865" s="285"/>
    </row>
    <row r="866" hidden="1">
      <c r="A866" s="58"/>
      <c r="L866" s="285"/>
    </row>
    <row r="867" hidden="1">
      <c r="A867" s="58"/>
      <c r="L867" s="285"/>
    </row>
    <row r="868" hidden="1">
      <c r="A868" s="58"/>
      <c r="L868" s="285"/>
    </row>
    <row r="869" hidden="1">
      <c r="A869" s="58"/>
      <c r="L869" s="285"/>
    </row>
    <row r="870" hidden="1">
      <c r="A870" s="58"/>
      <c r="L870" s="285"/>
    </row>
    <row r="871" hidden="1">
      <c r="A871" s="58"/>
      <c r="L871" s="285"/>
    </row>
    <row r="872" hidden="1">
      <c r="A872" s="58"/>
      <c r="L872" s="285"/>
    </row>
    <row r="873" hidden="1">
      <c r="A873" s="58"/>
      <c r="L873" s="285"/>
    </row>
    <row r="874" hidden="1">
      <c r="A874" s="58"/>
      <c r="L874" s="285"/>
    </row>
    <row r="875" hidden="1">
      <c r="A875" s="58"/>
      <c r="L875" s="285"/>
    </row>
    <row r="876" hidden="1">
      <c r="A876" s="58"/>
      <c r="L876" s="285"/>
    </row>
    <row r="877" hidden="1">
      <c r="A877" s="58"/>
      <c r="L877" s="285"/>
    </row>
    <row r="878" hidden="1">
      <c r="A878" s="58"/>
      <c r="L878" s="285"/>
    </row>
    <row r="879" hidden="1">
      <c r="A879" s="58"/>
      <c r="L879" s="285"/>
    </row>
    <row r="880" hidden="1">
      <c r="A880" s="58"/>
      <c r="L880" s="285"/>
    </row>
    <row r="881" hidden="1">
      <c r="A881" s="58"/>
      <c r="L881" s="285"/>
    </row>
    <row r="882" hidden="1">
      <c r="A882" s="58"/>
      <c r="L882" s="285"/>
    </row>
    <row r="883" hidden="1">
      <c r="A883" s="58"/>
      <c r="L883" s="285"/>
    </row>
    <row r="884" hidden="1">
      <c r="A884" s="58"/>
      <c r="L884" s="285"/>
    </row>
    <row r="885" hidden="1">
      <c r="A885" s="58"/>
      <c r="L885" s="285"/>
    </row>
    <row r="886" hidden="1">
      <c r="A886" s="58"/>
      <c r="L886" s="285"/>
    </row>
    <row r="887" hidden="1">
      <c r="A887" s="58"/>
      <c r="L887" s="285"/>
    </row>
    <row r="888" hidden="1">
      <c r="A888" s="58"/>
      <c r="L888" s="285"/>
    </row>
    <row r="889" hidden="1">
      <c r="A889" s="58"/>
      <c r="L889" s="285"/>
    </row>
    <row r="890" hidden="1">
      <c r="A890" s="58"/>
      <c r="L890" s="285"/>
    </row>
    <row r="891" hidden="1">
      <c r="A891" s="58"/>
      <c r="L891" s="285"/>
    </row>
    <row r="892" hidden="1">
      <c r="A892" s="58"/>
      <c r="L892" s="285"/>
    </row>
    <row r="893" hidden="1">
      <c r="A893" s="58"/>
      <c r="L893" s="285"/>
    </row>
    <row r="894" hidden="1">
      <c r="A894" s="58"/>
      <c r="L894" s="285"/>
    </row>
    <row r="895" hidden="1">
      <c r="A895" s="58"/>
      <c r="L895" s="285"/>
    </row>
    <row r="896" hidden="1">
      <c r="A896" s="58"/>
      <c r="L896" s="285"/>
    </row>
    <row r="897" hidden="1">
      <c r="A897" s="58"/>
      <c r="L897" s="285"/>
    </row>
    <row r="898" hidden="1">
      <c r="A898" s="58"/>
      <c r="L898" s="285"/>
    </row>
    <row r="899" hidden="1">
      <c r="A899" s="58"/>
      <c r="L899" s="285"/>
    </row>
    <row r="900" hidden="1">
      <c r="A900" s="58"/>
      <c r="L900" s="285"/>
    </row>
    <row r="901" hidden="1">
      <c r="A901" s="58"/>
      <c r="L901" s="285"/>
    </row>
    <row r="902" hidden="1">
      <c r="A902" s="58"/>
      <c r="L902" s="285"/>
    </row>
    <row r="903" hidden="1">
      <c r="A903" s="58"/>
      <c r="L903" s="285"/>
    </row>
    <row r="904" hidden="1">
      <c r="A904" s="58"/>
      <c r="L904" s="285"/>
    </row>
    <row r="905" hidden="1">
      <c r="A905" s="58"/>
      <c r="L905" s="285"/>
    </row>
    <row r="906" hidden="1">
      <c r="A906" s="58"/>
      <c r="L906" s="285"/>
    </row>
    <row r="907" hidden="1">
      <c r="A907" s="58"/>
      <c r="L907" s="285"/>
    </row>
    <row r="908" hidden="1">
      <c r="A908" s="58"/>
      <c r="L908" s="285"/>
    </row>
    <row r="909" hidden="1">
      <c r="A909" s="58"/>
      <c r="L909" s="285"/>
    </row>
    <row r="910" hidden="1">
      <c r="A910" s="58"/>
      <c r="L910" s="285"/>
    </row>
    <row r="911" hidden="1">
      <c r="A911" s="58"/>
      <c r="L911" s="285"/>
    </row>
    <row r="912" hidden="1">
      <c r="A912" s="58"/>
      <c r="L912" s="285"/>
    </row>
    <row r="913" hidden="1">
      <c r="A913" s="58"/>
      <c r="L913" s="285"/>
    </row>
    <row r="914" hidden="1">
      <c r="A914" s="58"/>
      <c r="L914" s="285"/>
    </row>
    <row r="915" hidden="1">
      <c r="A915" s="58"/>
      <c r="L915" s="285"/>
    </row>
    <row r="916" hidden="1">
      <c r="A916" s="58"/>
      <c r="L916" s="285"/>
    </row>
    <row r="917" hidden="1">
      <c r="A917" s="58"/>
      <c r="L917" s="285"/>
    </row>
    <row r="918" hidden="1">
      <c r="A918" s="58"/>
      <c r="L918" s="285"/>
    </row>
    <row r="919" hidden="1">
      <c r="A919" s="58"/>
      <c r="L919" s="285"/>
    </row>
    <row r="920" hidden="1">
      <c r="A920" s="58"/>
      <c r="L920" s="285"/>
    </row>
    <row r="921" hidden="1">
      <c r="A921" s="58"/>
      <c r="L921" s="285"/>
    </row>
    <row r="922" hidden="1">
      <c r="A922" s="58"/>
      <c r="L922" s="285"/>
    </row>
    <row r="923" hidden="1">
      <c r="A923" s="58"/>
      <c r="L923" s="285"/>
    </row>
    <row r="924" hidden="1">
      <c r="A924" s="58"/>
      <c r="L924" s="285"/>
    </row>
    <row r="925" hidden="1">
      <c r="A925" s="58"/>
      <c r="L925" s="285"/>
    </row>
    <row r="926" hidden="1">
      <c r="A926" s="58"/>
      <c r="L926" s="285"/>
    </row>
    <row r="927" hidden="1">
      <c r="A927" s="58"/>
      <c r="L927" s="285"/>
    </row>
    <row r="928" hidden="1">
      <c r="A928" s="58"/>
      <c r="L928" s="285"/>
    </row>
    <row r="929" hidden="1">
      <c r="A929" s="58"/>
      <c r="L929" s="285"/>
    </row>
    <row r="930" hidden="1">
      <c r="A930" s="58"/>
      <c r="L930" s="285"/>
    </row>
    <row r="931" hidden="1">
      <c r="A931" s="58"/>
      <c r="L931" s="285"/>
    </row>
    <row r="932" hidden="1">
      <c r="A932" s="58"/>
      <c r="L932" s="285"/>
    </row>
    <row r="933" hidden="1">
      <c r="A933" s="58"/>
      <c r="L933" s="285"/>
    </row>
    <row r="934" hidden="1">
      <c r="A934" s="58"/>
      <c r="L934" s="285"/>
    </row>
    <row r="935" hidden="1">
      <c r="A935" s="58"/>
      <c r="L935" s="285"/>
    </row>
    <row r="936" hidden="1">
      <c r="A936" s="58"/>
      <c r="L936" s="285"/>
    </row>
    <row r="937" hidden="1">
      <c r="A937" s="58"/>
      <c r="L937" s="285"/>
    </row>
    <row r="938" hidden="1">
      <c r="A938" s="58"/>
      <c r="L938" s="285"/>
    </row>
    <row r="939" hidden="1">
      <c r="A939" s="58"/>
      <c r="L939" s="285"/>
    </row>
    <row r="940" hidden="1">
      <c r="A940" s="58"/>
      <c r="L940" s="285"/>
    </row>
    <row r="941" hidden="1">
      <c r="A941" s="58"/>
      <c r="L941" s="285"/>
    </row>
    <row r="942" hidden="1">
      <c r="A942" s="58"/>
      <c r="L942" s="285"/>
    </row>
    <row r="943" hidden="1">
      <c r="A943" s="58"/>
      <c r="L943" s="285"/>
    </row>
    <row r="944" hidden="1">
      <c r="A944" s="58"/>
      <c r="L944" s="285"/>
    </row>
    <row r="945" hidden="1">
      <c r="A945" s="58"/>
      <c r="L945" s="285"/>
    </row>
    <row r="946" hidden="1">
      <c r="A946" s="58"/>
      <c r="L946" s="285"/>
    </row>
    <row r="947" hidden="1">
      <c r="A947" s="58"/>
      <c r="L947" s="285"/>
    </row>
    <row r="948" hidden="1">
      <c r="A948" s="58"/>
      <c r="L948" s="285"/>
    </row>
    <row r="949" hidden="1">
      <c r="A949" s="58"/>
      <c r="L949" s="285"/>
    </row>
    <row r="950" hidden="1">
      <c r="A950" s="58"/>
      <c r="L950" s="285"/>
    </row>
    <row r="951" hidden="1">
      <c r="A951" s="58"/>
      <c r="L951" s="285"/>
    </row>
    <row r="952" hidden="1">
      <c r="A952" s="58"/>
      <c r="L952" s="285"/>
    </row>
    <row r="953" hidden="1">
      <c r="A953" s="58"/>
      <c r="L953" s="285"/>
    </row>
    <row r="954" hidden="1">
      <c r="A954" s="58"/>
      <c r="L954" s="285"/>
    </row>
    <row r="955" hidden="1">
      <c r="A955" s="58"/>
      <c r="L955" s="285"/>
    </row>
    <row r="956" hidden="1">
      <c r="A956" s="58"/>
      <c r="L956" s="285"/>
    </row>
    <row r="957" hidden="1">
      <c r="A957" s="58"/>
      <c r="L957" s="285"/>
    </row>
    <row r="958" hidden="1">
      <c r="A958" s="58"/>
      <c r="L958" s="285"/>
    </row>
    <row r="959" hidden="1">
      <c r="A959" s="58"/>
      <c r="L959" s="285"/>
    </row>
    <row r="960" hidden="1">
      <c r="A960" s="58"/>
      <c r="L960" s="285"/>
    </row>
    <row r="961" hidden="1">
      <c r="A961" s="58"/>
      <c r="L961" s="285"/>
    </row>
    <row r="962" hidden="1">
      <c r="A962" s="58"/>
      <c r="L962" s="285"/>
    </row>
    <row r="963" hidden="1">
      <c r="A963" s="58"/>
      <c r="L963" s="285"/>
    </row>
    <row r="964" hidden="1">
      <c r="A964" s="58"/>
      <c r="L964" s="285"/>
    </row>
    <row r="965" hidden="1">
      <c r="A965" s="58"/>
      <c r="L965" s="285"/>
    </row>
    <row r="966" hidden="1">
      <c r="A966" s="58"/>
      <c r="L966" s="285"/>
    </row>
    <row r="967" hidden="1">
      <c r="A967" s="58"/>
      <c r="L967" s="285"/>
    </row>
    <row r="968" hidden="1">
      <c r="A968" s="58"/>
      <c r="L968" s="285"/>
    </row>
    <row r="969" hidden="1">
      <c r="A969" s="58"/>
      <c r="L969" s="285"/>
    </row>
    <row r="970" hidden="1">
      <c r="A970" s="58"/>
      <c r="L970" s="285"/>
    </row>
    <row r="971" hidden="1">
      <c r="A971" s="58"/>
      <c r="L971" s="285"/>
    </row>
    <row r="972" hidden="1">
      <c r="A972" s="58"/>
      <c r="L972" s="285"/>
    </row>
    <row r="973" hidden="1">
      <c r="A973" s="58"/>
      <c r="L973" s="285"/>
    </row>
    <row r="974" hidden="1">
      <c r="A974" s="58"/>
      <c r="L974" s="285"/>
    </row>
    <row r="975" hidden="1">
      <c r="A975" s="58"/>
      <c r="L975" s="285"/>
    </row>
    <row r="976" hidden="1">
      <c r="A976" s="58"/>
      <c r="L976" s="285"/>
    </row>
    <row r="977" hidden="1">
      <c r="A977" s="58"/>
      <c r="L977" s="285"/>
    </row>
    <row r="978" hidden="1">
      <c r="A978" s="58"/>
      <c r="L978" s="285"/>
    </row>
    <row r="979" hidden="1">
      <c r="A979" s="58"/>
      <c r="L979" s="285"/>
    </row>
    <row r="980" hidden="1">
      <c r="A980" s="58"/>
      <c r="L980" s="285"/>
    </row>
    <row r="981" hidden="1">
      <c r="A981" s="58"/>
      <c r="L981" s="285"/>
    </row>
    <row r="982" hidden="1">
      <c r="A982" s="58"/>
      <c r="L982" s="285"/>
    </row>
    <row r="983" hidden="1">
      <c r="A983" s="58"/>
      <c r="L983" s="285"/>
    </row>
    <row r="984" hidden="1">
      <c r="A984" s="58"/>
      <c r="L984" s="285"/>
    </row>
    <row r="985" hidden="1">
      <c r="A985" s="58"/>
      <c r="L985" s="285"/>
    </row>
    <row r="986" hidden="1">
      <c r="A986" s="58"/>
      <c r="L986" s="285"/>
    </row>
    <row r="987" hidden="1">
      <c r="A987" s="58"/>
      <c r="L987" s="285"/>
    </row>
    <row r="988" hidden="1">
      <c r="A988" s="58"/>
      <c r="L988" s="285"/>
    </row>
    <row r="989" hidden="1">
      <c r="A989" s="58"/>
      <c r="L989" s="285"/>
    </row>
    <row r="990" hidden="1">
      <c r="A990" s="58"/>
      <c r="L990" s="285"/>
    </row>
    <row r="991" hidden="1">
      <c r="A991" s="58"/>
      <c r="L991" s="285"/>
    </row>
    <row r="992" hidden="1">
      <c r="A992" s="58"/>
      <c r="L992" s="285"/>
    </row>
    <row r="993" hidden="1">
      <c r="A993" s="58"/>
      <c r="L993" s="285"/>
    </row>
    <row r="994" hidden="1">
      <c r="A994" s="58"/>
      <c r="L994" s="285"/>
    </row>
    <row r="995" hidden="1">
      <c r="A995" s="58"/>
      <c r="L995" s="285"/>
    </row>
    <row r="996" hidden="1">
      <c r="A996" s="58"/>
      <c r="L996" s="285"/>
    </row>
    <row r="997" hidden="1">
      <c r="A997" s="58"/>
      <c r="L997" s="285"/>
    </row>
    <row r="998" hidden="1">
      <c r="A998" s="58"/>
      <c r="L998" s="285"/>
    </row>
    <row r="999" hidden="1">
      <c r="A999" s="58"/>
      <c r="L999" s="285"/>
    </row>
    <row r="1000" hidden="1">
      <c r="A1000" s="58"/>
      <c r="L1000" s="285"/>
    </row>
    <row r="1001" hidden="1">
      <c r="A1001" s="58"/>
      <c r="L1001" s="285"/>
    </row>
    <row r="1002" hidden="1">
      <c r="A1002" s="58"/>
      <c r="L1002" s="285"/>
    </row>
    <row r="1003" hidden="1">
      <c r="A1003" s="58"/>
      <c r="L1003" s="285"/>
    </row>
    <row r="1004" hidden="1">
      <c r="A1004" s="58"/>
      <c r="L1004" s="285"/>
    </row>
    <row r="1005" hidden="1">
      <c r="A1005" s="58"/>
      <c r="L1005" s="285"/>
    </row>
    <row r="1006" hidden="1">
      <c r="A1006" s="58"/>
      <c r="L1006" s="285"/>
    </row>
    <row r="1007" hidden="1">
      <c r="A1007" s="58"/>
      <c r="L1007" s="285"/>
    </row>
    <row r="1008" hidden="1">
      <c r="A1008" s="58"/>
      <c r="L1008" s="285"/>
    </row>
    <row r="1009" hidden="1">
      <c r="A1009" s="58"/>
      <c r="L1009" s="285"/>
    </row>
    <row r="1010" hidden="1">
      <c r="A1010" s="58"/>
      <c r="L1010" s="285"/>
    </row>
    <row r="1011" hidden="1">
      <c r="A1011" s="58"/>
      <c r="L1011" s="285"/>
    </row>
    <row r="1012" hidden="1">
      <c r="A1012" s="58"/>
      <c r="L1012" s="285"/>
    </row>
    <row r="1013" hidden="1">
      <c r="A1013" s="58"/>
      <c r="L1013" s="285"/>
    </row>
    <row r="1014" hidden="1">
      <c r="A1014" s="58"/>
      <c r="L1014" s="285"/>
    </row>
    <row r="1015" hidden="1">
      <c r="A1015" s="58"/>
      <c r="L1015" s="285"/>
    </row>
    <row r="1016" hidden="1">
      <c r="A1016" s="58"/>
      <c r="L1016" s="285"/>
    </row>
    <row r="1017" hidden="1">
      <c r="A1017" s="58"/>
      <c r="L1017" s="285"/>
    </row>
    <row r="1018" hidden="1">
      <c r="A1018" s="58"/>
      <c r="L1018" s="285"/>
    </row>
    <row r="1019" hidden="1">
      <c r="A1019" s="58"/>
      <c r="L1019" s="285"/>
    </row>
    <row r="1020" hidden="1">
      <c r="A1020" s="58"/>
      <c r="L1020" s="285"/>
    </row>
    <row r="1021" hidden="1">
      <c r="A1021" s="58"/>
      <c r="L1021" s="285"/>
    </row>
    <row r="1022" hidden="1">
      <c r="A1022" s="58"/>
      <c r="L1022" s="285"/>
    </row>
    <row r="1023" hidden="1">
      <c r="A1023" s="58"/>
      <c r="L1023" s="285"/>
    </row>
    <row r="1024" hidden="1">
      <c r="A1024" s="58"/>
      <c r="L1024" s="285"/>
    </row>
    <row r="1025" hidden="1">
      <c r="A1025" s="58"/>
      <c r="L1025" s="285"/>
    </row>
    <row r="1026" hidden="1">
      <c r="A1026" s="58"/>
      <c r="L1026" s="285"/>
    </row>
    <row r="1027" hidden="1">
      <c r="A1027" s="58"/>
      <c r="L1027" s="285"/>
    </row>
    <row r="1028" hidden="1">
      <c r="A1028" s="58"/>
      <c r="L1028" s="285"/>
    </row>
    <row r="1029" hidden="1">
      <c r="A1029" s="58"/>
      <c r="L1029" s="285"/>
    </row>
    <row r="1030" hidden="1">
      <c r="A1030" s="58"/>
      <c r="L1030" s="285"/>
    </row>
    <row r="1031" hidden="1">
      <c r="A1031" s="58"/>
      <c r="L1031" s="285"/>
    </row>
    <row r="1032" hidden="1">
      <c r="A1032" s="58"/>
      <c r="L1032" s="285"/>
    </row>
    <row r="1033" hidden="1">
      <c r="A1033" s="58"/>
      <c r="L1033" s="285"/>
    </row>
    <row r="1034" hidden="1">
      <c r="A1034" s="58"/>
      <c r="L1034" s="285"/>
    </row>
    <row r="1035" hidden="1">
      <c r="A1035" s="58"/>
      <c r="L1035" s="285"/>
    </row>
    <row r="1036" hidden="1">
      <c r="A1036" s="58"/>
      <c r="L1036" s="285"/>
    </row>
    <row r="1037" hidden="1">
      <c r="A1037" s="58"/>
      <c r="L1037" s="285"/>
    </row>
    <row r="1038" hidden="1">
      <c r="A1038" s="58"/>
      <c r="L1038" s="285"/>
    </row>
    <row r="1039" hidden="1">
      <c r="A1039" s="58"/>
      <c r="L1039" s="285"/>
    </row>
    <row r="1040" hidden="1">
      <c r="A1040" s="58"/>
      <c r="L1040" s="285"/>
    </row>
    <row r="1041" hidden="1">
      <c r="A1041" s="58"/>
      <c r="L1041" s="285"/>
    </row>
    <row r="1042" hidden="1">
      <c r="A1042" s="58"/>
      <c r="L1042" s="285"/>
    </row>
    <row r="1043" hidden="1">
      <c r="A1043" s="58"/>
      <c r="L1043" s="285"/>
    </row>
    <row r="1044" hidden="1">
      <c r="A1044" s="58"/>
      <c r="L1044" s="285"/>
    </row>
    <row r="1045" hidden="1">
      <c r="A1045" s="58"/>
      <c r="L1045" s="285"/>
    </row>
    <row r="1046" hidden="1">
      <c r="A1046" s="58"/>
      <c r="L1046" s="285"/>
    </row>
    <row r="1047" hidden="1">
      <c r="A1047" s="58"/>
      <c r="L1047" s="285"/>
    </row>
    <row r="1048" hidden="1">
      <c r="A1048" s="58"/>
      <c r="L1048" s="285"/>
    </row>
    <row r="1049" hidden="1">
      <c r="A1049" s="58"/>
      <c r="L1049" s="285"/>
    </row>
    <row r="1050" hidden="1">
      <c r="A1050" s="58"/>
      <c r="L1050" s="285"/>
    </row>
    <row r="1051" hidden="1">
      <c r="A1051" s="58"/>
      <c r="L1051" s="285"/>
    </row>
    <row r="1052" hidden="1">
      <c r="A1052" s="58"/>
      <c r="L1052" s="285"/>
    </row>
    <row r="1053" hidden="1">
      <c r="A1053" s="58"/>
      <c r="L1053" s="285"/>
    </row>
    <row r="1054" hidden="1">
      <c r="A1054" s="58"/>
      <c r="L1054" s="285"/>
    </row>
    <row r="1055" hidden="1">
      <c r="A1055" s="58"/>
      <c r="L1055" s="285"/>
    </row>
    <row r="1056" hidden="1">
      <c r="A1056" s="58"/>
      <c r="L1056" s="285"/>
    </row>
    <row r="1057" hidden="1">
      <c r="A1057" s="58"/>
      <c r="L1057" s="285"/>
    </row>
    <row r="1058" hidden="1">
      <c r="A1058" s="58"/>
      <c r="L1058" s="285"/>
    </row>
    <row r="1059" hidden="1">
      <c r="A1059" s="58"/>
      <c r="L1059" s="285"/>
    </row>
    <row r="1060" hidden="1">
      <c r="A1060" s="58"/>
      <c r="L1060" s="285"/>
    </row>
    <row r="1061" hidden="1">
      <c r="A1061" s="58"/>
      <c r="L1061" s="285"/>
    </row>
    <row r="1062" hidden="1">
      <c r="A1062" s="58"/>
      <c r="L1062" s="285"/>
    </row>
    <row r="1063" hidden="1">
      <c r="A1063" s="58"/>
      <c r="L1063" s="285"/>
    </row>
    <row r="1064" hidden="1">
      <c r="A1064" s="58"/>
      <c r="L1064" s="285"/>
    </row>
    <row r="1065" hidden="1">
      <c r="A1065" s="58"/>
      <c r="L1065" s="285"/>
    </row>
    <row r="1066" hidden="1">
      <c r="A1066" s="58"/>
      <c r="L1066" s="285"/>
    </row>
    <row r="1067" hidden="1">
      <c r="A1067" s="58"/>
      <c r="L1067" s="285"/>
    </row>
    <row r="1068" hidden="1">
      <c r="A1068" s="58"/>
      <c r="L1068" s="285"/>
    </row>
    <row r="1069" hidden="1">
      <c r="A1069" s="58"/>
      <c r="L1069" s="285"/>
    </row>
    <row r="1070" hidden="1">
      <c r="A1070" s="58"/>
      <c r="L1070" s="285"/>
    </row>
    <row r="1071" hidden="1">
      <c r="A1071" s="58"/>
      <c r="L1071" s="285"/>
    </row>
  </sheetData>
  <mergeCells count="3">
    <mergeCell ref="A1:O1"/>
    <mergeCell ref="B136:D136"/>
    <mergeCell ref="F136:N136"/>
  </mergeCells>
  <conditionalFormatting sqref="C3:C135 D96">
    <cfRule type="colorScale" priority="1">
      <colorScale>
        <cfvo type="min"/>
        <cfvo type="percent" val="20"/>
        <cfvo type="percent" val="90"/>
        <color rgb="FFFFFFFF"/>
        <color rgb="FFABDDC5"/>
        <color rgb="FF57BB8A"/>
      </colorScale>
    </cfRule>
  </conditionalFormatting>
  <conditionalFormatting sqref="D3:D135">
    <cfRule type="colorScale" priority="2">
      <colorScale>
        <cfvo type="min"/>
        <cfvo type="max"/>
        <color rgb="FFFFFFFF"/>
        <color rgb="FF57BB8A"/>
      </colorScale>
    </cfRule>
  </conditionalFormatting>
  <conditionalFormatting sqref="F3:F136">
    <cfRule type="colorScale" priority="3">
      <colorScale>
        <cfvo type="min"/>
        <cfvo type="max"/>
        <color rgb="FFFFFFFF"/>
        <color rgb="FF57BB8A"/>
      </colorScale>
    </cfRule>
  </conditionalFormatting>
  <conditionalFormatting sqref="G3:G135">
    <cfRule type="colorScale" priority="4">
      <colorScale>
        <cfvo type="min"/>
        <cfvo type="max"/>
        <color rgb="FFFFFFFF"/>
        <color rgb="FF57BB8A"/>
      </colorScale>
    </cfRule>
  </conditionalFormatting>
  <conditionalFormatting sqref="M3:M135 N20">
    <cfRule type="colorScale" priority="5">
      <colorScale>
        <cfvo type="min"/>
        <cfvo type="max"/>
        <color rgb="FFFFFFFF"/>
        <color rgb="FF57BB8A"/>
      </colorScale>
    </cfRule>
  </conditionalFormatting>
  <conditionalFormatting sqref="N3:N135 M28">
    <cfRule type="colorScale" priority="6">
      <colorScale>
        <cfvo type="min"/>
        <cfvo type="max"/>
        <color rgb="FFFFFFFF"/>
        <color rgb="FF57BB8A"/>
      </colorScale>
    </cfRule>
  </conditionalFormatting>
  <hyperlinks>
    <hyperlink display="Note: all weapons assume Backup Mag whenever applicable; All weapon damage (except exotics) is normalized.&#10;Want to contribute? Have questions, comments, or concerns? See Home page contact information." location="Home!C12:E13" ref="A1"/>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25"/>
    <col customWidth="1" min="2" max="2" width="20.88"/>
    <col customWidth="1" min="3" max="4" width="10.63"/>
    <col customWidth="1" min="5" max="5" width="3.75"/>
    <col customWidth="1" min="6" max="14" width="9.88"/>
    <col customWidth="1" min="15" max="15" width="74.25"/>
    <col hidden="1" min="16" max="34" width="12.63"/>
  </cols>
  <sheetData>
    <row r="1">
      <c r="A1" s="59" t="s">
        <v>414</v>
      </c>
    </row>
    <row r="2" ht="38.25" customHeight="1">
      <c r="A2" s="60"/>
      <c r="B2" s="61" t="s">
        <v>29</v>
      </c>
      <c r="C2" s="61" t="s">
        <v>30</v>
      </c>
      <c r="D2" s="62" t="s">
        <v>31</v>
      </c>
      <c r="E2" s="63"/>
      <c r="F2" s="64" t="s">
        <v>32</v>
      </c>
      <c r="G2" s="61" t="s">
        <v>33</v>
      </c>
      <c r="H2" s="61" t="s">
        <v>34</v>
      </c>
      <c r="I2" s="61" t="s">
        <v>35</v>
      </c>
      <c r="J2" s="61" t="s">
        <v>36</v>
      </c>
      <c r="K2" s="61" t="s">
        <v>37</v>
      </c>
      <c r="L2" s="192" t="s">
        <v>38</v>
      </c>
      <c r="M2" s="61" t="s">
        <v>39</v>
      </c>
      <c r="N2" s="62" t="s">
        <v>40</v>
      </c>
      <c r="P2" s="58"/>
      <c r="Q2" s="58"/>
      <c r="R2" s="58"/>
      <c r="S2" s="58"/>
      <c r="T2" s="58"/>
      <c r="U2" s="58"/>
      <c r="V2" s="58"/>
      <c r="W2" s="58"/>
      <c r="X2" s="58"/>
      <c r="Y2" s="58"/>
      <c r="Z2" s="58"/>
      <c r="AA2" s="58"/>
      <c r="AB2" s="58"/>
      <c r="AC2" s="58"/>
      <c r="AD2" s="58"/>
      <c r="AE2" s="58"/>
      <c r="AF2" s="58"/>
      <c r="AG2" s="58"/>
      <c r="AH2" s="58"/>
    </row>
    <row r="3">
      <c r="A3" s="65" t="s">
        <v>415</v>
      </c>
      <c r="B3" s="66" t="s">
        <v>42</v>
      </c>
      <c r="C3" s="67">
        <f t="shared" ref="C3:C9" si="1">(G3)/(H3 * 1/J3 * 60/1)</f>
        <v>825</v>
      </c>
      <c r="D3" s="286">
        <f t="shared" ref="D3:D10" si="2">(G3)/((H3-1) * 1/J3 * 60/1 + K3)</f>
        <v>604.9158378</v>
      </c>
      <c r="E3" s="57"/>
      <c r="F3" s="287">
        <f t="shared" ref="F3:F9" si="3">I3*N3</f>
        <v>31625</v>
      </c>
      <c r="G3" s="70">
        <f t="shared" ref="G3:G9" si="4">N3 * H3</f>
        <v>6325</v>
      </c>
      <c r="H3" s="71">
        <v>115.0</v>
      </c>
      <c r="I3" s="73">
        <f>'Reserves Data (Reference)'!D67</f>
        <v>575</v>
      </c>
      <c r="J3" s="73">
        <v>900.0</v>
      </c>
      <c r="K3" s="74">
        <f t="shared" ref="K3:K5" si="5">3.57*0.8</f>
        <v>2.856</v>
      </c>
      <c r="L3" s="288">
        <f t="shared" ref="L3:L10" si="6">timeToEmpty(H3,I3,J3,K3)</f>
        <v>49.424</v>
      </c>
      <c r="M3" s="67">
        <v>42.0</v>
      </c>
      <c r="N3" s="289">
        <v>55.0</v>
      </c>
    </row>
    <row r="4">
      <c r="A4" s="96" t="s">
        <v>257</v>
      </c>
      <c r="B4" s="78" t="s">
        <v>42</v>
      </c>
      <c r="C4" s="197">
        <f t="shared" si="1"/>
        <v>825</v>
      </c>
      <c r="D4" s="290">
        <f t="shared" si="2"/>
        <v>663.5802469</v>
      </c>
      <c r="E4" s="57"/>
      <c r="F4" s="291">
        <f t="shared" si="3"/>
        <v>47300</v>
      </c>
      <c r="G4" s="197">
        <f t="shared" si="4"/>
        <v>9460</v>
      </c>
      <c r="H4" s="101">
        <f>tripleTap(H3)</f>
        <v>172</v>
      </c>
      <c r="I4" s="102">
        <f>floor(I3/H3,1)*H4+tripleTap(mod(I3, H3))</f>
        <v>860</v>
      </c>
      <c r="J4" s="103">
        <f>J3</f>
        <v>900</v>
      </c>
      <c r="K4" s="201">
        <f t="shared" si="5"/>
        <v>2.856</v>
      </c>
      <c r="L4" s="292">
        <f t="shared" si="6"/>
        <v>68.424</v>
      </c>
      <c r="M4" s="98">
        <f t="shared" ref="M4:N4" si="7">M3</f>
        <v>42</v>
      </c>
      <c r="N4" s="231">
        <f t="shared" si="7"/>
        <v>55</v>
      </c>
    </row>
    <row r="5">
      <c r="A5" s="96" t="s">
        <v>259</v>
      </c>
      <c r="B5" s="78" t="s">
        <v>42</v>
      </c>
      <c r="C5" s="197">
        <f t="shared" si="1"/>
        <v>825</v>
      </c>
      <c r="D5" s="290">
        <f t="shared" si="2"/>
        <v>696.603928</v>
      </c>
      <c r="E5" s="57"/>
      <c r="F5" s="291">
        <f t="shared" si="3"/>
        <v>62425</v>
      </c>
      <c r="G5" s="197">
        <f t="shared" si="4"/>
        <v>12485</v>
      </c>
      <c r="H5" s="101">
        <f>fourthTimesTheCharm(H3)</f>
        <v>227</v>
      </c>
      <c r="I5" s="102">
        <f>floor(I3/H3,1)*H5+fourthTimesTheCharm(mod(I3, H3))</f>
        <v>1135</v>
      </c>
      <c r="J5" s="103">
        <f>J3</f>
        <v>900</v>
      </c>
      <c r="K5" s="201">
        <f t="shared" si="5"/>
        <v>2.856</v>
      </c>
      <c r="L5" s="292">
        <f t="shared" si="6"/>
        <v>86.75733333</v>
      </c>
      <c r="M5" s="98">
        <f t="shared" ref="M5:N5" si="8">M3</f>
        <v>42</v>
      </c>
      <c r="N5" s="231">
        <f t="shared" si="8"/>
        <v>55</v>
      </c>
    </row>
    <row r="6">
      <c r="A6" s="96"/>
      <c r="B6" s="78" t="s">
        <v>82</v>
      </c>
      <c r="C6" s="197">
        <f t="shared" si="1"/>
        <v>770</v>
      </c>
      <c r="D6" s="290">
        <f t="shared" si="2"/>
        <v>557.4383453</v>
      </c>
      <c r="E6" s="57"/>
      <c r="F6" s="291">
        <f t="shared" si="3"/>
        <v>35035</v>
      </c>
      <c r="G6" s="197">
        <f t="shared" si="4"/>
        <v>7007</v>
      </c>
      <c r="H6" s="101">
        <v>91.0</v>
      </c>
      <c r="I6" s="103">
        <f>'Reserves Data (Reference)'!D68</f>
        <v>455</v>
      </c>
      <c r="J6" s="103">
        <v>600.0</v>
      </c>
      <c r="K6" s="201">
        <v>3.57</v>
      </c>
      <c r="L6" s="292">
        <f t="shared" si="6"/>
        <v>59.28</v>
      </c>
      <c r="M6" s="98">
        <v>60.0</v>
      </c>
      <c r="N6" s="231">
        <v>77.0</v>
      </c>
    </row>
    <row r="7">
      <c r="A7" s="77"/>
      <c r="B7" s="78" t="s">
        <v>44</v>
      </c>
      <c r="C7" s="79">
        <f t="shared" si="1"/>
        <v>720</v>
      </c>
      <c r="D7" s="293">
        <f t="shared" si="2"/>
        <v>535.8471843</v>
      </c>
      <c r="E7" s="57"/>
      <c r="F7" s="294">
        <f t="shared" si="3"/>
        <v>36000</v>
      </c>
      <c r="G7" s="79">
        <f t="shared" si="4"/>
        <v>7200</v>
      </c>
      <c r="H7" s="82">
        <v>75.0</v>
      </c>
      <c r="I7" s="84">
        <f>'Reserves Data (Reference)'!D69</f>
        <v>375</v>
      </c>
      <c r="J7" s="84">
        <v>450.0</v>
      </c>
      <c r="K7" s="85">
        <v>3.57</v>
      </c>
      <c r="L7" s="295">
        <f t="shared" si="6"/>
        <v>63.61333333</v>
      </c>
      <c r="M7" s="89">
        <v>68.0</v>
      </c>
      <c r="N7" s="296">
        <v>96.0</v>
      </c>
    </row>
    <row r="8">
      <c r="A8" s="77"/>
      <c r="B8" s="78" t="s">
        <v>47</v>
      </c>
      <c r="C8" s="79">
        <f t="shared" si="1"/>
        <v>678</v>
      </c>
      <c r="D8" s="293">
        <f t="shared" si="2"/>
        <v>532.9071473</v>
      </c>
      <c r="E8" s="57"/>
      <c r="F8" s="294">
        <f t="shared" si="3"/>
        <v>42149</v>
      </c>
      <c r="G8" s="79">
        <f t="shared" si="4"/>
        <v>8475</v>
      </c>
      <c r="H8" s="82">
        <v>75.0</v>
      </c>
      <c r="I8" s="84">
        <f>'Reserves Data (Reference)'!D70</f>
        <v>373</v>
      </c>
      <c r="J8" s="84">
        <v>360.0</v>
      </c>
      <c r="K8" s="85">
        <v>3.57</v>
      </c>
      <c r="L8" s="295">
        <f t="shared" si="6"/>
        <v>75.61333333</v>
      </c>
      <c r="M8" s="89">
        <v>78.0</v>
      </c>
      <c r="N8" s="296">
        <v>113.0</v>
      </c>
    </row>
    <row r="9">
      <c r="A9" s="77"/>
      <c r="B9" s="91" t="s">
        <v>416</v>
      </c>
      <c r="C9" s="79">
        <f t="shared" si="1"/>
        <v>810</v>
      </c>
      <c r="D9" s="293">
        <f t="shared" si="2"/>
        <v>641.4571372</v>
      </c>
      <c r="E9" s="57"/>
      <c r="F9" s="294">
        <f t="shared" si="3"/>
        <v>23760</v>
      </c>
      <c r="G9" s="79">
        <f t="shared" si="4"/>
        <v>10800</v>
      </c>
      <c r="H9" s="82">
        <v>200.0</v>
      </c>
      <c r="I9" s="84">
        <f>'Reserves Data (Reference)'!D71</f>
        <v>440</v>
      </c>
      <c r="J9" s="84">
        <v>900.0</v>
      </c>
      <c r="K9" s="85">
        <v>3.57</v>
      </c>
      <c r="L9" s="295">
        <f t="shared" si="6"/>
        <v>36.27333333</v>
      </c>
      <c r="M9" s="89">
        <v>45.0</v>
      </c>
      <c r="N9" s="296">
        <v>54.0</v>
      </c>
      <c r="O9" s="95"/>
    </row>
    <row r="10">
      <c r="A10" s="77"/>
      <c r="B10" s="91" t="s">
        <v>417</v>
      </c>
      <c r="C10" s="79">
        <f>(N10*720*1/60) + 'Weapon Specifics'!$D$88/(10*1/720 * 60)</f>
        <v>1189.62</v>
      </c>
      <c r="D10" s="293">
        <f t="shared" si="2"/>
        <v>645.9169061</v>
      </c>
      <c r="E10" s="57"/>
      <c r="F10" s="294">
        <f>G10*floor(I10/H10,1) + mod(I10, H10) * N10 + floor(mod(I10, H10)/10,1) * 'Weapon Specifics'!$D$88</f>
        <v>37512.6</v>
      </c>
      <c r="G10" s="79">
        <f>H10*N10 + floor(H10/10,1) * 'Weapon Specifics'!$D$88</f>
        <v>6140.1</v>
      </c>
      <c r="H10" s="82">
        <v>62.0</v>
      </c>
      <c r="I10" s="84">
        <f>'Reserves Data (Reference)'!D72</f>
        <v>379</v>
      </c>
      <c r="J10" s="84">
        <f>H10/(13*1/450 + 13*1/600 + (H10-13*2)*1/720)</f>
        <v>616.5745856</v>
      </c>
      <c r="K10" s="85">
        <v>3.57</v>
      </c>
      <c r="L10" s="295">
        <f t="shared" si="6"/>
        <v>57.62</v>
      </c>
      <c r="M10" s="89">
        <v>68.0</v>
      </c>
      <c r="N10" s="296">
        <v>96.0</v>
      </c>
      <c r="O10" s="95"/>
    </row>
    <row r="11">
      <c r="A11" s="77" t="s">
        <v>179</v>
      </c>
      <c r="B11" s="91" t="s">
        <v>417</v>
      </c>
      <c r="C11" s="79">
        <f>(N11*720*1/60) + 'Weapon Specifics'!$D$88/(10*1/720 * 60)</f>
        <v>1189.62</v>
      </c>
      <c r="D11" s="293">
        <f>C11</f>
        <v>1189.62</v>
      </c>
      <c r="E11" s="57"/>
      <c r="F11" s="294">
        <f>I11*N11 + FLOOR(I11/10,1)*'Weapon Specifics'!$D$88</f>
        <v>37543.95</v>
      </c>
      <c r="G11" s="89" t="s">
        <v>43</v>
      </c>
      <c r="H11" s="82" t="s">
        <v>43</v>
      </c>
      <c r="I11" s="84">
        <f t="shared" ref="I11:J11" si="9">I10</f>
        <v>379</v>
      </c>
      <c r="J11" s="84">
        <f t="shared" si="9"/>
        <v>616.5745856</v>
      </c>
      <c r="K11" s="85">
        <v>3.57</v>
      </c>
      <c r="L11" s="295">
        <f>13*1/450*60 + 13*1/600*60 + (I11-13*2)*1/720*60</f>
        <v>32.45</v>
      </c>
      <c r="M11" s="89">
        <f t="shared" ref="M11:N11" si="10">M10</f>
        <v>68</v>
      </c>
      <c r="N11" s="296">
        <f t="shared" si="10"/>
        <v>96</v>
      </c>
      <c r="O11" s="95"/>
    </row>
    <row r="12">
      <c r="A12" s="77" t="s">
        <v>418</v>
      </c>
      <c r="B12" s="91" t="s">
        <v>419</v>
      </c>
      <c r="C12" s="79">
        <f t="shared" ref="C12:C15" si="12">(G12)/(H12 * 1/J12 * 60/1)</f>
        <v>1566.11413</v>
      </c>
      <c r="D12" s="293">
        <f t="shared" ref="D12:D14" si="13">(G12)/((H12-1) * 1/J12 * 60/1 + K12)</f>
        <v>1098.706201</v>
      </c>
      <c r="E12" s="57"/>
      <c r="F12" s="294">
        <f t="shared" ref="F12:F13" si="14">I12*N12</f>
        <v>42488</v>
      </c>
      <c r="G12" s="79">
        <f>N12 * H12 + floor(H12/16,1) * (2681*1/1.15 + 37) </f>
        <v>12528.91304</v>
      </c>
      <c r="H12" s="82">
        <v>48.0</v>
      </c>
      <c r="I12" s="84">
        <f>'Reserves Data (Reference)'!D73</f>
        <v>376</v>
      </c>
      <c r="J12" s="84">
        <v>360.0</v>
      </c>
      <c r="K12" s="85">
        <v>3.57</v>
      </c>
      <c r="L12" s="295">
        <f t="shared" ref="L12:L15" si="15">timeToEmpty(H12,I12,J12,K12)</f>
        <v>86.32333333</v>
      </c>
      <c r="M12" s="89">
        <f t="shared" ref="M12:N12" si="11">M8</f>
        <v>78</v>
      </c>
      <c r="N12" s="296">
        <f t="shared" si="11"/>
        <v>113</v>
      </c>
      <c r="O12" s="95" t="s">
        <v>420</v>
      </c>
    </row>
    <row r="13">
      <c r="A13" s="77" t="s">
        <v>421</v>
      </c>
      <c r="B13" s="91" t="s">
        <v>419</v>
      </c>
      <c r="C13" s="79">
        <f t="shared" si="12"/>
        <v>1798.95</v>
      </c>
      <c r="D13" s="293">
        <f t="shared" si="13"/>
        <v>1262.052032</v>
      </c>
      <c r="E13" s="57"/>
      <c r="F13" s="294">
        <f t="shared" si="14"/>
        <v>48861.2</v>
      </c>
      <c r="G13" s="79">
        <f>N13 * H13 + floor(H13/16,1) * (2681 + 37) </f>
        <v>14391.6</v>
      </c>
      <c r="H13" s="82">
        <v>48.0</v>
      </c>
      <c r="I13" s="84">
        <f>I12</f>
        <v>376</v>
      </c>
      <c r="J13" s="84">
        <v>360.0</v>
      </c>
      <c r="K13" s="85">
        <v>3.57</v>
      </c>
      <c r="L13" s="295">
        <f t="shared" si="15"/>
        <v>86.32333333</v>
      </c>
      <c r="M13" s="89">
        <f t="shared" ref="M13:N13" si="16">M12*1.15</f>
        <v>89.7</v>
      </c>
      <c r="N13" s="296">
        <f t="shared" si="16"/>
        <v>129.95</v>
      </c>
      <c r="O13" s="95" t="s">
        <v>422</v>
      </c>
    </row>
    <row r="14">
      <c r="A14" s="77"/>
      <c r="B14" s="91" t="s">
        <v>423</v>
      </c>
      <c r="C14" s="79">
        <f t="shared" si="12"/>
        <v>1362</v>
      </c>
      <c r="D14" s="293">
        <f t="shared" si="13"/>
        <v>925.0783699</v>
      </c>
      <c r="E14" s="57"/>
      <c r="F14" s="294">
        <f t="shared" ref="F14:F15" si="17">I14*M14</f>
        <v>19749</v>
      </c>
      <c r="G14" s="79">
        <f t="shared" ref="G14:G15" si="18">M14 * H14</f>
        <v>8853</v>
      </c>
      <c r="H14" s="82">
        <v>13.0</v>
      </c>
      <c r="I14" s="84">
        <f>'Reserves Data (Reference)'!D74</f>
        <v>29</v>
      </c>
      <c r="J14" s="84">
        <v>120.0</v>
      </c>
      <c r="K14" s="85">
        <v>3.57</v>
      </c>
      <c r="L14" s="295">
        <f t="shared" si="15"/>
        <v>20.14</v>
      </c>
      <c r="M14" s="89">
        <f>138+543</f>
        <v>681</v>
      </c>
      <c r="N14" s="296" t="s">
        <v>60</v>
      </c>
      <c r="O14" s="95" t="s">
        <v>424</v>
      </c>
    </row>
    <row r="15">
      <c r="A15" s="77" t="s">
        <v>425</v>
      </c>
      <c r="B15" s="91" t="s">
        <v>426</v>
      </c>
      <c r="C15" s="79">
        <f t="shared" si="12"/>
        <v>898.3333333</v>
      </c>
      <c r="D15" s="293">
        <f>(G15)/(0.8 + (H15-1) * 1/J15 * 60/1 + K15)</f>
        <v>683.5764109</v>
      </c>
      <c r="E15" s="57"/>
      <c r="F15" s="294">
        <f t="shared" si="17"/>
        <v>31262</v>
      </c>
      <c r="G15" s="79">
        <f t="shared" si="18"/>
        <v>10780</v>
      </c>
      <c r="H15" s="82">
        <v>20.0</v>
      </c>
      <c r="I15" s="84">
        <f>'Reserves Data (Reference)'!D75</f>
        <v>58</v>
      </c>
      <c r="J15" s="84">
        <v>100.0</v>
      </c>
      <c r="K15" s="85">
        <v>3.57</v>
      </c>
      <c r="L15" s="295">
        <f t="shared" si="15"/>
        <v>40.14</v>
      </c>
      <c r="M15" s="89">
        <v>539.0</v>
      </c>
      <c r="N15" s="296" t="s">
        <v>60</v>
      </c>
      <c r="O15" s="112" t="s">
        <v>424</v>
      </c>
    </row>
    <row r="16">
      <c r="A16" s="77" t="s">
        <v>427</v>
      </c>
      <c r="B16" s="91" t="s">
        <v>426</v>
      </c>
      <c r="C16" s="79">
        <f>(('Weapon Specifics'!$D$89)*20)/(1.4)</f>
        <v>855</v>
      </c>
      <c r="D16" s="296">
        <f>(G16)/(0.8 + (H15-1) * 1/J16 * 60/1 + 0.8 + 1.4 + K16)</f>
        <v>666.4997218</v>
      </c>
      <c r="E16" s="57"/>
      <c r="F16" s="294">
        <f>I15*M16 + I15*('Weapon Specifics'!$D$89)</f>
        <v>34733.3</v>
      </c>
      <c r="G16" s="89">
        <f>M16 * H15 + H15 * ('Weapon Specifics'!$D$89)</f>
        <v>11977</v>
      </c>
      <c r="H16" s="82">
        <f t="shared" ref="H16:K16" si="19">H15</f>
        <v>20</v>
      </c>
      <c r="I16" s="84">
        <f t="shared" si="19"/>
        <v>58</v>
      </c>
      <c r="J16" s="84">
        <f t="shared" si="19"/>
        <v>100</v>
      </c>
      <c r="K16" s="85">
        <f t="shared" si="19"/>
        <v>3.57</v>
      </c>
      <c r="L16" s="295">
        <f>timeToEmpty(H15,I15,J16,K16) + ceiling(I15/20,1)*0.8 + ceiling(I15/20,1)*0.8 + I15*(1.4/20)</f>
        <v>49</v>
      </c>
      <c r="M16" s="89">
        <f>M15</f>
        <v>539</v>
      </c>
      <c r="N16" s="296" t="s">
        <v>60</v>
      </c>
      <c r="O16" s="95" t="s">
        <v>428</v>
      </c>
    </row>
    <row r="17">
      <c r="A17" s="65" t="s">
        <v>429</v>
      </c>
      <c r="B17" s="66" t="s">
        <v>42</v>
      </c>
      <c r="C17" s="67">
        <f t="shared" ref="C17:C24" si="20">(G17)/(H17 * 1/J17 * 60/1)</f>
        <v>1535</v>
      </c>
      <c r="D17" s="286">
        <f t="shared" ref="D17:D20" si="21">(G17)/((H17-1) * 1/J17 * 60/1 + K17)</f>
        <v>1040.677966</v>
      </c>
      <c r="E17" s="57"/>
      <c r="F17" s="287">
        <f t="shared" ref="F17:F23" si="22">I17*M17</f>
        <v>18420</v>
      </c>
      <c r="G17" s="70">
        <f t="shared" ref="G17:G22" si="23">M17 * H17</f>
        <v>4912</v>
      </c>
      <c r="H17" s="71">
        <v>8.0</v>
      </c>
      <c r="I17" s="73">
        <f>'Reserves Data (Reference)'!D76</f>
        <v>30</v>
      </c>
      <c r="J17" s="73">
        <v>150.0</v>
      </c>
      <c r="K17" s="74">
        <v>1.92</v>
      </c>
      <c r="L17" s="288">
        <f t="shared" ref="L17:L20" si="24">timeToEmpty(H17,I17,J17,K17)</f>
        <v>16.16</v>
      </c>
      <c r="M17" s="67">
        <f>450+164</f>
        <v>614</v>
      </c>
      <c r="N17" s="289" t="s">
        <v>60</v>
      </c>
    </row>
    <row r="18">
      <c r="A18" s="96" t="s">
        <v>323</v>
      </c>
      <c r="B18" s="78" t="s">
        <v>42</v>
      </c>
      <c r="C18" s="197">
        <f t="shared" si="20"/>
        <v>2558.333333</v>
      </c>
      <c r="D18" s="290">
        <f t="shared" si="21"/>
        <v>1364.444444</v>
      </c>
      <c r="E18" s="57"/>
      <c r="F18" s="291">
        <f t="shared" si="22"/>
        <v>18420</v>
      </c>
      <c r="G18" s="197">
        <f t="shared" si="23"/>
        <v>4912</v>
      </c>
      <c r="H18" s="101">
        <v>8.0</v>
      </c>
      <c r="I18" s="103">
        <f>I17</f>
        <v>30</v>
      </c>
      <c r="J18" s="103">
        <f>J17/0.6</f>
        <v>250</v>
      </c>
      <c r="K18" s="201">
        <v>1.92</v>
      </c>
      <c r="L18" s="292">
        <f t="shared" si="24"/>
        <v>12</v>
      </c>
      <c r="M18" s="98">
        <f>M17</f>
        <v>614</v>
      </c>
      <c r="N18" s="231" t="s">
        <v>60</v>
      </c>
    </row>
    <row r="19">
      <c r="A19" s="96"/>
      <c r="B19" s="78" t="s">
        <v>44</v>
      </c>
      <c r="C19" s="197">
        <f t="shared" si="20"/>
        <v>1444</v>
      </c>
      <c r="D19" s="290">
        <f t="shared" si="21"/>
        <v>1035.125448</v>
      </c>
      <c r="E19" s="57"/>
      <c r="F19" s="291">
        <f t="shared" si="22"/>
        <v>18772</v>
      </c>
      <c r="G19" s="197">
        <f t="shared" si="23"/>
        <v>5776</v>
      </c>
      <c r="H19" s="101">
        <v>8.0</v>
      </c>
      <c r="I19" s="103">
        <f>'Reserves Data (Reference)'!D77</f>
        <v>26</v>
      </c>
      <c r="J19" s="103">
        <v>120.0</v>
      </c>
      <c r="K19" s="201">
        <v>2.08</v>
      </c>
      <c r="L19" s="292">
        <f t="shared" si="24"/>
        <v>17.24</v>
      </c>
      <c r="M19" s="98">
        <f>535+187</f>
        <v>722</v>
      </c>
      <c r="N19" s="231" t="s">
        <v>60</v>
      </c>
    </row>
    <row r="20">
      <c r="A20" s="77" t="s">
        <v>323</v>
      </c>
      <c r="B20" s="78" t="s">
        <v>44</v>
      </c>
      <c r="C20" s="79">
        <f t="shared" si="20"/>
        <v>2406.666667</v>
      </c>
      <c r="D20" s="293">
        <f t="shared" si="21"/>
        <v>1381.818182</v>
      </c>
      <c r="E20" s="57"/>
      <c r="F20" s="294">
        <f t="shared" si="22"/>
        <v>18772</v>
      </c>
      <c r="G20" s="79">
        <f t="shared" si="23"/>
        <v>5776</v>
      </c>
      <c r="H20" s="82">
        <v>8.0</v>
      </c>
      <c r="I20" s="84">
        <f>I19</f>
        <v>26</v>
      </c>
      <c r="J20" s="84">
        <f>J19/0.6</f>
        <v>200</v>
      </c>
      <c r="K20" s="85">
        <v>2.08</v>
      </c>
      <c r="L20" s="295">
        <f t="shared" si="24"/>
        <v>12.84</v>
      </c>
      <c r="M20" s="89">
        <f>M19</f>
        <v>722</v>
      </c>
      <c r="N20" s="296" t="s">
        <v>60</v>
      </c>
    </row>
    <row r="21">
      <c r="A21" s="77"/>
      <c r="B21" s="78" t="s">
        <v>430</v>
      </c>
      <c r="C21" s="79">
        <f t="shared" si="20"/>
        <v>1460</v>
      </c>
      <c r="D21" s="293">
        <f t="shared" ref="D21:D22" si="25">(G21)/(H21 * 1/J21 * 60/1 + K21)</f>
        <v>902.8268551</v>
      </c>
      <c r="E21" s="57"/>
      <c r="F21" s="294">
        <f t="shared" si="22"/>
        <v>18980</v>
      </c>
      <c r="G21" s="79">
        <f t="shared" si="23"/>
        <v>5110</v>
      </c>
      <c r="H21" s="82">
        <v>7.0</v>
      </c>
      <c r="I21" s="84">
        <f>'Reserves Data (Reference)'!D78</f>
        <v>26</v>
      </c>
      <c r="J21" s="84">
        <v>120.0</v>
      </c>
      <c r="K21" s="85">
        <v>2.16</v>
      </c>
      <c r="L21" s="295">
        <f t="shared" ref="L21:L22" si="27">I21*1/J21*60/1 + Floor(I21/H21,1) * K21</f>
        <v>19.48</v>
      </c>
      <c r="M21" s="89">
        <v>730.0</v>
      </c>
      <c r="N21" s="296" t="s">
        <v>60</v>
      </c>
    </row>
    <row r="22">
      <c r="A22" s="77" t="s">
        <v>323</v>
      </c>
      <c r="B22" s="78" t="s">
        <v>430</v>
      </c>
      <c r="C22" s="79">
        <f t="shared" si="20"/>
        <v>2433.333333</v>
      </c>
      <c r="D22" s="293">
        <f t="shared" si="25"/>
        <v>1199.530516</v>
      </c>
      <c r="E22" s="57"/>
      <c r="F22" s="294">
        <f t="shared" si="22"/>
        <v>18980</v>
      </c>
      <c r="G22" s="79">
        <f t="shared" si="23"/>
        <v>5110</v>
      </c>
      <c r="H22" s="82">
        <f t="shared" ref="H22:I22" si="26">H21</f>
        <v>7</v>
      </c>
      <c r="I22" s="84">
        <f t="shared" si="26"/>
        <v>26</v>
      </c>
      <c r="J22" s="84">
        <f>J21/0.6</f>
        <v>200</v>
      </c>
      <c r="K22" s="85">
        <f>K21</f>
        <v>2.16</v>
      </c>
      <c r="L22" s="295">
        <f t="shared" si="27"/>
        <v>14.28</v>
      </c>
      <c r="M22" s="89">
        <f>M21</f>
        <v>730</v>
      </c>
      <c r="N22" s="296" t="s">
        <v>60</v>
      </c>
      <c r="O22" s="95"/>
    </row>
    <row r="23">
      <c r="A23" s="77" t="s">
        <v>179</v>
      </c>
      <c r="B23" s="91" t="s">
        <v>431</v>
      </c>
      <c r="C23" s="79">
        <f t="shared" si="20"/>
        <v>1694</v>
      </c>
      <c r="D23" s="293">
        <f t="shared" ref="D23:D24" si="29">(G23)/((H23-1) * 1/J23 * 60/1 + K23)</f>
        <v>948.1343284</v>
      </c>
      <c r="E23" s="57"/>
      <c r="F23" s="294">
        <f t="shared" si="22"/>
        <v>18480</v>
      </c>
      <c r="G23" s="79">
        <f>M23*H23</f>
        <v>3696</v>
      </c>
      <c r="H23" s="82">
        <f t="shared" ref="H23:L23" si="28">H24</f>
        <v>6</v>
      </c>
      <c r="I23" s="84">
        <f t="shared" si="28"/>
        <v>30</v>
      </c>
      <c r="J23" s="84">
        <f t="shared" si="28"/>
        <v>165</v>
      </c>
      <c r="K23" s="85">
        <f t="shared" si="28"/>
        <v>2.08</v>
      </c>
      <c r="L23" s="295">
        <f t="shared" si="28"/>
        <v>17.41090909</v>
      </c>
      <c r="M23" s="89">
        <f>187+429</f>
        <v>616</v>
      </c>
      <c r="N23" s="296" t="s">
        <v>60</v>
      </c>
      <c r="O23" s="95" t="s">
        <v>432</v>
      </c>
    </row>
    <row r="24">
      <c r="A24" s="77" t="s">
        <v>179</v>
      </c>
      <c r="B24" s="91" t="s">
        <v>431</v>
      </c>
      <c r="C24" s="79">
        <f t="shared" si="20"/>
        <v>2915</v>
      </c>
      <c r="D24" s="293">
        <f t="shared" si="29"/>
        <v>1631.529851</v>
      </c>
      <c r="E24" s="57"/>
      <c r="F24" s="294">
        <f>I24*(M24+'Weapon Specifics'!$D$4*3)</f>
        <v>31800</v>
      </c>
      <c r="G24" s="79">
        <f>(M24+'Weapon Specifics'!$D$4*3)*H24</f>
        <v>6360</v>
      </c>
      <c r="H24" s="82">
        <v>6.0</v>
      </c>
      <c r="I24" s="84">
        <f>'Reserves Data (Reference)'!D79</f>
        <v>30</v>
      </c>
      <c r="J24" s="84">
        <v>165.0</v>
      </c>
      <c r="K24" s="85">
        <v>2.08</v>
      </c>
      <c r="L24" s="295">
        <f>timeToEmpty(H24,I24,J24,K24)</f>
        <v>17.41090909</v>
      </c>
      <c r="M24" s="89">
        <f>M23 + 'Weapon Specifics'!D4*3</f>
        <v>838</v>
      </c>
      <c r="N24" s="296" t="s">
        <v>60</v>
      </c>
      <c r="O24" s="95" t="s">
        <v>433</v>
      </c>
    </row>
    <row r="25">
      <c r="A25" s="77" t="s">
        <v>434</v>
      </c>
      <c r="B25" s="91" t="s">
        <v>435</v>
      </c>
      <c r="C25" s="79">
        <f>(M26+'Weapon Specifics'!D5*10/0.5)/10</f>
        <v>145.9</v>
      </c>
      <c r="D25" s="293">
        <f t="shared" ref="D25:D26" si="30">C25</f>
        <v>145.9</v>
      </c>
      <c r="E25" s="57"/>
      <c r="F25" s="294">
        <f>I25*M25 + I25 * 10/0.5 * 'Weapon Specifics'!D5</f>
        <v>42311</v>
      </c>
      <c r="G25" s="79">
        <f>M25 * H25 + H25 * 10/0.5 * 'Weapon Specifics'!D5</f>
        <v>8754</v>
      </c>
      <c r="H25" s="82">
        <v>6.0</v>
      </c>
      <c r="I25" s="84">
        <f>'Reserves Data (Reference)'!D80</f>
        <v>29</v>
      </c>
      <c r="J25" s="84">
        <v>150.0</v>
      </c>
      <c r="K25" s="85">
        <v>2.08</v>
      </c>
      <c r="L25" s="295">
        <f>I25*10</f>
        <v>290</v>
      </c>
      <c r="M25" s="89">
        <v>19.0</v>
      </c>
      <c r="N25" s="296" t="s">
        <v>60</v>
      </c>
      <c r="O25" s="95" t="s">
        <v>436</v>
      </c>
    </row>
    <row r="26">
      <c r="A26" s="77" t="s">
        <v>437</v>
      </c>
      <c r="B26" s="91" t="s">
        <v>435</v>
      </c>
      <c r="C26" s="79">
        <f>(M26+'Weapon Specifics'!D6*10/0.5)/10</f>
        <v>963.9</v>
      </c>
      <c r="D26" s="293">
        <f t="shared" si="30"/>
        <v>963.9</v>
      </c>
      <c r="E26" s="57"/>
      <c r="F26" s="294">
        <f>I26*M26 + floor(I26/2,1) * 10/0.5 * 'Weapon Specifics'!D6 + mod(I26, 2) * 10/0.5 * 'Weapon Specifics'!D5</f>
        <v>136671</v>
      </c>
      <c r="G26" s="79">
        <f>M26 * H26 + H26/2 * 10/0.5 * 'Weapon Specifics'!D6</f>
        <v>28974</v>
      </c>
      <c r="H26" s="82">
        <v>6.0</v>
      </c>
      <c r="I26" s="84">
        <f>I25</f>
        <v>29</v>
      </c>
      <c r="J26" s="84">
        <v>150.0</v>
      </c>
      <c r="K26" s="85">
        <v>2.08</v>
      </c>
      <c r="L26" s="295">
        <f>FLOOR(I26/2,1) * 10 + mod(I26, 2) * 10</f>
        <v>150</v>
      </c>
      <c r="M26" s="89">
        <v>19.0</v>
      </c>
      <c r="N26" s="296" t="s">
        <v>60</v>
      </c>
      <c r="O26" s="95" t="s">
        <v>438</v>
      </c>
    </row>
    <row r="27">
      <c r="A27" s="77" t="s">
        <v>179</v>
      </c>
      <c r="B27" s="91" t="s">
        <v>439</v>
      </c>
      <c r="C27" s="79">
        <f t="shared" ref="C27:C28" si="31">(G27)/(H27 * 1/J27 * 60/1)</f>
        <v>1766.333333</v>
      </c>
      <c r="D27" s="293">
        <f>(G27)/((H27-1) * 1/J27 * 60/1 + K27)</f>
        <v>1192.125984</v>
      </c>
      <c r="E27" s="57"/>
      <c r="F27" s="294">
        <f t="shared" ref="F27:F28" si="32">I27*M27</f>
        <v>18925</v>
      </c>
      <c r="G27" s="79">
        <f t="shared" ref="G27:G28" si="33">M27 * H27</f>
        <v>6056</v>
      </c>
      <c r="H27" s="82">
        <v>8.0</v>
      </c>
      <c r="I27" s="84">
        <f>'Reserves Data (Reference)'!D81</f>
        <v>25</v>
      </c>
      <c r="J27" s="84">
        <v>140.0</v>
      </c>
      <c r="K27" s="85">
        <v>2.08</v>
      </c>
      <c r="L27" s="295">
        <f t="shared" ref="L27:L32" si="34">timeToEmpty(H27,I27,J27,K27)</f>
        <v>15.24</v>
      </c>
      <c r="M27" s="89">
        <f>715+42</f>
        <v>757</v>
      </c>
      <c r="N27" s="296" t="s">
        <v>60</v>
      </c>
    </row>
    <row r="28">
      <c r="A28" s="77"/>
      <c r="B28" s="97" t="s">
        <v>440</v>
      </c>
      <c r="C28" s="79">
        <f t="shared" si="31"/>
        <v>4064</v>
      </c>
      <c r="D28" s="290">
        <f>(G28)/(K28)</f>
        <v>976.9230769</v>
      </c>
      <c r="E28" s="57"/>
      <c r="F28" s="291">
        <f t="shared" si="32"/>
        <v>36576</v>
      </c>
      <c r="G28" s="197">
        <f t="shared" si="33"/>
        <v>2032</v>
      </c>
      <c r="H28" s="101">
        <v>1.0</v>
      </c>
      <c r="I28" s="103">
        <f>'Reserves Data (Reference)'!D82</f>
        <v>18</v>
      </c>
      <c r="J28" s="103">
        <v>120.0</v>
      </c>
      <c r="K28" s="201">
        <v>2.08</v>
      </c>
      <c r="L28" s="292">
        <f t="shared" si="34"/>
        <v>35.36</v>
      </c>
      <c r="M28" s="98">
        <f>543+1489</f>
        <v>2032</v>
      </c>
      <c r="N28" s="231" t="s">
        <v>60</v>
      </c>
    </row>
    <row r="29">
      <c r="A29" s="77" t="s">
        <v>441</v>
      </c>
      <c r="B29" s="97" t="s">
        <v>440</v>
      </c>
      <c r="C29" s="79">
        <f>C28</f>
        <v>4064</v>
      </c>
      <c r="D29" s="290">
        <f>(M29*(I29-1) + G29)/(K29 * (I29-1))</f>
        <v>1149.321267</v>
      </c>
      <c r="E29" s="57"/>
      <c r="F29" s="291">
        <f>(I29-1)*M29 + G29</f>
        <v>40640</v>
      </c>
      <c r="G29" s="197">
        <f>M29*(1+0.1*20)</f>
        <v>6096</v>
      </c>
      <c r="H29" s="101">
        <v>1.0</v>
      </c>
      <c r="I29" s="103">
        <f>I28</f>
        <v>18</v>
      </c>
      <c r="J29" s="103">
        <v>120.0</v>
      </c>
      <c r="K29" s="201">
        <v>2.08</v>
      </c>
      <c r="L29" s="292">
        <f t="shared" si="34"/>
        <v>35.36</v>
      </c>
      <c r="M29" s="98">
        <f>M28</f>
        <v>2032</v>
      </c>
      <c r="N29" s="231" t="s">
        <v>60</v>
      </c>
      <c r="O29" s="95" t="s">
        <v>442</v>
      </c>
    </row>
    <row r="30">
      <c r="A30" s="77" t="s">
        <v>443</v>
      </c>
      <c r="B30" s="97" t="s">
        <v>444</v>
      </c>
      <c r="C30" s="98">
        <f>(G30)/(H30 * 1/J30 * 60/1)</f>
        <v>1522</v>
      </c>
      <c r="D30" s="290">
        <f>(G30)/((H30-1) * 1/J30 * 60/1 + K30)</f>
        <v>1068.070175</v>
      </c>
      <c r="E30" s="57"/>
      <c r="F30" s="291">
        <f>I30*M30</f>
        <v>19025</v>
      </c>
      <c r="G30" s="197">
        <f>M30 * H30</f>
        <v>6088</v>
      </c>
      <c r="H30" s="101">
        <v>8.0</v>
      </c>
      <c r="I30" s="103">
        <f>'Reserves Data (Reference)'!D83</f>
        <v>25</v>
      </c>
      <c r="J30" s="103">
        <v>120.0</v>
      </c>
      <c r="K30" s="201">
        <v>2.2</v>
      </c>
      <c r="L30" s="292">
        <f t="shared" si="34"/>
        <v>17.1</v>
      </c>
      <c r="M30" s="98">
        <f>581+180</f>
        <v>761</v>
      </c>
      <c r="N30" s="231" t="s">
        <v>60</v>
      </c>
    </row>
    <row r="31">
      <c r="A31" s="77" t="s">
        <v>445</v>
      </c>
      <c r="B31" s="97" t="s">
        <v>444</v>
      </c>
      <c r="C31" s="98">
        <f>('Weapon Specifics'!$D$8*5 + 'Weapon Specifics'!$D$8*5 + 'Weapon Specifics'!$D$7)/(2 + 2 * 1/$J$30 * 60/1)</f>
        <v>672</v>
      </c>
      <c r="D31" s="290">
        <f t="shared" ref="D31:D36" si="35">C31</f>
        <v>672</v>
      </c>
      <c r="E31" s="57"/>
      <c r="F31" s="291">
        <f>('Weapon Specifics'!D8*5 + 'Weapon Specifics'!D8*5 + 'Weapon Specifics'!D7) * (floor(I31/2,1)) 
+ ('Elemental Effects'!$E$9 + 'Weapon Specifics'!D8*5 + 'Weapon Specifics'!D7) * mod(I31, 2)</f>
        <v>25609</v>
      </c>
      <c r="G31" s="98" t="s">
        <v>60</v>
      </c>
      <c r="H31" s="101">
        <v>8.0</v>
      </c>
      <c r="I31" s="103">
        <f t="shared" ref="I31:I32" si="36">I30</f>
        <v>25</v>
      </c>
      <c r="J31" s="103">
        <f t="shared" ref="J31:J32" si="37">1/(1000/1000*1/60)</f>
        <v>60</v>
      </c>
      <c r="K31" s="201">
        <v>2.2</v>
      </c>
      <c r="L31" s="292">
        <f t="shared" si="34"/>
        <v>27.6</v>
      </c>
      <c r="M31" s="98">
        <f>'Elemental Effects'!$E$7</f>
        <v>158</v>
      </c>
      <c r="N31" s="231" t="s">
        <v>60</v>
      </c>
      <c r="O31" s="95" t="s">
        <v>446</v>
      </c>
    </row>
    <row r="32">
      <c r="A32" s="77" t="s">
        <v>445</v>
      </c>
      <c r="B32" s="97" t="s">
        <v>444</v>
      </c>
      <c r="C32" s="98">
        <f>('Weapon Specifics'!$D$9*5+'Elemental Effects'!$E$9)/(1+1/$J$30*60)</f>
        <v>390.6666667</v>
      </c>
      <c r="D32" s="231">
        <f t="shared" si="35"/>
        <v>390.6666667</v>
      </c>
      <c r="E32" s="57"/>
      <c r="F32" s="291">
        <f>('Weapon Specifics'!$D$9*5+'Elemental Effects'!$E$9)*I32</f>
        <v>14650</v>
      </c>
      <c r="G32" s="98" t="s">
        <v>60</v>
      </c>
      <c r="H32" s="101">
        <v>8.0</v>
      </c>
      <c r="I32" s="103">
        <f t="shared" si="36"/>
        <v>25</v>
      </c>
      <c r="J32" s="103">
        <f t="shared" si="37"/>
        <v>60</v>
      </c>
      <c r="K32" s="201">
        <v>2.2</v>
      </c>
      <c r="L32" s="292">
        <f t="shared" si="34"/>
        <v>27.6</v>
      </c>
      <c r="M32" s="98">
        <f>'Elemental Effects'!$E$7</f>
        <v>158</v>
      </c>
      <c r="N32" s="231" t="s">
        <v>60</v>
      </c>
      <c r="O32" s="95" t="s">
        <v>447</v>
      </c>
    </row>
    <row r="33">
      <c r="A33" s="96" t="s">
        <v>448</v>
      </c>
      <c r="B33" s="97" t="s">
        <v>444</v>
      </c>
      <c r="C33" s="98">
        <f>(M33 + 'Elemental Effects'!$E$9 + 'Weapon Specifics'!$D$8*5) / (1 + 0.5 + 1/J30*60)</f>
        <v>1156</v>
      </c>
      <c r="D33" s="90">
        <f t="shared" si="35"/>
        <v>1156</v>
      </c>
      <c r="E33" s="57"/>
      <c r="F33" s="291">
        <f>('Weapon Specifics'!D8*5 + 'Elemental Effects'!$E$9 + M33) * Floor(I33/2,1) 
+ ('Weapon Specifics'!D8*5 + 'Elemental Effects'!$E$9) * mod(I33, 2)</f>
        <v>29065</v>
      </c>
      <c r="G33" s="98" t="s">
        <v>60</v>
      </c>
      <c r="H33" s="101">
        <v>8.0</v>
      </c>
      <c r="I33" s="103">
        <f>I30</f>
        <v>25</v>
      </c>
      <c r="J33" s="103">
        <f t="shared" ref="J33:K33" si="38">J31</f>
        <v>60</v>
      </c>
      <c r="K33" s="201">
        <f t="shared" si="38"/>
        <v>2.2</v>
      </c>
      <c r="L33" s="292">
        <f>I33/2 * 2/(1 + 1*1/J30*60)</f>
        <v>16.66666667</v>
      </c>
      <c r="M33" s="98">
        <f>247+744</f>
        <v>991</v>
      </c>
      <c r="N33" s="231" t="s">
        <v>60</v>
      </c>
      <c r="O33" s="95" t="s">
        <v>449</v>
      </c>
    </row>
    <row r="34">
      <c r="A34" s="77" t="s">
        <v>450</v>
      </c>
      <c r="B34" s="97" t="s">
        <v>444</v>
      </c>
      <c r="C34" s="98">
        <f>('Elemental Effects'!$E$9 + ('Weapon Specifics'!$D$8+'Elemental Effects'!$E$8)*5+('Weapon Specifics'!$D$8+'Elemental Effects'!$E$8)*5 + 'Weapon Specifics'!$D$7)/(2 + 1/J34 * 60/1)</f>
        <v>869</v>
      </c>
      <c r="D34" s="290">
        <f t="shared" si="35"/>
        <v>869</v>
      </c>
      <c r="E34" s="57"/>
      <c r="F34" s="291">
        <f>('Elemental Effects'!$E$9 + ('Weapon Specifics'!D8+'Elemental Effects'!$E$8)*5 + ('Weapon Specifics'!D8+'Elemental Effects'!$E$8)*5 + 'Weapon Specifics'!D7) * (floor(I34/2,1)) 
+ ('Elemental Effects'!$E$9+('Weapon Specifics'!D8+'Elemental Effects'!$E$8)*5 + 'Weapon Specifics'!D7) * mod(I34, 2)</f>
        <v>32816</v>
      </c>
      <c r="G34" s="98" t="s">
        <v>60</v>
      </c>
      <c r="H34" s="101">
        <v>8.0</v>
      </c>
      <c r="I34" s="103">
        <f t="shared" ref="I34:I35" si="39">I33</f>
        <v>25</v>
      </c>
      <c r="J34" s="103">
        <f t="shared" ref="J34:J35" si="40">1/(1000/1000*1/60)</f>
        <v>60</v>
      </c>
      <c r="K34" s="201">
        <v>2.2</v>
      </c>
      <c r="L34" s="292">
        <f t="shared" ref="L34:L35" si="41">timeToEmpty(H34,I34,J34,K34)</f>
        <v>27.6</v>
      </c>
      <c r="M34" s="98">
        <f t="shared" ref="M34:M36" si="42">M31</f>
        <v>158</v>
      </c>
      <c r="N34" s="231" t="s">
        <v>60</v>
      </c>
      <c r="O34" s="95" t="s">
        <v>451</v>
      </c>
    </row>
    <row r="35">
      <c r="A35" s="77" t="s">
        <v>450</v>
      </c>
      <c r="B35" s="97" t="s">
        <v>444</v>
      </c>
      <c r="C35" s="98">
        <f>(('Weapon Specifics'!$D$9 + 'Elemental Effects'!$E$8)*5+'Elemental Effects'!$E$9)/(1+1/$J$30*60)</f>
        <v>467.3333333</v>
      </c>
      <c r="D35" s="231">
        <f t="shared" si="35"/>
        <v>467.3333333</v>
      </c>
      <c r="E35" s="57"/>
      <c r="F35" s="291">
        <f>(('Weapon Specifics'!$D$9 + 'Elemental Effects'!$E$8)*5+'Elemental Effects'!$E$9)*I35</f>
        <v>17525</v>
      </c>
      <c r="G35" s="98" t="s">
        <v>60</v>
      </c>
      <c r="H35" s="101">
        <v>8.0</v>
      </c>
      <c r="I35" s="103">
        <f t="shared" si="39"/>
        <v>25</v>
      </c>
      <c r="J35" s="103">
        <f t="shared" si="40"/>
        <v>60</v>
      </c>
      <c r="K35" s="201">
        <v>2.2</v>
      </c>
      <c r="L35" s="292">
        <f t="shared" si="41"/>
        <v>27.6</v>
      </c>
      <c r="M35" s="98">
        <f t="shared" si="42"/>
        <v>158</v>
      </c>
      <c r="N35" s="231" t="s">
        <v>60</v>
      </c>
      <c r="O35" s="95" t="s">
        <v>452</v>
      </c>
    </row>
    <row r="36">
      <c r="A36" s="96" t="s">
        <v>453</v>
      </c>
      <c r="B36" s="97" t="s">
        <v>444</v>
      </c>
      <c r="C36" s="98">
        <f>(M36 + 'Elemental Effects'!$E$9 + ('Weapon Specifics'!D8+'Elemental Effects'!$E$8)*5) / (1 + 1/J33*60 + 0.5)</f>
        <v>970.8</v>
      </c>
      <c r="D36" s="90">
        <f t="shared" si="35"/>
        <v>970.8</v>
      </c>
      <c r="E36" s="57"/>
      <c r="F36" s="291">
        <f>(M36 + ('Weapon Specifics'!D8+'Elemental Effects'!$E$8)*5+'Elemental Effects'!$E$9) * Floor(I36/2,1) + mod(I36, 2) * (('Weapon Specifics'!D8+'Elemental Effects'!$E$8)*5+'Elemental Effects'!$E$9)</f>
        <v>30560</v>
      </c>
      <c r="G36" s="98" t="s">
        <v>60</v>
      </c>
      <c r="H36" s="101">
        <v>8.0</v>
      </c>
      <c r="I36" s="103">
        <f>I33</f>
        <v>25</v>
      </c>
      <c r="J36" s="103">
        <f t="shared" ref="J36:K36" si="43">J34</f>
        <v>60</v>
      </c>
      <c r="K36" s="201">
        <f t="shared" si="43"/>
        <v>2.2</v>
      </c>
      <c r="L36" s="292">
        <f>I36/2 * 2/(1 + 1*1/J33*60)</f>
        <v>12.5</v>
      </c>
      <c r="M36" s="98">
        <f t="shared" si="42"/>
        <v>991</v>
      </c>
      <c r="N36" s="231" t="s">
        <v>60</v>
      </c>
      <c r="O36" s="95" t="s">
        <v>454</v>
      </c>
    </row>
    <row r="37">
      <c r="A37" s="65" t="s">
        <v>455</v>
      </c>
      <c r="B37" s="66" t="s">
        <v>82</v>
      </c>
      <c r="C37" s="67">
        <f t="shared" ref="C37:C50" si="44">(G37)/(H37 * 1/J37 * 60/1)</f>
        <v>2294.875</v>
      </c>
      <c r="D37" s="286">
        <f t="shared" ref="D37:D38" si="45">(M37)/(K37)</f>
        <v>781.2340426</v>
      </c>
      <c r="E37" s="57"/>
      <c r="F37" s="287">
        <f t="shared" ref="F37:F52" si="46">I37*M37</f>
        <v>16523.1</v>
      </c>
      <c r="G37" s="70">
        <f t="shared" ref="G37:G60" si="47">M37 * H37</f>
        <v>1835.9</v>
      </c>
      <c r="H37" s="71">
        <v>1.0</v>
      </c>
      <c r="I37" s="73">
        <f>'Reserves Data (Reference)'!D84</f>
        <v>9</v>
      </c>
      <c r="J37" s="73">
        <f>1/0.8*60</f>
        <v>75</v>
      </c>
      <c r="K37" s="74">
        <v>2.35</v>
      </c>
      <c r="L37" s="288">
        <f>timeToEmpty(H37,I37,J37,K37)</f>
        <v>18.8</v>
      </c>
      <c r="M37" s="67">
        <f>(1397+399*1.1)</f>
        <v>1835.9</v>
      </c>
      <c r="N37" s="289" t="s">
        <v>60</v>
      </c>
      <c r="O37" s="95" t="s">
        <v>456</v>
      </c>
    </row>
    <row r="38">
      <c r="A38" s="96" t="s">
        <v>457</v>
      </c>
      <c r="B38" s="78" t="s">
        <v>82</v>
      </c>
      <c r="C38" s="98">
        <f t="shared" si="44"/>
        <v>2894.875</v>
      </c>
      <c r="D38" s="290">
        <f t="shared" si="45"/>
        <v>985.4893617</v>
      </c>
      <c r="E38" s="57"/>
      <c r="F38" s="291">
        <f t="shared" si="46"/>
        <v>20843.1</v>
      </c>
      <c r="G38" s="197">
        <f t="shared" si="47"/>
        <v>2315.9</v>
      </c>
      <c r="H38" s="101">
        <v>1.0</v>
      </c>
      <c r="I38" s="103">
        <f t="shared" ref="I38:J38" si="48">I37</f>
        <v>9</v>
      </c>
      <c r="J38" s="103">
        <f t="shared" si="48"/>
        <v>75</v>
      </c>
      <c r="K38" s="201">
        <v>2.35</v>
      </c>
      <c r="L38" s="292">
        <f>L37</f>
        <v>18.8</v>
      </c>
      <c r="M38" s="98">
        <f>M37 + ('Weapon Specifics'!$D$92)*8</f>
        <v>2315.9</v>
      </c>
      <c r="N38" s="231" t="s">
        <v>60</v>
      </c>
    </row>
    <row r="39">
      <c r="A39" s="96" t="s">
        <v>458</v>
      </c>
      <c r="B39" s="78" t="s">
        <v>82</v>
      </c>
      <c r="C39" s="98">
        <f t="shared" si="44"/>
        <v>1721.15625</v>
      </c>
      <c r="D39" s="290">
        <f t="shared" ref="D39:D40" si="49">(G39)/((H39-1) * 1/J39 * 60/1 + K39)</f>
        <v>874.2380952</v>
      </c>
      <c r="E39" s="57"/>
      <c r="F39" s="291">
        <f t="shared" si="46"/>
        <v>19276.95</v>
      </c>
      <c r="G39" s="197">
        <f t="shared" si="47"/>
        <v>2753.85</v>
      </c>
      <c r="H39" s="101">
        <v>2.0</v>
      </c>
      <c r="I39" s="103">
        <f>'Reserves Data (Reference)'!D85</f>
        <v>14</v>
      </c>
      <c r="J39" s="103">
        <f>J37</f>
        <v>75</v>
      </c>
      <c r="K39" s="201">
        <v>2.35</v>
      </c>
      <c r="L39" s="292">
        <f>timeToEmpty(H39,I39,J39,K39)</f>
        <v>19.7</v>
      </c>
      <c r="M39" s="98">
        <f>M37*(1-0.25)</f>
        <v>1376.925</v>
      </c>
      <c r="N39" s="231" t="s">
        <v>60</v>
      </c>
    </row>
    <row r="40">
      <c r="A40" s="96" t="s">
        <v>459</v>
      </c>
      <c r="B40" s="78" t="s">
        <v>82</v>
      </c>
      <c r="C40" s="98">
        <f t="shared" si="44"/>
        <v>2321.15625</v>
      </c>
      <c r="D40" s="290">
        <f t="shared" si="49"/>
        <v>1179</v>
      </c>
      <c r="E40" s="57"/>
      <c r="F40" s="291">
        <f t="shared" si="46"/>
        <v>25996.95</v>
      </c>
      <c r="G40" s="197">
        <f t="shared" si="47"/>
        <v>3713.85</v>
      </c>
      <c r="H40" s="101">
        <v>2.0</v>
      </c>
      <c r="I40" s="103">
        <f>I39</f>
        <v>14</v>
      </c>
      <c r="J40" s="103">
        <f>J37</f>
        <v>75</v>
      </c>
      <c r="K40" s="201">
        <v>2.35</v>
      </c>
      <c r="L40" s="292">
        <f>L39</f>
        <v>19.7</v>
      </c>
      <c r="M40" s="98">
        <f>M39 + ('Weapon Specifics'!$D$92)*8</f>
        <v>1856.925</v>
      </c>
      <c r="N40" s="231" t="s">
        <v>60</v>
      </c>
    </row>
    <row r="41">
      <c r="A41" s="96"/>
      <c r="B41" s="78" t="s">
        <v>44</v>
      </c>
      <c r="C41" s="98">
        <f t="shared" si="44"/>
        <v>2086.25</v>
      </c>
      <c r="D41" s="290">
        <f t="shared" ref="D41:D43" si="50">(M41)/(K41)</f>
        <v>781.2340426</v>
      </c>
      <c r="E41" s="57"/>
      <c r="F41" s="291">
        <f t="shared" si="46"/>
        <v>16523.1</v>
      </c>
      <c r="G41" s="197">
        <f t="shared" si="47"/>
        <v>1835.9</v>
      </c>
      <c r="H41" s="101">
        <v>1.0</v>
      </c>
      <c r="I41" s="103">
        <f>'Reserves Data (Reference)'!D86</f>
        <v>9</v>
      </c>
      <c r="J41" s="103">
        <f>1/0.88*60</f>
        <v>68.18181818</v>
      </c>
      <c r="K41" s="201">
        <v>2.35</v>
      </c>
      <c r="L41" s="292">
        <f t="shared" ref="L41:L42" si="51">timeToEmpty(H41,I41,J41,K41)</f>
        <v>18.8</v>
      </c>
      <c r="M41" s="98">
        <f>M37</f>
        <v>1835.9</v>
      </c>
      <c r="N41" s="231" t="s">
        <v>60</v>
      </c>
      <c r="O41" s="95" t="s">
        <v>456</v>
      </c>
    </row>
    <row r="42">
      <c r="A42" s="77"/>
      <c r="B42" s="78" t="s">
        <v>47</v>
      </c>
      <c r="C42" s="89">
        <f t="shared" si="44"/>
        <v>1720.721649</v>
      </c>
      <c r="D42" s="293">
        <f t="shared" si="50"/>
        <v>710.2553191</v>
      </c>
      <c r="E42" s="57"/>
      <c r="F42" s="294">
        <f t="shared" si="46"/>
        <v>18360.1</v>
      </c>
      <c r="G42" s="79">
        <f t="shared" si="47"/>
        <v>1669.1</v>
      </c>
      <c r="H42" s="82">
        <v>1.0</v>
      </c>
      <c r="I42" s="84">
        <f>'Reserves Data (Reference)'!D88</f>
        <v>11</v>
      </c>
      <c r="J42" s="84">
        <f>1/0.97*60</f>
        <v>61.8556701</v>
      </c>
      <c r="K42" s="85">
        <v>2.35</v>
      </c>
      <c r="L42" s="295">
        <f t="shared" si="51"/>
        <v>23.5</v>
      </c>
      <c r="M42" s="89">
        <f>1481+171*1.1</f>
        <v>1669.1</v>
      </c>
      <c r="N42" s="296" t="s">
        <v>60</v>
      </c>
    </row>
    <row r="43">
      <c r="A43" s="96" t="s">
        <v>457</v>
      </c>
      <c r="B43" s="78" t="s">
        <v>47</v>
      </c>
      <c r="C43" s="98">
        <f t="shared" si="44"/>
        <v>2215.56701</v>
      </c>
      <c r="D43" s="290">
        <f t="shared" si="50"/>
        <v>914.5106383</v>
      </c>
      <c r="E43" s="57"/>
      <c r="F43" s="294">
        <f t="shared" si="46"/>
        <v>23640.1</v>
      </c>
      <c r="G43" s="79">
        <f t="shared" si="47"/>
        <v>2149.1</v>
      </c>
      <c r="H43" s="101">
        <f t="shared" ref="H43:I43" si="52">H42</f>
        <v>1</v>
      </c>
      <c r="I43" s="103">
        <f t="shared" si="52"/>
        <v>11</v>
      </c>
      <c r="J43" s="103">
        <f t="shared" ref="J43:J45" si="53">$J$42</f>
        <v>61.8556701</v>
      </c>
      <c r="K43" s="201">
        <f t="shared" ref="K43:K45" si="54">$K$42</f>
        <v>2.35</v>
      </c>
      <c r="L43" s="292">
        <f>L42</f>
        <v>23.5</v>
      </c>
      <c r="M43" s="98">
        <f>M42 + ('Weapon Specifics'!$D$92)*8</f>
        <v>2149.1</v>
      </c>
      <c r="N43" s="296" t="s">
        <v>60</v>
      </c>
    </row>
    <row r="44">
      <c r="A44" s="96" t="s">
        <v>458</v>
      </c>
      <c r="B44" s="78" t="s">
        <v>47</v>
      </c>
      <c r="C44" s="98">
        <f t="shared" si="44"/>
        <v>1290.541237</v>
      </c>
      <c r="D44" s="290">
        <f t="shared" ref="D44:D45" si="55">(G44)/((H44-1) * 1/J44 * 60/1 + K44)</f>
        <v>754.1114458</v>
      </c>
      <c r="E44" s="57"/>
      <c r="F44" s="294">
        <f t="shared" si="46"/>
        <v>20029.2</v>
      </c>
      <c r="G44" s="79">
        <f t="shared" si="47"/>
        <v>2503.65</v>
      </c>
      <c r="H44" s="101">
        <v>2.0</v>
      </c>
      <c r="I44" s="103">
        <f>'Reserves Data (Reference)'!D89</f>
        <v>16</v>
      </c>
      <c r="J44" s="103">
        <f t="shared" si="53"/>
        <v>61.8556701</v>
      </c>
      <c r="K44" s="201">
        <f t="shared" si="54"/>
        <v>2.35</v>
      </c>
      <c r="L44" s="292">
        <f>timeToEmpty(H44,I44,J44,K44)</f>
        <v>24.21</v>
      </c>
      <c r="M44" s="98">
        <f>M42*(1-0.25)</f>
        <v>1251.825</v>
      </c>
      <c r="N44" s="296" t="s">
        <v>60</v>
      </c>
    </row>
    <row r="45">
      <c r="A45" s="96" t="s">
        <v>459</v>
      </c>
      <c r="B45" s="78" t="s">
        <v>47</v>
      </c>
      <c r="C45" s="98">
        <f t="shared" si="44"/>
        <v>1785.386598</v>
      </c>
      <c r="D45" s="290">
        <f t="shared" si="55"/>
        <v>1043.268072</v>
      </c>
      <c r="E45" s="57"/>
      <c r="F45" s="294">
        <f t="shared" si="46"/>
        <v>27709.2</v>
      </c>
      <c r="G45" s="79">
        <f t="shared" si="47"/>
        <v>3463.65</v>
      </c>
      <c r="H45" s="101">
        <f t="shared" ref="H45:I45" si="56">H44</f>
        <v>2</v>
      </c>
      <c r="I45" s="103">
        <f t="shared" si="56"/>
        <v>16</v>
      </c>
      <c r="J45" s="103">
        <f t="shared" si="53"/>
        <v>61.8556701</v>
      </c>
      <c r="K45" s="201">
        <f t="shared" si="54"/>
        <v>2.35</v>
      </c>
      <c r="L45" s="292">
        <f>L44</f>
        <v>24.21</v>
      </c>
      <c r="M45" s="98">
        <f>M44 + ('Weapon Specifics'!$D$92)*8</f>
        <v>1731.825</v>
      </c>
      <c r="N45" s="296" t="s">
        <v>60</v>
      </c>
    </row>
    <row r="46">
      <c r="A46" s="77"/>
      <c r="B46" s="78" t="s">
        <v>46</v>
      </c>
      <c r="C46" s="89">
        <f t="shared" si="44"/>
        <v>1634.020619</v>
      </c>
      <c r="D46" s="293">
        <f t="shared" ref="D46:D47" si="57">(M46)/(K46)</f>
        <v>698.2378855</v>
      </c>
      <c r="E46" s="57"/>
      <c r="F46" s="294">
        <f t="shared" si="46"/>
        <v>17435</v>
      </c>
      <c r="G46" s="79">
        <f t="shared" si="47"/>
        <v>1585</v>
      </c>
      <c r="H46" s="82">
        <v>1.0</v>
      </c>
      <c r="I46" s="84">
        <f>'Reserves Data (Reference)'!D90</f>
        <v>11</v>
      </c>
      <c r="J46" s="84">
        <f>J42</f>
        <v>61.8556701</v>
      </c>
      <c r="K46" s="85">
        <v>2.27</v>
      </c>
      <c r="L46" s="295">
        <f>timeToEmpty(H46,I46,J46,K46)</f>
        <v>22.7</v>
      </c>
      <c r="M46" s="89">
        <f>1206+379</f>
        <v>1585</v>
      </c>
      <c r="N46" s="296" t="s">
        <v>60</v>
      </c>
    </row>
    <row r="47">
      <c r="A47" s="77" t="s">
        <v>457</v>
      </c>
      <c r="B47" s="78" t="s">
        <v>46</v>
      </c>
      <c r="C47" s="297">
        <f t="shared" si="44"/>
        <v>2128.865979</v>
      </c>
      <c r="D47" s="298">
        <f t="shared" si="57"/>
        <v>909.69163</v>
      </c>
      <c r="E47" s="57"/>
      <c r="F47" s="294">
        <f t="shared" si="46"/>
        <v>22715</v>
      </c>
      <c r="G47" s="79">
        <f t="shared" si="47"/>
        <v>2065</v>
      </c>
      <c r="H47" s="101">
        <f t="shared" ref="H47:I47" si="58">H46</f>
        <v>1</v>
      </c>
      <c r="I47" s="84">
        <f t="shared" si="58"/>
        <v>11</v>
      </c>
      <c r="J47" s="103">
        <f t="shared" ref="J47:J49" si="59">$J$46</f>
        <v>61.8556701</v>
      </c>
      <c r="K47" s="85">
        <f t="shared" ref="K47:K49" si="60">$K$46</f>
        <v>2.27</v>
      </c>
      <c r="L47" s="292">
        <f>L46</f>
        <v>22.7</v>
      </c>
      <c r="M47" s="98">
        <f>M46 + ('Weapon Specifics'!$D$92)*8</f>
        <v>2065</v>
      </c>
      <c r="N47" s="296" t="s">
        <v>60</v>
      </c>
    </row>
    <row r="48">
      <c r="A48" s="77" t="s">
        <v>458</v>
      </c>
      <c r="B48" s="78" t="s">
        <v>46</v>
      </c>
      <c r="C48" s="299">
        <f t="shared" si="44"/>
        <v>1225.515464</v>
      </c>
      <c r="D48" s="300">
        <f t="shared" ref="D48:D49" si="61">(G48)/((H48-1) * 1/J48 * 60/1 + K48)</f>
        <v>733.7962963</v>
      </c>
      <c r="E48" s="57"/>
      <c r="F48" s="294">
        <f t="shared" si="46"/>
        <v>19020</v>
      </c>
      <c r="G48" s="79">
        <f t="shared" si="47"/>
        <v>2377.5</v>
      </c>
      <c r="H48" s="101">
        <v>2.0</v>
      </c>
      <c r="I48" s="84">
        <f>'Reserves Data (Reference)'!D91</f>
        <v>16</v>
      </c>
      <c r="J48" s="103">
        <f t="shared" si="59"/>
        <v>61.8556701</v>
      </c>
      <c r="K48" s="85">
        <f t="shared" si="60"/>
        <v>2.27</v>
      </c>
      <c r="L48" s="292">
        <f>timeToEmpty(H48,I48,J48,K48)</f>
        <v>23.65</v>
      </c>
      <c r="M48" s="98">
        <f>M46*(1-0.25)</f>
        <v>1188.75</v>
      </c>
      <c r="N48" s="296" t="s">
        <v>60</v>
      </c>
    </row>
    <row r="49">
      <c r="A49" s="77" t="s">
        <v>459</v>
      </c>
      <c r="B49" s="78" t="s">
        <v>46</v>
      </c>
      <c r="C49" s="301">
        <f t="shared" si="44"/>
        <v>1720.360825</v>
      </c>
      <c r="D49" s="302">
        <f t="shared" si="61"/>
        <v>1030.092593</v>
      </c>
      <c r="E49" s="57"/>
      <c r="F49" s="294">
        <f t="shared" si="46"/>
        <v>26700</v>
      </c>
      <c r="G49" s="79">
        <f t="shared" si="47"/>
        <v>3337.5</v>
      </c>
      <c r="H49" s="101">
        <f t="shared" ref="H49:I49" si="62">H48</f>
        <v>2</v>
      </c>
      <c r="I49" s="84">
        <f t="shared" si="62"/>
        <v>16</v>
      </c>
      <c r="J49" s="103">
        <f t="shared" si="59"/>
        <v>61.8556701</v>
      </c>
      <c r="K49" s="85">
        <f t="shared" si="60"/>
        <v>2.27</v>
      </c>
      <c r="L49" s="292">
        <f>L48</f>
        <v>23.65</v>
      </c>
      <c r="M49" s="98">
        <f>M48 + ('Weapon Specifics'!$D$92)*8</f>
        <v>1668.75</v>
      </c>
      <c r="N49" s="296" t="s">
        <v>60</v>
      </c>
    </row>
    <row r="50">
      <c r="A50" s="77"/>
      <c r="B50" s="91" t="s">
        <v>460</v>
      </c>
      <c r="C50" s="89">
        <f t="shared" si="44"/>
        <v>3120</v>
      </c>
      <c r="D50" s="293">
        <f>(M50)/(K50 + 0.7)</f>
        <v>716.0655738</v>
      </c>
      <c r="E50" s="57"/>
      <c r="F50" s="294">
        <f t="shared" si="46"/>
        <v>17472</v>
      </c>
      <c r="G50" s="79">
        <f t="shared" si="47"/>
        <v>2184</v>
      </c>
      <c r="H50" s="82">
        <v>1.0</v>
      </c>
      <c r="I50" s="84">
        <f>'Reserves Data (Reference)'!D92</f>
        <v>8</v>
      </c>
      <c r="J50" s="84">
        <f>1/0.7*60</f>
        <v>85.71428571</v>
      </c>
      <c r="K50" s="85">
        <v>2.35</v>
      </c>
      <c r="L50" s="295">
        <f>timeToEmpty(H50,I50,J50,K50+0.7)</f>
        <v>21.35</v>
      </c>
      <c r="M50" s="89">
        <f>(254+19)*8</f>
        <v>2184</v>
      </c>
      <c r="N50" s="296" t="s">
        <v>60</v>
      </c>
    </row>
    <row r="51">
      <c r="A51" s="77"/>
      <c r="B51" s="91" t="s">
        <v>461</v>
      </c>
      <c r="C51" s="89" t="s">
        <v>60</v>
      </c>
      <c r="D51" s="293">
        <f>(M51)/(K51 + 0.22)</f>
        <v>826.459144</v>
      </c>
      <c r="E51" s="57"/>
      <c r="F51" s="294">
        <f t="shared" si="46"/>
        <v>21240</v>
      </c>
      <c r="G51" s="79">
        <f t="shared" si="47"/>
        <v>2124</v>
      </c>
      <c r="H51" s="82">
        <v>1.0</v>
      </c>
      <c r="I51" s="84">
        <f>'Reserves Data (Reference)'!D93</f>
        <v>10</v>
      </c>
      <c r="J51" s="84">
        <v>40.0</v>
      </c>
      <c r="K51" s="85">
        <v>2.35</v>
      </c>
      <c r="L51" s="295">
        <f t="shared" ref="L51:L54" si="64">timeToEmpty(H51,I51,J51,K51+0.33)</f>
        <v>24.12</v>
      </c>
      <c r="M51" s="89">
        <f>2*(236+826)</f>
        <v>2124</v>
      </c>
      <c r="N51" s="296" t="s">
        <v>60</v>
      </c>
      <c r="O51" s="95" t="s">
        <v>462</v>
      </c>
    </row>
    <row r="52">
      <c r="A52" s="96" t="s">
        <v>179</v>
      </c>
      <c r="B52" s="91" t="s">
        <v>461</v>
      </c>
      <c r="C52" s="89" t="s">
        <v>60</v>
      </c>
      <c r="D52" s="293">
        <f>(M52 + 'Elemental Effects'!$E$5)/(K52 + 0.44)</f>
        <v>865.1523297</v>
      </c>
      <c r="E52" s="57"/>
      <c r="F52" s="294">
        <f t="shared" si="46"/>
        <v>23137.75</v>
      </c>
      <c r="G52" s="79">
        <f t="shared" si="47"/>
        <v>2313.775</v>
      </c>
      <c r="H52" s="82">
        <v>1.0</v>
      </c>
      <c r="I52" s="84">
        <f t="shared" ref="I52:J52" si="63">I51</f>
        <v>10</v>
      </c>
      <c r="J52" s="84">
        <f t="shared" si="63"/>
        <v>40</v>
      </c>
      <c r="K52" s="85">
        <v>2.35</v>
      </c>
      <c r="L52" s="295">
        <f t="shared" si="64"/>
        <v>24.12</v>
      </c>
      <c r="M52" s="87">
        <f>M51+'Weapon Specifics'!$D$91 + 'Elemental Effects'!$E$5</f>
        <v>2313.775</v>
      </c>
      <c r="N52" s="296" t="s">
        <v>60</v>
      </c>
      <c r="O52" s="95" t="s">
        <v>463</v>
      </c>
    </row>
    <row r="53">
      <c r="A53" s="77"/>
      <c r="B53" s="91" t="s">
        <v>461</v>
      </c>
      <c r="C53" s="89" t="s">
        <v>60</v>
      </c>
      <c r="D53" s="293">
        <f>(M53)/(K53 + 0.22) + ('Elemental Effects'!$E$4)/((K53 + 0.22)*2) + 'Elemental Effects'!$E$13</f>
        <v>993.3331017</v>
      </c>
      <c r="E53" s="57"/>
      <c r="F53" s="294">
        <f>I53*M53+floor(I53/2,1)*'Elemental Effects'!$E$4</f>
        <v>24955</v>
      </c>
      <c r="G53" s="79">
        <f t="shared" si="47"/>
        <v>2124</v>
      </c>
      <c r="H53" s="82">
        <v>1.0</v>
      </c>
      <c r="I53" s="84">
        <f t="shared" ref="I53:J53" si="65">I51</f>
        <v>10</v>
      </c>
      <c r="J53" s="84">
        <f t="shared" si="65"/>
        <v>40</v>
      </c>
      <c r="K53" s="85">
        <v>2.35</v>
      </c>
      <c r="L53" s="295">
        <f t="shared" si="64"/>
        <v>24.12</v>
      </c>
      <c r="M53" s="89">
        <f t="shared" ref="M53:M54" si="67">M51</f>
        <v>2124</v>
      </c>
      <c r="N53" s="296" t="s">
        <v>60</v>
      </c>
      <c r="O53" s="95" t="s">
        <v>464</v>
      </c>
    </row>
    <row r="54">
      <c r="A54" s="96" t="s">
        <v>179</v>
      </c>
      <c r="B54" s="91" t="s">
        <v>461</v>
      </c>
      <c r="C54" s="89" t="s">
        <v>60</v>
      </c>
      <c r="D54" s="293">
        <f>(M54 + 'Elemental Effects'!$E$5)/(K54 + 0.44) + ('Elemental Effects'!$E$4)/((K54 + 0.44)*2) + 'Elemental Effects'!$E$13</f>
        <v>1020.62788</v>
      </c>
      <c r="E54" s="57"/>
      <c r="F54" s="294">
        <f>I54*M54+floor(I54/2,1)*'Elemental Effects'!$E$4</f>
        <v>26852.75</v>
      </c>
      <c r="G54" s="79">
        <f t="shared" si="47"/>
        <v>2313.775</v>
      </c>
      <c r="H54" s="82">
        <v>1.0</v>
      </c>
      <c r="I54" s="84">
        <f t="shared" ref="I54:J54" si="66">I51</f>
        <v>10</v>
      </c>
      <c r="J54" s="84">
        <f t="shared" si="66"/>
        <v>40</v>
      </c>
      <c r="K54" s="85">
        <v>2.35</v>
      </c>
      <c r="L54" s="295">
        <f t="shared" si="64"/>
        <v>24.12</v>
      </c>
      <c r="M54" s="87">
        <f t="shared" si="67"/>
        <v>2313.775</v>
      </c>
      <c r="N54" s="296" t="s">
        <v>60</v>
      </c>
      <c r="O54" s="95" t="s">
        <v>465</v>
      </c>
    </row>
    <row r="55">
      <c r="A55" s="77"/>
      <c r="B55" s="91" t="s">
        <v>466</v>
      </c>
      <c r="C55" s="89">
        <f t="shared" ref="C55:C56" si="68">(G55)/(H55 * 1/J55 * 60/1)</f>
        <v>2956.626506</v>
      </c>
      <c r="D55" s="293">
        <f>(M55)/(K55 + 0.83)</f>
        <v>771.6981132</v>
      </c>
      <c r="E55" s="57"/>
      <c r="F55" s="294">
        <f t="shared" ref="F55:F60" si="69">I55*M55</f>
        <v>24540</v>
      </c>
      <c r="G55" s="79">
        <f t="shared" si="47"/>
        <v>2454</v>
      </c>
      <c r="H55" s="82">
        <v>1.0</v>
      </c>
      <c r="I55" s="84">
        <f>'Reserves Data (Reference)'!D94</f>
        <v>10</v>
      </c>
      <c r="J55" s="84">
        <f>1/0.83*60</f>
        <v>72.28915663</v>
      </c>
      <c r="K55" s="85">
        <v>2.35</v>
      </c>
      <c r="L55" s="295">
        <f>timeToEmpty(H55,I55,J55,K55+0.9)</f>
        <v>29.25</v>
      </c>
      <c r="M55" s="89">
        <f>(409)*6</f>
        <v>2454</v>
      </c>
      <c r="N55" s="296" t="s">
        <v>60</v>
      </c>
    </row>
    <row r="56">
      <c r="A56" s="77" t="s">
        <v>467</v>
      </c>
      <c r="B56" s="91" t="s">
        <v>466</v>
      </c>
      <c r="C56" s="89">
        <f t="shared" si="68"/>
        <v>3695.783133</v>
      </c>
      <c r="D56" s="293">
        <f>(M56)/(K56 + 0.7)</f>
        <v>1005.737705</v>
      </c>
      <c r="E56" s="57"/>
      <c r="F56" s="294">
        <f t="shared" si="69"/>
        <v>30675</v>
      </c>
      <c r="G56" s="79">
        <f t="shared" si="47"/>
        <v>3067.5</v>
      </c>
      <c r="H56" s="82">
        <v>1.0</v>
      </c>
      <c r="I56" s="84">
        <f t="shared" ref="I56:K56" si="70">I55</f>
        <v>10</v>
      </c>
      <c r="J56" s="84">
        <f t="shared" si="70"/>
        <v>72.28915663</v>
      </c>
      <c r="K56" s="85">
        <f t="shared" si="70"/>
        <v>2.35</v>
      </c>
      <c r="L56" s="295">
        <f>timeToEmpty(H56,I56,J56,K56+0.7)</f>
        <v>27.45</v>
      </c>
      <c r="M56" s="89">
        <f>(M55*5/6)*1.5</f>
        <v>3067.5</v>
      </c>
      <c r="N56" s="296" t="s">
        <v>60</v>
      </c>
      <c r="O56" s="95" t="s">
        <v>468</v>
      </c>
    </row>
    <row r="57">
      <c r="A57" s="77"/>
      <c r="B57" s="91" t="s">
        <v>469</v>
      </c>
      <c r="C57" s="79">
        <f t="shared" ref="C57:C58" si="71">(G57)/(H57 * 1/48 * 60/1)</f>
        <v>1303.2</v>
      </c>
      <c r="D57" s="293">
        <f t="shared" ref="D57:D58" si="72">(G57)/((H57-1) * 1/J57 * 60/1 + K57)</f>
        <v>995.3156823</v>
      </c>
      <c r="E57" s="57"/>
      <c r="F57" s="294">
        <f t="shared" si="69"/>
        <v>22806</v>
      </c>
      <c r="G57" s="79">
        <f t="shared" si="47"/>
        <v>4887</v>
      </c>
      <c r="H57" s="82">
        <v>3.0</v>
      </c>
      <c r="I57" s="84">
        <f>'Reserves Data (Reference)'!D95</f>
        <v>14</v>
      </c>
      <c r="J57" s="84">
        <f t="shared" ref="J57:J58" si="73">1/1.28*60</f>
        <v>46.875</v>
      </c>
      <c r="K57" s="85">
        <v>2.35</v>
      </c>
      <c r="L57" s="295">
        <f t="shared" ref="L57:L58" si="74">timeToEmpty(H57,I57,48,K57)</f>
        <v>20.65</v>
      </c>
      <c r="M57" s="89">
        <v>1629.0</v>
      </c>
      <c r="N57" s="296" t="s">
        <v>60</v>
      </c>
    </row>
    <row r="58">
      <c r="A58" s="77"/>
      <c r="B58" s="91" t="s">
        <v>470</v>
      </c>
      <c r="C58" s="89">
        <f t="shared" si="71"/>
        <v>1375.2</v>
      </c>
      <c r="D58" s="293">
        <f t="shared" si="72"/>
        <v>947.107438</v>
      </c>
      <c r="E58" s="57"/>
      <c r="F58" s="294">
        <f t="shared" si="69"/>
        <v>18909</v>
      </c>
      <c r="G58" s="79">
        <f t="shared" si="47"/>
        <v>3438</v>
      </c>
      <c r="H58" s="82">
        <v>2.0</v>
      </c>
      <c r="I58" s="84">
        <f>'Reserves Data (Reference)'!D96</f>
        <v>11</v>
      </c>
      <c r="J58" s="84">
        <f t="shared" si="73"/>
        <v>46.875</v>
      </c>
      <c r="K58" s="85">
        <v>2.35</v>
      </c>
      <c r="L58" s="295">
        <f t="shared" si="74"/>
        <v>18</v>
      </c>
      <c r="M58" s="89">
        <f>128+1111 + ('Weapon Specifics'!$D$92)*8</f>
        <v>1719</v>
      </c>
      <c r="N58" s="296" t="s">
        <v>60</v>
      </c>
    </row>
    <row r="59">
      <c r="A59" s="77" t="s">
        <v>471</v>
      </c>
      <c r="B59" s="91" t="s">
        <v>472</v>
      </c>
      <c r="C59" s="89">
        <f t="shared" ref="C59:C60" si="75">(G59)/(H59 * 1/J59 * 60/1)</f>
        <v>2100</v>
      </c>
      <c r="D59" s="293">
        <f t="shared" ref="D59:D60" si="76">(M59)/(K59)</f>
        <v>866.8085106</v>
      </c>
      <c r="E59" s="57"/>
      <c r="F59" s="294">
        <f t="shared" si="69"/>
        <v>22407</v>
      </c>
      <c r="G59" s="79">
        <f t="shared" si="47"/>
        <v>2037</v>
      </c>
      <c r="H59" s="82">
        <v>1.0</v>
      </c>
      <c r="I59" s="84">
        <f>'Reserves Data (Reference)'!D97</f>
        <v>11</v>
      </c>
      <c r="J59" s="84">
        <f>J42</f>
        <v>61.8556701</v>
      </c>
      <c r="K59" s="85">
        <v>2.35</v>
      </c>
      <c r="L59" s="295">
        <f t="shared" ref="L59:L61" si="78">timeToEmpty(H59,I59,J59,K59)</f>
        <v>23.5</v>
      </c>
      <c r="M59" s="89">
        <f>7*291</f>
        <v>2037</v>
      </c>
      <c r="N59" s="296" t="s">
        <v>60</v>
      </c>
      <c r="O59" s="95" t="s">
        <v>473</v>
      </c>
    </row>
    <row r="60">
      <c r="A60" s="77" t="s">
        <v>474</v>
      </c>
      <c r="B60" s="91" t="s">
        <v>472</v>
      </c>
      <c r="C60" s="89">
        <f t="shared" si="75"/>
        <v>3644.329897</v>
      </c>
      <c r="D60" s="293">
        <f t="shared" si="76"/>
        <v>1504.255319</v>
      </c>
      <c r="E60" s="57"/>
      <c r="F60" s="294">
        <f t="shared" si="69"/>
        <v>38885</v>
      </c>
      <c r="G60" s="79">
        <f t="shared" si="47"/>
        <v>3535</v>
      </c>
      <c r="H60" s="82">
        <v>1.0</v>
      </c>
      <c r="I60" s="84">
        <f t="shared" ref="I60:J60" si="77">I59</f>
        <v>11</v>
      </c>
      <c r="J60" s="84">
        <f t="shared" si="77"/>
        <v>61.8556701</v>
      </c>
      <c r="K60" s="85">
        <v>2.35</v>
      </c>
      <c r="L60" s="295">
        <f t="shared" si="78"/>
        <v>23.5</v>
      </c>
      <c r="M60" s="89">
        <f>7*505</f>
        <v>3535</v>
      </c>
      <c r="N60" s="296" t="s">
        <v>60</v>
      </c>
      <c r="O60" s="95" t="s">
        <v>475</v>
      </c>
    </row>
    <row r="61">
      <c r="A61" s="207"/>
      <c r="B61" s="91" t="s">
        <v>476</v>
      </c>
      <c r="C61" s="89">
        <f>(G61)*J61*1/60 + 'Elemental Effects'!$E$4/3 + 'Elemental Effects'!$E$13</f>
        <v>1917.307683</v>
      </c>
      <c r="D61" s="290">
        <f>G61/(K61) + 'Elemental Effects'!$E$4/3 + (235+558)/2/0.56</f>
        <v>1635.659828</v>
      </c>
      <c r="E61" s="57"/>
      <c r="F61" s="291">
        <f t="shared" ref="F61:F63" si="79">G61*I61</f>
        <v>17576.9</v>
      </c>
      <c r="G61" s="197">
        <f>M61+'Weapon Specifics'!$D$93+'Weapon Specifics'!$D$95</f>
        <v>1597.9</v>
      </c>
      <c r="H61" s="101">
        <v>1.0</v>
      </c>
      <c r="I61" s="103">
        <f>'Reserves Data (Reference)'!D98</f>
        <v>11</v>
      </c>
      <c r="J61" s="103">
        <f>J42</f>
        <v>61.8556701</v>
      </c>
      <c r="K61" s="201">
        <v>2.35</v>
      </c>
      <c r="L61" s="292">
        <f t="shared" si="78"/>
        <v>23.5</v>
      </c>
      <c r="M61" s="98">
        <v>171.0</v>
      </c>
      <c r="N61" s="231" t="s">
        <v>60</v>
      </c>
      <c r="O61" s="95" t="s">
        <v>477</v>
      </c>
    </row>
    <row r="62">
      <c r="A62" s="107"/>
      <c r="B62" s="91" t="s">
        <v>476</v>
      </c>
      <c r="C62" s="89">
        <f>(M61+'Weapon Specifics'!$D$93*3+'Weapon Specifics'!$D$95)/(3 + 0.75) + 'Elemental Effects'!$E$4/3 + 'Elemental Effects'!$E$13 + 'Weapon Specifics'!$D$94/0.5</f>
        <v>4166.974762</v>
      </c>
      <c r="D62" s="293">
        <f t="shared" ref="D62:D63" si="80">C62</f>
        <v>4166.974762</v>
      </c>
      <c r="E62" s="57"/>
      <c r="F62" s="294">
        <f t="shared" si="79"/>
        <v>55084.7</v>
      </c>
      <c r="G62" s="79">
        <f>M61+'Weapon Specifics'!$D$93*3+'Weapon Specifics'!$D$96+'Elemental Effects'!$E$4</f>
        <v>5007.7</v>
      </c>
      <c r="H62" s="82">
        <v>1.0</v>
      </c>
      <c r="I62" s="84">
        <f>I61</f>
        <v>11</v>
      </c>
      <c r="J62" s="84">
        <f>J42</f>
        <v>61.8556701</v>
      </c>
      <c r="K62" s="85">
        <v>2.35</v>
      </c>
      <c r="L62" s="295">
        <f>1.5 + (I62-1)*(3 + 0.75)</f>
        <v>39</v>
      </c>
      <c r="M62" s="89">
        <f>M61</f>
        <v>171</v>
      </c>
      <c r="N62" s="296" t="s">
        <v>60</v>
      </c>
      <c r="O62" s="95" t="s">
        <v>478</v>
      </c>
    </row>
    <row r="63">
      <c r="A63" s="107"/>
      <c r="B63" s="91" t="s">
        <v>476</v>
      </c>
      <c r="C63" s="89">
        <f>(M61+'Weapon Specifics'!$D$93*5+'Weapon Specifics'!$D$97)/(3*2 + 0.75) + 'Elemental Effects'!$E$4/3 + 'Elemental Effects'!$E$13 + 'Weapon Specifics'!$D$94/0.5</f>
        <v>4034.921429</v>
      </c>
      <c r="D63" s="303">
        <f t="shared" si="80"/>
        <v>4034.921429</v>
      </c>
      <c r="E63" s="57"/>
      <c r="F63" s="304">
        <f t="shared" si="79"/>
        <v>88467.5</v>
      </c>
      <c r="G63" s="141">
        <f>M61+'Weapon Specifics'!$D$93*5+'Weapon Specifics'!$D$97+'Elemental Effects'!$E$4*2</f>
        <v>8042.5</v>
      </c>
      <c r="H63" s="142">
        <v>1.0</v>
      </c>
      <c r="I63" s="144">
        <f>I61</f>
        <v>11</v>
      </c>
      <c r="J63" s="144">
        <f>J42</f>
        <v>61.8556701</v>
      </c>
      <c r="K63" s="145">
        <v>2.35</v>
      </c>
      <c r="L63" s="305">
        <f>1.5+3+(I63-1)*(3*2 + 0.75)</f>
        <v>72</v>
      </c>
      <c r="M63" s="138">
        <f>M61</f>
        <v>171</v>
      </c>
      <c r="N63" s="306" t="s">
        <v>60</v>
      </c>
      <c r="O63" s="95" t="s">
        <v>479</v>
      </c>
    </row>
    <row r="64">
      <c r="A64" s="65" t="s">
        <v>393</v>
      </c>
      <c r="B64" s="66" t="s">
        <v>46</v>
      </c>
      <c r="C64" s="264">
        <f t="shared" ref="C64:C71" si="81">(G64)/(H64 * 1/J64 * 60/1)</f>
        <v>938.8523048</v>
      </c>
      <c r="D64" s="307">
        <f t="shared" ref="D64:D66" si="82">(G64)/(H64 * 1/J64 * 60/1 + K64 - 0.53)</f>
        <v>848.7425586</v>
      </c>
      <c r="E64" s="57"/>
      <c r="F64" s="308">
        <f t="shared" ref="F64:F71" si="83">I64*N64</f>
        <v>20958</v>
      </c>
      <c r="G64" s="267">
        <f t="shared" ref="G64:G71" si="84">N64 * H64</f>
        <v>6986</v>
      </c>
      <c r="H64" s="268">
        <v>7.0</v>
      </c>
      <c r="I64" s="269">
        <f>'Reserves Data (Reference)'!D99</f>
        <v>21</v>
      </c>
      <c r="J64" s="269">
        <f t="shared" ref="J64:J66" si="85">1/((533*1/1000)*1/60 + 0.53*1/60)</f>
        <v>56.44402634</v>
      </c>
      <c r="K64" s="270">
        <v>1.32</v>
      </c>
      <c r="L64" s="309">
        <f t="shared" ref="L64:L66" si="86">timeToEmpty_fusions(H64, I64, 0, 1, 0.533, 0.53, K64)</f>
        <v>31.604</v>
      </c>
      <c r="M64" s="264">
        <v>290.0</v>
      </c>
      <c r="N64" s="310">
        <v>998.0</v>
      </c>
    </row>
    <row r="65">
      <c r="A65" s="96" t="s">
        <v>257</v>
      </c>
      <c r="B65" s="78" t="s">
        <v>46</v>
      </c>
      <c r="C65" s="89">
        <f t="shared" si="81"/>
        <v>938.8523048</v>
      </c>
      <c r="D65" s="293">
        <f t="shared" si="82"/>
        <v>873.9054291</v>
      </c>
      <c r="E65" s="57"/>
      <c r="F65" s="294">
        <f t="shared" si="83"/>
        <v>29940</v>
      </c>
      <c r="G65" s="79">
        <f t="shared" si="84"/>
        <v>9980</v>
      </c>
      <c r="H65" s="82">
        <f>tripleTap(H64)</f>
        <v>10</v>
      </c>
      <c r="I65" s="92">
        <f>H65*floor(I64/H64,1) + tripleTap(mod(I64,H64))</f>
        <v>30</v>
      </c>
      <c r="J65" s="84">
        <f t="shared" si="85"/>
        <v>56.44402634</v>
      </c>
      <c r="K65" s="85">
        <v>1.32</v>
      </c>
      <c r="L65" s="295">
        <f t="shared" si="86"/>
        <v>44.36</v>
      </c>
      <c r="M65" s="89">
        <f t="shared" ref="M65:N65" si="87">M64</f>
        <v>290</v>
      </c>
      <c r="N65" s="296">
        <f t="shared" si="87"/>
        <v>998</v>
      </c>
    </row>
    <row r="66">
      <c r="A66" s="96" t="s">
        <v>480</v>
      </c>
      <c r="B66" s="78" t="s">
        <v>46</v>
      </c>
      <c r="C66" s="138">
        <f t="shared" si="81"/>
        <v>938.8523048</v>
      </c>
      <c r="D66" s="303">
        <f t="shared" si="82"/>
        <v>879.436033</v>
      </c>
      <c r="E66" s="57"/>
      <c r="F66" s="304">
        <f t="shared" si="83"/>
        <v>32934</v>
      </c>
      <c r="G66" s="141">
        <f t="shared" si="84"/>
        <v>10978</v>
      </c>
      <c r="H66" s="142">
        <f>fourthTimesTheCharm(H64)</f>
        <v>11</v>
      </c>
      <c r="I66" s="311">
        <f>H66*floor(I64/H64,1) + fourthTimesTheCharm(mod(I64,H64))</f>
        <v>33</v>
      </c>
      <c r="J66" s="144">
        <f t="shared" si="85"/>
        <v>56.44402634</v>
      </c>
      <c r="K66" s="145">
        <v>1.32</v>
      </c>
      <c r="L66" s="305">
        <f t="shared" si="86"/>
        <v>48.612</v>
      </c>
      <c r="M66" s="138">
        <f t="shared" ref="M66:N66" si="88">M64</f>
        <v>290</v>
      </c>
      <c r="N66" s="306">
        <f t="shared" si="88"/>
        <v>998</v>
      </c>
    </row>
    <row r="67">
      <c r="A67" s="96"/>
      <c r="B67" s="78" t="s">
        <v>198</v>
      </c>
      <c r="C67" s="241">
        <f t="shared" si="81"/>
        <v>985.4469854</v>
      </c>
      <c r="D67" s="312">
        <f>(G67)/(H67 * 1/J67 * 60/1 + K67 - (0.91 - 0.2*(3-1)))</f>
        <v>912.2903492</v>
      </c>
      <c r="E67" s="57"/>
      <c r="F67" s="313">
        <f t="shared" si="83"/>
        <v>29862</v>
      </c>
      <c r="G67" s="244">
        <f t="shared" si="84"/>
        <v>9954</v>
      </c>
      <c r="H67" s="245">
        <v>7.0</v>
      </c>
      <c r="I67" s="246">
        <f>'Reserves Data (Reference)'!D100</f>
        <v>21</v>
      </c>
      <c r="J67" s="246">
        <f>1/(533*1/1000*1/60 + 0.91*1/60)</f>
        <v>41.58004158</v>
      </c>
      <c r="K67" s="247">
        <v>1.32</v>
      </c>
      <c r="L67" s="314">
        <f>timeToEmpty_fusions(H67, I67, 0.2, 3, 0.533, 0.91, K67)</f>
        <v>42.324</v>
      </c>
      <c r="M67" s="241">
        <f>138*3</f>
        <v>414</v>
      </c>
      <c r="N67" s="315">
        <f>474*3</f>
        <v>1422</v>
      </c>
    </row>
    <row r="68">
      <c r="A68" s="77" t="s">
        <v>481</v>
      </c>
      <c r="B68" s="91" t="s">
        <v>482</v>
      </c>
      <c r="C68" s="79">
        <f t="shared" si="81"/>
        <v>1265.666372</v>
      </c>
      <c r="D68" s="293">
        <f t="shared" ref="D68:D71" si="89">(G68)/(H68 * 1/J68 * 60/1 + K68 - 0.5)</f>
        <v>1105.628373</v>
      </c>
      <c r="E68" s="57"/>
      <c r="F68" s="294">
        <f t="shared" si="83"/>
        <v>30114</v>
      </c>
      <c r="G68" s="79">
        <f t="shared" si="84"/>
        <v>7170</v>
      </c>
      <c r="H68" s="82">
        <v>5.0</v>
      </c>
      <c r="I68" s="84">
        <f>'Reserves Data (Reference)'!D101</f>
        <v>21</v>
      </c>
      <c r="J68" s="84">
        <f>1/((633*1/1000*1/60) + 0.5*1/60)</f>
        <v>52.95675199</v>
      </c>
      <c r="K68" s="85">
        <v>1.32</v>
      </c>
      <c r="L68" s="295">
        <f>timeToEmpty_fusions(H68, I68, 0, 1, 0.633, 0.5, K68)</f>
        <v>26.573</v>
      </c>
      <c r="M68" s="89">
        <v>417.0</v>
      </c>
      <c r="N68" s="296">
        <v>1434.0</v>
      </c>
      <c r="O68" s="95" t="s">
        <v>483</v>
      </c>
    </row>
    <row r="69">
      <c r="A69" s="77" t="s">
        <v>484</v>
      </c>
      <c r="B69" s="91" t="s">
        <v>482</v>
      </c>
      <c r="C69" s="79">
        <f t="shared" si="81"/>
        <v>1297.297297</v>
      </c>
      <c r="D69" s="293">
        <f t="shared" si="89"/>
        <v>1164.903547</v>
      </c>
      <c r="E69" s="57"/>
      <c r="F69" s="294">
        <f t="shared" si="83"/>
        <v>39312</v>
      </c>
      <c r="G69" s="79">
        <f t="shared" si="84"/>
        <v>9360</v>
      </c>
      <c r="H69" s="82">
        <v>5.0</v>
      </c>
      <c r="I69" s="84">
        <f>I68</f>
        <v>21</v>
      </c>
      <c r="J69" s="84">
        <f>1/(533*1/1000 + 0.91)*60</f>
        <v>41.58004158</v>
      </c>
      <c r="K69" s="85">
        <v>1.32</v>
      </c>
      <c r="L69" s="295">
        <f>timeToEmpty_fusions(H69, I69, 0.2, 3, 0.533, 0.91, K69)</f>
        <v>33.033</v>
      </c>
      <c r="M69" s="89">
        <f>182*3</f>
        <v>546</v>
      </c>
      <c r="N69" s="296">
        <f>624*3</f>
        <v>1872</v>
      </c>
      <c r="O69" s="95" t="s">
        <v>485</v>
      </c>
    </row>
    <row r="70">
      <c r="A70" s="77" t="s">
        <v>179</v>
      </c>
      <c r="B70" s="91" t="s">
        <v>486</v>
      </c>
      <c r="C70" s="79">
        <f t="shared" si="81"/>
        <v>1583.202512</v>
      </c>
      <c r="D70" s="293">
        <f t="shared" si="89"/>
        <v>1363.759297</v>
      </c>
      <c r="E70" s="57"/>
      <c r="F70" s="294">
        <f t="shared" si="83"/>
        <v>32272</v>
      </c>
      <c r="G70" s="79">
        <f t="shared" si="84"/>
        <v>8068</v>
      </c>
      <c r="H70" s="82">
        <v>4.0</v>
      </c>
      <c r="I70" s="84">
        <f>'Reserves Data (Reference)'!D102</f>
        <v>16</v>
      </c>
      <c r="J70" s="84">
        <f>1/((774*1/1000*1/60) + 0.5*1/60)</f>
        <v>47.09576138</v>
      </c>
      <c r="K70" s="85">
        <v>1.32</v>
      </c>
      <c r="L70" s="295">
        <f t="shared" ref="L70:L71" si="90">timeToEmpty_fusions(H70, I70, 0, 1, 0.774, 0.5, K70)</f>
        <v>28.26</v>
      </c>
      <c r="M70" s="89">
        <v>1459.0</v>
      </c>
      <c r="N70" s="296">
        <v>2017.0</v>
      </c>
    </row>
    <row r="71">
      <c r="A71" s="207"/>
      <c r="B71" s="91" t="s">
        <v>487</v>
      </c>
      <c r="C71" s="79">
        <f t="shared" si="81"/>
        <v>966.1181026</v>
      </c>
      <c r="D71" s="293">
        <f t="shared" si="89"/>
        <v>853.2345398</v>
      </c>
      <c r="E71" s="57"/>
      <c r="F71" s="294" t="str">
        <f t="shared" si="83"/>
        <v>#VALUE!</v>
      </c>
      <c r="G71" s="79">
        <f t="shared" si="84"/>
        <v>5988</v>
      </c>
      <c r="H71" s="82">
        <v>6.0</v>
      </c>
      <c r="I71" s="84" t="str">
        <f>'Reserves Data (Reference)'!D103</f>
        <v>???</v>
      </c>
      <c r="J71" s="84">
        <f>1/((533*1/1000*1/60) + 0.5*1/60)</f>
        <v>58.08325266</v>
      </c>
      <c r="K71" s="85">
        <v>1.32</v>
      </c>
      <c r="L71" s="295" t="str">
        <f t="shared" si="90"/>
        <v>#NUM!</v>
      </c>
      <c r="M71" s="89">
        <f t="shared" ref="M71:N71" si="91">M64</f>
        <v>290</v>
      </c>
      <c r="N71" s="296">
        <f t="shared" si="91"/>
        <v>998</v>
      </c>
      <c r="O71" s="95" t="s">
        <v>150</v>
      </c>
    </row>
    <row r="72">
      <c r="A72" s="65" t="s">
        <v>412</v>
      </c>
      <c r="B72" s="75" t="s">
        <v>413</v>
      </c>
      <c r="C72" s="316"/>
      <c r="D72" s="317"/>
      <c r="E72" s="57"/>
      <c r="F72" s="287" t="s">
        <v>413</v>
      </c>
      <c r="G72" s="316"/>
      <c r="H72" s="316"/>
      <c r="I72" s="316"/>
      <c r="J72" s="316"/>
      <c r="K72" s="316"/>
      <c r="L72" s="316"/>
      <c r="M72" s="316"/>
      <c r="N72" s="317"/>
    </row>
    <row r="73">
      <c r="A73" s="65" t="s">
        <v>381</v>
      </c>
      <c r="B73" s="261" t="s">
        <v>488</v>
      </c>
      <c r="C73" s="67">
        <f>('Weapon Specifics'!$D$98+'Weapon Specifics'!$D$100+'Elemental Effects'!$E$9 
+'Weapon Specifics'!$D$99)/((2) * 1/J73 * 60/1)</f>
        <v>424.875</v>
      </c>
      <c r="D73" s="286">
        <f>('Weapon Specifics'!$D$98+'Weapon Specifics'!$D$100+'Elemental Effects'!$E$9 
+'Weapon Specifics'!$D$99 
+ 'Weapon Specifics'!$D$98+'Weapon Specifics'!$D$100 +'Elemental Effects'!$E$9)/((H73-1) * 1/J73 * 60/1 + K73)</f>
        <v>506.7663257</v>
      </c>
      <c r="E73" s="57"/>
      <c r="F73" s="287">
        <f>I73*M73</f>
        <v>18252</v>
      </c>
      <c r="G73" s="70">
        <f>M73 * H73</f>
        <v>3042</v>
      </c>
      <c r="H73" s="71">
        <v>3.0</v>
      </c>
      <c r="I73" s="73">
        <f>'Reserves Data (Reference)'!D104</f>
        <v>18</v>
      </c>
      <c r="J73" s="73">
        <v>45.0</v>
      </c>
      <c r="K73" s="74">
        <v>1.57</v>
      </c>
      <c r="L73" s="288">
        <f>timeToEmpty(H73,I73,J73,K73)</f>
        <v>23.85</v>
      </c>
      <c r="M73" s="67">
        <f>'Weapon Specifics'!$D$98+'Weapon Specifics'!$D$100+'Elemental Effects'!E9</f>
        <v>1014</v>
      </c>
      <c r="N73" s="289" t="s">
        <v>60</v>
      </c>
      <c r="O73" s="95" t="s">
        <v>489</v>
      </c>
    </row>
    <row r="74">
      <c r="A74" s="77" t="s">
        <v>490</v>
      </c>
      <c r="B74" s="91" t="s">
        <v>488</v>
      </c>
      <c r="C74" s="79">
        <f>(M74)*J74*1/60 + 'Elemental Effects'!E9/(8*1/J74*60)</f>
        <v>404.2777778</v>
      </c>
      <c r="D74" s="90">
        <f t="shared" ref="D74:D76" si="92">C74</f>
        <v>404.2777778</v>
      </c>
      <c r="E74" s="57"/>
      <c r="F74" s="294" t="s">
        <v>43</v>
      </c>
      <c r="G74" s="89" t="s">
        <v>60</v>
      </c>
      <c r="H74" s="108" t="s">
        <v>60</v>
      </c>
      <c r="I74" s="84" t="s">
        <v>60</v>
      </c>
      <c r="J74" s="84">
        <f>Specials!J109</f>
        <v>133.3333333</v>
      </c>
      <c r="K74" s="84" t="s">
        <v>60</v>
      </c>
      <c r="L74" s="109" t="s">
        <v>60</v>
      </c>
      <c r="M74" s="89">
        <f t="shared" ref="M74:M75" si="93">$M$76*1.2</f>
        <v>136.8</v>
      </c>
      <c r="N74" s="296" t="s">
        <v>60</v>
      </c>
      <c r="O74" s="95" t="s">
        <v>384</v>
      </c>
    </row>
    <row r="75">
      <c r="A75" s="96" t="s">
        <v>490</v>
      </c>
      <c r="B75" s="97" t="s">
        <v>488</v>
      </c>
      <c r="C75" s="79">
        <f>(M75+M75+'Weapon Specifics'!D3*1.2)/(0.44+0.48+0.63) + 'Elemental Effects'!E9/(8*1/J75*60)</f>
        <v>306.4354839</v>
      </c>
      <c r="D75" s="90">
        <f t="shared" si="92"/>
        <v>306.4354839</v>
      </c>
      <c r="E75" s="57"/>
      <c r="F75" s="294" t="s">
        <v>43</v>
      </c>
      <c r="G75" s="89" t="s">
        <v>60</v>
      </c>
      <c r="H75" s="108" t="s">
        <v>60</v>
      </c>
      <c r="I75" s="84" t="s">
        <v>60</v>
      </c>
      <c r="J75" s="84">
        <f>Specials!J110</f>
        <v>116.1290323</v>
      </c>
      <c r="K75" s="84" t="s">
        <v>60</v>
      </c>
      <c r="L75" s="109" t="s">
        <v>60</v>
      </c>
      <c r="M75" s="89">
        <f t="shared" si="93"/>
        <v>136.8</v>
      </c>
      <c r="N75" s="296" t="s">
        <v>60</v>
      </c>
      <c r="O75" s="95" t="s">
        <v>385</v>
      </c>
    </row>
    <row r="76">
      <c r="A76" s="96" t="s">
        <v>491</v>
      </c>
      <c r="B76" s="97" t="s">
        <v>488</v>
      </c>
      <c r="C76" s="98">
        <f>M76*J76*1/60</f>
        <v>253.3333333</v>
      </c>
      <c r="D76" s="90">
        <f t="shared" si="92"/>
        <v>253.3333333</v>
      </c>
      <c r="E76" s="57"/>
      <c r="F76" s="291" t="s">
        <v>43</v>
      </c>
      <c r="G76" s="98" t="s">
        <v>60</v>
      </c>
      <c r="H76" s="318" t="s">
        <v>60</v>
      </c>
      <c r="I76" s="103" t="s">
        <v>60</v>
      </c>
      <c r="J76" s="103">
        <f>Specials!J109</f>
        <v>133.3333333</v>
      </c>
      <c r="K76" s="103" t="s">
        <v>60</v>
      </c>
      <c r="L76" s="319" t="s">
        <v>60</v>
      </c>
      <c r="M76" s="98">
        <f>Specials!M107</f>
        <v>114</v>
      </c>
      <c r="N76" s="231" t="s">
        <v>60</v>
      </c>
      <c r="O76" s="95" t="s">
        <v>384</v>
      </c>
    </row>
    <row r="77">
      <c r="A77" s="65" t="s">
        <v>256</v>
      </c>
      <c r="B77" s="261" t="s">
        <v>492</v>
      </c>
      <c r="C77" s="67">
        <f>(3*N77 + 'Elemental Effects'!E5)/(3 * 1/J77 * 60/1)</f>
        <v>1788.111111</v>
      </c>
      <c r="D77" s="286">
        <f>(G77)/((H77-1) * 1/J77 * 60/1 + K77)</f>
        <v>1248.060201</v>
      </c>
      <c r="E77" s="57"/>
      <c r="F77" s="287">
        <f>I77*N77 + floor(I77/3,1)*'Elemental Effects'!E5</f>
        <v>23723</v>
      </c>
      <c r="G77" s="70">
        <f>N77 * H77 + floor(H77/3,1) * 'Elemental Effects'!$E$5</f>
        <v>5331</v>
      </c>
      <c r="H77" s="71">
        <v>7.0</v>
      </c>
      <c r="I77" s="73">
        <f>'Reserves Data (Reference)'!D105</f>
        <v>31</v>
      </c>
      <c r="J77" s="73">
        <v>140.0</v>
      </c>
      <c r="K77" s="74">
        <v>1.7</v>
      </c>
      <c r="L77" s="288">
        <f>timeToEmpty(H77,I77,J77,K77)</f>
        <v>17.94285714</v>
      </c>
      <c r="M77" s="67">
        <v>162.0</v>
      </c>
      <c r="N77" s="289">
        <v>733.0</v>
      </c>
      <c r="O77" s="95" t="s">
        <v>493</v>
      </c>
    </row>
    <row r="78">
      <c r="A78" s="96" t="s">
        <v>179</v>
      </c>
      <c r="B78" s="150" t="s">
        <v>492</v>
      </c>
      <c r="C78" s="154">
        <f>(3*N78 + 'Elemental Effects'!E5)/(3 * 1/J78 * 60/1)</f>
        <v>1951.444444</v>
      </c>
      <c r="D78" s="231">
        <f>(N78*H78 + ROUNDDOWN(H78/3,0)*'Elemental Effects'!E5)/((H78-1) * 1/J78 * 60/1 + K78)</f>
        <v>1362.77592</v>
      </c>
      <c r="E78" s="57"/>
      <c r="F78" s="320">
        <f> G78 + (I78-H78)*N78 + floor((I78-H78)/3,1)*'Elemental Effects'!E5</f>
        <v>26616.845</v>
      </c>
      <c r="G78" s="197">
        <f>N77 * (1 + 1.028 + 1.062 + 1.091 + 1.125 + 1.159) + N78*(H78-5)
+ floor(H78/3,1) * 'Elemental Effects'!$E$5</f>
        <v>6544.845</v>
      </c>
      <c r="H78" s="101">
        <f t="shared" ref="H78:M78" si="94">H77</f>
        <v>7</v>
      </c>
      <c r="I78" s="103">
        <f t="shared" si="94"/>
        <v>31</v>
      </c>
      <c r="J78" s="103">
        <f t="shared" si="94"/>
        <v>140</v>
      </c>
      <c r="K78" s="201">
        <f t="shared" si="94"/>
        <v>1.7</v>
      </c>
      <c r="L78" s="292">
        <f t="shared" si="94"/>
        <v>17.94285714</v>
      </c>
      <c r="M78" s="98">
        <f t="shared" si="94"/>
        <v>162</v>
      </c>
      <c r="N78" s="231">
        <v>803.0</v>
      </c>
      <c r="O78" s="95" t="s">
        <v>494</v>
      </c>
    </row>
    <row r="79">
      <c r="A79" s="96" t="s">
        <v>179</v>
      </c>
      <c r="B79" s="150" t="s">
        <v>492</v>
      </c>
      <c r="C79" s="154">
        <f>(3*N79 + 'Elemental Effects'!E5)/(3 * 1/J79 * 60/1)</f>
        <v>2232.494444</v>
      </c>
      <c r="D79" s="231">
        <f>(N79*H79 + ROUNDDOWN(H79/3,0)*'Elemental Effects'!E5)/((H79-1) * 1/J79 * 60/1 + K79)</f>
        <v>1560.168896</v>
      </c>
      <c r="E79" s="57"/>
      <c r="F79" s="320">
        <f> G79 + (I79-H79)*N79 + floor((I79-H79)/3,1)*1.15*'Elemental Effects'!E5</f>
        <v>29868.545</v>
      </c>
      <c r="G79" s="197">
        <f>N77 * (1 + 1.028 + 1.062 + 1.091 + 1.125 + 1.159) + N79*(H79-5)
+ floor((H79)/3,1) * 'Elemental Effects'!$E$5</f>
        <v>6785.745</v>
      </c>
      <c r="H79" s="101">
        <f t="shared" ref="H79:L79" si="95">H78</f>
        <v>7</v>
      </c>
      <c r="I79" s="103">
        <f t="shared" si="95"/>
        <v>31</v>
      </c>
      <c r="J79" s="103">
        <f t="shared" si="95"/>
        <v>140</v>
      </c>
      <c r="K79" s="201">
        <f t="shared" si="95"/>
        <v>1.7</v>
      </c>
      <c r="L79" s="292">
        <f t="shared" si="95"/>
        <v>17.94285714</v>
      </c>
      <c r="M79" s="98">
        <f>M77*1.15</f>
        <v>186.3</v>
      </c>
      <c r="N79" s="231">
        <f>N78*1.15</f>
        <v>923.45</v>
      </c>
      <c r="O79" s="95" t="s">
        <v>495</v>
      </c>
    </row>
    <row r="80">
      <c r="A80" s="77"/>
      <c r="B80" s="137" t="s">
        <v>496</v>
      </c>
      <c r="C80" s="141">
        <f t="shared" ref="C80:C83" si="96">(G80)/(H80 * 1/J80 * 60/1)</f>
        <v>969.8181818</v>
      </c>
      <c r="D80" s="90">
        <f t="shared" ref="D80:D81" si="97">C80</f>
        <v>969.8181818</v>
      </c>
      <c r="E80" s="57"/>
      <c r="F80" s="304">
        <f t="shared" ref="F80:F81" si="98">I80*N80</f>
        <v>30710.90909</v>
      </c>
      <c r="G80" s="79">
        <f t="shared" ref="G80:G81" si="99">N80 * H80</f>
        <v>2424.545455</v>
      </c>
      <c r="H80" s="82">
        <v>3.0</v>
      </c>
      <c r="I80" s="92">
        <f>tripleTap('Reserves Data (Reference)'!$D$106)</f>
        <v>38</v>
      </c>
      <c r="J80" s="84">
        <v>72.0</v>
      </c>
      <c r="K80" s="85">
        <v>1.98</v>
      </c>
      <c r="L80" s="295">
        <f t="shared" ref="L80:L81" si="100">I80*1/J80*60</f>
        <v>31.66666667</v>
      </c>
      <c r="M80" s="89">
        <f>255*1/1.1</f>
        <v>231.8181818</v>
      </c>
      <c r="N80" s="296">
        <f>889*1/1.1</f>
        <v>808.1818182</v>
      </c>
    </row>
    <row r="81">
      <c r="A81" s="77" t="s">
        <v>179</v>
      </c>
      <c r="B81" s="137" t="s">
        <v>496</v>
      </c>
      <c r="C81" s="141">
        <f t="shared" si="96"/>
        <v>1428</v>
      </c>
      <c r="D81" s="90">
        <f t="shared" si="97"/>
        <v>1428</v>
      </c>
      <c r="E81" s="57"/>
      <c r="F81" s="304">
        <f t="shared" si="98"/>
        <v>45220</v>
      </c>
      <c r="G81" s="79">
        <f t="shared" si="99"/>
        <v>3570</v>
      </c>
      <c r="H81" s="82">
        <v>3.0</v>
      </c>
      <c r="I81" s="92">
        <f>tripleTap('Reserves Data (Reference)'!D106)</f>
        <v>38</v>
      </c>
      <c r="J81" s="84">
        <v>72.0</v>
      </c>
      <c r="K81" s="85">
        <v>1.98</v>
      </c>
      <c r="L81" s="295">
        <f t="shared" si="100"/>
        <v>31.66666667</v>
      </c>
      <c r="M81" s="89">
        <f>278*1/1.1</f>
        <v>252.7272727</v>
      </c>
      <c r="N81" s="296">
        <f>1309*1/1.1</f>
        <v>1190</v>
      </c>
      <c r="O81" s="95" t="s">
        <v>497</v>
      </c>
    </row>
    <row r="82">
      <c r="A82" s="65" t="s">
        <v>322</v>
      </c>
      <c r="B82" s="261" t="s">
        <v>498</v>
      </c>
      <c r="C82" s="70">
        <f t="shared" si="96"/>
        <v>664</v>
      </c>
      <c r="D82" s="286">
        <f>(G82)/((H82-1) * 1/J82 * 60/1 + K82)</f>
        <v>583.919598</v>
      </c>
      <c r="E82" s="57"/>
      <c r="F82" s="287">
        <f t="shared" ref="F82:F85" si="101">I82*M82</f>
        <v>8964</v>
      </c>
      <c r="G82" s="70">
        <f t="shared" ref="G82:G83" si="102">M82 * H82</f>
        <v>3486</v>
      </c>
      <c r="H82" s="321">
        <v>7.0</v>
      </c>
      <c r="I82" s="73">
        <f>'Reserves Data (Reference)'!D107</f>
        <v>18</v>
      </c>
      <c r="J82" s="148">
        <v>80.0</v>
      </c>
      <c r="K82" s="74">
        <v>1.47</v>
      </c>
      <c r="L82" s="322">
        <f>timeToEmpty(H82,I82,J82,K82)</f>
        <v>14.19</v>
      </c>
      <c r="M82" s="70">
        <f>249*2</f>
        <v>498</v>
      </c>
      <c r="N82" s="289" t="s">
        <v>60</v>
      </c>
      <c r="O82" s="95" t="s">
        <v>499</v>
      </c>
    </row>
    <row r="83">
      <c r="A83" s="77" t="s">
        <v>179</v>
      </c>
      <c r="B83" s="91" t="s">
        <v>500</v>
      </c>
      <c r="C83" s="79">
        <f t="shared" si="96"/>
        <v>1175</v>
      </c>
      <c r="D83" s="293">
        <f>(G83)/((H83-1) * 1/J83 * 60/1 + K84*(H84-1) + 0.68)</f>
        <v>928.3441238</v>
      </c>
      <c r="E83" s="57"/>
      <c r="F83" s="294">
        <f t="shared" si="101"/>
        <v>20509.09091</v>
      </c>
      <c r="G83" s="79">
        <f t="shared" si="102"/>
        <v>7690.909091</v>
      </c>
      <c r="H83" s="82">
        <v>6.0</v>
      </c>
      <c r="I83" s="84">
        <f>'Reserves Data (Reference)'!D108</f>
        <v>16</v>
      </c>
      <c r="J83" s="84">
        <v>55.0</v>
      </c>
      <c r="K83" s="85">
        <v>0.43</v>
      </c>
      <c r="L83" s="295">
        <f>timeToEmpty_shotgun(H83,I83,J83,K83)</f>
        <v>21.13181818</v>
      </c>
      <c r="M83" s="89">
        <f>(94*15*1/1.1)</f>
        <v>1281.818182</v>
      </c>
      <c r="N83" s="296">
        <f>1555*1/1.1</f>
        <v>1413.636364</v>
      </c>
      <c r="O83" s="95" t="s">
        <v>501</v>
      </c>
    </row>
    <row r="84">
      <c r="A84" s="77" t="s">
        <v>502</v>
      </c>
      <c r="B84" s="91" t="s">
        <v>500</v>
      </c>
      <c r="C84" s="79">
        <f>(G84 + 2*'Elemental Effects'!$E$3)/(floor(H84/3,1) * 1 + H84 * 1/J84 * 60/1)</f>
        <v>1443.148936</v>
      </c>
      <c r="D84" s="293">
        <f>(G84 + 2*'Elemental Effects'!$E$3)/(floor(H84/3,1) * 1 + (H84-1) * 1/J84 * 60/1 + K84*(H84-1) + 0.68)</f>
        <v>1199.116061</v>
      </c>
      <c r="E84" s="57"/>
      <c r="F84" s="294">
        <f t="shared" si="101"/>
        <v>30763.63636</v>
      </c>
      <c r="G84" s="79">
        <f>M84 * H84 + 2 * 'Elemental Effects'!$E$3</f>
        <v>11934.36364</v>
      </c>
      <c r="H84" s="82">
        <f t="shared" ref="H84:K84" si="103">H83</f>
        <v>6</v>
      </c>
      <c r="I84" s="84">
        <f t="shared" si="103"/>
        <v>16</v>
      </c>
      <c r="J84" s="84">
        <f t="shared" si="103"/>
        <v>55</v>
      </c>
      <c r="K84" s="85">
        <f t="shared" si="103"/>
        <v>0.43</v>
      </c>
      <c r="L84" s="295">
        <f>timeToEmpty_shotgun(H84,I84,J84,K84) + floor(I84/3,1)*1</f>
        <v>26.13181818</v>
      </c>
      <c r="M84" s="89">
        <f t="shared" ref="M84:N84" si="104">M83*1.5</f>
        <v>1922.727273</v>
      </c>
      <c r="N84" s="296">
        <f t="shared" si="104"/>
        <v>2120.454545</v>
      </c>
      <c r="O84" s="95" t="s">
        <v>503</v>
      </c>
    </row>
    <row r="85">
      <c r="A85" s="77" t="s">
        <v>502</v>
      </c>
      <c r="B85" s="97" t="s">
        <v>500</v>
      </c>
      <c r="C85" s="98">
        <f>(M85*3 + 2*'Elemental Effects'!$E$3)/(3*1/J85*60 + 1)</f>
        <v>1443.148936</v>
      </c>
      <c r="D85" s="231">
        <f>C85</f>
        <v>1443.148936</v>
      </c>
      <c r="E85" s="57"/>
      <c r="F85" s="291">
        <f t="shared" si="101"/>
        <v>30763.63636</v>
      </c>
      <c r="G85" s="98" t="s">
        <v>60</v>
      </c>
      <c r="H85" s="155">
        <v>1.0</v>
      </c>
      <c r="I85" s="103">
        <f t="shared" ref="I85:J85" si="105">I83</f>
        <v>16</v>
      </c>
      <c r="J85" s="103">
        <f t="shared" si="105"/>
        <v>55</v>
      </c>
      <c r="K85" s="201">
        <v>0.68</v>
      </c>
      <c r="L85" s="292">
        <f>I85*1/J85*60/1 + floor(I85/3,1)*1</f>
        <v>22.45454545</v>
      </c>
      <c r="M85" s="98">
        <f t="shared" ref="M85:N85" si="106">M83*1.5</f>
        <v>1922.727273</v>
      </c>
      <c r="N85" s="231">
        <f t="shared" si="106"/>
        <v>2120.454545</v>
      </c>
      <c r="O85" s="95" t="s">
        <v>504</v>
      </c>
    </row>
    <row r="86">
      <c r="A86" s="65" t="s">
        <v>305</v>
      </c>
      <c r="B86" s="261" t="s">
        <v>505</v>
      </c>
      <c r="C86" s="67">
        <f t="shared" ref="C86:C88" si="107">(G86)/(H86 * 1/J86 * 60/1)</f>
        <v>1153.005464</v>
      </c>
      <c r="D86" s="286">
        <f t="shared" ref="D86:D88" si="108">(G86)/(H86 * 1/J86 * 60/1 + K86 - (0.83-0.5))</f>
        <v>1024.271845</v>
      </c>
      <c r="E86" s="57"/>
      <c r="F86" s="287">
        <f>I86*M86 + floor(I86/2,1)*'Weapon Specifics'!$D$101</f>
        <v>23180</v>
      </c>
      <c r="G86" s="70">
        <f>M86 * H86 + floor(H86/2,1) * 'Weapon Specifics'!$D$101</f>
        <v>8440</v>
      </c>
      <c r="H86" s="71">
        <v>4.0</v>
      </c>
      <c r="I86" s="73">
        <f>'Reserves Data (Reference)'!D109</f>
        <v>11</v>
      </c>
      <c r="J86" s="73">
        <f t="shared" ref="J86:J88" si="109">1/((1000/1000 + 0.83) * 1/60)</f>
        <v>32.78688525</v>
      </c>
      <c r="K86" s="74">
        <v>1.25</v>
      </c>
      <c r="L86" s="288">
        <f t="shared" ref="L86:L87" si="110">timeToEmpty_fusions(H86, I86, 0.02, 10, 1, 0.83, K86)</f>
        <v>20.68</v>
      </c>
      <c r="M86" s="67">
        <f t="shared" ref="M86:M87" si="111">10*(15+193)</f>
        <v>2080</v>
      </c>
      <c r="N86" s="289" t="s">
        <v>60</v>
      </c>
      <c r="O86" s="95" t="s">
        <v>506</v>
      </c>
    </row>
    <row r="87">
      <c r="A87" s="96" t="s">
        <v>56</v>
      </c>
      <c r="B87" s="97" t="s">
        <v>505</v>
      </c>
      <c r="C87" s="98">
        <f t="shared" si="107"/>
        <v>1169.398907</v>
      </c>
      <c r="D87" s="231">
        <f t="shared" si="108"/>
        <v>1038.834951</v>
      </c>
      <c r="E87" s="57"/>
      <c r="F87" s="291">
        <f>I87*(M87+'Weapon Specifics'!$D$101)</f>
        <v>23540</v>
      </c>
      <c r="G87" s="197">
        <f>(M87 + 'Weapon Specifics'!$D$101) * H87</f>
        <v>8560</v>
      </c>
      <c r="H87" s="101">
        <v>4.0</v>
      </c>
      <c r="I87" s="103">
        <f t="shared" ref="I87:I88" si="112">$I$86</f>
        <v>11</v>
      </c>
      <c r="J87" s="103">
        <f t="shared" si="109"/>
        <v>32.78688525</v>
      </c>
      <c r="K87" s="201">
        <v>1.25</v>
      </c>
      <c r="L87" s="292">
        <f t="shared" si="110"/>
        <v>20.68</v>
      </c>
      <c r="M87" s="98">
        <f t="shared" si="111"/>
        <v>2080</v>
      </c>
      <c r="N87" s="231" t="s">
        <v>60</v>
      </c>
      <c r="O87" s="95" t="s">
        <v>507</v>
      </c>
    </row>
    <row r="88">
      <c r="A88" s="77"/>
      <c r="B88" s="97" t="s">
        <v>505</v>
      </c>
      <c r="C88" s="98">
        <f t="shared" si="107"/>
        <v>1136.612022</v>
      </c>
      <c r="D88" s="231">
        <f t="shared" si="108"/>
        <v>1009.708738</v>
      </c>
      <c r="E88" s="57"/>
      <c r="F88" s="291">
        <f>I88*M88</f>
        <v>22880</v>
      </c>
      <c r="G88" s="197">
        <f>M88 * H88</f>
        <v>8320</v>
      </c>
      <c r="H88" s="101">
        <v>4.0</v>
      </c>
      <c r="I88" s="103">
        <f t="shared" si="112"/>
        <v>11</v>
      </c>
      <c r="J88" s="103">
        <f t="shared" si="109"/>
        <v>32.78688525</v>
      </c>
      <c r="K88" s="201">
        <v>1.25</v>
      </c>
      <c r="L88" s="292">
        <f t="shared" ref="L88:M88" si="113">L86</f>
        <v>20.68</v>
      </c>
      <c r="M88" s="98">
        <f t="shared" si="113"/>
        <v>2080</v>
      </c>
      <c r="N88" s="231" t="s">
        <v>60</v>
      </c>
      <c r="O88" s="95" t="s">
        <v>508</v>
      </c>
    </row>
    <row r="89">
      <c r="A89" s="65" t="s">
        <v>220</v>
      </c>
      <c r="B89" s="261" t="s">
        <v>509</v>
      </c>
      <c r="C89" s="67">
        <f t="shared" ref="C89:C90" si="114">D89</f>
        <v>1087.655602</v>
      </c>
      <c r="D89" s="286">
        <f t="shared" ref="D89:D90" si="115">(G89)/(H89 * 1/J89 * 60/1)</f>
        <v>1087.655602</v>
      </c>
      <c r="E89" s="57"/>
      <c r="F89" s="287">
        <f t="shared" ref="F89:F91" si="116">I89*N89</f>
        <v>18873</v>
      </c>
      <c r="G89" s="70">
        <f t="shared" ref="G89:G92" si="117">N89 * H89</f>
        <v>2097</v>
      </c>
      <c r="H89" s="71">
        <v>1.0</v>
      </c>
      <c r="I89" s="73">
        <f>'Reserves Data (Reference)'!D110</f>
        <v>9</v>
      </c>
      <c r="J89" s="73">
        <f>1/(1328*1/1000*1/60 + K89*1/60)</f>
        <v>31.12033195</v>
      </c>
      <c r="K89" s="74">
        <v>0.6</v>
      </c>
      <c r="L89" s="288">
        <f t="shared" ref="L89:L90" si="118">I89*1/J89*60/1</f>
        <v>17.352</v>
      </c>
      <c r="M89" s="67">
        <f>532+1152+'Elemental Effects'!E6</f>
        <v>1779</v>
      </c>
      <c r="N89" s="289">
        <f>850+1152+'Elemental Effects'!E6</f>
        <v>2097</v>
      </c>
      <c r="O89" s="95" t="s">
        <v>510</v>
      </c>
    </row>
    <row r="90">
      <c r="A90" s="160" t="s">
        <v>179</v>
      </c>
      <c r="B90" s="137" t="s">
        <v>509</v>
      </c>
      <c r="C90" s="138">
        <f t="shared" si="114"/>
        <v>1556.792873</v>
      </c>
      <c r="D90" s="303">
        <f t="shared" si="115"/>
        <v>1556.792873</v>
      </c>
      <c r="E90" s="57"/>
      <c r="F90" s="304">
        <f t="shared" si="116"/>
        <v>29358</v>
      </c>
      <c r="G90" s="141">
        <f t="shared" si="117"/>
        <v>2097</v>
      </c>
      <c r="H90" s="142">
        <v>1.0</v>
      </c>
      <c r="I90" s="144">
        <f>'Reserves Data (Reference)'!D111</f>
        <v>14</v>
      </c>
      <c r="J90" s="144">
        <f>1/(1328*(1-0.4375)*1/1000*1/60 + K90*1/60)</f>
        <v>44.54342984</v>
      </c>
      <c r="K90" s="145">
        <v>0.6</v>
      </c>
      <c r="L90" s="305">
        <f t="shared" si="118"/>
        <v>18.858</v>
      </c>
      <c r="M90" s="138">
        <f t="shared" ref="M90:N90" si="119">M89</f>
        <v>1779</v>
      </c>
      <c r="N90" s="306">
        <f t="shared" si="119"/>
        <v>2097</v>
      </c>
      <c r="O90" s="95" t="s">
        <v>511</v>
      </c>
    </row>
    <row r="91">
      <c r="A91" s="164" t="s">
        <v>252</v>
      </c>
      <c r="B91" s="323" t="s">
        <v>512</v>
      </c>
      <c r="C91" s="264">
        <f t="shared" ref="C91:C92" si="120">(G91)/(H91 * 1/J91 * 60/1)</f>
        <v>1172.727273</v>
      </c>
      <c r="D91" s="307">
        <f t="shared" ref="D91:D92" si="121">(G91)/((H91-1) * 1/J91 * 60/1 + K91)</f>
        <v>1000.905211</v>
      </c>
      <c r="E91" s="57"/>
      <c r="F91" s="308">
        <f t="shared" si="116"/>
        <v>30100</v>
      </c>
      <c r="G91" s="267">
        <f t="shared" si="117"/>
        <v>9381.818182</v>
      </c>
      <c r="H91" s="268">
        <v>120.0</v>
      </c>
      <c r="I91" s="269">
        <f>'Reserves Data (Reference)'!$D$112</f>
        <v>385</v>
      </c>
      <c r="J91" s="269">
        <v>900.0</v>
      </c>
      <c r="K91" s="270">
        <v>1.44</v>
      </c>
      <c r="L91" s="309">
        <f t="shared" ref="L91:L92" si="122">timeToEmpty(H91,I91,J91,K91)</f>
        <v>29.72</v>
      </c>
      <c r="M91" s="264">
        <f>65*1/1.1</f>
        <v>59.09090909</v>
      </c>
      <c r="N91" s="310">
        <f>86*1/1.1</f>
        <v>78.18181818</v>
      </c>
    </row>
    <row r="92">
      <c r="A92" s="324" t="s">
        <v>513</v>
      </c>
      <c r="B92" s="325" t="s">
        <v>512</v>
      </c>
      <c r="C92" s="326">
        <f t="shared" si="120"/>
        <v>1407.272727</v>
      </c>
      <c r="D92" s="327">
        <f t="shared" si="121"/>
        <v>1201.086254</v>
      </c>
      <c r="E92" s="57"/>
      <c r="F92" s="328">
        <f>2*H92*N92 
+ N92 * (floor((20-(2*H92*1/J92*60+2*K92))*J92*1/60,1))
+ N91 * (I92-(2*H92 + (floor((20-(2*H92*1/J92*60+2*K92))*J92*1/60,1))))</f>
        <v>34102.90909</v>
      </c>
      <c r="G92" s="329">
        <f t="shared" si="117"/>
        <v>11258.18182</v>
      </c>
      <c r="H92" s="330">
        <v>120.0</v>
      </c>
      <c r="I92" s="331">
        <f>'Reserves Data (Reference)'!$D$112</f>
        <v>385</v>
      </c>
      <c r="J92" s="331">
        <v>900.0</v>
      </c>
      <c r="K92" s="332">
        <v>1.44</v>
      </c>
      <c r="L92" s="333">
        <f t="shared" si="122"/>
        <v>29.72</v>
      </c>
      <c r="M92" s="326">
        <f t="shared" ref="M92:N92" si="123">M91*1.2</f>
        <v>70.90909091</v>
      </c>
      <c r="N92" s="334">
        <f t="shared" si="123"/>
        <v>93.81818182</v>
      </c>
      <c r="O92" s="95" t="s">
        <v>514</v>
      </c>
    </row>
    <row r="93">
      <c r="A93" s="335"/>
      <c r="B93" s="95"/>
      <c r="C93" s="336"/>
      <c r="D93" s="336"/>
      <c r="E93" s="57"/>
      <c r="F93" s="337"/>
      <c r="G93" s="336"/>
      <c r="H93" s="337"/>
      <c r="I93" s="338"/>
      <c r="J93" s="339"/>
      <c r="K93" s="340"/>
      <c r="L93" s="341"/>
      <c r="M93" s="339"/>
      <c r="N93" s="339"/>
    </row>
    <row r="94" hidden="1">
      <c r="A94" s="191"/>
      <c r="J94" s="342"/>
      <c r="L94" s="285"/>
    </row>
    <row r="95" hidden="1">
      <c r="A95" s="191"/>
      <c r="L95" s="285"/>
    </row>
    <row r="96" hidden="1">
      <c r="A96" s="191"/>
      <c r="L96" s="285"/>
    </row>
    <row r="97" hidden="1">
      <c r="A97" s="191"/>
      <c r="L97" s="285"/>
    </row>
    <row r="98" hidden="1">
      <c r="A98" s="191"/>
      <c r="L98" s="285"/>
    </row>
    <row r="99" hidden="1">
      <c r="A99" s="191"/>
      <c r="L99" s="285"/>
    </row>
    <row r="100" hidden="1">
      <c r="A100" s="191"/>
      <c r="L100" s="285"/>
    </row>
    <row r="101" hidden="1">
      <c r="A101" s="191"/>
      <c r="L101" s="285"/>
    </row>
    <row r="102" hidden="1">
      <c r="A102" s="191"/>
      <c r="L102" s="285"/>
    </row>
    <row r="103" hidden="1">
      <c r="A103" s="191"/>
      <c r="L103" s="285"/>
    </row>
    <row r="104" hidden="1">
      <c r="A104" s="191"/>
      <c r="L104" s="285"/>
    </row>
    <row r="105" hidden="1">
      <c r="A105" s="191"/>
      <c r="L105" s="285"/>
    </row>
    <row r="106" hidden="1">
      <c r="A106" s="191"/>
      <c r="L106" s="285"/>
    </row>
    <row r="107" hidden="1">
      <c r="A107" s="191"/>
      <c r="L107" s="285"/>
    </row>
    <row r="108" hidden="1">
      <c r="A108" s="191"/>
      <c r="L108" s="285"/>
    </row>
    <row r="109" hidden="1">
      <c r="A109" s="191"/>
      <c r="L109" s="285"/>
    </row>
    <row r="110" hidden="1">
      <c r="A110" s="191"/>
      <c r="L110" s="285"/>
    </row>
    <row r="111" hidden="1">
      <c r="A111" s="191"/>
      <c r="L111" s="285"/>
    </row>
    <row r="112" hidden="1">
      <c r="A112" s="191"/>
      <c r="L112" s="285"/>
    </row>
    <row r="113" hidden="1">
      <c r="A113" s="191"/>
      <c r="L113" s="285"/>
    </row>
    <row r="114" hidden="1">
      <c r="A114" s="191"/>
      <c r="L114" s="285"/>
    </row>
    <row r="115" hidden="1">
      <c r="A115" s="191"/>
      <c r="L115" s="285"/>
    </row>
    <row r="116" hidden="1">
      <c r="A116" s="191"/>
      <c r="L116" s="285"/>
    </row>
    <row r="117" hidden="1">
      <c r="A117" s="191"/>
      <c r="L117" s="285"/>
    </row>
    <row r="118" hidden="1">
      <c r="A118" s="191"/>
      <c r="L118" s="285"/>
    </row>
    <row r="119" hidden="1">
      <c r="A119" s="191"/>
      <c r="L119" s="285"/>
    </row>
    <row r="120" hidden="1">
      <c r="A120" s="191"/>
      <c r="L120" s="285"/>
    </row>
    <row r="121" hidden="1">
      <c r="A121" s="191"/>
      <c r="L121" s="285"/>
    </row>
    <row r="122" hidden="1">
      <c r="A122" s="58"/>
      <c r="L122" s="285"/>
    </row>
    <row r="123" hidden="1">
      <c r="A123" s="58"/>
      <c r="L123" s="285"/>
    </row>
    <row r="124" hidden="1">
      <c r="A124" s="58"/>
      <c r="L124" s="285"/>
    </row>
    <row r="125" hidden="1">
      <c r="A125" s="58"/>
      <c r="L125" s="285"/>
    </row>
    <row r="126" hidden="1">
      <c r="A126" s="58"/>
      <c r="L126" s="285"/>
    </row>
    <row r="127" hidden="1">
      <c r="A127" s="58"/>
      <c r="L127" s="285"/>
    </row>
    <row r="128" hidden="1">
      <c r="A128" s="58"/>
      <c r="L128" s="285"/>
    </row>
    <row r="129" hidden="1">
      <c r="A129" s="58"/>
      <c r="L129" s="285"/>
    </row>
    <row r="130" hidden="1">
      <c r="A130" s="58"/>
      <c r="L130" s="285"/>
    </row>
    <row r="131" hidden="1">
      <c r="A131" s="58"/>
      <c r="L131" s="285"/>
    </row>
    <row r="132" hidden="1">
      <c r="A132" s="58"/>
      <c r="L132" s="285"/>
    </row>
    <row r="133" hidden="1">
      <c r="A133" s="58"/>
      <c r="L133" s="285"/>
    </row>
    <row r="134" hidden="1">
      <c r="A134" s="58"/>
      <c r="L134" s="285"/>
    </row>
    <row r="135" hidden="1">
      <c r="A135" s="58"/>
      <c r="L135" s="285"/>
    </row>
    <row r="136" hidden="1">
      <c r="A136" s="58"/>
      <c r="L136" s="285"/>
    </row>
    <row r="137" hidden="1">
      <c r="A137" s="58"/>
      <c r="L137" s="285"/>
    </row>
    <row r="138" hidden="1">
      <c r="A138" s="58"/>
      <c r="L138" s="285"/>
    </row>
    <row r="139" hidden="1">
      <c r="A139" s="58"/>
      <c r="L139" s="285"/>
    </row>
    <row r="140" hidden="1">
      <c r="A140" s="58"/>
      <c r="L140" s="285"/>
    </row>
    <row r="141" hidden="1">
      <c r="A141" s="58"/>
      <c r="L141" s="285"/>
    </row>
    <row r="142" hidden="1">
      <c r="A142" s="58"/>
      <c r="L142" s="285"/>
    </row>
    <row r="143" hidden="1">
      <c r="A143" s="58"/>
      <c r="L143" s="285"/>
    </row>
    <row r="144" hidden="1">
      <c r="A144" s="58"/>
      <c r="L144" s="285"/>
    </row>
    <row r="145" hidden="1">
      <c r="A145" s="58"/>
      <c r="L145" s="285"/>
    </row>
    <row r="146" hidden="1">
      <c r="A146" s="58"/>
      <c r="L146" s="285"/>
    </row>
    <row r="147" hidden="1">
      <c r="A147" s="58"/>
      <c r="L147" s="285"/>
    </row>
    <row r="148" hidden="1">
      <c r="A148" s="58"/>
      <c r="L148" s="285"/>
    </row>
    <row r="149" hidden="1">
      <c r="A149" s="58"/>
      <c r="L149" s="285"/>
    </row>
    <row r="150" hidden="1">
      <c r="A150" s="58"/>
      <c r="L150" s="285"/>
    </row>
    <row r="151" hidden="1">
      <c r="A151" s="58"/>
      <c r="L151" s="285"/>
    </row>
    <row r="152" hidden="1">
      <c r="A152" s="58"/>
      <c r="L152" s="285"/>
    </row>
    <row r="153" hidden="1">
      <c r="A153" s="58"/>
      <c r="L153" s="285"/>
    </row>
    <row r="154" hidden="1">
      <c r="A154" s="58"/>
      <c r="L154" s="285"/>
    </row>
    <row r="155" hidden="1">
      <c r="A155" s="58"/>
      <c r="L155" s="285"/>
    </row>
    <row r="156" hidden="1">
      <c r="A156" s="58"/>
      <c r="L156" s="285"/>
    </row>
    <row r="157" hidden="1">
      <c r="A157" s="58"/>
      <c r="L157" s="285"/>
    </row>
    <row r="158" hidden="1">
      <c r="A158" s="58"/>
      <c r="L158" s="285"/>
    </row>
    <row r="159" hidden="1">
      <c r="A159" s="58"/>
      <c r="L159" s="285"/>
    </row>
    <row r="160" hidden="1">
      <c r="A160" s="58"/>
      <c r="L160" s="285"/>
    </row>
    <row r="161" hidden="1">
      <c r="A161" s="58"/>
      <c r="L161" s="285"/>
    </row>
    <row r="162" hidden="1">
      <c r="A162" s="58"/>
      <c r="L162" s="285"/>
    </row>
    <row r="163" hidden="1">
      <c r="A163" s="58"/>
      <c r="L163" s="285"/>
    </row>
    <row r="164" hidden="1">
      <c r="A164" s="58"/>
      <c r="L164" s="285"/>
    </row>
    <row r="165" hidden="1">
      <c r="A165" s="58"/>
      <c r="L165" s="285"/>
    </row>
    <row r="166" hidden="1">
      <c r="A166" s="58"/>
      <c r="L166" s="285"/>
    </row>
    <row r="167" hidden="1">
      <c r="A167" s="58"/>
      <c r="L167" s="285"/>
    </row>
    <row r="168" hidden="1">
      <c r="A168" s="58"/>
      <c r="L168" s="285"/>
    </row>
    <row r="169" hidden="1">
      <c r="A169" s="58"/>
      <c r="L169" s="285"/>
    </row>
    <row r="170" hidden="1">
      <c r="A170" s="58"/>
      <c r="L170" s="285"/>
    </row>
    <row r="171" hidden="1">
      <c r="A171" s="58"/>
      <c r="L171" s="285"/>
    </row>
    <row r="172" hidden="1">
      <c r="A172" s="58"/>
      <c r="L172" s="285"/>
    </row>
    <row r="173" hidden="1">
      <c r="A173" s="58"/>
      <c r="L173" s="285"/>
    </row>
    <row r="174" hidden="1">
      <c r="A174" s="58"/>
      <c r="L174" s="285"/>
    </row>
    <row r="175" hidden="1">
      <c r="A175" s="58"/>
      <c r="L175" s="285"/>
    </row>
    <row r="176" hidden="1">
      <c r="A176" s="58"/>
      <c r="L176" s="285"/>
    </row>
    <row r="177" hidden="1">
      <c r="A177" s="58"/>
      <c r="L177" s="285"/>
    </row>
    <row r="178" hidden="1">
      <c r="A178" s="58"/>
      <c r="L178" s="285"/>
    </row>
    <row r="179" hidden="1">
      <c r="A179" s="58"/>
      <c r="L179" s="285"/>
    </row>
    <row r="180" hidden="1">
      <c r="A180" s="58"/>
      <c r="L180" s="285"/>
    </row>
    <row r="181" hidden="1">
      <c r="A181" s="58"/>
      <c r="L181" s="285"/>
    </row>
    <row r="182" hidden="1">
      <c r="A182" s="58"/>
      <c r="L182" s="285"/>
    </row>
    <row r="183" hidden="1">
      <c r="A183" s="58"/>
      <c r="L183" s="285"/>
    </row>
    <row r="184" hidden="1">
      <c r="A184" s="58"/>
      <c r="L184" s="285"/>
    </row>
    <row r="185" hidden="1">
      <c r="A185" s="58"/>
      <c r="L185" s="285"/>
    </row>
    <row r="186" hidden="1">
      <c r="A186" s="58"/>
      <c r="L186" s="285"/>
    </row>
    <row r="187" hidden="1">
      <c r="A187" s="58"/>
      <c r="L187" s="285"/>
    </row>
    <row r="188" hidden="1">
      <c r="A188" s="58"/>
      <c r="L188" s="285"/>
    </row>
    <row r="189" hidden="1">
      <c r="A189" s="58"/>
      <c r="L189" s="285"/>
    </row>
    <row r="190" hidden="1">
      <c r="A190" s="58"/>
      <c r="L190" s="285"/>
    </row>
    <row r="191" hidden="1">
      <c r="A191" s="58"/>
      <c r="L191" s="285"/>
    </row>
    <row r="192" hidden="1">
      <c r="A192" s="58"/>
      <c r="L192" s="285"/>
    </row>
    <row r="193" hidden="1">
      <c r="A193" s="58"/>
      <c r="L193" s="285"/>
    </row>
    <row r="194" hidden="1">
      <c r="A194" s="58"/>
      <c r="L194" s="285"/>
    </row>
    <row r="195" hidden="1">
      <c r="A195" s="58"/>
      <c r="L195" s="285"/>
    </row>
    <row r="196" hidden="1">
      <c r="A196" s="58"/>
      <c r="L196" s="285"/>
    </row>
    <row r="197" hidden="1">
      <c r="A197" s="58"/>
      <c r="L197" s="285"/>
    </row>
    <row r="198" hidden="1">
      <c r="A198" s="58"/>
      <c r="L198" s="285"/>
    </row>
    <row r="199" hidden="1">
      <c r="A199" s="58"/>
      <c r="L199" s="285"/>
    </row>
    <row r="200" hidden="1">
      <c r="A200" s="58"/>
      <c r="L200" s="285"/>
    </row>
    <row r="201" hidden="1">
      <c r="A201" s="58"/>
      <c r="L201" s="285"/>
    </row>
    <row r="202" hidden="1">
      <c r="A202" s="58"/>
      <c r="L202" s="285"/>
    </row>
    <row r="203" hidden="1">
      <c r="A203" s="58"/>
      <c r="L203" s="285"/>
    </row>
    <row r="204" hidden="1">
      <c r="A204" s="58"/>
      <c r="L204" s="285"/>
    </row>
    <row r="205" hidden="1">
      <c r="A205" s="58"/>
      <c r="L205" s="285"/>
    </row>
    <row r="206" hidden="1">
      <c r="A206" s="58"/>
      <c r="L206" s="285"/>
    </row>
    <row r="207" hidden="1">
      <c r="A207" s="58"/>
      <c r="L207" s="285"/>
    </row>
    <row r="208" hidden="1">
      <c r="A208" s="58"/>
      <c r="L208" s="285"/>
    </row>
    <row r="209" hidden="1">
      <c r="A209" s="58"/>
      <c r="L209" s="285"/>
    </row>
    <row r="210" hidden="1">
      <c r="A210" s="58"/>
      <c r="L210" s="285"/>
    </row>
    <row r="211" hidden="1">
      <c r="A211" s="58"/>
      <c r="L211" s="285"/>
    </row>
    <row r="212" hidden="1">
      <c r="A212" s="58"/>
      <c r="L212" s="285"/>
    </row>
    <row r="213" hidden="1">
      <c r="A213" s="58"/>
      <c r="L213" s="285"/>
    </row>
    <row r="214" hidden="1">
      <c r="A214" s="58"/>
      <c r="L214" s="285"/>
    </row>
    <row r="215" hidden="1">
      <c r="A215" s="58"/>
      <c r="L215" s="285"/>
    </row>
    <row r="216" hidden="1">
      <c r="A216" s="58"/>
      <c r="L216" s="285"/>
    </row>
    <row r="217" hidden="1">
      <c r="A217" s="58"/>
      <c r="L217" s="285"/>
    </row>
    <row r="218" hidden="1">
      <c r="A218" s="58"/>
      <c r="L218" s="285"/>
    </row>
    <row r="219" hidden="1">
      <c r="A219" s="58"/>
      <c r="L219" s="285"/>
    </row>
    <row r="220" hidden="1">
      <c r="A220" s="58"/>
      <c r="L220" s="285"/>
    </row>
    <row r="221" hidden="1">
      <c r="A221" s="58"/>
      <c r="L221" s="285"/>
    </row>
    <row r="222" hidden="1">
      <c r="A222" s="58"/>
      <c r="L222" s="285"/>
    </row>
    <row r="223" hidden="1">
      <c r="A223" s="58"/>
      <c r="L223" s="285"/>
    </row>
    <row r="224" hidden="1">
      <c r="A224" s="58"/>
      <c r="L224" s="285"/>
    </row>
    <row r="225" hidden="1">
      <c r="A225" s="58"/>
      <c r="L225" s="285"/>
    </row>
    <row r="226" hidden="1">
      <c r="A226" s="58"/>
      <c r="L226" s="285"/>
    </row>
    <row r="227" hidden="1">
      <c r="A227" s="58"/>
      <c r="L227" s="285"/>
    </row>
    <row r="228" hidden="1">
      <c r="A228" s="58"/>
      <c r="L228" s="285"/>
    </row>
    <row r="229" hidden="1">
      <c r="A229" s="58"/>
      <c r="L229" s="285"/>
    </row>
    <row r="230" hidden="1">
      <c r="A230" s="58"/>
      <c r="L230" s="285"/>
    </row>
    <row r="231" hidden="1">
      <c r="A231" s="58"/>
      <c r="L231" s="285"/>
    </row>
    <row r="232" hidden="1">
      <c r="A232" s="58"/>
      <c r="L232" s="285"/>
    </row>
    <row r="233" hidden="1">
      <c r="A233" s="58"/>
      <c r="L233" s="285"/>
    </row>
    <row r="234" hidden="1">
      <c r="A234" s="58"/>
      <c r="L234" s="285"/>
    </row>
    <row r="235" hidden="1">
      <c r="A235" s="58"/>
      <c r="L235" s="285"/>
    </row>
    <row r="236" hidden="1">
      <c r="A236" s="58"/>
      <c r="L236" s="285"/>
    </row>
    <row r="237" hidden="1">
      <c r="A237" s="58"/>
      <c r="L237" s="285"/>
    </row>
    <row r="238" hidden="1">
      <c r="A238" s="58"/>
      <c r="L238" s="285"/>
    </row>
    <row r="239" hidden="1">
      <c r="A239" s="58"/>
      <c r="L239" s="285"/>
    </row>
    <row r="240" hidden="1">
      <c r="A240" s="58"/>
      <c r="L240" s="285"/>
    </row>
    <row r="241" hidden="1">
      <c r="A241" s="58"/>
      <c r="L241" s="285"/>
    </row>
    <row r="242" hidden="1">
      <c r="A242" s="58"/>
      <c r="L242" s="285"/>
    </row>
    <row r="243" hidden="1">
      <c r="A243" s="58"/>
      <c r="L243" s="285"/>
    </row>
    <row r="244" hidden="1">
      <c r="A244" s="58"/>
      <c r="L244" s="285"/>
    </row>
    <row r="245" hidden="1">
      <c r="A245" s="58"/>
      <c r="L245" s="285"/>
    </row>
    <row r="246" hidden="1">
      <c r="A246" s="58"/>
      <c r="L246" s="285"/>
    </row>
    <row r="247" hidden="1">
      <c r="A247" s="58"/>
      <c r="L247" s="285"/>
    </row>
    <row r="248" hidden="1">
      <c r="A248" s="58"/>
      <c r="L248" s="285"/>
    </row>
    <row r="249" hidden="1">
      <c r="A249" s="58"/>
      <c r="L249" s="285"/>
    </row>
    <row r="250" hidden="1">
      <c r="A250" s="58"/>
      <c r="L250" s="285"/>
    </row>
    <row r="251" hidden="1">
      <c r="A251" s="58"/>
      <c r="L251" s="285"/>
    </row>
    <row r="252" hidden="1">
      <c r="A252" s="58"/>
      <c r="L252" s="285"/>
    </row>
    <row r="253" hidden="1">
      <c r="A253" s="58"/>
      <c r="L253" s="285"/>
    </row>
    <row r="254" hidden="1">
      <c r="A254" s="58"/>
      <c r="L254" s="285"/>
    </row>
    <row r="255" hidden="1">
      <c r="A255" s="58"/>
      <c r="L255" s="285"/>
    </row>
    <row r="256" hidden="1">
      <c r="A256" s="58"/>
      <c r="L256" s="285"/>
    </row>
    <row r="257" hidden="1">
      <c r="A257" s="58"/>
      <c r="L257" s="285"/>
    </row>
    <row r="258" hidden="1">
      <c r="A258" s="58"/>
      <c r="L258" s="285"/>
    </row>
    <row r="259" hidden="1">
      <c r="A259" s="58"/>
      <c r="L259" s="285"/>
    </row>
    <row r="260" hidden="1">
      <c r="A260" s="58"/>
      <c r="L260" s="285"/>
    </row>
    <row r="261" hidden="1">
      <c r="A261" s="58"/>
      <c r="L261" s="285"/>
    </row>
    <row r="262" hidden="1">
      <c r="A262" s="58"/>
      <c r="L262" s="285"/>
    </row>
    <row r="263" hidden="1">
      <c r="A263" s="58"/>
      <c r="L263" s="285"/>
    </row>
    <row r="264" hidden="1">
      <c r="A264" s="58"/>
      <c r="L264" s="285"/>
    </row>
    <row r="265" hidden="1">
      <c r="A265" s="58"/>
      <c r="L265" s="285"/>
    </row>
    <row r="266" hidden="1">
      <c r="A266" s="58"/>
      <c r="L266" s="285"/>
    </row>
    <row r="267" hidden="1">
      <c r="A267" s="58"/>
      <c r="L267" s="285"/>
    </row>
    <row r="268" hidden="1">
      <c r="A268" s="58"/>
      <c r="L268" s="285"/>
    </row>
    <row r="269" hidden="1">
      <c r="A269" s="58"/>
      <c r="L269" s="285"/>
    </row>
    <row r="270" hidden="1">
      <c r="A270" s="58"/>
      <c r="L270" s="285"/>
    </row>
    <row r="271" hidden="1">
      <c r="A271" s="58"/>
      <c r="L271" s="285"/>
    </row>
    <row r="272" hidden="1">
      <c r="A272" s="58"/>
      <c r="L272" s="285"/>
    </row>
    <row r="273" hidden="1">
      <c r="A273" s="58"/>
      <c r="L273" s="285"/>
    </row>
    <row r="274" hidden="1">
      <c r="A274" s="58"/>
      <c r="L274" s="285"/>
    </row>
    <row r="275" hidden="1">
      <c r="A275" s="58"/>
      <c r="L275" s="285"/>
    </row>
    <row r="276" hidden="1">
      <c r="A276" s="58"/>
      <c r="L276" s="285"/>
    </row>
    <row r="277" hidden="1">
      <c r="A277" s="58"/>
      <c r="L277" s="285"/>
    </row>
    <row r="278" hidden="1">
      <c r="A278" s="58"/>
      <c r="L278" s="285"/>
    </row>
    <row r="279" hidden="1">
      <c r="A279" s="58"/>
      <c r="L279" s="285"/>
    </row>
    <row r="280" hidden="1">
      <c r="A280" s="58"/>
      <c r="L280" s="285"/>
    </row>
    <row r="281" hidden="1">
      <c r="A281" s="58"/>
      <c r="L281" s="285"/>
    </row>
    <row r="282" hidden="1">
      <c r="A282" s="58"/>
      <c r="L282" s="285"/>
    </row>
    <row r="283" hidden="1">
      <c r="A283" s="58"/>
      <c r="L283" s="285"/>
    </row>
    <row r="284" hidden="1">
      <c r="A284" s="58"/>
      <c r="L284" s="285"/>
    </row>
    <row r="285" hidden="1">
      <c r="A285" s="58"/>
      <c r="L285" s="285"/>
    </row>
    <row r="286" hidden="1">
      <c r="A286" s="58"/>
      <c r="L286" s="285"/>
    </row>
    <row r="287" hidden="1">
      <c r="A287" s="58"/>
      <c r="L287" s="285"/>
    </row>
    <row r="288" hidden="1">
      <c r="A288" s="58"/>
      <c r="L288" s="285"/>
    </row>
    <row r="289" hidden="1">
      <c r="A289" s="58"/>
      <c r="L289" s="285"/>
    </row>
    <row r="290" hidden="1">
      <c r="A290" s="58"/>
      <c r="L290" s="285"/>
    </row>
    <row r="291" hidden="1">
      <c r="A291" s="58"/>
      <c r="L291" s="285"/>
    </row>
    <row r="292" hidden="1">
      <c r="A292" s="58"/>
      <c r="L292" s="285"/>
    </row>
    <row r="293" hidden="1">
      <c r="A293" s="58"/>
      <c r="L293" s="285"/>
    </row>
    <row r="294" hidden="1">
      <c r="A294" s="58"/>
      <c r="L294" s="285"/>
    </row>
    <row r="295" hidden="1">
      <c r="A295" s="58"/>
      <c r="L295" s="285"/>
    </row>
    <row r="296" hidden="1">
      <c r="A296" s="58"/>
      <c r="L296" s="285"/>
    </row>
    <row r="297" hidden="1">
      <c r="A297" s="58"/>
      <c r="L297" s="285"/>
    </row>
    <row r="298" hidden="1">
      <c r="A298" s="58"/>
      <c r="L298" s="285"/>
    </row>
    <row r="299" hidden="1">
      <c r="A299" s="58"/>
      <c r="L299" s="285"/>
    </row>
    <row r="300" hidden="1">
      <c r="A300" s="58"/>
      <c r="L300" s="285"/>
    </row>
    <row r="301" hidden="1">
      <c r="A301" s="58"/>
      <c r="L301" s="285"/>
    </row>
    <row r="302" hidden="1">
      <c r="A302" s="58"/>
      <c r="L302" s="285"/>
    </row>
    <row r="303" hidden="1">
      <c r="A303" s="58"/>
      <c r="L303" s="285"/>
    </row>
    <row r="304" hidden="1">
      <c r="A304" s="58"/>
      <c r="L304" s="285"/>
    </row>
    <row r="305" hidden="1">
      <c r="A305" s="58"/>
      <c r="L305" s="285"/>
    </row>
    <row r="306" hidden="1">
      <c r="A306" s="58"/>
      <c r="L306" s="285"/>
    </row>
    <row r="307" hidden="1">
      <c r="A307" s="58"/>
      <c r="L307" s="285"/>
    </row>
    <row r="308" hidden="1">
      <c r="A308" s="58"/>
      <c r="L308" s="285"/>
    </row>
    <row r="309" hidden="1">
      <c r="A309" s="58"/>
      <c r="L309" s="285"/>
    </row>
    <row r="310" hidden="1">
      <c r="A310" s="58"/>
      <c r="L310" s="285"/>
    </row>
    <row r="311" hidden="1">
      <c r="A311" s="58"/>
      <c r="L311" s="285"/>
    </row>
    <row r="312" hidden="1">
      <c r="A312" s="58"/>
      <c r="L312" s="285"/>
    </row>
    <row r="313" hidden="1">
      <c r="A313" s="58"/>
      <c r="L313" s="285"/>
    </row>
    <row r="314" hidden="1">
      <c r="A314" s="58"/>
      <c r="L314" s="285"/>
    </row>
    <row r="315" hidden="1">
      <c r="A315" s="58"/>
      <c r="L315" s="285"/>
    </row>
    <row r="316" hidden="1">
      <c r="A316" s="58"/>
      <c r="L316" s="285"/>
    </row>
    <row r="317" hidden="1">
      <c r="A317" s="58"/>
      <c r="L317" s="285"/>
    </row>
    <row r="318" hidden="1">
      <c r="A318" s="58"/>
      <c r="L318" s="285"/>
    </row>
    <row r="319" hidden="1">
      <c r="A319" s="58"/>
      <c r="L319" s="285"/>
    </row>
    <row r="320" hidden="1">
      <c r="A320" s="58"/>
      <c r="L320" s="285"/>
    </row>
    <row r="321" hidden="1">
      <c r="A321" s="58"/>
      <c r="L321" s="285"/>
    </row>
    <row r="322" hidden="1">
      <c r="A322" s="58"/>
      <c r="L322" s="285"/>
    </row>
    <row r="323" hidden="1">
      <c r="A323" s="58"/>
      <c r="L323" s="285"/>
    </row>
    <row r="324" hidden="1">
      <c r="A324" s="58"/>
      <c r="L324" s="285"/>
    </row>
    <row r="325" hidden="1">
      <c r="A325" s="58"/>
      <c r="L325" s="285"/>
    </row>
    <row r="326" hidden="1">
      <c r="A326" s="58"/>
      <c r="L326" s="285"/>
    </row>
    <row r="327" hidden="1">
      <c r="A327" s="58"/>
      <c r="L327" s="285"/>
    </row>
    <row r="328" hidden="1">
      <c r="A328" s="58"/>
      <c r="L328" s="285"/>
    </row>
    <row r="329" hidden="1">
      <c r="A329" s="58"/>
      <c r="L329" s="285"/>
    </row>
    <row r="330" hidden="1">
      <c r="A330" s="58"/>
      <c r="L330" s="285"/>
    </row>
    <row r="331" hidden="1">
      <c r="A331" s="58"/>
      <c r="L331" s="285"/>
    </row>
    <row r="332" hidden="1">
      <c r="A332" s="58"/>
      <c r="L332" s="285"/>
    </row>
    <row r="333" hidden="1">
      <c r="A333" s="58"/>
      <c r="L333" s="285"/>
    </row>
    <row r="334" hidden="1">
      <c r="A334" s="58"/>
      <c r="L334" s="285"/>
    </row>
    <row r="335" hidden="1">
      <c r="A335" s="58"/>
      <c r="L335" s="285"/>
    </row>
    <row r="336" hidden="1">
      <c r="A336" s="58"/>
      <c r="L336" s="285"/>
    </row>
    <row r="337" hidden="1">
      <c r="A337" s="58"/>
      <c r="L337" s="285"/>
    </row>
    <row r="338" hidden="1">
      <c r="A338" s="58"/>
      <c r="L338" s="285"/>
    </row>
    <row r="339" hidden="1">
      <c r="A339" s="58"/>
      <c r="L339" s="285"/>
    </row>
    <row r="340" hidden="1">
      <c r="A340" s="58"/>
      <c r="L340" s="285"/>
    </row>
    <row r="341" hidden="1">
      <c r="A341" s="58"/>
      <c r="L341" s="285"/>
    </row>
    <row r="342" hidden="1">
      <c r="A342" s="58"/>
      <c r="L342" s="285"/>
    </row>
    <row r="343" hidden="1">
      <c r="A343" s="58"/>
      <c r="L343" s="285"/>
    </row>
    <row r="344" hidden="1">
      <c r="A344" s="58"/>
      <c r="L344" s="285"/>
    </row>
    <row r="345" hidden="1">
      <c r="A345" s="58"/>
      <c r="L345" s="285"/>
    </row>
    <row r="346" hidden="1">
      <c r="A346" s="58"/>
      <c r="L346" s="285"/>
    </row>
    <row r="347" hidden="1">
      <c r="A347" s="58"/>
      <c r="L347" s="285"/>
    </row>
    <row r="348" hidden="1">
      <c r="A348" s="58"/>
      <c r="L348" s="285"/>
    </row>
    <row r="349" hidden="1">
      <c r="A349" s="58"/>
      <c r="L349" s="285"/>
    </row>
    <row r="350" hidden="1">
      <c r="A350" s="58"/>
      <c r="L350" s="285"/>
    </row>
    <row r="351" hidden="1">
      <c r="A351" s="58"/>
      <c r="L351" s="285"/>
    </row>
    <row r="352" hidden="1">
      <c r="A352" s="58"/>
      <c r="L352" s="285"/>
    </row>
    <row r="353" hidden="1">
      <c r="A353" s="58"/>
      <c r="L353" s="285"/>
    </row>
    <row r="354" hidden="1">
      <c r="A354" s="58"/>
      <c r="L354" s="285"/>
    </row>
    <row r="355" hidden="1">
      <c r="A355" s="58"/>
      <c r="L355" s="285"/>
    </row>
    <row r="356" hidden="1">
      <c r="A356" s="58"/>
      <c r="L356" s="285"/>
    </row>
    <row r="357" hidden="1">
      <c r="A357" s="58"/>
      <c r="L357" s="285"/>
    </row>
    <row r="358" hidden="1">
      <c r="A358" s="58"/>
      <c r="L358" s="285"/>
    </row>
    <row r="359" hidden="1">
      <c r="A359" s="58"/>
      <c r="L359" s="285"/>
    </row>
    <row r="360" hidden="1">
      <c r="A360" s="58"/>
      <c r="L360" s="285"/>
    </row>
    <row r="361" hidden="1">
      <c r="A361" s="58"/>
      <c r="L361" s="285"/>
    </row>
    <row r="362" hidden="1">
      <c r="A362" s="58"/>
      <c r="L362" s="285"/>
    </row>
    <row r="363" hidden="1">
      <c r="A363" s="58"/>
      <c r="L363" s="285"/>
    </row>
    <row r="364" hidden="1">
      <c r="A364" s="58"/>
      <c r="L364" s="285"/>
    </row>
    <row r="365" hidden="1">
      <c r="A365" s="58"/>
      <c r="L365" s="285"/>
    </row>
    <row r="366" hidden="1">
      <c r="A366" s="58"/>
      <c r="L366" s="285"/>
    </row>
    <row r="367" hidden="1">
      <c r="A367" s="58"/>
      <c r="L367" s="285"/>
    </row>
    <row r="368" hidden="1">
      <c r="A368" s="58"/>
      <c r="L368" s="285"/>
    </row>
    <row r="369" hidden="1">
      <c r="A369" s="58"/>
      <c r="L369" s="285"/>
    </row>
    <row r="370" hidden="1">
      <c r="A370" s="58"/>
      <c r="L370" s="285"/>
    </row>
    <row r="371" hidden="1">
      <c r="A371" s="58"/>
      <c r="L371" s="285"/>
    </row>
    <row r="372" hidden="1">
      <c r="A372" s="58"/>
      <c r="L372" s="285"/>
    </row>
    <row r="373" hidden="1">
      <c r="A373" s="58"/>
      <c r="L373" s="285"/>
    </row>
    <row r="374" hidden="1">
      <c r="A374" s="58"/>
      <c r="L374" s="285"/>
    </row>
    <row r="375" hidden="1">
      <c r="A375" s="58"/>
      <c r="L375" s="285"/>
    </row>
    <row r="376" hidden="1">
      <c r="A376" s="58"/>
      <c r="L376" s="285"/>
    </row>
    <row r="377" hidden="1">
      <c r="A377" s="58"/>
      <c r="L377" s="285"/>
    </row>
    <row r="378" hidden="1">
      <c r="A378" s="58"/>
      <c r="L378" s="285"/>
    </row>
    <row r="379" hidden="1">
      <c r="A379" s="58"/>
      <c r="L379" s="285"/>
    </row>
    <row r="380" hidden="1">
      <c r="A380" s="58"/>
      <c r="L380" s="285"/>
    </row>
    <row r="381" hidden="1">
      <c r="A381" s="58"/>
      <c r="L381" s="285"/>
    </row>
    <row r="382" hidden="1">
      <c r="A382" s="58"/>
      <c r="L382" s="285"/>
    </row>
    <row r="383" hidden="1">
      <c r="A383" s="58"/>
      <c r="L383" s="285"/>
    </row>
    <row r="384" hidden="1">
      <c r="A384" s="58"/>
      <c r="L384" s="285"/>
    </row>
    <row r="385" hidden="1">
      <c r="A385" s="58"/>
      <c r="L385" s="285"/>
    </row>
    <row r="386" hidden="1">
      <c r="A386" s="58"/>
      <c r="L386" s="285"/>
    </row>
    <row r="387" hidden="1">
      <c r="A387" s="58"/>
      <c r="L387" s="285"/>
    </row>
    <row r="388" hidden="1">
      <c r="A388" s="58"/>
      <c r="L388" s="285"/>
    </row>
    <row r="389" hidden="1">
      <c r="A389" s="58"/>
      <c r="L389" s="285"/>
    </row>
    <row r="390" hidden="1">
      <c r="A390" s="58"/>
      <c r="L390" s="285"/>
    </row>
    <row r="391" hidden="1">
      <c r="A391" s="58"/>
      <c r="L391" s="285"/>
    </row>
    <row r="392" hidden="1">
      <c r="A392" s="58"/>
      <c r="L392" s="285"/>
    </row>
    <row r="393" hidden="1">
      <c r="A393" s="58"/>
      <c r="L393" s="285"/>
    </row>
    <row r="394" hidden="1">
      <c r="A394" s="58"/>
      <c r="L394" s="285"/>
    </row>
    <row r="395" hidden="1">
      <c r="A395" s="58"/>
      <c r="L395" s="285"/>
    </row>
    <row r="396" hidden="1">
      <c r="A396" s="58"/>
      <c r="L396" s="285"/>
    </row>
    <row r="397" hidden="1">
      <c r="A397" s="58"/>
      <c r="L397" s="285"/>
    </row>
    <row r="398" hidden="1">
      <c r="A398" s="58"/>
      <c r="L398" s="285"/>
    </row>
    <row r="399" hidden="1">
      <c r="A399" s="58"/>
      <c r="L399" s="285"/>
    </row>
    <row r="400" hidden="1">
      <c r="A400" s="58"/>
      <c r="L400" s="285"/>
    </row>
    <row r="401" hidden="1">
      <c r="A401" s="58"/>
      <c r="L401" s="285"/>
    </row>
    <row r="402" hidden="1">
      <c r="A402" s="58"/>
      <c r="L402" s="285"/>
    </row>
    <row r="403" hidden="1">
      <c r="A403" s="58"/>
      <c r="L403" s="285"/>
    </row>
    <row r="404" hidden="1">
      <c r="A404" s="58"/>
      <c r="L404" s="285"/>
    </row>
    <row r="405" hidden="1">
      <c r="A405" s="58"/>
      <c r="L405" s="285"/>
    </row>
    <row r="406" hidden="1">
      <c r="A406" s="58"/>
      <c r="L406" s="285"/>
    </row>
    <row r="407" hidden="1">
      <c r="A407" s="58"/>
      <c r="L407" s="285"/>
    </row>
    <row r="408" hidden="1">
      <c r="A408" s="58"/>
      <c r="L408" s="285"/>
    </row>
    <row r="409" hidden="1">
      <c r="A409" s="58"/>
      <c r="L409" s="285"/>
    </row>
    <row r="410" hidden="1">
      <c r="A410" s="58"/>
      <c r="L410" s="285"/>
    </row>
    <row r="411" hidden="1">
      <c r="A411" s="58"/>
      <c r="L411" s="285"/>
    </row>
    <row r="412" hidden="1">
      <c r="A412" s="58"/>
      <c r="L412" s="285"/>
    </row>
    <row r="413" hidden="1">
      <c r="A413" s="58"/>
      <c r="L413" s="285"/>
    </row>
    <row r="414" hidden="1">
      <c r="A414" s="58"/>
      <c r="L414" s="285"/>
    </row>
    <row r="415" hidden="1">
      <c r="A415" s="58"/>
      <c r="L415" s="285"/>
    </row>
    <row r="416" hidden="1">
      <c r="A416" s="58"/>
      <c r="L416" s="285"/>
    </row>
    <row r="417" hidden="1">
      <c r="A417" s="58"/>
      <c r="L417" s="285"/>
    </row>
    <row r="418" hidden="1">
      <c r="A418" s="58"/>
      <c r="L418" s="285"/>
    </row>
    <row r="419" hidden="1">
      <c r="A419" s="58"/>
      <c r="L419" s="285"/>
    </row>
    <row r="420" hidden="1">
      <c r="A420" s="58"/>
      <c r="L420" s="285"/>
    </row>
    <row r="421" hidden="1">
      <c r="A421" s="58"/>
      <c r="L421" s="285"/>
    </row>
    <row r="422" hidden="1">
      <c r="A422" s="58"/>
      <c r="L422" s="285"/>
    </row>
    <row r="423" hidden="1">
      <c r="A423" s="58"/>
      <c r="L423" s="285"/>
    </row>
    <row r="424" hidden="1">
      <c r="A424" s="58"/>
      <c r="L424" s="285"/>
    </row>
    <row r="425" hidden="1">
      <c r="A425" s="58"/>
      <c r="L425" s="285"/>
    </row>
    <row r="426" hidden="1">
      <c r="A426" s="58"/>
      <c r="L426" s="285"/>
    </row>
    <row r="427" hidden="1">
      <c r="A427" s="58"/>
      <c r="L427" s="285"/>
    </row>
    <row r="428" hidden="1">
      <c r="A428" s="58"/>
      <c r="L428" s="285"/>
    </row>
    <row r="429" hidden="1">
      <c r="A429" s="58"/>
      <c r="L429" s="285"/>
    </row>
    <row r="430" hidden="1">
      <c r="A430" s="58"/>
      <c r="L430" s="285"/>
    </row>
    <row r="431" hidden="1">
      <c r="A431" s="58"/>
      <c r="L431" s="285"/>
    </row>
    <row r="432" hidden="1">
      <c r="A432" s="58"/>
      <c r="L432" s="285"/>
    </row>
    <row r="433" hidden="1">
      <c r="A433" s="58"/>
      <c r="L433" s="285"/>
    </row>
    <row r="434" hidden="1">
      <c r="A434" s="58"/>
      <c r="L434" s="285"/>
    </row>
    <row r="435" hidden="1">
      <c r="A435" s="58"/>
      <c r="L435" s="285"/>
    </row>
    <row r="436" hidden="1">
      <c r="A436" s="58"/>
      <c r="L436" s="285"/>
    </row>
    <row r="437" hidden="1">
      <c r="A437" s="58"/>
      <c r="L437" s="285"/>
    </row>
    <row r="438" hidden="1">
      <c r="A438" s="58"/>
      <c r="L438" s="285"/>
    </row>
    <row r="439" hidden="1">
      <c r="A439" s="58"/>
      <c r="L439" s="285"/>
    </row>
    <row r="440" hidden="1">
      <c r="A440" s="58"/>
      <c r="L440" s="285"/>
    </row>
    <row r="441" hidden="1">
      <c r="A441" s="58"/>
      <c r="L441" s="285"/>
    </row>
    <row r="442" hidden="1">
      <c r="A442" s="58"/>
      <c r="L442" s="285"/>
    </row>
    <row r="443" hidden="1">
      <c r="A443" s="58"/>
      <c r="L443" s="285"/>
    </row>
    <row r="444" hidden="1">
      <c r="A444" s="58"/>
      <c r="L444" s="285"/>
    </row>
    <row r="445" hidden="1">
      <c r="A445" s="58"/>
      <c r="L445" s="285"/>
    </row>
    <row r="446" hidden="1">
      <c r="A446" s="58"/>
      <c r="L446" s="285"/>
    </row>
    <row r="447" hidden="1">
      <c r="A447" s="58"/>
      <c r="L447" s="285"/>
    </row>
    <row r="448" hidden="1">
      <c r="A448" s="58"/>
      <c r="L448" s="285"/>
    </row>
    <row r="449" hidden="1">
      <c r="A449" s="58"/>
      <c r="L449" s="285"/>
    </row>
    <row r="450" hidden="1">
      <c r="A450" s="58"/>
      <c r="L450" s="285"/>
    </row>
    <row r="451" hidden="1">
      <c r="A451" s="58"/>
      <c r="L451" s="285"/>
    </row>
    <row r="452" hidden="1">
      <c r="A452" s="58"/>
      <c r="L452" s="285"/>
    </row>
    <row r="453" hidden="1">
      <c r="A453" s="58"/>
      <c r="L453" s="285"/>
    </row>
    <row r="454" hidden="1">
      <c r="A454" s="58"/>
      <c r="L454" s="285"/>
    </row>
    <row r="455" hidden="1">
      <c r="A455" s="58"/>
      <c r="L455" s="285"/>
    </row>
    <row r="456" hidden="1">
      <c r="A456" s="58"/>
      <c r="L456" s="285"/>
    </row>
    <row r="457" hidden="1">
      <c r="A457" s="58"/>
      <c r="L457" s="285"/>
    </row>
    <row r="458" hidden="1">
      <c r="A458" s="58"/>
      <c r="L458" s="285"/>
    </row>
    <row r="459" hidden="1">
      <c r="A459" s="58"/>
      <c r="L459" s="285"/>
    </row>
    <row r="460" hidden="1">
      <c r="A460" s="58"/>
      <c r="L460" s="285"/>
    </row>
    <row r="461" hidden="1">
      <c r="A461" s="58"/>
      <c r="L461" s="285"/>
    </row>
    <row r="462" hidden="1">
      <c r="A462" s="58"/>
      <c r="L462" s="285"/>
    </row>
    <row r="463" hidden="1">
      <c r="A463" s="58"/>
      <c r="L463" s="285"/>
    </row>
    <row r="464" hidden="1">
      <c r="A464" s="58"/>
      <c r="L464" s="285"/>
    </row>
    <row r="465" hidden="1">
      <c r="A465" s="58"/>
      <c r="L465" s="285"/>
    </row>
    <row r="466" hidden="1">
      <c r="A466" s="58"/>
      <c r="L466" s="285"/>
    </row>
    <row r="467" hidden="1">
      <c r="A467" s="58"/>
      <c r="L467" s="285"/>
    </row>
    <row r="468" hidden="1">
      <c r="A468" s="58"/>
      <c r="L468" s="285"/>
    </row>
    <row r="469" hidden="1">
      <c r="A469" s="58"/>
      <c r="L469" s="285"/>
    </row>
    <row r="470" hidden="1">
      <c r="A470" s="58"/>
      <c r="L470" s="285"/>
    </row>
    <row r="471" hidden="1">
      <c r="A471" s="58"/>
      <c r="L471" s="285"/>
    </row>
    <row r="472" hidden="1">
      <c r="A472" s="58"/>
      <c r="L472" s="285"/>
    </row>
    <row r="473" hidden="1">
      <c r="A473" s="58"/>
      <c r="L473" s="285"/>
    </row>
    <row r="474" hidden="1">
      <c r="A474" s="58"/>
      <c r="L474" s="285"/>
    </row>
    <row r="475" hidden="1">
      <c r="A475" s="58"/>
      <c r="L475" s="285"/>
    </row>
    <row r="476" hidden="1">
      <c r="A476" s="58"/>
      <c r="L476" s="285"/>
    </row>
    <row r="477" hidden="1">
      <c r="A477" s="58"/>
      <c r="L477" s="285"/>
    </row>
    <row r="478" hidden="1">
      <c r="A478" s="58"/>
      <c r="L478" s="285"/>
    </row>
    <row r="479" hidden="1">
      <c r="A479" s="58"/>
      <c r="L479" s="285"/>
    </row>
    <row r="480" hidden="1">
      <c r="A480" s="58"/>
      <c r="L480" s="285"/>
    </row>
    <row r="481" hidden="1">
      <c r="A481" s="58"/>
      <c r="L481" s="285"/>
    </row>
    <row r="482" hidden="1">
      <c r="A482" s="58"/>
      <c r="L482" s="285"/>
    </row>
    <row r="483" hidden="1">
      <c r="A483" s="58"/>
      <c r="L483" s="285"/>
    </row>
    <row r="484" hidden="1">
      <c r="A484" s="58"/>
      <c r="L484" s="285"/>
    </row>
    <row r="485" hidden="1">
      <c r="A485" s="58"/>
      <c r="L485" s="285"/>
    </row>
    <row r="486" hidden="1">
      <c r="A486" s="58"/>
      <c r="L486" s="285"/>
    </row>
    <row r="487" hidden="1">
      <c r="A487" s="58"/>
      <c r="L487" s="285"/>
    </row>
    <row r="488" hidden="1">
      <c r="A488" s="58"/>
      <c r="L488" s="285"/>
    </row>
    <row r="489" hidden="1">
      <c r="A489" s="58"/>
      <c r="L489" s="285"/>
    </row>
    <row r="490" hidden="1">
      <c r="A490" s="58"/>
      <c r="L490" s="285"/>
    </row>
    <row r="491" hidden="1">
      <c r="A491" s="58"/>
      <c r="L491" s="285"/>
    </row>
    <row r="492" hidden="1">
      <c r="A492" s="58"/>
      <c r="L492" s="285"/>
    </row>
    <row r="493" hidden="1">
      <c r="A493" s="58"/>
      <c r="L493" s="285"/>
    </row>
    <row r="494" hidden="1">
      <c r="A494" s="58"/>
      <c r="L494" s="285"/>
    </row>
    <row r="495" hidden="1">
      <c r="A495" s="58"/>
      <c r="L495" s="285"/>
    </row>
    <row r="496" hidden="1">
      <c r="A496" s="58"/>
      <c r="L496" s="285"/>
    </row>
    <row r="497" hidden="1">
      <c r="A497" s="58"/>
      <c r="L497" s="285"/>
    </row>
    <row r="498" hidden="1">
      <c r="A498" s="58"/>
      <c r="L498" s="285"/>
    </row>
    <row r="499" hidden="1">
      <c r="A499" s="58"/>
      <c r="L499" s="285"/>
    </row>
    <row r="500" hidden="1">
      <c r="A500" s="58"/>
      <c r="L500" s="285"/>
    </row>
    <row r="501" hidden="1">
      <c r="A501" s="58"/>
      <c r="L501" s="285"/>
    </row>
    <row r="502" hidden="1">
      <c r="A502" s="58"/>
      <c r="L502" s="285"/>
    </row>
    <row r="503" hidden="1">
      <c r="A503" s="58"/>
      <c r="L503" s="285"/>
    </row>
    <row r="504" hidden="1">
      <c r="A504" s="58"/>
      <c r="L504" s="285"/>
    </row>
    <row r="505" hidden="1">
      <c r="A505" s="58"/>
      <c r="L505" s="285"/>
    </row>
    <row r="506" hidden="1">
      <c r="A506" s="58"/>
      <c r="L506" s="285"/>
    </row>
    <row r="507" hidden="1">
      <c r="A507" s="58"/>
      <c r="L507" s="285"/>
    </row>
    <row r="508" hidden="1">
      <c r="A508" s="58"/>
      <c r="L508" s="285"/>
    </row>
    <row r="509" hidden="1">
      <c r="A509" s="58"/>
      <c r="L509" s="285"/>
    </row>
    <row r="510" hidden="1">
      <c r="A510" s="58"/>
      <c r="L510" s="285"/>
    </row>
    <row r="511" hidden="1">
      <c r="A511" s="58"/>
      <c r="L511" s="285"/>
    </row>
    <row r="512" hidden="1">
      <c r="A512" s="58"/>
      <c r="L512" s="285"/>
    </row>
    <row r="513" hidden="1">
      <c r="A513" s="58"/>
      <c r="L513" s="285"/>
    </row>
    <row r="514" hidden="1">
      <c r="A514" s="58"/>
      <c r="L514" s="285"/>
    </row>
    <row r="515" hidden="1">
      <c r="A515" s="58"/>
      <c r="L515" s="285"/>
    </row>
    <row r="516" hidden="1">
      <c r="A516" s="58"/>
      <c r="L516" s="285"/>
    </row>
    <row r="517" hidden="1">
      <c r="A517" s="58"/>
      <c r="L517" s="285"/>
    </row>
    <row r="518" hidden="1">
      <c r="A518" s="58"/>
      <c r="L518" s="285"/>
    </row>
    <row r="519" hidden="1">
      <c r="A519" s="58"/>
      <c r="L519" s="285"/>
    </row>
    <row r="520" hidden="1">
      <c r="A520" s="58"/>
      <c r="L520" s="285"/>
    </row>
    <row r="521" hidden="1">
      <c r="A521" s="58"/>
      <c r="L521" s="285"/>
    </row>
    <row r="522" hidden="1">
      <c r="A522" s="58"/>
      <c r="L522" s="285"/>
    </row>
    <row r="523" hidden="1">
      <c r="A523" s="58"/>
      <c r="L523" s="285"/>
    </row>
    <row r="524" hidden="1">
      <c r="A524" s="58"/>
      <c r="L524" s="285"/>
    </row>
    <row r="525" hidden="1">
      <c r="A525" s="58"/>
      <c r="L525" s="285"/>
    </row>
    <row r="526" hidden="1">
      <c r="A526" s="58"/>
      <c r="L526" s="285"/>
    </row>
    <row r="527" hidden="1">
      <c r="A527" s="58"/>
      <c r="L527" s="285"/>
    </row>
    <row r="528" hidden="1">
      <c r="A528" s="58"/>
      <c r="L528" s="285"/>
    </row>
    <row r="529" hidden="1">
      <c r="A529" s="58"/>
      <c r="L529" s="285"/>
    </row>
    <row r="530" hidden="1">
      <c r="A530" s="58"/>
      <c r="L530" s="285"/>
    </row>
    <row r="531" hidden="1">
      <c r="A531" s="58"/>
      <c r="L531" s="285"/>
    </row>
    <row r="532" hidden="1">
      <c r="A532" s="58"/>
      <c r="L532" s="285"/>
    </row>
    <row r="533" hidden="1">
      <c r="A533" s="58"/>
      <c r="L533" s="285"/>
    </row>
    <row r="534" hidden="1">
      <c r="A534" s="58"/>
      <c r="L534" s="285"/>
    </row>
    <row r="535" hidden="1">
      <c r="A535" s="58"/>
      <c r="L535" s="285"/>
    </row>
    <row r="536" hidden="1">
      <c r="A536" s="58"/>
      <c r="L536" s="285"/>
    </row>
    <row r="537" hidden="1">
      <c r="A537" s="58"/>
      <c r="L537" s="285"/>
    </row>
    <row r="538" hidden="1">
      <c r="A538" s="58"/>
      <c r="L538" s="285"/>
    </row>
    <row r="539" hidden="1">
      <c r="A539" s="58"/>
      <c r="L539" s="285"/>
    </row>
    <row r="540" hidden="1">
      <c r="A540" s="58"/>
      <c r="L540" s="285"/>
    </row>
    <row r="541" hidden="1">
      <c r="A541" s="58"/>
      <c r="L541" s="285"/>
    </row>
    <row r="542" hidden="1">
      <c r="A542" s="58"/>
      <c r="L542" s="285"/>
    </row>
    <row r="543" hidden="1">
      <c r="A543" s="58"/>
      <c r="L543" s="285"/>
    </row>
    <row r="544" hidden="1">
      <c r="A544" s="58"/>
      <c r="L544" s="285"/>
    </row>
    <row r="545" hidden="1">
      <c r="A545" s="58"/>
      <c r="L545" s="285"/>
    </row>
    <row r="546" hidden="1">
      <c r="A546" s="58"/>
      <c r="L546" s="285"/>
    </row>
    <row r="547" hidden="1">
      <c r="A547" s="58"/>
      <c r="L547" s="285"/>
    </row>
    <row r="548" hidden="1">
      <c r="A548" s="58"/>
      <c r="L548" s="285"/>
    </row>
    <row r="549" hidden="1">
      <c r="A549" s="58"/>
      <c r="L549" s="285"/>
    </row>
    <row r="550" hidden="1">
      <c r="A550" s="58"/>
      <c r="L550" s="285"/>
    </row>
    <row r="551" hidden="1">
      <c r="A551" s="58"/>
      <c r="L551" s="285"/>
    </row>
    <row r="552" hidden="1">
      <c r="A552" s="58"/>
      <c r="L552" s="285"/>
    </row>
    <row r="553" hidden="1">
      <c r="A553" s="58"/>
      <c r="L553" s="285"/>
    </row>
    <row r="554" hidden="1">
      <c r="A554" s="58"/>
      <c r="L554" s="285"/>
    </row>
    <row r="555" hidden="1">
      <c r="A555" s="58"/>
      <c r="L555" s="285"/>
    </row>
    <row r="556" hidden="1">
      <c r="A556" s="58"/>
      <c r="L556" s="285"/>
    </row>
    <row r="557" hidden="1">
      <c r="A557" s="58"/>
      <c r="L557" s="285"/>
    </row>
    <row r="558" hidden="1">
      <c r="A558" s="58"/>
      <c r="L558" s="285"/>
    </row>
    <row r="559" hidden="1">
      <c r="A559" s="58"/>
      <c r="L559" s="285"/>
    </row>
    <row r="560" hidden="1">
      <c r="A560" s="58"/>
      <c r="L560" s="285"/>
    </row>
    <row r="561" hidden="1">
      <c r="A561" s="58"/>
      <c r="L561" s="285"/>
    </row>
    <row r="562" hidden="1">
      <c r="A562" s="58"/>
      <c r="L562" s="285"/>
    </row>
    <row r="563" hidden="1">
      <c r="A563" s="58"/>
      <c r="L563" s="285"/>
    </row>
    <row r="564" hidden="1">
      <c r="A564" s="58"/>
      <c r="L564" s="285"/>
    </row>
    <row r="565" hidden="1">
      <c r="A565" s="58"/>
      <c r="L565" s="285"/>
    </row>
    <row r="566" hidden="1">
      <c r="A566" s="58"/>
      <c r="L566" s="285"/>
    </row>
    <row r="567" hidden="1">
      <c r="A567" s="58"/>
      <c r="L567" s="285"/>
    </row>
    <row r="568" hidden="1">
      <c r="A568" s="58"/>
      <c r="L568" s="285"/>
    </row>
    <row r="569" hidden="1">
      <c r="A569" s="58"/>
      <c r="L569" s="285"/>
    </row>
    <row r="570" hidden="1">
      <c r="A570" s="58"/>
      <c r="L570" s="285"/>
    </row>
    <row r="571" hidden="1">
      <c r="A571" s="58"/>
      <c r="L571" s="285"/>
    </row>
    <row r="572" hidden="1">
      <c r="A572" s="58"/>
      <c r="L572" s="285"/>
    </row>
    <row r="573" hidden="1">
      <c r="A573" s="58"/>
      <c r="L573" s="285"/>
    </row>
    <row r="574" hidden="1">
      <c r="A574" s="58"/>
      <c r="L574" s="285"/>
    </row>
    <row r="575" hidden="1">
      <c r="A575" s="58"/>
      <c r="L575" s="285"/>
    </row>
    <row r="576" hidden="1">
      <c r="A576" s="58"/>
      <c r="L576" s="285"/>
    </row>
    <row r="577" hidden="1">
      <c r="A577" s="58"/>
      <c r="L577" s="285"/>
    </row>
    <row r="578" hidden="1">
      <c r="A578" s="58"/>
      <c r="L578" s="285"/>
    </row>
    <row r="579" hidden="1">
      <c r="A579" s="58"/>
      <c r="L579" s="285"/>
    </row>
    <row r="580" hidden="1">
      <c r="A580" s="58"/>
      <c r="L580" s="285"/>
    </row>
    <row r="581" hidden="1">
      <c r="A581" s="58"/>
      <c r="L581" s="285"/>
    </row>
    <row r="582" hidden="1">
      <c r="A582" s="58"/>
      <c r="L582" s="285"/>
    </row>
    <row r="583" hidden="1">
      <c r="A583" s="58"/>
      <c r="L583" s="285"/>
    </row>
    <row r="584" hidden="1">
      <c r="A584" s="58"/>
      <c r="L584" s="285"/>
    </row>
    <row r="585" hidden="1">
      <c r="A585" s="58"/>
      <c r="L585" s="285"/>
    </row>
    <row r="586" hidden="1">
      <c r="A586" s="58"/>
      <c r="L586" s="285"/>
    </row>
    <row r="587" hidden="1">
      <c r="A587" s="58"/>
      <c r="L587" s="285"/>
    </row>
    <row r="588" hidden="1">
      <c r="A588" s="58"/>
      <c r="L588" s="285"/>
    </row>
    <row r="589" hidden="1">
      <c r="A589" s="58"/>
      <c r="L589" s="285"/>
    </row>
    <row r="590" hidden="1">
      <c r="A590" s="58"/>
      <c r="L590" s="285"/>
    </row>
    <row r="591" hidden="1">
      <c r="A591" s="58"/>
      <c r="L591" s="285"/>
    </row>
    <row r="592" hidden="1">
      <c r="A592" s="58"/>
      <c r="L592" s="285"/>
    </row>
    <row r="593" hidden="1">
      <c r="A593" s="58"/>
      <c r="L593" s="285"/>
    </row>
    <row r="594" hidden="1">
      <c r="A594" s="58"/>
      <c r="L594" s="285"/>
    </row>
    <row r="595" hidden="1">
      <c r="A595" s="58"/>
      <c r="L595" s="285"/>
    </row>
    <row r="596" hidden="1">
      <c r="A596" s="58"/>
      <c r="L596" s="285"/>
    </row>
    <row r="597" hidden="1">
      <c r="A597" s="58"/>
      <c r="L597" s="285"/>
    </row>
    <row r="598" hidden="1">
      <c r="A598" s="58"/>
      <c r="L598" s="285"/>
    </row>
    <row r="599" hidden="1">
      <c r="A599" s="58"/>
      <c r="L599" s="285"/>
    </row>
    <row r="600" hidden="1">
      <c r="A600" s="58"/>
      <c r="L600" s="285"/>
    </row>
    <row r="601" hidden="1">
      <c r="A601" s="58"/>
      <c r="L601" s="285"/>
    </row>
    <row r="602" hidden="1">
      <c r="A602" s="58"/>
      <c r="L602" s="285"/>
    </row>
    <row r="603" hidden="1">
      <c r="A603" s="58"/>
      <c r="L603" s="285"/>
    </row>
    <row r="604" hidden="1">
      <c r="A604" s="58"/>
      <c r="L604" s="285"/>
    </row>
    <row r="605" hidden="1">
      <c r="A605" s="58"/>
      <c r="L605" s="285"/>
    </row>
    <row r="606" hidden="1">
      <c r="A606" s="58"/>
      <c r="L606" s="285"/>
    </row>
    <row r="607" hidden="1">
      <c r="A607" s="58"/>
      <c r="L607" s="285"/>
    </row>
    <row r="608" hidden="1">
      <c r="A608" s="58"/>
      <c r="L608" s="285"/>
    </row>
    <row r="609" hidden="1">
      <c r="A609" s="58"/>
      <c r="L609" s="285"/>
    </row>
    <row r="610" hidden="1">
      <c r="A610" s="58"/>
      <c r="L610" s="285"/>
    </row>
    <row r="611" hidden="1">
      <c r="A611" s="58"/>
      <c r="L611" s="285"/>
    </row>
    <row r="612" hidden="1">
      <c r="A612" s="58"/>
      <c r="L612" s="285"/>
    </row>
    <row r="613" hidden="1">
      <c r="A613" s="58"/>
      <c r="L613" s="285"/>
    </row>
    <row r="614" hidden="1">
      <c r="A614" s="58"/>
      <c r="L614" s="285"/>
    </row>
    <row r="615" hidden="1">
      <c r="A615" s="58"/>
      <c r="L615" s="285"/>
    </row>
    <row r="616" hidden="1">
      <c r="A616" s="58"/>
      <c r="L616" s="285"/>
    </row>
    <row r="617" hidden="1">
      <c r="A617" s="58"/>
      <c r="L617" s="285"/>
    </row>
    <row r="618" hidden="1">
      <c r="A618" s="58"/>
      <c r="L618" s="285"/>
    </row>
    <row r="619" hidden="1">
      <c r="A619" s="58"/>
      <c r="L619" s="285"/>
    </row>
    <row r="620" hidden="1">
      <c r="A620" s="58"/>
      <c r="L620" s="285"/>
    </row>
    <row r="621" hidden="1">
      <c r="A621" s="58"/>
      <c r="L621" s="285"/>
    </row>
    <row r="622" hidden="1">
      <c r="A622" s="58"/>
      <c r="L622" s="285"/>
    </row>
    <row r="623" hidden="1">
      <c r="A623" s="58"/>
      <c r="L623" s="285"/>
    </row>
    <row r="624" hidden="1">
      <c r="A624" s="58"/>
      <c r="L624" s="285"/>
    </row>
    <row r="625" hidden="1">
      <c r="A625" s="58"/>
      <c r="L625" s="285"/>
    </row>
    <row r="626" hidden="1">
      <c r="A626" s="58"/>
      <c r="L626" s="285"/>
    </row>
    <row r="627" hidden="1">
      <c r="A627" s="58"/>
      <c r="L627" s="285"/>
    </row>
    <row r="628" hidden="1">
      <c r="A628" s="58"/>
      <c r="L628" s="285"/>
    </row>
    <row r="629" hidden="1">
      <c r="A629" s="58"/>
      <c r="L629" s="285"/>
    </row>
    <row r="630" hidden="1">
      <c r="A630" s="58"/>
      <c r="L630" s="285"/>
    </row>
    <row r="631" hidden="1">
      <c r="A631" s="58"/>
      <c r="L631" s="285"/>
    </row>
    <row r="632" hidden="1">
      <c r="A632" s="58"/>
      <c r="L632" s="285"/>
    </row>
    <row r="633" hidden="1">
      <c r="A633" s="58"/>
      <c r="L633" s="285"/>
    </row>
    <row r="634" hidden="1">
      <c r="A634" s="58"/>
      <c r="L634" s="285"/>
    </row>
    <row r="635" hidden="1">
      <c r="A635" s="58"/>
      <c r="L635" s="285"/>
    </row>
    <row r="636" hidden="1">
      <c r="A636" s="58"/>
      <c r="L636" s="285"/>
    </row>
    <row r="637" hidden="1">
      <c r="A637" s="58"/>
      <c r="L637" s="285"/>
    </row>
    <row r="638" hidden="1">
      <c r="A638" s="58"/>
      <c r="L638" s="285"/>
    </row>
    <row r="639" hidden="1">
      <c r="A639" s="58"/>
      <c r="L639" s="285"/>
    </row>
    <row r="640" hidden="1">
      <c r="A640" s="58"/>
      <c r="L640" s="285"/>
    </row>
    <row r="641" hidden="1">
      <c r="A641" s="58"/>
      <c r="L641" s="285"/>
    </row>
    <row r="642" hidden="1">
      <c r="A642" s="58"/>
      <c r="L642" s="285"/>
    </row>
    <row r="643" hidden="1">
      <c r="A643" s="58"/>
      <c r="L643" s="285"/>
    </row>
    <row r="644" hidden="1">
      <c r="A644" s="58"/>
      <c r="L644" s="285"/>
    </row>
    <row r="645" hidden="1">
      <c r="A645" s="58"/>
      <c r="L645" s="285"/>
    </row>
    <row r="646" hidden="1">
      <c r="A646" s="58"/>
      <c r="L646" s="285"/>
    </row>
    <row r="647" hidden="1">
      <c r="A647" s="58"/>
      <c r="L647" s="285"/>
    </row>
    <row r="648" hidden="1">
      <c r="A648" s="58"/>
      <c r="L648" s="285"/>
    </row>
    <row r="649" hidden="1">
      <c r="A649" s="58"/>
      <c r="L649" s="285"/>
    </row>
    <row r="650" hidden="1">
      <c r="A650" s="58"/>
      <c r="L650" s="285"/>
    </row>
    <row r="651" hidden="1">
      <c r="A651" s="58"/>
      <c r="L651" s="285"/>
    </row>
    <row r="652" hidden="1">
      <c r="A652" s="58"/>
      <c r="L652" s="285"/>
    </row>
    <row r="653" hidden="1">
      <c r="A653" s="58"/>
      <c r="L653" s="285"/>
    </row>
    <row r="654" hidden="1">
      <c r="A654" s="58"/>
      <c r="L654" s="285"/>
    </row>
    <row r="655" hidden="1">
      <c r="A655" s="58"/>
      <c r="L655" s="285"/>
    </row>
    <row r="656" hidden="1">
      <c r="A656" s="58"/>
      <c r="L656" s="285"/>
    </row>
    <row r="657" hidden="1">
      <c r="A657" s="58"/>
      <c r="L657" s="285"/>
    </row>
    <row r="658" hidden="1">
      <c r="A658" s="58"/>
      <c r="L658" s="285"/>
    </row>
    <row r="659" hidden="1">
      <c r="A659" s="58"/>
      <c r="L659" s="285"/>
    </row>
    <row r="660" hidden="1">
      <c r="A660" s="58"/>
      <c r="L660" s="285"/>
    </row>
    <row r="661" hidden="1">
      <c r="A661" s="58"/>
      <c r="L661" s="285"/>
    </row>
    <row r="662" hidden="1">
      <c r="A662" s="58"/>
      <c r="L662" s="285"/>
    </row>
    <row r="663" hidden="1">
      <c r="A663" s="58"/>
      <c r="L663" s="285"/>
    </row>
    <row r="664" hidden="1">
      <c r="A664" s="58"/>
      <c r="L664" s="285"/>
    </row>
    <row r="665" hidden="1">
      <c r="A665" s="58"/>
      <c r="L665" s="285"/>
    </row>
    <row r="666" hidden="1">
      <c r="A666" s="58"/>
      <c r="L666" s="285"/>
    </row>
    <row r="667" hidden="1">
      <c r="A667" s="58"/>
      <c r="L667" s="285"/>
    </row>
    <row r="668" hidden="1">
      <c r="A668" s="58"/>
      <c r="L668" s="285"/>
    </row>
    <row r="669" hidden="1">
      <c r="A669" s="58"/>
      <c r="L669" s="285"/>
    </row>
    <row r="670" hidden="1">
      <c r="A670" s="58"/>
      <c r="L670" s="285"/>
    </row>
    <row r="671" hidden="1">
      <c r="A671" s="58"/>
      <c r="L671" s="285"/>
    </row>
    <row r="672" hidden="1">
      <c r="A672" s="58"/>
      <c r="L672" s="285"/>
    </row>
    <row r="673" hidden="1">
      <c r="A673" s="58"/>
      <c r="L673" s="285"/>
    </row>
    <row r="674" hidden="1">
      <c r="A674" s="58"/>
      <c r="L674" s="285"/>
    </row>
    <row r="675" hidden="1">
      <c r="A675" s="58"/>
      <c r="L675" s="285"/>
    </row>
    <row r="676" hidden="1">
      <c r="A676" s="58"/>
      <c r="L676" s="285"/>
    </row>
    <row r="677" hidden="1">
      <c r="A677" s="58"/>
      <c r="L677" s="285"/>
    </row>
    <row r="678" hidden="1">
      <c r="A678" s="58"/>
      <c r="L678" s="285"/>
    </row>
    <row r="679" hidden="1">
      <c r="A679" s="58"/>
      <c r="L679" s="285"/>
    </row>
    <row r="680" hidden="1">
      <c r="A680" s="58"/>
      <c r="L680" s="285"/>
    </row>
    <row r="681" hidden="1">
      <c r="A681" s="58"/>
      <c r="L681" s="285"/>
    </row>
    <row r="682" hidden="1">
      <c r="A682" s="58"/>
      <c r="L682" s="285"/>
    </row>
    <row r="683" hidden="1">
      <c r="A683" s="58"/>
      <c r="L683" s="285"/>
    </row>
    <row r="684" hidden="1">
      <c r="A684" s="58"/>
      <c r="L684" s="285"/>
    </row>
    <row r="685" hidden="1">
      <c r="A685" s="58"/>
      <c r="L685" s="285"/>
    </row>
    <row r="686" hidden="1">
      <c r="A686" s="58"/>
      <c r="L686" s="285"/>
    </row>
    <row r="687" hidden="1">
      <c r="A687" s="58"/>
      <c r="L687" s="285"/>
    </row>
    <row r="688" hidden="1">
      <c r="A688" s="58"/>
      <c r="L688" s="285"/>
    </row>
    <row r="689" hidden="1">
      <c r="A689" s="58"/>
      <c r="L689" s="285"/>
    </row>
    <row r="690" hidden="1">
      <c r="A690" s="58"/>
      <c r="L690" s="285"/>
    </row>
    <row r="691" hidden="1">
      <c r="A691" s="58"/>
      <c r="L691" s="285"/>
    </row>
    <row r="692" hidden="1">
      <c r="A692" s="58"/>
      <c r="L692" s="285"/>
    </row>
    <row r="693" hidden="1">
      <c r="A693" s="58"/>
      <c r="L693" s="285"/>
    </row>
    <row r="694" hidden="1">
      <c r="A694" s="58"/>
      <c r="L694" s="285"/>
    </row>
    <row r="695" hidden="1">
      <c r="A695" s="58"/>
      <c r="L695" s="285"/>
    </row>
    <row r="696" hidden="1">
      <c r="A696" s="58"/>
      <c r="L696" s="285"/>
    </row>
    <row r="697" hidden="1">
      <c r="A697" s="58"/>
      <c r="L697" s="285"/>
    </row>
    <row r="698" hidden="1">
      <c r="A698" s="58"/>
      <c r="L698" s="285"/>
    </row>
    <row r="699" hidden="1">
      <c r="A699" s="58"/>
      <c r="L699" s="285"/>
    </row>
    <row r="700" hidden="1">
      <c r="A700" s="58"/>
      <c r="L700" s="285"/>
    </row>
    <row r="701" hidden="1">
      <c r="A701" s="58"/>
      <c r="L701" s="285"/>
    </row>
    <row r="702" hidden="1">
      <c r="A702" s="58"/>
      <c r="L702" s="285"/>
    </row>
    <row r="703" hidden="1">
      <c r="A703" s="58"/>
      <c r="L703" s="285"/>
    </row>
    <row r="704" hidden="1">
      <c r="A704" s="58"/>
      <c r="L704" s="285"/>
    </row>
    <row r="705" hidden="1">
      <c r="A705" s="58"/>
      <c r="L705" s="285"/>
    </row>
    <row r="706" hidden="1">
      <c r="A706" s="58"/>
      <c r="L706" s="285"/>
    </row>
    <row r="707" hidden="1">
      <c r="A707" s="58"/>
      <c r="L707" s="285"/>
    </row>
    <row r="708" hidden="1">
      <c r="A708" s="58"/>
      <c r="L708" s="285"/>
    </row>
    <row r="709" hidden="1">
      <c r="A709" s="58"/>
      <c r="L709" s="285"/>
    </row>
    <row r="710" hidden="1">
      <c r="A710" s="58"/>
      <c r="L710" s="285"/>
    </row>
    <row r="711" hidden="1">
      <c r="A711" s="58"/>
      <c r="L711" s="285"/>
    </row>
    <row r="712" hidden="1">
      <c r="A712" s="58"/>
      <c r="L712" s="285"/>
    </row>
    <row r="713" hidden="1">
      <c r="A713" s="58"/>
      <c r="L713" s="285"/>
    </row>
    <row r="714" hidden="1">
      <c r="A714" s="58"/>
      <c r="L714" s="285"/>
    </row>
    <row r="715" hidden="1">
      <c r="A715" s="58"/>
      <c r="L715" s="285"/>
    </row>
    <row r="716" hidden="1">
      <c r="A716" s="58"/>
      <c r="L716" s="285"/>
    </row>
    <row r="717" hidden="1">
      <c r="A717" s="58"/>
      <c r="L717" s="285"/>
    </row>
    <row r="718" hidden="1">
      <c r="A718" s="58"/>
      <c r="L718" s="285"/>
    </row>
    <row r="719" hidden="1">
      <c r="A719" s="58"/>
      <c r="L719" s="285"/>
    </row>
    <row r="720" hidden="1">
      <c r="A720" s="58"/>
      <c r="L720" s="285"/>
    </row>
    <row r="721" hidden="1">
      <c r="A721" s="58"/>
      <c r="L721" s="285"/>
    </row>
    <row r="722" hidden="1">
      <c r="A722" s="58"/>
      <c r="L722" s="285"/>
    </row>
    <row r="723" hidden="1">
      <c r="A723" s="58"/>
      <c r="L723" s="285"/>
    </row>
    <row r="724" hidden="1">
      <c r="A724" s="58"/>
      <c r="L724" s="285"/>
    </row>
    <row r="725" hidden="1">
      <c r="A725" s="58"/>
      <c r="L725" s="285"/>
    </row>
    <row r="726" hidden="1">
      <c r="A726" s="58"/>
      <c r="L726" s="285"/>
    </row>
    <row r="727" hidden="1">
      <c r="A727" s="58"/>
      <c r="L727" s="285"/>
    </row>
    <row r="728" hidden="1">
      <c r="A728" s="58"/>
      <c r="L728" s="285"/>
    </row>
    <row r="729" hidden="1">
      <c r="A729" s="58"/>
      <c r="L729" s="285"/>
    </row>
    <row r="730" hidden="1">
      <c r="A730" s="58"/>
      <c r="L730" s="285"/>
    </row>
    <row r="731" hidden="1">
      <c r="A731" s="58"/>
      <c r="L731" s="285"/>
    </row>
    <row r="732" hidden="1">
      <c r="A732" s="58"/>
      <c r="L732" s="285"/>
    </row>
    <row r="733" hidden="1">
      <c r="A733" s="58"/>
      <c r="L733" s="285"/>
    </row>
    <row r="734" hidden="1">
      <c r="A734" s="58"/>
      <c r="L734" s="285"/>
    </row>
    <row r="735" hidden="1">
      <c r="A735" s="58"/>
      <c r="L735" s="285"/>
    </row>
    <row r="736" hidden="1">
      <c r="A736" s="58"/>
      <c r="L736" s="285"/>
    </row>
    <row r="737" hidden="1">
      <c r="A737" s="58"/>
      <c r="L737" s="285"/>
    </row>
    <row r="738" hidden="1">
      <c r="A738" s="58"/>
      <c r="L738" s="285"/>
    </row>
    <row r="739" hidden="1">
      <c r="A739" s="58"/>
      <c r="L739" s="285"/>
    </row>
    <row r="740" hidden="1">
      <c r="A740" s="58"/>
      <c r="L740" s="285"/>
    </row>
    <row r="741" hidden="1">
      <c r="A741" s="58"/>
      <c r="L741" s="285"/>
    </row>
    <row r="742" hidden="1">
      <c r="A742" s="58"/>
      <c r="L742" s="285"/>
    </row>
    <row r="743" hidden="1">
      <c r="A743" s="58"/>
      <c r="L743" s="285"/>
    </row>
    <row r="744" hidden="1">
      <c r="A744" s="58"/>
      <c r="L744" s="285"/>
    </row>
    <row r="745" hidden="1">
      <c r="A745" s="58"/>
      <c r="L745" s="285"/>
    </row>
    <row r="746" hidden="1">
      <c r="A746" s="58"/>
      <c r="L746" s="285"/>
    </row>
    <row r="747" hidden="1">
      <c r="A747" s="58"/>
      <c r="L747" s="285"/>
    </row>
    <row r="748" hidden="1">
      <c r="A748" s="58"/>
      <c r="L748" s="285"/>
    </row>
    <row r="749" hidden="1">
      <c r="A749" s="58"/>
      <c r="L749" s="285"/>
    </row>
    <row r="750" hidden="1">
      <c r="A750" s="58"/>
      <c r="L750" s="285"/>
    </row>
    <row r="751" hidden="1">
      <c r="A751" s="58"/>
      <c r="L751" s="285"/>
    </row>
    <row r="752" hidden="1">
      <c r="A752" s="58"/>
      <c r="L752" s="285"/>
    </row>
    <row r="753" hidden="1">
      <c r="A753" s="58"/>
      <c r="L753" s="285"/>
    </row>
    <row r="754" hidden="1">
      <c r="A754" s="58"/>
      <c r="L754" s="285"/>
    </row>
    <row r="755" hidden="1">
      <c r="A755" s="58"/>
      <c r="L755" s="285"/>
    </row>
    <row r="756" hidden="1">
      <c r="A756" s="58"/>
      <c r="L756" s="285"/>
    </row>
    <row r="757" hidden="1">
      <c r="A757" s="58"/>
      <c r="L757" s="285"/>
    </row>
    <row r="758" hidden="1">
      <c r="A758" s="58"/>
      <c r="L758" s="285"/>
    </row>
    <row r="759" hidden="1">
      <c r="A759" s="58"/>
      <c r="L759" s="285"/>
    </row>
    <row r="760" hidden="1">
      <c r="A760" s="58"/>
      <c r="L760" s="285"/>
    </row>
    <row r="761" hidden="1">
      <c r="A761" s="58"/>
      <c r="L761" s="285"/>
    </row>
    <row r="762" hidden="1">
      <c r="A762" s="58"/>
      <c r="L762" s="285"/>
    </row>
    <row r="763" hidden="1">
      <c r="A763" s="58"/>
      <c r="L763" s="285"/>
    </row>
    <row r="764" hidden="1">
      <c r="A764" s="58"/>
      <c r="L764" s="285"/>
    </row>
    <row r="765" hidden="1">
      <c r="A765" s="58"/>
      <c r="L765" s="285"/>
    </row>
    <row r="766" hidden="1">
      <c r="A766" s="58"/>
      <c r="L766" s="285"/>
    </row>
    <row r="767" hidden="1">
      <c r="A767" s="58"/>
      <c r="L767" s="285"/>
    </row>
    <row r="768" hidden="1">
      <c r="A768" s="58"/>
      <c r="L768" s="285"/>
    </row>
    <row r="769" hidden="1">
      <c r="A769" s="58"/>
      <c r="L769" s="285"/>
    </row>
    <row r="770" hidden="1">
      <c r="A770" s="58"/>
      <c r="L770" s="285"/>
    </row>
    <row r="771" hidden="1">
      <c r="A771" s="58"/>
      <c r="L771" s="285"/>
    </row>
    <row r="772" hidden="1">
      <c r="A772" s="58"/>
      <c r="L772" s="285"/>
    </row>
    <row r="773" hidden="1">
      <c r="A773" s="58"/>
      <c r="L773" s="285"/>
    </row>
    <row r="774" hidden="1">
      <c r="A774" s="58"/>
      <c r="L774" s="285"/>
    </row>
    <row r="775" hidden="1">
      <c r="A775" s="58"/>
      <c r="L775" s="285"/>
    </row>
    <row r="776" hidden="1">
      <c r="A776" s="58"/>
      <c r="L776" s="285"/>
    </row>
    <row r="777" hidden="1">
      <c r="A777" s="58"/>
      <c r="L777" s="285"/>
    </row>
    <row r="778" hidden="1">
      <c r="A778" s="58"/>
      <c r="L778" s="285"/>
    </row>
    <row r="779" hidden="1">
      <c r="A779" s="58"/>
      <c r="L779" s="285"/>
    </row>
    <row r="780" hidden="1">
      <c r="A780" s="58"/>
      <c r="L780" s="285"/>
    </row>
    <row r="781" hidden="1">
      <c r="A781" s="58"/>
      <c r="L781" s="285"/>
    </row>
    <row r="782" hidden="1">
      <c r="A782" s="58"/>
      <c r="L782" s="285"/>
    </row>
    <row r="783" hidden="1">
      <c r="A783" s="58"/>
      <c r="L783" s="285"/>
    </row>
    <row r="784" hidden="1">
      <c r="A784" s="58"/>
      <c r="L784" s="285"/>
    </row>
    <row r="785" hidden="1">
      <c r="A785" s="58"/>
      <c r="L785" s="285"/>
    </row>
    <row r="786" hidden="1">
      <c r="A786" s="58"/>
      <c r="L786" s="285"/>
    </row>
    <row r="787" hidden="1">
      <c r="A787" s="58"/>
      <c r="L787" s="285"/>
    </row>
    <row r="788" hidden="1">
      <c r="A788" s="58"/>
      <c r="L788" s="285"/>
    </row>
    <row r="789" hidden="1">
      <c r="A789" s="58"/>
      <c r="L789" s="285"/>
    </row>
    <row r="790" hidden="1">
      <c r="A790" s="58"/>
      <c r="L790" s="285"/>
    </row>
    <row r="791" hidden="1">
      <c r="A791" s="58"/>
      <c r="L791" s="285"/>
    </row>
    <row r="792" hidden="1">
      <c r="A792" s="58"/>
      <c r="L792" s="285"/>
    </row>
    <row r="793" hidden="1">
      <c r="A793" s="58"/>
      <c r="L793" s="285"/>
    </row>
    <row r="794" hidden="1">
      <c r="A794" s="58"/>
      <c r="L794" s="285"/>
    </row>
    <row r="795" hidden="1">
      <c r="A795" s="58"/>
      <c r="L795" s="285"/>
    </row>
    <row r="796" hidden="1">
      <c r="A796" s="58"/>
      <c r="L796" s="285"/>
    </row>
    <row r="797" hidden="1">
      <c r="A797" s="58"/>
      <c r="L797" s="285"/>
    </row>
    <row r="798" hidden="1">
      <c r="A798" s="58"/>
      <c r="L798" s="285"/>
    </row>
    <row r="799" hidden="1">
      <c r="A799" s="58"/>
      <c r="L799" s="285"/>
    </row>
    <row r="800" hidden="1">
      <c r="A800" s="58"/>
      <c r="L800" s="285"/>
    </row>
    <row r="801" hidden="1">
      <c r="A801" s="58"/>
      <c r="L801" s="285"/>
    </row>
    <row r="802" hidden="1">
      <c r="A802" s="58"/>
      <c r="L802" s="285"/>
    </row>
    <row r="803" hidden="1">
      <c r="A803" s="58"/>
      <c r="L803" s="285"/>
    </row>
    <row r="804" hidden="1">
      <c r="A804" s="58"/>
      <c r="L804" s="285"/>
    </row>
    <row r="805" hidden="1">
      <c r="A805" s="58"/>
      <c r="L805" s="285"/>
    </row>
    <row r="806" hidden="1">
      <c r="A806" s="58"/>
      <c r="L806" s="285"/>
    </row>
    <row r="807" hidden="1">
      <c r="A807" s="58"/>
      <c r="L807" s="285"/>
    </row>
    <row r="808" hidden="1">
      <c r="A808" s="58"/>
      <c r="L808" s="285"/>
    </row>
    <row r="809" hidden="1">
      <c r="A809" s="58"/>
      <c r="L809" s="285"/>
    </row>
    <row r="810" hidden="1">
      <c r="A810" s="58"/>
      <c r="L810" s="285"/>
    </row>
    <row r="811" hidden="1">
      <c r="A811" s="58"/>
      <c r="L811" s="285"/>
    </row>
    <row r="812" hidden="1">
      <c r="A812" s="58"/>
      <c r="L812" s="285"/>
    </row>
    <row r="813" hidden="1">
      <c r="A813" s="58"/>
      <c r="L813" s="285"/>
    </row>
    <row r="814" hidden="1">
      <c r="A814" s="58"/>
      <c r="L814" s="285"/>
    </row>
    <row r="815" hidden="1">
      <c r="A815" s="58"/>
      <c r="L815" s="285"/>
    </row>
    <row r="816" hidden="1">
      <c r="A816" s="58"/>
      <c r="L816" s="285"/>
    </row>
    <row r="817" hidden="1">
      <c r="A817" s="58"/>
      <c r="L817" s="285"/>
    </row>
    <row r="818" hidden="1">
      <c r="A818" s="58"/>
      <c r="L818" s="285"/>
    </row>
    <row r="819" hidden="1">
      <c r="A819" s="58"/>
      <c r="L819" s="285"/>
    </row>
    <row r="820" hidden="1">
      <c r="A820" s="58"/>
      <c r="L820" s="285"/>
    </row>
    <row r="821" hidden="1">
      <c r="A821" s="58"/>
      <c r="L821" s="285"/>
    </row>
    <row r="822" hidden="1">
      <c r="A822" s="58"/>
      <c r="L822" s="285"/>
    </row>
    <row r="823" hidden="1">
      <c r="A823" s="58"/>
      <c r="L823" s="285"/>
    </row>
    <row r="824" hidden="1">
      <c r="A824" s="58"/>
      <c r="L824" s="285"/>
    </row>
    <row r="825" hidden="1">
      <c r="A825" s="58"/>
      <c r="L825" s="285"/>
    </row>
    <row r="826" hidden="1">
      <c r="A826" s="58"/>
      <c r="L826" s="285"/>
    </row>
    <row r="827" hidden="1">
      <c r="A827" s="58"/>
      <c r="L827" s="285"/>
    </row>
    <row r="828" hidden="1">
      <c r="A828" s="58"/>
      <c r="L828" s="285"/>
    </row>
    <row r="829" hidden="1">
      <c r="A829" s="58"/>
      <c r="L829" s="285"/>
    </row>
    <row r="830" hidden="1">
      <c r="A830" s="58"/>
      <c r="L830" s="285"/>
    </row>
    <row r="831" hidden="1">
      <c r="A831" s="58"/>
      <c r="L831" s="285"/>
    </row>
    <row r="832" hidden="1">
      <c r="A832" s="58"/>
      <c r="L832" s="285"/>
    </row>
    <row r="833" hidden="1">
      <c r="A833" s="58"/>
      <c r="L833" s="285"/>
    </row>
    <row r="834" hidden="1">
      <c r="A834" s="58"/>
      <c r="L834" s="285"/>
    </row>
    <row r="835" hidden="1">
      <c r="A835" s="58"/>
      <c r="L835" s="285"/>
    </row>
    <row r="836" hidden="1">
      <c r="A836" s="58"/>
      <c r="L836" s="285"/>
    </row>
    <row r="837" hidden="1">
      <c r="A837" s="58"/>
      <c r="L837" s="285"/>
    </row>
    <row r="838" hidden="1">
      <c r="A838" s="58"/>
      <c r="L838" s="285"/>
    </row>
    <row r="839" hidden="1">
      <c r="A839" s="58"/>
      <c r="L839" s="285"/>
    </row>
    <row r="840" hidden="1">
      <c r="A840" s="58"/>
      <c r="L840" s="285"/>
    </row>
    <row r="841" hidden="1">
      <c r="A841" s="58"/>
      <c r="L841" s="285"/>
    </row>
    <row r="842" hidden="1">
      <c r="A842" s="58"/>
      <c r="L842" s="285"/>
    </row>
    <row r="843" hidden="1">
      <c r="A843" s="58"/>
      <c r="L843" s="285"/>
    </row>
    <row r="844" hidden="1">
      <c r="A844" s="58"/>
      <c r="L844" s="285"/>
    </row>
    <row r="845" hidden="1">
      <c r="A845" s="58"/>
      <c r="L845" s="285"/>
    </row>
    <row r="846" hidden="1">
      <c r="A846" s="58"/>
      <c r="L846" s="285"/>
    </row>
    <row r="847" hidden="1">
      <c r="A847" s="58"/>
      <c r="L847" s="285"/>
    </row>
    <row r="848" hidden="1">
      <c r="A848" s="58"/>
      <c r="L848" s="285"/>
    </row>
    <row r="849" hidden="1">
      <c r="A849" s="58"/>
      <c r="L849" s="285"/>
    </row>
    <row r="850" hidden="1">
      <c r="A850" s="58"/>
      <c r="L850" s="285"/>
    </row>
    <row r="851" hidden="1">
      <c r="A851" s="58"/>
      <c r="L851" s="285"/>
    </row>
    <row r="852" hidden="1">
      <c r="A852" s="58"/>
      <c r="L852" s="285"/>
    </row>
    <row r="853" hidden="1">
      <c r="A853" s="58"/>
      <c r="L853" s="285"/>
    </row>
    <row r="854" hidden="1">
      <c r="A854" s="58"/>
      <c r="L854" s="285"/>
    </row>
    <row r="855" hidden="1">
      <c r="A855" s="58"/>
      <c r="L855" s="285"/>
    </row>
    <row r="856" hidden="1">
      <c r="A856" s="58"/>
      <c r="L856" s="285"/>
    </row>
    <row r="857" hidden="1">
      <c r="A857" s="58"/>
      <c r="L857" s="285"/>
    </row>
    <row r="858" hidden="1">
      <c r="A858" s="58"/>
      <c r="L858" s="285"/>
    </row>
    <row r="859" hidden="1">
      <c r="A859" s="58"/>
      <c r="L859" s="285"/>
    </row>
    <row r="860" hidden="1">
      <c r="A860" s="58"/>
      <c r="L860" s="285"/>
    </row>
    <row r="861" hidden="1">
      <c r="A861" s="58"/>
      <c r="L861" s="285"/>
    </row>
    <row r="862" hidden="1">
      <c r="A862" s="58"/>
      <c r="L862" s="285"/>
    </row>
    <row r="863" hidden="1">
      <c r="A863" s="58"/>
      <c r="L863" s="285"/>
    </row>
    <row r="864" hidden="1">
      <c r="A864" s="58"/>
      <c r="L864" s="285"/>
    </row>
    <row r="865" hidden="1">
      <c r="A865" s="58"/>
      <c r="L865" s="285"/>
    </row>
    <row r="866" hidden="1">
      <c r="A866" s="58"/>
      <c r="L866" s="285"/>
    </row>
    <row r="867" hidden="1">
      <c r="A867" s="58"/>
      <c r="L867" s="285"/>
    </row>
    <row r="868" hidden="1">
      <c r="A868" s="58"/>
      <c r="L868" s="285"/>
    </row>
    <row r="869" hidden="1">
      <c r="A869" s="58"/>
      <c r="L869" s="285"/>
    </row>
    <row r="870" hidden="1">
      <c r="A870" s="58"/>
      <c r="L870" s="285"/>
    </row>
    <row r="871" hidden="1">
      <c r="A871" s="58"/>
      <c r="L871" s="285"/>
    </row>
    <row r="872" hidden="1">
      <c r="A872" s="58"/>
      <c r="L872" s="285"/>
    </row>
    <row r="873" hidden="1">
      <c r="A873" s="58"/>
      <c r="L873" s="285"/>
    </row>
    <row r="874" hidden="1">
      <c r="A874" s="58"/>
      <c r="L874" s="285"/>
    </row>
    <row r="875" hidden="1">
      <c r="A875" s="58"/>
      <c r="L875" s="285"/>
    </row>
    <row r="876" hidden="1">
      <c r="A876" s="58"/>
      <c r="L876" s="285"/>
    </row>
    <row r="877" hidden="1">
      <c r="A877" s="58"/>
      <c r="L877" s="285"/>
    </row>
    <row r="878" hidden="1">
      <c r="A878" s="58"/>
      <c r="L878" s="285"/>
    </row>
    <row r="879" hidden="1">
      <c r="A879" s="58"/>
      <c r="L879" s="285"/>
    </row>
    <row r="880" hidden="1">
      <c r="A880" s="58"/>
      <c r="L880" s="285"/>
    </row>
    <row r="881" hidden="1">
      <c r="A881" s="58"/>
      <c r="L881" s="285"/>
    </row>
    <row r="882" hidden="1">
      <c r="A882" s="58"/>
      <c r="L882" s="285"/>
    </row>
    <row r="883" hidden="1">
      <c r="A883" s="58"/>
      <c r="L883" s="285"/>
    </row>
    <row r="884" hidden="1">
      <c r="A884" s="58"/>
      <c r="L884" s="285"/>
    </row>
    <row r="885" hidden="1">
      <c r="A885" s="58"/>
      <c r="L885" s="285"/>
    </row>
    <row r="886" hidden="1">
      <c r="A886" s="58"/>
      <c r="L886" s="285"/>
    </row>
    <row r="887" hidden="1">
      <c r="A887" s="58"/>
      <c r="L887" s="285"/>
    </row>
    <row r="888" hidden="1">
      <c r="A888" s="58"/>
      <c r="L888" s="285"/>
    </row>
    <row r="889" hidden="1">
      <c r="A889" s="58"/>
      <c r="L889" s="285"/>
    </row>
    <row r="890" hidden="1">
      <c r="A890" s="58"/>
      <c r="L890" s="285"/>
    </row>
    <row r="891" hidden="1">
      <c r="A891" s="58"/>
      <c r="L891" s="285"/>
    </row>
    <row r="892" hidden="1">
      <c r="A892" s="58"/>
      <c r="L892" s="285"/>
    </row>
    <row r="893" hidden="1">
      <c r="A893" s="58"/>
      <c r="L893" s="285"/>
    </row>
    <row r="894" hidden="1">
      <c r="A894" s="58"/>
      <c r="L894" s="285"/>
    </row>
    <row r="895" hidden="1">
      <c r="A895" s="58"/>
      <c r="L895" s="285"/>
    </row>
    <row r="896" hidden="1">
      <c r="A896" s="58"/>
      <c r="L896" s="285"/>
    </row>
    <row r="897" hidden="1">
      <c r="A897" s="58"/>
      <c r="L897" s="285"/>
    </row>
    <row r="898" hidden="1">
      <c r="A898" s="58"/>
      <c r="L898" s="285"/>
    </row>
    <row r="899" hidden="1">
      <c r="A899" s="58"/>
      <c r="L899" s="285"/>
    </row>
    <row r="900" hidden="1">
      <c r="A900" s="58"/>
      <c r="L900" s="285"/>
    </row>
    <row r="901" hidden="1">
      <c r="A901" s="58"/>
      <c r="L901" s="285"/>
    </row>
    <row r="902" hidden="1">
      <c r="A902" s="58"/>
      <c r="L902" s="285"/>
    </row>
    <row r="903" hidden="1">
      <c r="A903" s="58"/>
      <c r="L903" s="285"/>
    </row>
    <row r="904" hidden="1">
      <c r="A904" s="58"/>
      <c r="L904" s="285"/>
    </row>
    <row r="905" hidden="1">
      <c r="A905" s="58"/>
      <c r="L905" s="285"/>
    </row>
    <row r="906" hidden="1">
      <c r="A906" s="58"/>
      <c r="L906" s="285"/>
    </row>
    <row r="907" hidden="1">
      <c r="A907" s="58"/>
      <c r="L907" s="285"/>
    </row>
    <row r="908" hidden="1">
      <c r="A908" s="58"/>
      <c r="L908" s="285"/>
    </row>
    <row r="909" hidden="1">
      <c r="A909" s="58"/>
      <c r="L909" s="285"/>
    </row>
    <row r="910" hidden="1">
      <c r="A910" s="58"/>
      <c r="L910" s="285"/>
    </row>
    <row r="911" hidden="1">
      <c r="A911" s="58"/>
      <c r="L911" s="285"/>
    </row>
    <row r="912" hidden="1">
      <c r="A912" s="58"/>
      <c r="L912" s="285"/>
    </row>
    <row r="913" hidden="1">
      <c r="A913" s="58"/>
      <c r="L913" s="285"/>
    </row>
    <row r="914" hidden="1">
      <c r="A914" s="58"/>
      <c r="L914" s="285"/>
    </row>
    <row r="915" hidden="1">
      <c r="A915" s="58"/>
      <c r="L915" s="285"/>
    </row>
    <row r="916" hidden="1">
      <c r="A916" s="58"/>
      <c r="L916" s="285"/>
    </row>
    <row r="917" hidden="1">
      <c r="A917" s="58"/>
      <c r="L917" s="285"/>
    </row>
    <row r="918" hidden="1">
      <c r="A918" s="58"/>
      <c r="L918" s="285"/>
    </row>
    <row r="919" hidden="1">
      <c r="A919" s="58"/>
      <c r="L919" s="285"/>
    </row>
    <row r="920" hidden="1">
      <c r="A920" s="58"/>
      <c r="L920" s="285"/>
    </row>
    <row r="921" hidden="1">
      <c r="A921" s="58"/>
      <c r="L921" s="285"/>
    </row>
    <row r="922" hidden="1">
      <c r="A922" s="58"/>
      <c r="L922" s="285"/>
    </row>
    <row r="923" hidden="1">
      <c r="A923" s="58"/>
      <c r="L923" s="285"/>
    </row>
    <row r="924" hidden="1">
      <c r="A924" s="58"/>
      <c r="L924" s="285"/>
    </row>
    <row r="925" hidden="1">
      <c r="A925" s="58"/>
      <c r="L925" s="285"/>
    </row>
    <row r="926" hidden="1">
      <c r="A926" s="58"/>
      <c r="L926" s="285"/>
    </row>
    <row r="927" hidden="1">
      <c r="A927" s="58"/>
      <c r="L927" s="285"/>
    </row>
    <row r="928" hidden="1">
      <c r="A928" s="58"/>
      <c r="L928" s="285"/>
    </row>
    <row r="929" hidden="1">
      <c r="A929" s="58"/>
      <c r="L929" s="285"/>
    </row>
    <row r="930" hidden="1">
      <c r="A930" s="58"/>
      <c r="L930" s="285"/>
    </row>
    <row r="931" hidden="1">
      <c r="A931" s="58"/>
      <c r="L931" s="285"/>
    </row>
    <row r="932" hidden="1">
      <c r="A932" s="58"/>
      <c r="L932" s="285"/>
    </row>
    <row r="933" hidden="1">
      <c r="A933" s="58"/>
      <c r="L933" s="285"/>
    </row>
    <row r="934" hidden="1">
      <c r="A934" s="58"/>
      <c r="L934" s="285"/>
    </row>
    <row r="935" hidden="1">
      <c r="A935" s="58"/>
      <c r="L935" s="285"/>
    </row>
    <row r="936" hidden="1">
      <c r="A936" s="58"/>
      <c r="L936" s="285"/>
    </row>
    <row r="937" hidden="1">
      <c r="A937" s="58"/>
      <c r="L937" s="285"/>
    </row>
    <row r="938" hidden="1">
      <c r="A938" s="58"/>
      <c r="L938" s="285"/>
    </row>
    <row r="939" hidden="1">
      <c r="A939" s="58"/>
      <c r="L939" s="285"/>
    </row>
    <row r="940" hidden="1">
      <c r="A940" s="58"/>
      <c r="L940" s="285"/>
    </row>
    <row r="941" hidden="1">
      <c r="A941" s="58"/>
      <c r="L941" s="285"/>
    </row>
    <row r="942" hidden="1">
      <c r="A942" s="58"/>
      <c r="L942" s="285"/>
    </row>
    <row r="943" hidden="1">
      <c r="A943" s="58"/>
      <c r="L943" s="285"/>
    </row>
    <row r="944" hidden="1">
      <c r="A944" s="58"/>
      <c r="L944" s="285"/>
    </row>
    <row r="945" hidden="1">
      <c r="A945" s="58"/>
      <c r="L945" s="285"/>
    </row>
    <row r="946" hidden="1">
      <c r="A946" s="58"/>
      <c r="L946" s="285"/>
    </row>
    <row r="947" hidden="1">
      <c r="A947" s="58"/>
      <c r="L947" s="285"/>
    </row>
    <row r="948" hidden="1">
      <c r="A948" s="58"/>
      <c r="L948" s="285"/>
    </row>
    <row r="949" hidden="1">
      <c r="A949" s="58"/>
      <c r="L949" s="285"/>
    </row>
    <row r="950" hidden="1">
      <c r="A950" s="58"/>
      <c r="L950" s="285"/>
    </row>
    <row r="951" hidden="1">
      <c r="A951" s="58"/>
      <c r="L951" s="285"/>
    </row>
    <row r="952" hidden="1">
      <c r="A952" s="58"/>
      <c r="L952" s="285"/>
    </row>
    <row r="953" hidden="1">
      <c r="A953" s="58"/>
      <c r="L953" s="285"/>
    </row>
    <row r="954" hidden="1">
      <c r="A954" s="58"/>
      <c r="L954" s="285"/>
    </row>
    <row r="955" hidden="1">
      <c r="A955" s="58"/>
      <c r="L955" s="285"/>
    </row>
    <row r="956" hidden="1">
      <c r="A956" s="58"/>
      <c r="L956" s="285"/>
    </row>
    <row r="957" hidden="1">
      <c r="A957" s="58"/>
      <c r="L957" s="285"/>
    </row>
    <row r="958" hidden="1">
      <c r="A958" s="58"/>
      <c r="L958" s="285"/>
    </row>
    <row r="959" hidden="1">
      <c r="A959" s="58"/>
      <c r="L959" s="285"/>
    </row>
    <row r="960" hidden="1">
      <c r="A960" s="58"/>
      <c r="L960" s="285"/>
    </row>
    <row r="961" hidden="1">
      <c r="A961" s="58"/>
      <c r="L961" s="285"/>
    </row>
    <row r="962" hidden="1">
      <c r="A962" s="58"/>
      <c r="L962" s="285"/>
    </row>
    <row r="963" hidden="1">
      <c r="A963" s="58"/>
      <c r="L963" s="285"/>
    </row>
    <row r="964" hidden="1">
      <c r="A964" s="58"/>
      <c r="L964" s="285"/>
    </row>
    <row r="965" hidden="1">
      <c r="A965" s="58"/>
      <c r="L965" s="285"/>
    </row>
    <row r="966" hidden="1">
      <c r="A966" s="58"/>
      <c r="L966" s="285"/>
    </row>
    <row r="967" hidden="1">
      <c r="A967" s="58"/>
      <c r="L967" s="285"/>
    </row>
    <row r="968" hidden="1">
      <c r="A968" s="58"/>
      <c r="L968" s="285"/>
    </row>
    <row r="969" hidden="1">
      <c r="A969" s="58"/>
      <c r="L969" s="285"/>
    </row>
    <row r="970" hidden="1">
      <c r="A970" s="58"/>
      <c r="L970" s="285"/>
    </row>
    <row r="971" hidden="1">
      <c r="A971" s="58"/>
      <c r="L971" s="285"/>
    </row>
    <row r="972" hidden="1">
      <c r="A972" s="58"/>
      <c r="L972" s="285"/>
    </row>
    <row r="973" hidden="1">
      <c r="A973" s="58"/>
      <c r="L973" s="285"/>
    </row>
    <row r="974" hidden="1">
      <c r="A974" s="58"/>
      <c r="L974" s="285"/>
    </row>
    <row r="975" hidden="1">
      <c r="A975" s="58"/>
      <c r="L975" s="285"/>
    </row>
    <row r="976" hidden="1">
      <c r="A976" s="58"/>
      <c r="L976" s="285"/>
    </row>
    <row r="977" hidden="1">
      <c r="A977" s="58"/>
      <c r="L977" s="285"/>
    </row>
    <row r="978" hidden="1">
      <c r="A978" s="58"/>
      <c r="L978" s="285"/>
    </row>
    <row r="979" hidden="1">
      <c r="A979" s="58"/>
      <c r="L979" s="285"/>
    </row>
    <row r="980" hidden="1">
      <c r="A980" s="58"/>
      <c r="L980" s="285"/>
    </row>
    <row r="981" hidden="1">
      <c r="A981" s="58"/>
      <c r="L981" s="285"/>
    </row>
    <row r="982" hidden="1">
      <c r="A982" s="58"/>
      <c r="L982" s="285"/>
    </row>
    <row r="983" hidden="1">
      <c r="A983" s="58"/>
      <c r="L983" s="285"/>
    </row>
    <row r="984" hidden="1">
      <c r="A984" s="58"/>
      <c r="L984" s="285"/>
    </row>
    <row r="985" hidden="1">
      <c r="A985" s="58"/>
      <c r="L985" s="285"/>
    </row>
    <row r="986" hidden="1">
      <c r="A986" s="58"/>
      <c r="L986" s="285"/>
    </row>
    <row r="987" hidden="1">
      <c r="A987" s="58"/>
      <c r="L987" s="285"/>
    </row>
    <row r="988" hidden="1">
      <c r="A988" s="58"/>
      <c r="L988" s="285"/>
    </row>
    <row r="989" hidden="1">
      <c r="A989" s="58"/>
      <c r="L989" s="285"/>
    </row>
    <row r="990" hidden="1">
      <c r="A990" s="58"/>
      <c r="L990" s="285"/>
    </row>
    <row r="991" hidden="1">
      <c r="A991" s="58"/>
      <c r="L991" s="285"/>
    </row>
    <row r="992" hidden="1">
      <c r="A992" s="58"/>
      <c r="L992" s="285"/>
    </row>
    <row r="993" hidden="1">
      <c r="A993" s="58"/>
      <c r="L993" s="285"/>
    </row>
    <row r="994" hidden="1">
      <c r="A994" s="58"/>
      <c r="L994" s="285"/>
    </row>
    <row r="995" hidden="1">
      <c r="A995" s="58"/>
      <c r="L995" s="285"/>
    </row>
    <row r="996" hidden="1">
      <c r="A996" s="58"/>
      <c r="L996" s="285"/>
    </row>
    <row r="997" hidden="1">
      <c r="A997" s="58"/>
      <c r="L997" s="285"/>
    </row>
    <row r="998" hidden="1">
      <c r="A998" s="58"/>
      <c r="L998" s="285"/>
    </row>
    <row r="999" hidden="1">
      <c r="A999" s="58"/>
      <c r="L999" s="285"/>
    </row>
    <row r="1000" hidden="1">
      <c r="A1000" s="58"/>
      <c r="L1000" s="285"/>
    </row>
    <row r="1001" hidden="1">
      <c r="A1001" s="58"/>
      <c r="L1001" s="285"/>
    </row>
    <row r="1002" hidden="1">
      <c r="A1002" s="58"/>
      <c r="L1002" s="285"/>
    </row>
    <row r="1003" hidden="1">
      <c r="A1003" s="58"/>
      <c r="L1003" s="285"/>
    </row>
    <row r="1004" hidden="1">
      <c r="A1004" s="58"/>
      <c r="L1004" s="285"/>
    </row>
    <row r="1005" hidden="1">
      <c r="A1005" s="58"/>
      <c r="L1005" s="285"/>
    </row>
    <row r="1006" hidden="1">
      <c r="A1006" s="58"/>
      <c r="L1006" s="285"/>
    </row>
    <row r="1007" hidden="1">
      <c r="A1007" s="58"/>
      <c r="L1007" s="285"/>
    </row>
    <row r="1008" hidden="1">
      <c r="A1008" s="58"/>
      <c r="L1008" s="285"/>
    </row>
    <row r="1009" hidden="1">
      <c r="A1009" s="58"/>
      <c r="L1009" s="285"/>
    </row>
    <row r="1010" hidden="1">
      <c r="A1010" s="58"/>
      <c r="L1010" s="285"/>
    </row>
    <row r="1011" hidden="1">
      <c r="A1011" s="58"/>
      <c r="L1011" s="285"/>
    </row>
    <row r="1012" hidden="1">
      <c r="A1012" s="58"/>
      <c r="L1012" s="285"/>
    </row>
    <row r="1013" hidden="1">
      <c r="A1013" s="58"/>
      <c r="L1013" s="285"/>
    </row>
    <row r="1014" hidden="1">
      <c r="A1014" s="58"/>
      <c r="L1014" s="285"/>
    </row>
    <row r="1015" hidden="1">
      <c r="A1015" s="58"/>
      <c r="L1015" s="285"/>
    </row>
    <row r="1016" hidden="1">
      <c r="A1016" s="58"/>
      <c r="L1016" s="285"/>
    </row>
    <row r="1017" hidden="1">
      <c r="A1017" s="58"/>
      <c r="L1017" s="285"/>
    </row>
    <row r="1018" hidden="1">
      <c r="A1018" s="58"/>
      <c r="L1018" s="285"/>
    </row>
    <row r="1019" hidden="1">
      <c r="A1019" s="58"/>
      <c r="L1019" s="285"/>
    </row>
    <row r="1020" hidden="1">
      <c r="A1020" s="58"/>
      <c r="L1020" s="285"/>
    </row>
    <row r="1021" hidden="1">
      <c r="A1021" s="58"/>
      <c r="L1021" s="285"/>
    </row>
    <row r="1022" hidden="1">
      <c r="A1022" s="58"/>
      <c r="L1022" s="285"/>
    </row>
    <row r="1023" hidden="1">
      <c r="A1023" s="58"/>
      <c r="L1023" s="285"/>
    </row>
    <row r="1024" hidden="1">
      <c r="A1024" s="58"/>
      <c r="L1024" s="285"/>
    </row>
    <row r="1025" hidden="1">
      <c r="A1025" s="58"/>
      <c r="L1025" s="285"/>
    </row>
    <row r="1026" hidden="1">
      <c r="A1026" s="58"/>
      <c r="L1026" s="285"/>
    </row>
    <row r="1027" hidden="1">
      <c r="A1027" s="58"/>
      <c r="L1027" s="285"/>
    </row>
  </sheetData>
  <mergeCells count="3">
    <mergeCell ref="A1:O1"/>
    <mergeCell ref="B72:D72"/>
    <mergeCell ref="F72:N72"/>
  </mergeCells>
  <conditionalFormatting sqref="N3:N71 N73:N92">
    <cfRule type="colorScale" priority="1">
      <colorScale>
        <cfvo type="min"/>
        <cfvo type="max"/>
        <color rgb="FFFFFFFF"/>
        <color rgb="FF57BB8A"/>
      </colorScale>
    </cfRule>
  </conditionalFormatting>
  <conditionalFormatting sqref="M3:M71 M73:M92">
    <cfRule type="colorScale" priority="2">
      <colorScale>
        <cfvo type="min"/>
        <cfvo type="max"/>
        <color rgb="FFFFFFFF"/>
        <color rgb="FF57BB8A"/>
      </colorScale>
    </cfRule>
  </conditionalFormatting>
  <conditionalFormatting sqref="C3:C71 C73:C92">
    <cfRule type="colorScale" priority="3">
      <colorScale>
        <cfvo type="min"/>
        <cfvo type="max"/>
        <color rgb="FFFFFFFF"/>
        <color rgb="FF57BB8A"/>
      </colorScale>
    </cfRule>
  </conditionalFormatting>
  <conditionalFormatting sqref="D3:D71 D73:D92">
    <cfRule type="colorScale" priority="4">
      <colorScale>
        <cfvo type="min"/>
        <cfvo type="max"/>
        <color rgb="FFFFFFFF"/>
        <color rgb="FF57BB8A"/>
      </colorScale>
    </cfRule>
  </conditionalFormatting>
  <conditionalFormatting sqref="F3:F92">
    <cfRule type="colorScale" priority="5">
      <colorScale>
        <cfvo type="min"/>
        <cfvo type="max"/>
        <color rgb="FFFFFFFF"/>
        <color rgb="FF57BB8A"/>
      </colorScale>
    </cfRule>
  </conditionalFormatting>
  <conditionalFormatting sqref="G3:G71 G73:G92">
    <cfRule type="colorScale" priority="6">
      <colorScale>
        <cfvo type="min"/>
        <cfvo type="max"/>
        <color rgb="FFFFFFFF"/>
        <color rgb="FF57BB8A"/>
      </colorScale>
    </cfRule>
  </conditionalFormatting>
  <hyperlinks>
    <hyperlink display="Note: all weapons assume Backup Mag whenever applicable, rocket launchers assume Impact Casing wherever applicable; All weapon damage (except exotics) is normalized.&#10;Want to contribute? Have questions, comments, or concerns? See Home page for contact information." location="Home!C12:E13" ref="A1"/>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25"/>
    <col customWidth="1" min="2" max="19" width="10.13"/>
    <col customWidth="1" min="20" max="20" width="25.75"/>
    <col hidden="1" min="21" max="28" width="12.63"/>
  </cols>
  <sheetData>
    <row r="1">
      <c r="A1" s="59" t="s">
        <v>515</v>
      </c>
      <c r="U1" s="58"/>
      <c r="V1" s="58"/>
      <c r="W1" s="58"/>
      <c r="X1" s="58"/>
      <c r="Y1" s="58"/>
      <c r="Z1" s="58"/>
      <c r="AA1" s="58"/>
      <c r="AB1" s="58"/>
    </row>
    <row r="2">
      <c r="A2" s="343" t="s">
        <v>516</v>
      </c>
      <c r="B2" s="344" t="s">
        <v>517</v>
      </c>
      <c r="C2" s="344" t="s">
        <v>518</v>
      </c>
      <c r="D2" s="345" t="s">
        <v>519</v>
      </c>
      <c r="E2" s="346"/>
      <c r="F2" s="343" t="s">
        <v>520</v>
      </c>
      <c r="G2" s="344" t="s">
        <v>521</v>
      </c>
      <c r="H2" s="344" t="s">
        <v>522</v>
      </c>
      <c r="I2" s="344" t="s">
        <v>523</v>
      </c>
      <c r="J2" s="344" t="s">
        <v>524</v>
      </c>
      <c r="K2" s="344" t="s">
        <v>525</v>
      </c>
      <c r="L2" s="344" t="s">
        <v>526</v>
      </c>
      <c r="M2" s="344" t="s">
        <v>527</v>
      </c>
      <c r="N2" s="344" t="s">
        <v>528</v>
      </c>
      <c r="O2" s="344" t="s">
        <v>529</v>
      </c>
      <c r="P2" s="344" t="s">
        <v>530</v>
      </c>
      <c r="Q2" s="344" t="s">
        <v>531</v>
      </c>
      <c r="R2" s="344" t="s">
        <v>532</v>
      </c>
      <c r="S2" s="345" t="s">
        <v>533</v>
      </c>
      <c r="T2" s="58"/>
      <c r="U2" s="58"/>
      <c r="V2" s="58"/>
      <c r="W2" s="58"/>
      <c r="X2" s="58"/>
      <c r="Y2" s="58"/>
      <c r="Z2" s="58"/>
      <c r="AA2" s="58"/>
      <c r="AB2" s="58"/>
    </row>
    <row r="3">
      <c r="A3" s="347" t="s">
        <v>44</v>
      </c>
      <c r="B3" s="148">
        <v>0.0</v>
      </c>
      <c r="C3" s="148">
        <f t="shared" ref="C3:C6" si="1">(O3*R3 + S3)
/ (K3 + J3)</f>
        <v>962.2857143</v>
      </c>
      <c r="D3" s="348">
        <f t="shared" ref="D3:D6" si="2">(P3*R3 + S3)
/ (P3*1/I3*60 + J3)</f>
        <v>966.1538462</v>
      </c>
      <c r="E3" s="349"/>
      <c r="F3" s="321">
        <f t="shared" ref="F3:F6" si="3">floor(H3/(O3+Q3),1)*(O3*R3+S3)
+ if(mod(H3, O3+Q3) &gt; O3,
(O3*R3+S3),
mod(H3, O3+Q3)*R3)</f>
        <v>26944</v>
      </c>
      <c r="G3" s="148">
        <f t="shared" ref="G3:G6" si="4">floor(H3/(P3+Q3),1)*(P3*R3+S3)
+ if(mod(H3, P3+Q3) &gt; P3,
(P3*R3+S3),
mod(H3, P3+Q3)*R3)</f>
        <v>26376</v>
      </c>
      <c r="H3" s="148">
        <f>'Reserves Data (Reference)'!$D$113</f>
        <v>70</v>
      </c>
      <c r="I3" s="148">
        <f>(3)/((0.46+0.46+0.49)*1/60)</f>
        <v>127.6595745</v>
      </c>
      <c r="J3" s="350">
        <v>1.08</v>
      </c>
      <c r="K3" s="350">
        <v>2.42</v>
      </c>
      <c r="L3" s="350">
        <f t="shared" ref="L3:L6" si="5">floor(H3/(O3+Q3),1)*(O3*1/I3*60+J3)
+ if(mod(H3, O3+Q3) &gt; O3,
(O3*1/I3*60+J3),
mod(H3, O3+Q3)*1/I3*60)</f>
        <v>27.44</v>
      </c>
      <c r="M3" s="350">
        <f t="shared" ref="M3:M6" si="6">floor(H3/(P3+Q3),1)*(P3*1/I3*60+J3)
+ if(mod(H3, P3+Q3) &gt; P3,
(P3*1/I3*60+J3),
mod(H3, P3+Q3)*1/I3*60)</f>
        <v>27.3</v>
      </c>
      <c r="N3" s="350">
        <f t="shared" ref="N3:N6" si="7">K3-(O3*1/I3*60)</f>
        <v>0.07</v>
      </c>
      <c r="O3" s="148">
        <f t="shared" ref="O3:O6" si="8">CEILING(K3*I3*1/60,1)-1</f>
        <v>5</v>
      </c>
      <c r="P3" s="148">
        <f t="shared" ref="P3:P6" si="9">O3+1</f>
        <v>6</v>
      </c>
      <c r="Q3" s="148">
        <v>4.0</v>
      </c>
      <c r="R3" s="73">
        <v>400.0</v>
      </c>
      <c r="S3" s="351">
        <f>R3+242*4</f>
        <v>1368</v>
      </c>
    </row>
    <row r="4">
      <c r="A4" s="352"/>
      <c r="B4" s="93">
        <v>1.0</v>
      </c>
      <c r="C4" s="93">
        <f t="shared" si="1"/>
        <v>982.781457</v>
      </c>
      <c r="D4" s="353">
        <f t="shared" si="2"/>
        <v>981.9241983</v>
      </c>
      <c r="E4" s="349"/>
      <c r="F4" s="354">
        <f t="shared" si="3"/>
        <v>26712</v>
      </c>
      <c r="G4" s="93">
        <f t="shared" si="4"/>
        <v>26944</v>
      </c>
      <c r="H4" s="93">
        <f t="shared" ref="H4:H8" si="10">$H$3</f>
        <v>70</v>
      </c>
      <c r="I4" s="93">
        <f t="shared" ref="I4:I6" si="11">$I$3</f>
        <v>127.6595745</v>
      </c>
      <c r="J4" s="111">
        <f t="shared" ref="J4:J6" si="12">$J$3</f>
        <v>1.08</v>
      </c>
      <c r="K4" s="111">
        <v>1.94</v>
      </c>
      <c r="L4" s="111">
        <f t="shared" si="5"/>
        <v>26.64</v>
      </c>
      <c r="M4" s="111">
        <f t="shared" si="6"/>
        <v>27.44</v>
      </c>
      <c r="N4" s="111">
        <f t="shared" si="7"/>
        <v>0.06</v>
      </c>
      <c r="O4" s="93">
        <f t="shared" si="8"/>
        <v>4</v>
      </c>
      <c r="P4" s="93">
        <f t="shared" si="9"/>
        <v>5</v>
      </c>
      <c r="Q4" s="93">
        <f t="shared" ref="Q4:Q6" si="13">$Q$3</f>
        <v>4</v>
      </c>
      <c r="R4" s="93">
        <f t="shared" ref="R4:R6" si="14">$R$3</f>
        <v>400</v>
      </c>
      <c r="S4" s="355">
        <f>S3</f>
        <v>1368</v>
      </c>
    </row>
    <row r="5">
      <c r="A5" s="352"/>
      <c r="B5" s="93">
        <v>2.0</v>
      </c>
      <c r="C5" s="93">
        <f t="shared" si="1"/>
        <v>987.6923077</v>
      </c>
      <c r="D5" s="353">
        <f t="shared" si="2"/>
        <v>1002.702703</v>
      </c>
      <c r="E5" s="349"/>
      <c r="F5" s="354">
        <f t="shared" si="3"/>
        <v>25680</v>
      </c>
      <c r="G5" s="93">
        <f t="shared" si="4"/>
        <v>26712</v>
      </c>
      <c r="H5" s="93">
        <f t="shared" si="10"/>
        <v>70</v>
      </c>
      <c r="I5" s="93">
        <f t="shared" si="11"/>
        <v>127.6595745</v>
      </c>
      <c r="J5" s="111">
        <f t="shared" si="12"/>
        <v>1.08</v>
      </c>
      <c r="K5" s="111">
        <v>1.52</v>
      </c>
      <c r="L5" s="111">
        <f t="shared" si="5"/>
        <v>24.9</v>
      </c>
      <c r="M5" s="111">
        <f t="shared" si="6"/>
        <v>26.64</v>
      </c>
      <c r="N5" s="111">
        <f t="shared" si="7"/>
        <v>0.11</v>
      </c>
      <c r="O5" s="93">
        <f t="shared" si="8"/>
        <v>3</v>
      </c>
      <c r="P5" s="93">
        <f t="shared" si="9"/>
        <v>4</v>
      </c>
      <c r="Q5" s="93">
        <f t="shared" si="13"/>
        <v>4</v>
      </c>
      <c r="R5" s="93">
        <f t="shared" si="14"/>
        <v>400</v>
      </c>
      <c r="S5" s="355">
        <f>S3</f>
        <v>1368</v>
      </c>
    </row>
    <row r="6">
      <c r="A6" s="352"/>
      <c r="B6" s="93">
        <v>3.0</v>
      </c>
      <c r="C6" s="161">
        <f t="shared" si="1"/>
        <v>934.4827586</v>
      </c>
      <c r="D6" s="356">
        <f t="shared" si="2"/>
        <v>1031.325301</v>
      </c>
      <c r="E6" s="349"/>
      <c r="F6" s="357">
        <f t="shared" si="3"/>
        <v>26016</v>
      </c>
      <c r="G6" s="161">
        <f t="shared" si="4"/>
        <v>25680</v>
      </c>
      <c r="H6" s="93">
        <f t="shared" si="10"/>
        <v>70</v>
      </c>
      <c r="I6" s="93">
        <f t="shared" si="11"/>
        <v>127.6595745</v>
      </c>
      <c r="J6" s="111">
        <f t="shared" si="12"/>
        <v>1.08</v>
      </c>
      <c r="K6" s="358">
        <v>1.24</v>
      </c>
      <c r="L6" s="358">
        <f t="shared" si="5"/>
        <v>24.24</v>
      </c>
      <c r="M6" s="358">
        <f t="shared" si="6"/>
        <v>24.9</v>
      </c>
      <c r="N6" s="358">
        <f t="shared" si="7"/>
        <v>0.3</v>
      </c>
      <c r="O6" s="161">
        <f t="shared" si="8"/>
        <v>2</v>
      </c>
      <c r="P6" s="161">
        <f t="shared" si="9"/>
        <v>3</v>
      </c>
      <c r="Q6" s="93">
        <f t="shared" si="13"/>
        <v>4</v>
      </c>
      <c r="R6" s="161">
        <f t="shared" si="14"/>
        <v>400</v>
      </c>
      <c r="S6" s="359">
        <f>S3</f>
        <v>1368</v>
      </c>
    </row>
    <row r="7">
      <c r="A7" s="352" t="s">
        <v>534</v>
      </c>
      <c r="B7" s="84">
        <v>0.0</v>
      </c>
      <c r="C7" s="161">
        <f>(R7+S7)/(0.5+0.33+0.48)</f>
        <v>540.4580153</v>
      </c>
      <c r="D7" s="356">
        <f>(R7+S7)/(0.5+0.33+0.48)</f>
        <v>540.4580153</v>
      </c>
      <c r="E7" s="349"/>
      <c r="F7" s="357">
        <f>floor(H7/(1+Q7),1)*(R7+S7)+mod(H7, (1+Q7))*R7</f>
        <v>24780</v>
      </c>
      <c r="G7" s="161">
        <f>floor(H7/(1+Q7),1)*(R7+S7)+mod(H7, (1+Q7))*R7</f>
        <v>24780</v>
      </c>
      <c r="H7" s="93">
        <f t="shared" si="10"/>
        <v>70</v>
      </c>
      <c r="I7" s="214">
        <f>(2/(0.05+0.33+0.48))*60</f>
        <v>139.5348837</v>
      </c>
      <c r="J7" s="145">
        <v>0.48</v>
      </c>
      <c r="K7" s="145" t="s">
        <v>60</v>
      </c>
      <c r="L7" s="145">
        <f>H7*1/I7*60</f>
        <v>30.1</v>
      </c>
      <c r="M7" s="145">
        <f>H7*1/I7*60</f>
        <v>30.1</v>
      </c>
      <c r="N7" s="145" t="s">
        <v>60</v>
      </c>
      <c r="O7" s="145" t="s">
        <v>60</v>
      </c>
      <c r="P7" s="145" t="s">
        <v>60</v>
      </c>
      <c r="Q7" s="144">
        <v>1.0</v>
      </c>
      <c r="R7" s="144">
        <v>333.0</v>
      </c>
      <c r="S7" s="279">
        <v>375.0</v>
      </c>
    </row>
    <row r="8">
      <c r="A8" s="360" t="s">
        <v>535</v>
      </c>
      <c r="B8" s="144" t="s">
        <v>60</v>
      </c>
      <c r="C8" s="157">
        <f>R8*I8*1/60</f>
        <v>851.0638298</v>
      </c>
      <c r="D8" s="361">
        <f>R8*I8*1/60</f>
        <v>851.0638298</v>
      </c>
      <c r="E8" s="349"/>
      <c r="F8" s="357">
        <f>H8*R8</f>
        <v>28000</v>
      </c>
      <c r="G8" s="161">
        <f>H8*R8</f>
        <v>28000</v>
      </c>
      <c r="H8" s="93">
        <f t="shared" si="10"/>
        <v>70</v>
      </c>
      <c r="I8" s="93">
        <f>$I$3</f>
        <v>127.6595745</v>
      </c>
      <c r="J8" s="145" t="s">
        <v>60</v>
      </c>
      <c r="K8" s="145" t="s">
        <v>60</v>
      </c>
      <c r="L8" s="145" t="s">
        <v>60</v>
      </c>
      <c r="M8" s="145" t="s">
        <v>60</v>
      </c>
      <c r="N8" s="145" t="s">
        <v>60</v>
      </c>
      <c r="O8" s="145" t="s">
        <v>60</v>
      </c>
      <c r="P8" s="145" t="s">
        <v>60</v>
      </c>
      <c r="Q8" s="144" t="s">
        <v>60</v>
      </c>
      <c r="R8" s="161">
        <f>$R$3</f>
        <v>400</v>
      </c>
      <c r="S8" s="279" t="s">
        <v>60</v>
      </c>
    </row>
    <row r="9">
      <c r="A9" s="347" t="s">
        <v>536</v>
      </c>
      <c r="B9" s="148">
        <v>0.0</v>
      </c>
      <c r="C9" s="148">
        <f t="shared" ref="C9:C12" si="15">(O9*R9 + S9)
/ (K9 + J9)</f>
        <v>1056.603774</v>
      </c>
      <c r="D9" s="348">
        <f t="shared" ref="D9:D12" si="16">(P9*R9 + S9)
/ (P9*1/I9*60 + J9)</f>
        <v>1093.243243</v>
      </c>
      <c r="E9" s="349"/>
      <c r="F9" s="321">
        <f t="shared" ref="F9:F12" si="17">floor(H9/(O9+Q9),1)*(O9*R9+S9)
+ if(mod(H9, O9+Q9) &gt; O9,
(O9*R9+S9),
mod(H9, O9+Q9)*R9)</f>
        <v>28000</v>
      </c>
      <c r="G9" s="148">
        <f t="shared" ref="G9:G12" si="18">floor(H9/(P9+Q9),1)*(P9*R9+S9)
+ if(mod(H9, P9+Q9) &gt; P9,
(P9*R9+S9),
mod(H9, P9+Q9)*R9)</f>
        <v>29124</v>
      </c>
      <c r="H9" s="148">
        <f>'Reserves Data (Reference)'!$D$114</f>
        <v>69</v>
      </c>
      <c r="I9" s="148">
        <f>(3)/((0.46+0.46+0.49)*1/60)</f>
        <v>127.6595745</v>
      </c>
      <c r="J9" s="350">
        <v>1.08</v>
      </c>
      <c r="K9" s="350">
        <v>1.57</v>
      </c>
      <c r="L9" s="350">
        <f t="shared" ref="L9:L12" si="19">floor(H9/(O9+Q9),1)*(O9*1/I9*60+J9)
+ if(mod(H9, O9+Q9) &gt; O9,
(O9*1/I9*60+J9),
mod(H9, O9+Q9)*1/I9*60)</f>
        <v>24.9</v>
      </c>
      <c r="M9" s="350">
        <f t="shared" ref="M9:M12" si="20">floor(H9/(P9+Q9),1)*(P9*1/I9*60+J9)
+ if(mod(H9, P9+Q9) &gt; P9,
(P9*1/I9*60+J9),
mod(H9, P9+Q9)*1/I9*60)</f>
        <v>26.64</v>
      </c>
      <c r="N9" s="350">
        <f t="shared" ref="N9:N12" si="21">K9-(O9*1/I9*60)</f>
        <v>0.16</v>
      </c>
      <c r="O9" s="148">
        <f t="shared" ref="O9:O12" si="22">CEILING(K9*I9*1/60,1)-1</f>
        <v>3</v>
      </c>
      <c r="P9" s="148">
        <f t="shared" ref="P9:P12" si="23">O9+1</f>
        <v>4</v>
      </c>
      <c r="Q9" s="148">
        <v>4.0</v>
      </c>
      <c r="R9" s="73">
        <v>436.0</v>
      </c>
      <c r="S9" s="351">
        <f>R9 + 264*4</f>
        <v>1492</v>
      </c>
    </row>
    <row r="10">
      <c r="A10" s="352"/>
      <c r="B10" s="93">
        <v>1.0</v>
      </c>
      <c r="C10" s="93">
        <f t="shared" si="15"/>
        <v>1060.089686</v>
      </c>
      <c r="D10" s="353">
        <f t="shared" si="16"/>
        <v>1124.497992</v>
      </c>
      <c r="E10" s="349"/>
      <c r="F10" s="354">
        <f t="shared" si="17"/>
        <v>28368</v>
      </c>
      <c r="G10" s="93">
        <f t="shared" si="18"/>
        <v>28000</v>
      </c>
      <c r="H10" s="93">
        <f t="shared" ref="H10:H14" si="24">$H$9</f>
        <v>69</v>
      </c>
      <c r="I10" s="93">
        <f t="shared" ref="I10:I12" si="25">$I$9</f>
        <v>127.6595745</v>
      </c>
      <c r="J10" s="111">
        <f t="shared" ref="J10:J12" si="26">$J$9</f>
        <v>1.08</v>
      </c>
      <c r="K10" s="111">
        <v>1.15</v>
      </c>
      <c r="L10" s="111">
        <f t="shared" si="19"/>
        <v>24.24</v>
      </c>
      <c r="M10" s="111">
        <f t="shared" si="20"/>
        <v>24.9</v>
      </c>
      <c r="N10" s="111">
        <f t="shared" si="21"/>
        <v>0.21</v>
      </c>
      <c r="O10" s="93">
        <f t="shared" si="22"/>
        <v>2</v>
      </c>
      <c r="P10" s="93">
        <f t="shared" si="23"/>
        <v>3</v>
      </c>
      <c r="Q10" s="93">
        <f t="shared" ref="Q10:Q12" si="27">$Q$9</f>
        <v>4</v>
      </c>
      <c r="R10" s="84">
        <f t="shared" ref="R10:R12" si="28">$R$9</f>
        <v>436</v>
      </c>
      <c r="S10" s="355">
        <f>S9</f>
        <v>1492</v>
      </c>
    </row>
    <row r="11">
      <c r="A11" s="352"/>
      <c r="B11" s="93">
        <v>2.0</v>
      </c>
      <c r="C11" s="93">
        <f t="shared" si="15"/>
        <v>1064.864865</v>
      </c>
      <c r="D11" s="353">
        <f t="shared" si="16"/>
        <v>1124.497992</v>
      </c>
      <c r="E11" s="349"/>
      <c r="F11" s="354">
        <f t="shared" si="17"/>
        <v>28368</v>
      </c>
      <c r="G11" s="93">
        <f t="shared" si="18"/>
        <v>28000</v>
      </c>
      <c r="H11" s="93">
        <f t="shared" si="24"/>
        <v>69</v>
      </c>
      <c r="I11" s="93">
        <f t="shared" si="25"/>
        <v>127.6595745</v>
      </c>
      <c r="J11" s="111">
        <f t="shared" si="26"/>
        <v>1.08</v>
      </c>
      <c r="K11" s="111">
        <v>1.14</v>
      </c>
      <c r="L11" s="111">
        <f t="shared" si="19"/>
        <v>24.24</v>
      </c>
      <c r="M11" s="111">
        <f t="shared" si="20"/>
        <v>24.9</v>
      </c>
      <c r="N11" s="111">
        <f t="shared" si="21"/>
        <v>0.2</v>
      </c>
      <c r="O11" s="93">
        <f t="shared" si="22"/>
        <v>2</v>
      </c>
      <c r="P11" s="93">
        <f t="shared" si="23"/>
        <v>3</v>
      </c>
      <c r="Q11" s="93">
        <f t="shared" si="27"/>
        <v>4</v>
      </c>
      <c r="R11" s="84">
        <f t="shared" si="28"/>
        <v>436</v>
      </c>
      <c r="S11" s="355">
        <f>S9</f>
        <v>1492</v>
      </c>
    </row>
    <row r="12">
      <c r="A12" s="352"/>
      <c r="B12" s="93">
        <v>3.0</v>
      </c>
      <c r="C12" s="161">
        <f t="shared" si="15"/>
        <v>1064.864865</v>
      </c>
      <c r="D12" s="356">
        <f t="shared" si="16"/>
        <v>1124.497992</v>
      </c>
      <c r="E12" s="349"/>
      <c r="F12" s="357">
        <f t="shared" si="17"/>
        <v>28368</v>
      </c>
      <c r="G12" s="161">
        <f t="shared" si="18"/>
        <v>28000</v>
      </c>
      <c r="H12" s="93">
        <f t="shared" si="24"/>
        <v>69</v>
      </c>
      <c r="I12" s="93">
        <f t="shared" si="25"/>
        <v>127.6595745</v>
      </c>
      <c r="J12" s="111">
        <f t="shared" si="26"/>
        <v>1.08</v>
      </c>
      <c r="K12" s="358">
        <v>1.14</v>
      </c>
      <c r="L12" s="358">
        <f t="shared" si="19"/>
        <v>24.24</v>
      </c>
      <c r="M12" s="358">
        <f t="shared" si="20"/>
        <v>24.9</v>
      </c>
      <c r="N12" s="358">
        <f t="shared" si="21"/>
        <v>0.2</v>
      </c>
      <c r="O12" s="161">
        <f t="shared" si="22"/>
        <v>2</v>
      </c>
      <c r="P12" s="161">
        <f t="shared" si="23"/>
        <v>3</v>
      </c>
      <c r="Q12" s="93">
        <f t="shared" si="27"/>
        <v>4</v>
      </c>
      <c r="R12" s="144">
        <f t="shared" si="28"/>
        <v>436</v>
      </c>
      <c r="S12" s="359">
        <f>S9</f>
        <v>1492</v>
      </c>
    </row>
    <row r="13">
      <c r="A13" s="352" t="s">
        <v>534</v>
      </c>
      <c r="B13" s="84">
        <v>0.0</v>
      </c>
      <c r="C13" s="161">
        <f>(R13+S13)/(0.5+0.33+0.48)</f>
        <v>590.0763359</v>
      </c>
      <c r="D13" s="356">
        <f>(R13+S13)/(0.5+0.33+0.48)</f>
        <v>590.0763359</v>
      </c>
      <c r="E13" s="349"/>
      <c r="F13" s="357">
        <f>floor(H13/(1+Q13),1)*(R13+S13)+mod(H13, (1+Q13))*R13</f>
        <v>26646</v>
      </c>
      <c r="G13" s="161">
        <f>floor(H13/(1+Q13),1)*(R13+S13)+mod(H13, (1+Q13))*R13</f>
        <v>26646</v>
      </c>
      <c r="H13" s="93">
        <f t="shared" si="24"/>
        <v>69</v>
      </c>
      <c r="I13" s="214">
        <f>(2/(0.05+0.33+0.48))*60</f>
        <v>139.5348837</v>
      </c>
      <c r="J13" s="145">
        <v>0.48</v>
      </c>
      <c r="K13" s="145" t="s">
        <v>60</v>
      </c>
      <c r="L13" s="145">
        <f>H13*1/I13*60</f>
        <v>29.67</v>
      </c>
      <c r="M13" s="145">
        <f>H13*1/I13*60</f>
        <v>29.67</v>
      </c>
      <c r="N13" s="145" t="s">
        <v>60</v>
      </c>
      <c r="O13" s="145" t="s">
        <v>60</v>
      </c>
      <c r="P13" s="145" t="s">
        <v>60</v>
      </c>
      <c r="Q13" s="144">
        <v>1.0</v>
      </c>
      <c r="R13" s="144">
        <v>364.0</v>
      </c>
      <c r="S13" s="279">
        <v>409.0</v>
      </c>
    </row>
    <row r="14">
      <c r="A14" s="360" t="s">
        <v>535</v>
      </c>
      <c r="B14" s="144" t="s">
        <v>60</v>
      </c>
      <c r="C14" s="157">
        <f>R14*I14*1/60</f>
        <v>927.6595745</v>
      </c>
      <c r="D14" s="361">
        <f>R14*I14*1/60</f>
        <v>927.6595745</v>
      </c>
      <c r="E14" s="349"/>
      <c r="F14" s="357">
        <f>H14*R14</f>
        <v>30084</v>
      </c>
      <c r="G14" s="161">
        <f>H14*R14</f>
        <v>30084</v>
      </c>
      <c r="H14" s="93">
        <f t="shared" si="24"/>
        <v>69</v>
      </c>
      <c r="I14" s="93">
        <f>$I$9</f>
        <v>127.6595745</v>
      </c>
      <c r="J14" s="358" t="s">
        <v>60</v>
      </c>
      <c r="K14" s="145" t="s">
        <v>60</v>
      </c>
      <c r="L14" s="145" t="s">
        <v>60</v>
      </c>
      <c r="M14" s="145" t="s">
        <v>60</v>
      </c>
      <c r="N14" s="145" t="s">
        <v>60</v>
      </c>
      <c r="O14" s="145" t="s">
        <v>60</v>
      </c>
      <c r="P14" s="145" t="s">
        <v>60</v>
      </c>
      <c r="Q14" s="161" t="s">
        <v>60</v>
      </c>
      <c r="R14" s="144">
        <f>$R$9</f>
        <v>436</v>
      </c>
      <c r="S14" s="279" t="s">
        <v>60</v>
      </c>
    </row>
    <row r="15">
      <c r="A15" s="347" t="s">
        <v>537</v>
      </c>
      <c r="B15" s="148">
        <v>0.0</v>
      </c>
      <c r="C15" s="148">
        <f t="shared" ref="C15:C18" si="29">(O15*R15 + S15)
/ (K15 + J15)</f>
        <v>906.0402685</v>
      </c>
      <c r="D15" s="348">
        <f t="shared" ref="D15:D18" si="30">(P15*R15 + S15)
/ (P15*1/I15*60 + J15)</f>
        <v>968.75</v>
      </c>
      <c r="E15" s="349"/>
      <c r="F15" s="321">
        <f t="shared" ref="F15:F18" si="31">floor(H15/(O15+Q15),1)*(O15*R15+S15)
+ if(mod(H15, O15+Q15) &gt; O15,
(O15*R15+S15),
mod(H15, O15+Q15)*R15)</f>
        <v>21600</v>
      </c>
      <c r="G15" s="148">
        <f t="shared" ref="G15:G18" si="32">floor(H15/(P15+Q15),1)*(P15*R15+S15)
+ if(mod(H15, P15+Q15) &gt; P15,
(P15*R15+S15),
mod(H15, P15+Q15)*R15)</f>
        <v>21700</v>
      </c>
      <c r="H15" s="148">
        <f>'Reserves Data (Reference)'!$D$115</f>
        <v>68</v>
      </c>
      <c r="I15" s="148">
        <f>(3)/((0.46+0.46+0.49)*1/60)</f>
        <v>127.6595745</v>
      </c>
      <c r="J15" s="350">
        <v>1.32</v>
      </c>
      <c r="K15" s="350">
        <v>1.66</v>
      </c>
      <c r="L15" s="350">
        <f t="shared" ref="L15:L18" si="33">floor(H15/(O15+Q15),1)*(O15*1/I15*60+J15)
+ if(mod(H15, O15+Q15) &gt; O15,
(O15*1/I15*60+J15),
mod(H15, O15+Q15)*1/I15*60)</f>
        <v>21.84</v>
      </c>
      <c r="M15" s="350">
        <f t="shared" ref="M15:M18" si="34">floor(H15/(P15+Q15),1)*(P15*1/I15*60+J15)
+ if(mod(H15, P15+Q15) &gt; P15,
(P15*1/I15*60+J15),
mod(H15, P15+Q15)*1/I15*60)</f>
        <v>22.4</v>
      </c>
      <c r="N15" s="350">
        <f t="shared" ref="N15:N18" si="35">K15-(O15*1/I15*60)</f>
        <v>0.25</v>
      </c>
      <c r="O15" s="148">
        <f t="shared" ref="O15:O18" si="36">CEILING(K15*I15*1/60,1)-1</f>
        <v>3</v>
      </c>
      <c r="P15" s="148">
        <f t="shared" ref="P15:P18" si="37">O15+1</f>
        <v>4</v>
      </c>
      <c r="Q15" s="148">
        <v>6.0</v>
      </c>
      <c r="R15" s="73">
        <f>$R$3</f>
        <v>400</v>
      </c>
      <c r="S15" s="351">
        <f>250*6</f>
        <v>1500</v>
      </c>
    </row>
    <row r="16">
      <c r="A16" s="352"/>
      <c r="B16" s="93">
        <v>1.0</v>
      </c>
      <c r="C16" s="93">
        <f t="shared" si="29"/>
        <v>934.9593496</v>
      </c>
      <c r="D16" s="353">
        <f t="shared" si="30"/>
        <v>989.010989</v>
      </c>
      <c r="E16" s="349"/>
      <c r="F16" s="354">
        <f t="shared" si="31"/>
        <v>20700</v>
      </c>
      <c r="G16" s="93">
        <f t="shared" si="32"/>
        <v>21600</v>
      </c>
      <c r="H16" s="93">
        <f t="shared" ref="H16:H20" si="38">$H$15</f>
        <v>68</v>
      </c>
      <c r="I16" s="93">
        <f t="shared" ref="I16:I18" si="39">$I$15</f>
        <v>127.6595745</v>
      </c>
      <c r="J16" s="111">
        <f t="shared" ref="J16:J18" si="40">$J$15</f>
        <v>1.32</v>
      </c>
      <c r="K16" s="111">
        <v>1.14</v>
      </c>
      <c r="L16" s="111">
        <f t="shared" si="33"/>
        <v>20.34</v>
      </c>
      <c r="M16" s="111">
        <f t="shared" si="34"/>
        <v>21.84</v>
      </c>
      <c r="N16" s="111">
        <f t="shared" si="35"/>
        <v>0.2</v>
      </c>
      <c r="O16" s="93">
        <f t="shared" si="36"/>
        <v>2</v>
      </c>
      <c r="P16" s="93">
        <f t="shared" si="37"/>
        <v>3</v>
      </c>
      <c r="Q16" s="93">
        <f t="shared" ref="Q16:Q18" si="41">$Q$15</f>
        <v>6</v>
      </c>
      <c r="R16" s="93">
        <f t="shared" ref="R16:R18" si="42">$R$15</f>
        <v>400</v>
      </c>
      <c r="S16" s="355">
        <f>S15</f>
        <v>1500</v>
      </c>
    </row>
    <row r="17">
      <c r="A17" s="352"/>
      <c r="B17" s="93">
        <v>2.0</v>
      </c>
      <c r="C17" s="93">
        <f t="shared" si="29"/>
        <v>931.372549</v>
      </c>
      <c r="D17" s="353">
        <f t="shared" si="30"/>
        <v>1017.699115</v>
      </c>
      <c r="E17" s="349"/>
      <c r="F17" s="354">
        <f t="shared" si="31"/>
        <v>19000</v>
      </c>
      <c r="G17" s="93">
        <f t="shared" si="32"/>
        <v>20700</v>
      </c>
      <c r="H17" s="93">
        <f t="shared" si="38"/>
        <v>68</v>
      </c>
      <c r="I17" s="93">
        <f t="shared" si="39"/>
        <v>127.6595745</v>
      </c>
      <c r="J17" s="111">
        <f t="shared" si="40"/>
        <v>1.32</v>
      </c>
      <c r="K17" s="111">
        <v>0.72</v>
      </c>
      <c r="L17" s="111">
        <f t="shared" si="33"/>
        <v>17.9</v>
      </c>
      <c r="M17" s="111">
        <f t="shared" si="34"/>
        <v>20.34</v>
      </c>
      <c r="N17" s="111">
        <f t="shared" si="35"/>
        <v>0.25</v>
      </c>
      <c r="O17" s="93">
        <f t="shared" si="36"/>
        <v>1</v>
      </c>
      <c r="P17" s="93">
        <f t="shared" si="37"/>
        <v>2</v>
      </c>
      <c r="Q17" s="93">
        <f t="shared" si="41"/>
        <v>6</v>
      </c>
      <c r="R17" s="93">
        <f t="shared" si="42"/>
        <v>400</v>
      </c>
      <c r="S17" s="355">
        <f>S15</f>
        <v>1500</v>
      </c>
    </row>
    <row r="18">
      <c r="A18" s="352"/>
      <c r="B18" s="93">
        <v>3.0</v>
      </c>
      <c r="C18" s="161">
        <f t="shared" si="29"/>
        <v>1010.638298</v>
      </c>
      <c r="D18" s="356">
        <f t="shared" si="30"/>
        <v>1017.699115</v>
      </c>
      <c r="E18" s="349"/>
      <c r="F18" s="357">
        <f t="shared" si="31"/>
        <v>19000</v>
      </c>
      <c r="G18" s="161">
        <f t="shared" si="32"/>
        <v>20700</v>
      </c>
      <c r="H18" s="93">
        <f t="shared" si="38"/>
        <v>68</v>
      </c>
      <c r="I18" s="93">
        <f t="shared" si="39"/>
        <v>127.6595745</v>
      </c>
      <c r="J18" s="111">
        <f t="shared" si="40"/>
        <v>1.32</v>
      </c>
      <c r="K18" s="358">
        <v>0.56</v>
      </c>
      <c r="L18" s="358">
        <f t="shared" si="33"/>
        <v>17.9</v>
      </c>
      <c r="M18" s="358">
        <f t="shared" si="34"/>
        <v>20.34</v>
      </c>
      <c r="N18" s="358">
        <f t="shared" si="35"/>
        <v>0.09</v>
      </c>
      <c r="O18" s="161">
        <f t="shared" si="36"/>
        <v>1</v>
      </c>
      <c r="P18" s="161">
        <f t="shared" si="37"/>
        <v>2</v>
      </c>
      <c r="Q18" s="93">
        <f t="shared" si="41"/>
        <v>6</v>
      </c>
      <c r="R18" s="161">
        <f t="shared" si="42"/>
        <v>400</v>
      </c>
      <c r="S18" s="359">
        <f>S15</f>
        <v>1500</v>
      </c>
    </row>
    <row r="19">
      <c r="A19" s="352" t="s">
        <v>534</v>
      </c>
      <c r="B19" s="84">
        <v>0.0</v>
      </c>
      <c r="C19" s="161">
        <f>(R19+S19)/(0.5+0.33+0.48)</f>
        <v>548.8549618</v>
      </c>
      <c r="D19" s="356">
        <f>(R19+S19)/(0.5+0.33+0.48)</f>
        <v>548.8549618</v>
      </c>
      <c r="E19" s="349"/>
      <c r="F19" s="357">
        <f>floor(H19/(1+Q19),1)*(R19+S19)+mod(H19, (1+Q19))*R19</f>
        <v>24446</v>
      </c>
      <c r="G19" s="161">
        <f>floor(H19/(1+Q19),1)*(R19+S19)+mod(H19, (1+Q19))*R19</f>
        <v>24446</v>
      </c>
      <c r="H19" s="93">
        <f t="shared" si="38"/>
        <v>68</v>
      </c>
      <c r="I19" s="214">
        <f>(2/(0.05+0.33+0.48))*60</f>
        <v>139.5348837</v>
      </c>
      <c r="J19" s="145">
        <v>0.48</v>
      </c>
      <c r="K19" s="145" t="s">
        <v>60</v>
      </c>
      <c r="L19" s="145">
        <f>H19*1/I19*60</f>
        <v>29.24</v>
      </c>
      <c r="M19" s="145">
        <f>H19*1/I19*60</f>
        <v>29.24</v>
      </c>
      <c r="N19" s="145" t="s">
        <v>60</v>
      </c>
      <c r="O19" s="145" t="s">
        <v>60</v>
      </c>
      <c r="P19" s="145" t="s">
        <v>60</v>
      </c>
      <c r="Q19" s="144">
        <v>1.0</v>
      </c>
      <c r="R19" s="144">
        <f>R7</f>
        <v>333</v>
      </c>
      <c r="S19" s="279">
        <v>386.0</v>
      </c>
    </row>
    <row r="20">
      <c r="A20" s="360" t="s">
        <v>535</v>
      </c>
      <c r="B20" s="144" t="s">
        <v>60</v>
      </c>
      <c r="C20" s="157">
        <f>R20*I20*1/60</f>
        <v>851.0638298</v>
      </c>
      <c r="D20" s="361">
        <f>R20*I20*1/60</f>
        <v>851.0638298</v>
      </c>
      <c r="E20" s="349"/>
      <c r="F20" s="357">
        <f>H20*R20</f>
        <v>27200</v>
      </c>
      <c r="G20" s="161">
        <f>H20*R20</f>
        <v>27200</v>
      </c>
      <c r="H20" s="93">
        <f t="shared" si="38"/>
        <v>68</v>
      </c>
      <c r="I20" s="93">
        <f>$I$15</f>
        <v>127.6595745</v>
      </c>
      <c r="J20" s="358" t="s">
        <v>60</v>
      </c>
      <c r="K20" s="145" t="s">
        <v>60</v>
      </c>
      <c r="L20" s="145" t="s">
        <v>60</v>
      </c>
      <c r="M20" s="145" t="s">
        <v>60</v>
      </c>
      <c r="N20" s="145" t="s">
        <v>60</v>
      </c>
      <c r="O20" s="145" t="s">
        <v>60</v>
      </c>
      <c r="P20" s="145" t="s">
        <v>60</v>
      </c>
      <c r="Q20" s="161" t="s">
        <v>60</v>
      </c>
      <c r="R20" s="161">
        <f>$R$15</f>
        <v>400</v>
      </c>
      <c r="S20" s="279" t="s">
        <v>60</v>
      </c>
    </row>
    <row r="21">
      <c r="A21" s="362" t="s">
        <v>538</v>
      </c>
      <c r="B21" s="148">
        <v>0.0</v>
      </c>
      <c r="C21" s="148">
        <f t="shared" ref="C21:C24" si="43">(O21*R21 + S21)
/ (K21 + J21)</f>
        <v>938.6281588</v>
      </c>
      <c r="D21" s="348">
        <f t="shared" ref="D21:D24" si="44">(P21*R21 + S21)
/ (P21*1/I21*60 + J21)</f>
        <v>990.0990099</v>
      </c>
      <c r="E21" s="349"/>
      <c r="F21" s="321">
        <f t="shared" ref="F21:F24" si="45">floor(H21/(O21+Q21),1)*(O21*R21+S21)
+ if(mod(H21, O21+Q21) &gt; O21,
(O21*R21+S21),
mod(H21, O21+Q21)*R21)</f>
        <v>23400</v>
      </c>
      <c r="G21" s="148">
        <f t="shared" ref="G21:G24" si="46">floor(H21/(P21+Q21),1)*(P21*R21+S21)
+ if(mod(H21, P21+Q21) &gt; P21,
(P21*R21+S21),
mod(H21, P21+Q21)*R21)</f>
        <v>24000</v>
      </c>
      <c r="H21" s="148">
        <f>'Reserves Data (Reference)'!$D$116</f>
        <v>63</v>
      </c>
      <c r="I21" s="148">
        <f>(3)/((0.46+0.46+0.49)*1/60)</f>
        <v>127.6595745</v>
      </c>
      <c r="J21" s="350">
        <v>1.15</v>
      </c>
      <c r="K21" s="350">
        <v>1.62</v>
      </c>
      <c r="L21" s="350">
        <f t="shared" ref="L21:L24" si="47">floor(H21/(O21+Q21),1)*(O21*1/I21*60+J21)
+ if(mod(H21, O21+Q21) &gt; O21,
(O21*1/I21*60+J21),
mod(H21, O21+Q21)*1/I21*60)</f>
        <v>23.04</v>
      </c>
      <c r="M21" s="350">
        <f t="shared" ref="M21:M24" si="48">floor(H21/(P21+Q21),1)*(P21*1/I21*60+J21)
+ if(mod(H21, P21+Q21) &gt; P21,
(P21*1/I21*60+J21),
mod(H21, P21+Q21)*1/I21*60)</f>
        <v>24.24</v>
      </c>
      <c r="N21" s="350">
        <f t="shared" ref="N21:N24" si="49">K21-(O21*1/I21*60)</f>
        <v>0.21</v>
      </c>
      <c r="O21" s="148">
        <f t="shared" ref="O21:O24" si="50">CEILING(K21*I21*1/60,1)-1</f>
        <v>3</v>
      </c>
      <c r="P21" s="148">
        <f t="shared" ref="P21:P24" si="51">O21+1</f>
        <v>4</v>
      </c>
      <c r="Q21" s="73">
        <v>4.0</v>
      </c>
      <c r="R21" s="73">
        <f>$R$3</f>
        <v>400</v>
      </c>
      <c r="S21" s="195">
        <f>140*10</f>
        <v>1400</v>
      </c>
    </row>
    <row r="22">
      <c r="A22" s="352"/>
      <c r="B22" s="93">
        <v>1.0</v>
      </c>
      <c r="C22" s="93">
        <f t="shared" si="43"/>
        <v>1000</v>
      </c>
      <c r="D22" s="353">
        <f t="shared" si="44"/>
        <v>1015.625</v>
      </c>
      <c r="E22" s="349"/>
      <c r="F22" s="354">
        <f t="shared" si="45"/>
        <v>24200</v>
      </c>
      <c r="G22" s="93">
        <f t="shared" si="46"/>
        <v>23400</v>
      </c>
      <c r="H22" s="93">
        <f t="shared" ref="H22:H26" si="52">$H$21</f>
        <v>63</v>
      </c>
      <c r="I22" s="93">
        <f t="shared" ref="I22:I24" si="53">$I$21</f>
        <v>127.6595745</v>
      </c>
      <c r="J22" s="111">
        <f t="shared" ref="J22:J24" si="54">$J$21</f>
        <v>1.15</v>
      </c>
      <c r="K22" s="111">
        <v>1.05</v>
      </c>
      <c r="L22" s="111">
        <f t="shared" si="47"/>
        <v>22.99</v>
      </c>
      <c r="M22" s="111">
        <f t="shared" si="48"/>
        <v>23.04</v>
      </c>
      <c r="N22" s="111">
        <f t="shared" si="49"/>
        <v>0.11</v>
      </c>
      <c r="O22" s="93">
        <f t="shared" si="50"/>
        <v>2</v>
      </c>
      <c r="P22" s="93">
        <f t="shared" si="51"/>
        <v>3</v>
      </c>
      <c r="Q22" s="84">
        <f t="shared" ref="Q22:Q24" si="55">$Q$21</f>
        <v>4</v>
      </c>
      <c r="R22" s="93">
        <f t="shared" ref="R22:R24" si="56">$R$21</f>
        <v>400</v>
      </c>
      <c r="S22" s="206">
        <f>S21</f>
        <v>1400</v>
      </c>
    </row>
    <row r="23">
      <c r="A23" s="352"/>
      <c r="B23" s="93">
        <v>2.0</v>
      </c>
      <c r="C23" s="93">
        <f t="shared" si="43"/>
        <v>913.7055838</v>
      </c>
      <c r="D23" s="353">
        <f t="shared" si="44"/>
        <v>1052.631579</v>
      </c>
      <c r="E23" s="349"/>
      <c r="F23" s="354">
        <f t="shared" si="45"/>
        <v>23400</v>
      </c>
      <c r="G23" s="93">
        <f t="shared" si="46"/>
        <v>24200</v>
      </c>
      <c r="H23" s="93">
        <f t="shared" si="52"/>
        <v>63</v>
      </c>
      <c r="I23" s="93">
        <f t="shared" si="53"/>
        <v>127.6595745</v>
      </c>
      <c r="J23" s="111">
        <f t="shared" si="54"/>
        <v>1.15</v>
      </c>
      <c r="K23" s="111">
        <v>0.82</v>
      </c>
      <c r="L23" s="111">
        <f t="shared" si="47"/>
        <v>21.06</v>
      </c>
      <c r="M23" s="111">
        <f t="shared" si="48"/>
        <v>22.99</v>
      </c>
      <c r="N23" s="111">
        <f t="shared" si="49"/>
        <v>0.35</v>
      </c>
      <c r="O23" s="93">
        <f t="shared" si="50"/>
        <v>1</v>
      </c>
      <c r="P23" s="93">
        <f t="shared" si="51"/>
        <v>2</v>
      </c>
      <c r="Q23" s="84">
        <f t="shared" si="55"/>
        <v>4</v>
      </c>
      <c r="R23" s="93">
        <f t="shared" si="56"/>
        <v>400</v>
      </c>
      <c r="S23" s="206">
        <f>S21</f>
        <v>1400</v>
      </c>
    </row>
    <row r="24">
      <c r="A24" s="352"/>
      <c r="B24" s="93">
        <v>3.0</v>
      </c>
      <c r="C24" s="161">
        <f t="shared" si="43"/>
        <v>913.7055838</v>
      </c>
      <c r="D24" s="356">
        <f t="shared" si="44"/>
        <v>1052.631579</v>
      </c>
      <c r="E24" s="349"/>
      <c r="F24" s="357">
        <f t="shared" si="45"/>
        <v>23400</v>
      </c>
      <c r="G24" s="161">
        <f t="shared" si="46"/>
        <v>24200</v>
      </c>
      <c r="H24" s="93">
        <f t="shared" si="52"/>
        <v>63</v>
      </c>
      <c r="I24" s="93">
        <f t="shared" si="53"/>
        <v>127.6595745</v>
      </c>
      <c r="J24" s="111">
        <f t="shared" si="54"/>
        <v>1.15</v>
      </c>
      <c r="K24" s="358">
        <v>0.82</v>
      </c>
      <c r="L24" s="358">
        <f t="shared" si="47"/>
        <v>21.06</v>
      </c>
      <c r="M24" s="358">
        <f t="shared" si="48"/>
        <v>22.99</v>
      </c>
      <c r="N24" s="358">
        <f t="shared" si="49"/>
        <v>0.35</v>
      </c>
      <c r="O24" s="161">
        <f t="shared" si="50"/>
        <v>1</v>
      </c>
      <c r="P24" s="161">
        <f t="shared" si="51"/>
        <v>2</v>
      </c>
      <c r="Q24" s="84">
        <f t="shared" si="55"/>
        <v>4</v>
      </c>
      <c r="R24" s="161">
        <f t="shared" si="56"/>
        <v>400</v>
      </c>
      <c r="S24" s="279">
        <f>S21</f>
        <v>1400</v>
      </c>
    </row>
    <row r="25">
      <c r="A25" s="352" t="s">
        <v>534</v>
      </c>
      <c r="B25" s="84">
        <v>0.0</v>
      </c>
      <c r="C25" s="161">
        <f>(R25+S25)/(0.5+0.33+0.48)</f>
        <v>540.4580153</v>
      </c>
      <c r="D25" s="356">
        <f>(R25+S25)/(0.5+0.33+0.48)</f>
        <v>540.4580153</v>
      </c>
      <c r="E25" s="349"/>
      <c r="F25" s="357">
        <f>floor(H25/(1+Q25),1)*(R25+S25)+mod(H25, (1+Q25))*R25</f>
        <v>22281</v>
      </c>
      <c r="G25" s="161">
        <f>floor(H25/(1+Q25),1)*(R25+S25)+mod(H25, (1+Q25))*R25</f>
        <v>22281</v>
      </c>
      <c r="H25" s="93">
        <f t="shared" si="52"/>
        <v>63</v>
      </c>
      <c r="I25" s="214">
        <f>(2/(0.05+0.33+0.48))*60</f>
        <v>139.5348837</v>
      </c>
      <c r="J25" s="145">
        <v>0.48</v>
      </c>
      <c r="K25" s="145" t="s">
        <v>60</v>
      </c>
      <c r="L25" s="145">
        <f>H25*1/I25*60</f>
        <v>27.09</v>
      </c>
      <c r="M25" s="145">
        <f>H25*1/I25*60</f>
        <v>27.09</v>
      </c>
      <c r="N25" s="145" t="s">
        <v>60</v>
      </c>
      <c r="O25" s="145" t="s">
        <v>60</v>
      </c>
      <c r="P25" s="145" t="s">
        <v>60</v>
      </c>
      <c r="Q25" s="144">
        <v>1.0</v>
      </c>
      <c r="R25" s="144">
        <f>$R$7</f>
        <v>333</v>
      </c>
      <c r="S25" s="279">
        <f>$S$7</f>
        <v>375</v>
      </c>
    </row>
    <row r="26">
      <c r="A26" s="360" t="s">
        <v>535</v>
      </c>
      <c r="B26" s="144" t="s">
        <v>60</v>
      </c>
      <c r="C26" s="157">
        <f>R26*I26*1/60</f>
        <v>851.0638298</v>
      </c>
      <c r="D26" s="361">
        <f>R26*I26*1/60</f>
        <v>851.0638298</v>
      </c>
      <c r="E26" s="349"/>
      <c r="F26" s="357">
        <f>H26*R26</f>
        <v>25200</v>
      </c>
      <c r="G26" s="161">
        <f>H26*R26</f>
        <v>25200</v>
      </c>
      <c r="H26" s="93">
        <f t="shared" si="52"/>
        <v>63</v>
      </c>
      <c r="I26" s="93">
        <f>$I$21</f>
        <v>127.6595745</v>
      </c>
      <c r="J26" s="358" t="s">
        <v>60</v>
      </c>
      <c r="K26" s="145" t="s">
        <v>60</v>
      </c>
      <c r="L26" s="145" t="s">
        <v>60</v>
      </c>
      <c r="M26" s="145" t="s">
        <v>60</v>
      </c>
      <c r="N26" s="145" t="s">
        <v>60</v>
      </c>
      <c r="O26" s="145" t="s">
        <v>60</v>
      </c>
      <c r="P26" s="145" t="s">
        <v>60</v>
      </c>
      <c r="Q26" s="161" t="s">
        <v>60</v>
      </c>
      <c r="R26" s="161">
        <f>$R$21</f>
        <v>400</v>
      </c>
      <c r="S26" s="279" t="s">
        <v>60</v>
      </c>
    </row>
    <row r="27">
      <c r="A27" s="362" t="s">
        <v>539</v>
      </c>
      <c r="B27" s="148">
        <v>0.0</v>
      </c>
      <c r="C27" s="148" t="str">
        <f t="shared" ref="C27:C30" si="57">(O27*R27 + S27)
/ (K27 + J27)</f>
        <v>#VALUE!</v>
      </c>
      <c r="D27" s="348" t="str">
        <f t="shared" ref="D27:D30" si="58">(P27*R27 + S27)
/ (P27*1/I27*60 + J27)</f>
        <v>#VALUE!</v>
      </c>
      <c r="E27" s="349"/>
      <c r="F27" s="321" t="str">
        <f t="shared" ref="F27:F30" si="59">floor(H27/(O27+Q27),1)*(O27*R27+S27)
+ if(mod(H27, O27+Q27) &gt; O27,
(O27*R27+S27),
mod(H27, O27+Q27)*R27)</f>
        <v>#VALUE!</v>
      </c>
      <c r="G27" s="148" t="str">
        <f t="shared" ref="G27:G30" si="60">floor(H27/(P27+Q27),1)*(P27*R27+S27)
+ if(mod(H27, P27+Q27) &gt; P27,
(P27*R27+S27),
mod(H27, P27+Q27)*R27)</f>
        <v>#VALUE!</v>
      </c>
      <c r="H27" s="148">
        <f>'Reserves Data (Reference)'!$D$118</f>
        <v>69</v>
      </c>
      <c r="I27" s="148">
        <f>(3)/((0.46+0.46+0.49)*1/60)</f>
        <v>127.6595745</v>
      </c>
      <c r="J27" s="74">
        <f>0.73+0.92</f>
        <v>1.65</v>
      </c>
      <c r="K27" s="363" t="s">
        <v>540</v>
      </c>
      <c r="L27" s="350" t="str">
        <f t="shared" ref="L27:L30" si="62">floor(H27/(O27+Q27),1)*(O27*1/I27*60+J27)
+ if(mod(H27, O27+Q27) &gt; O27,
(O27*1/I27*60+J27),
mod(H27, O27+Q27)*1/I27*60)</f>
        <v>#VALUE!</v>
      </c>
      <c r="M27" s="350" t="str">
        <f t="shared" ref="M27:M30" si="63">floor(H27/(P27+Q27),1)*(P27*1/I27*60+J27)
+ if(mod(H27, P27+Q27) &gt; P27,
(P27*1/I27*60+J27),
mod(H27, P27+Q27)*1/I27*60)</f>
        <v>#VALUE!</v>
      </c>
      <c r="N27" s="350" t="str">
        <f t="shared" ref="N27:N30" si="64">K27-(O27*1/I27*60)</f>
        <v>#VALUE!</v>
      </c>
      <c r="O27" s="148" t="str">
        <f t="shared" ref="O27:O30" si="65">CEILING(K27*I27*1/60,1)-1</f>
        <v>#VALUE!</v>
      </c>
      <c r="P27" s="148" t="str">
        <f t="shared" ref="P27:P30" si="66">O27+1</f>
        <v>#VALUE!</v>
      </c>
      <c r="Q27" s="73">
        <v>4.0</v>
      </c>
      <c r="R27" s="73" t="s">
        <v>540</v>
      </c>
      <c r="S27" s="195" t="s">
        <v>540</v>
      </c>
    </row>
    <row r="28">
      <c r="A28" s="352"/>
      <c r="B28" s="93">
        <v>1.0</v>
      </c>
      <c r="C28" s="93" t="str">
        <f t="shared" si="57"/>
        <v>#VALUE!</v>
      </c>
      <c r="D28" s="353" t="str">
        <f t="shared" si="58"/>
        <v>#VALUE!</v>
      </c>
      <c r="E28" s="349"/>
      <c r="F28" s="354" t="str">
        <f t="shared" si="59"/>
        <v>#VALUE!</v>
      </c>
      <c r="G28" s="93" t="str">
        <f t="shared" si="60"/>
        <v>#VALUE!</v>
      </c>
      <c r="H28" s="93">
        <f>H27</f>
        <v>69</v>
      </c>
      <c r="I28" s="93">
        <f t="shared" ref="I28:I30" si="68">$I$27</f>
        <v>127.6595745</v>
      </c>
      <c r="J28" s="364">
        <f t="shared" ref="J28:K28" si="61">J27</f>
        <v>1.65</v>
      </c>
      <c r="K28" s="365" t="str">
        <f t="shared" si="61"/>
        <v>???</v>
      </c>
      <c r="L28" s="111" t="str">
        <f t="shared" si="62"/>
        <v>#VALUE!</v>
      </c>
      <c r="M28" s="111" t="str">
        <f t="shared" si="63"/>
        <v>#VALUE!</v>
      </c>
      <c r="N28" s="111" t="str">
        <f t="shared" si="64"/>
        <v>#VALUE!</v>
      </c>
      <c r="O28" s="93" t="str">
        <f t="shared" si="65"/>
        <v>#VALUE!</v>
      </c>
      <c r="P28" s="93" t="str">
        <f t="shared" si="66"/>
        <v>#VALUE!</v>
      </c>
      <c r="Q28" s="84">
        <f t="shared" ref="Q28:S28" si="67">Q27</f>
        <v>4</v>
      </c>
      <c r="R28" s="93" t="str">
        <f t="shared" si="67"/>
        <v>???</v>
      </c>
      <c r="S28" s="355" t="str">
        <f t="shared" si="67"/>
        <v>???</v>
      </c>
    </row>
    <row r="29">
      <c r="A29" s="352"/>
      <c r="B29" s="93">
        <v>2.0</v>
      </c>
      <c r="C29" s="93" t="str">
        <f t="shared" si="57"/>
        <v>#VALUE!</v>
      </c>
      <c r="D29" s="353" t="str">
        <f t="shared" si="58"/>
        <v>#VALUE!</v>
      </c>
      <c r="E29" s="349"/>
      <c r="F29" s="354" t="str">
        <f t="shared" si="59"/>
        <v>#VALUE!</v>
      </c>
      <c r="G29" s="93" t="str">
        <f t="shared" si="60"/>
        <v>#VALUE!</v>
      </c>
      <c r="H29" s="93">
        <f>H27</f>
        <v>69</v>
      </c>
      <c r="I29" s="93">
        <f t="shared" si="68"/>
        <v>127.6595745</v>
      </c>
      <c r="J29" s="364">
        <f t="shared" ref="J29:K29" si="69">J27</f>
        <v>1.65</v>
      </c>
      <c r="K29" s="365" t="str">
        <f t="shared" si="69"/>
        <v>???</v>
      </c>
      <c r="L29" s="111" t="str">
        <f t="shared" si="62"/>
        <v>#VALUE!</v>
      </c>
      <c r="M29" s="111" t="str">
        <f t="shared" si="63"/>
        <v>#VALUE!</v>
      </c>
      <c r="N29" s="111" t="str">
        <f t="shared" si="64"/>
        <v>#VALUE!</v>
      </c>
      <c r="O29" s="93" t="str">
        <f t="shared" si="65"/>
        <v>#VALUE!</v>
      </c>
      <c r="P29" s="93" t="str">
        <f t="shared" si="66"/>
        <v>#VALUE!</v>
      </c>
      <c r="Q29" s="84">
        <f t="shared" ref="Q29:S29" si="70">Q27</f>
        <v>4</v>
      </c>
      <c r="R29" s="93" t="str">
        <f t="shared" si="70"/>
        <v>???</v>
      </c>
      <c r="S29" s="355" t="str">
        <f t="shared" si="70"/>
        <v>???</v>
      </c>
    </row>
    <row r="30">
      <c r="A30" s="352"/>
      <c r="B30" s="93">
        <v>3.0</v>
      </c>
      <c r="C30" s="161" t="str">
        <f t="shared" si="57"/>
        <v>#VALUE!</v>
      </c>
      <c r="D30" s="356" t="str">
        <f t="shared" si="58"/>
        <v>#VALUE!</v>
      </c>
      <c r="E30" s="349"/>
      <c r="F30" s="357" t="str">
        <f t="shared" si="59"/>
        <v>#VALUE!</v>
      </c>
      <c r="G30" s="161" t="str">
        <f t="shared" si="60"/>
        <v>#VALUE!</v>
      </c>
      <c r="H30" s="93">
        <f>H27</f>
        <v>69</v>
      </c>
      <c r="I30" s="93">
        <f t="shared" si="68"/>
        <v>127.6595745</v>
      </c>
      <c r="J30" s="364">
        <f t="shared" ref="J30:K30" si="71">J27</f>
        <v>1.65</v>
      </c>
      <c r="K30" s="366" t="str">
        <f t="shared" si="71"/>
        <v>???</v>
      </c>
      <c r="L30" s="358" t="str">
        <f t="shared" si="62"/>
        <v>#VALUE!</v>
      </c>
      <c r="M30" s="358" t="str">
        <f t="shared" si="63"/>
        <v>#VALUE!</v>
      </c>
      <c r="N30" s="358" t="str">
        <f t="shared" si="64"/>
        <v>#VALUE!</v>
      </c>
      <c r="O30" s="161" t="str">
        <f t="shared" si="65"/>
        <v>#VALUE!</v>
      </c>
      <c r="P30" s="161" t="str">
        <f t="shared" si="66"/>
        <v>#VALUE!</v>
      </c>
      <c r="Q30" s="84">
        <f t="shared" ref="Q30:S30" si="72">Q27</f>
        <v>4</v>
      </c>
      <c r="R30" s="161" t="str">
        <f t="shared" si="72"/>
        <v>???</v>
      </c>
      <c r="S30" s="359" t="str">
        <f t="shared" si="72"/>
        <v>???</v>
      </c>
    </row>
    <row r="31">
      <c r="A31" s="367" t="s">
        <v>534</v>
      </c>
      <c r="B31" s="214">
        <v>0.0</v>
      </c>
      <c r="C31" s="368" t="str">
        <f>(R31+S31)/(0.5+0.33+0.48)</f>
        <v>#VALUE!</v>
      </c>
      <c r="D31" s="369" t="str">
        <f>(R31+S31)/(0.5+0.33+0.48)</f>
        <v>#VALUE!</v>
      </c>
      <c r="E31" s="370"/>
      <c r="F31" s="371" t="str">
        <f>floor(H31/(1+Q31),1)*(R31+S31)+mod(H31, (1+Q31))*R31</f>
        <v>#VALUE!</v>
      </c>
      <c r="G31" s="372" t="str">
        <f>floor(H31/(1+Q31),1)*(R31+S31)+mod(H31, (1+Q31))*R31</f>
        <v>#VALUE!</v>
      </c>
      <c r="H31" s="93">
        <f>H27</f>
        <v>69</v>
      </c>
      <c r="I31" s="214">
        <f>(2/(0.05+0.33+0.48))*60</f>
        <v>139.5348837</v>
      </c>
      <c r="J31" s="215">
        <v>0.48</v>
      </c>
      <c r="K31" s="215" t="s">
        <v>60</v>
      </c>
      <c r="L31" s="215">
        <f>H31*1/I31*60</f>
        <v>29.67</v>
      </c>
      <c r="M31" s="215">
        <f>H31*1/I31*60</f>
        <v>29.67</v>
      </c>
      <c r="N31" s="215" t="s">
        <v>60</v>
      </c>
      <c r="O31" s="215" t="s">
        <v>60</v>
      </c>
      <c r="P31" s="215" t="s">
        <v>60</v>
      </c>
      <c r="Q31" s="214">
        <v>1.0</v>
      </c>
      <c r="R31" s="213" t="s">
        <v>540</v>
      </c>
      <c r="S31" s="217" t="s">
        <v>540</v>
      </c>
    </row>
    <row r="32">
      <c r="A32" s="360" t="s">
        <v>535</v>
      </c>
      <c r="B32" s="144" t="s">
        <v>60</v>
      </c>
      <c r="C32" s="157" t="str">
        <f>R32*I32*1/60</f>
        <v>#VALUE!</v>
      </c>
      <c r="D32" s="361" t="str">
        <f>R32*I32*1/60</f>
        <v>#VALUE!</v>
      </c>
      <c r="E32" s="349"/>
      <c r="F32" s="357" t="str">
        <f>H32*R32</f>
        <v>#VALUE!</v>
      </c>
      <c r="G32" s="161" t="str">
        <f>H32*R32</f>
        <v>#VALUE!</v>
      </c>
      <c r="H32" s="93">
        <f>H27</f>
        <v>69</v>
      </c>
      <c r="I32" s="93">
        <f>$I$27</f>
        <v>127.6595745</v>
      </c>
      <c r="J32" s="358" t="s">
        <v>60</v>
      </c>
      <c r="K32" s="145" t="s">
        <v>60</v>
      </c>
      <c r="L32" s="145" t="s">
        <v>60</v>
      </c>
      <c r="M32" s="145" t="s">
        <v>60</v>
      </c>
      <c r="N32" s="145" t="s">
        <v>60</v>
      </c>
      <c r="O32" s="145" t="s">
        <v>60</v>
      </c>
      <c r="P32" s="145" t="s">
        <v>60</v>
      </c>
      <c r="Q32" s="161" t="s">
        <v>60</v>
      </c>
      <c r="R32" s="161" t="str">
        <f>R27</f>
        <v>???</v>
      </c>
      <c r="S32" s="279" t="s">
        <v>60</v>
      </c>
    </row>
    <row r="33">
      <c r="A33" s="362" t="s">
        <v>541</v>
      </c>
      <c r="B33" s="148">
        <v>0.0</v>
      </c>
      <c r="C33" s="148">
        <f t="shared" ref="C33:C36" si="73">(O33*R33 + S33)
/ (K33 + J33)</f>
        <v>700.7168459</v>
      </c>
      <c r="D33" s="348">
        <f t="shared" ref="D33:D36" si="74">(P33*R33 + S33)
/ (P33*1/I33*60 + J33)</f>
        <v>778.4313725</v>
      </c>
      <c r="E33" s="349"/>
      <c r="F33" s="321">
        <f t="shared" ref="F33:F36" si="75">floor(H33/(O33+Q33),1)*(O33*R33+S33)
+ if(mod(H33, O33+Q33) &gt; O33,
(O33*R33+S33),
mod(H33, O33+Q33)*R33)</f>
        <v>23460</v>
      </c>
      <c r="G33" s="148">
        <f t="shared" ref="G33:G36" si="76">floor(H33/(P33+Q33),1)*(P33*R33+S33)
+ if(mod(H33, P33+Q33) &gt; P33,
(P33*R33+S33),
mod(H33, P33+Q33)*R33)</f>
        <v>23820</v>
      </c>
      <c r="H33" s="148">
        <f>'Reserves Data (Reference)'!$D$118</f>
        <v>69</v>
      </c>
      <c r="I33" s="148">
        <f>(3)/((0.46+0.46+0.49)*1/60)</f>
        <v>127.6595745</v>
      </c>
      <c r="J33" s="74">
        <f>0.73+0.92</f>
        <v>1.65</v>
      </c>
      <c r="K33" s="74">
        <v>1.14</v>
      </c>
      <c r="L33" s="350">
        <f t="shared" ref="L33:L36" si="77">floor(H33/(O33+Q33),1)*(O33*1/I33*60+J33)
+ if(mod(H33, O33+Q33) &gt; O33,
(O33*1/I33*60+J33),
mod(H33, O33+Q33)*1/I33*60)</f>
        <v>31.08</v>
      </c>
      <c r="M33" s="350">
        <f t="shared" ref="M33:M36" si="78">floor(H33/(P33+Q33),1)*(P33*1/I33*60+J33)
+ if(mod(H33, P33+Q33) &gt; P33,
(P33*1/I33*60+J33),
mod(H33, P33+Q33)*1/I33*60)</f>
        <v>30.6</v>
      </c>
      <c r="N33" s="350">
        <f t="shared" ref="N33:N36" si="79">K33-(O33*1/I33*60)</f>
        <v>0.2</v>
      </c>
      <c r="O33" s="148">
        <f t="shared" ref="O33:O36" si="80">CEILING(K33*I33*1/60,1)-1</f>
        <v>2</v>
      </c>
      <c r="P33" s="148">
        <f t="shared" ref="P33:P36" si="81">O33+1</f>
        <v>3</v>
      </c>
      <c r="Q33" s="73">
        <v>4.0</v>
      </c>
      <c r="R33" s="73">
        <v>427.0</v>
      </c>
      <c r="S33" s="195">
        <f>603+498</f>
        <v>1101</v>
      </c>
    </row>
    <row r="34">
      <c r="A34" s="373"/>
      <c r="B34" s="157">
        <v>1.0</v>
      </c>
      <c r="C34" s="157">
        <f t="shared" si="73"/>
        <v>661.4718615</v>
      </c>
      <c r="D34" s="361">
        <f t="shared" si="74"/>
        <v>754.8262548</v>
      </c>
      <c r="E34" s="349"/>
      <c r="F34" s="374">
        <f t="shared" si="75"/>
        <v>21392</v>
      </c>
      <c r="G34" s="157">
        <f t="shared" si="76"/>
        <v>23460</v>
      </c>
      <c r="H34" s="375">
        <f>H33</f>
        <v>69</v>
      </c>
      <c r="I34" s="93">
        <f t="shared" ref="I34:I36" si="83">$I$27</f>
        <v>127.6595745</v>
      </c>
      <c r="J34" s="364">
        <f>J33</f>
        <v>1.65</v>
      </c>
      <c r="K34" s="158">
        <v>0.66</v>
      </c>
      <c r="L34" s="364">
        <f t="shared" si="77"/>
        <v>29.68</v>
      </c>
      <c r="M34" s="364">
        <f t="shared" si="78"/>
        <v>31.08</v>
      </c>
      <c r="N34" s="364">
        <f t="shared" si="79"/>
        <v>0.19</v>
      </c>
      <c r="O34" s="157">
        <f t="shared" si="80"/>
        <v>1</v>
      </c>
      <c r="P34" s="157">
        <f t="shared" si="81"/>
        <v>2</v>
      </c>
      <c r="Q34" s="157">
        <f t="shared" ref="Q34:S34" si="82">Q33</f>
        <v>4</v>
      </c>
      <c r="R34" s="157">
        <f t="shared" si="82"/>
        <v>427</v>
      </c>
      <c r="S34" s="276">
        <f t="shared" si="82"/>
        <v>1101</v>
      </c>
    </row>
    <row r="35">
      <c r="A35" s="373"/>
      <c r="B35" s="157">
        <v>2.0</v>
      </c>
      <c r="C35" s="157">
        <f t="shared" si="73"/>
        <v>582.5396825</v>
      </c>
      <c r="D35" s="361">
        <f t="shared" si="74"/>
        <v>720.754717</v>
      </c>
      <c r="E35" s="349"/>
      <c r="F35" s="374">
        <f t="shared" si="75"/>
        <v>19818</v>
      </c>
      <c r="G35" s="157">
        <f t="shared" si="76"/>
        <v>21392</v>
      </c>
      <c r="H35" s="375">
        <f>H33</f>
        <v>69</v>
      </c>
      <c r="I35" s="93">
        <f t="shared" si="83"/>
        <v>127.6595745</v>
      </c>
      <c r="J35" s="364">
        <f>J33</f>
        <v>1.65</v>
      </c>
      <c r="K35" s="158">
        <v>0.24</v>
      </c>
      <c r="L35" s="364">
        <f t="shared" si="77"/>
        <v>29.7</v>
      </c>
      <c r="M35" s="364">
        <f t="shared" si="78"/>
        <v>29.68</v>
      </c>
      <c r="N35" s="364">
        <f t="shared" si="79"/>
        <v>0.24</v>
      </c>
      <c r="O35" s="157">
        <f t="shared" si="80"/>
        <v>0</v>
      </c>
      <c r="P35" s="157">
        <f t="shared" si="81"/>
        <v>1</v>
      </c>
      <c r="Q35" s="157">
        <f t="shared" ref="Q35:S35" si="84">Q33</f>
        <v>4</v>
      </c>
      <c r="R35" s="157">
        <f t="shared" si="84"/>
        <v>427</v>
      </c>
      <c r="S35" s="276">
        <f t="shared" si="84"/>
        <v>1101</v>
      </c>
    </row>
    <row r="36">
      <c r="A36" s="373"/>
      <c r="B36" s="157">
        <v>3.0</v>
      </c>
      <c r="C36" s="157">
        <f t="shared" si="73"/>
        <v>625.5681818</v>
      </c>
      <c r="D36" s="361">
        <f t="shared" si="74"/>
        <v>720.754717</v>
      </c>
      <c r="E36" s="349"/>
      <c r="F36" s="374">
        <f t="shared" si="75"/>
        <v>19818</v>
      </c>
      <c r="G36" s="157">
        <f t="shared" si="76"/>
        <v>21392</v>
      </c>
      <c r="H36" s="375">
        <f>H33</f>
        <v>69</v>
      </c>
      <c r="I36" s="93">
        <f t="shared" si="83"/>
        <v>127.6595745</v>
      </c>
      <c r="J36" s="364">
        <f>J33</f>
        <v>1.65</v>
      </c>
      <c r="K36" s="158">
        <v>0.11</v>
      </c>
      <c r="L36" s="364">
        <f t="shared" si="77"/>
        <v>29.7</v>
      </c>
      <c r="M36" s="364">
        <f t="shared" si="78"/>
        <v>29.68</v>
      </c>
      <c r="N36" s="364">
        <f t="shared" si="79"/>
        <v>0.11</v>
      </c>
      <c r="O36" s="157">
        <f t="shared" si="80"/>
        <v>0</v>
      </c>
      <c r="P36" s="157">
        <f t="shared" si="81"/>
        <v>1</v>
      </c>
      <c r="Q36" s="157">
        <f t="shared" ref="Q36:S36" si="85">Q33</f>
        <v>4</v>
      </c>
      <c r="R36" s="157">
        <f t="shared" si="85"/>
        <v>427</v>
      </c>
      <c r="S36" s="276">
        <f t="shared" si="85"/>
        <v>1101</v>
      </c>
    </row>
    <row r="37">
      <c r="A37" s="367" t="s">
        <v>534</v>
      </c>
      <c r="B37" s="157">
        <v>0.0</v>
      </c>
      <c r="C37" s="157">
        <f>(R37+S37)/(0.5+0.33+0.48)</f>
        <v>577.8625954</v>
      </c>
      <c r="D37" s="361">
        <f>(R37+S37)/(0.5+0.33+0.48)</f>
        <v>577.8625954</v>
      </c>
      <c r="E37" s="349"/>
      <c r="F37" s="374">
        <f>floor(H37/(1+Q37),1)*(R37+S37)+mod(H37, (1+Q37))*R37</f>
        <v>26094</v>
      </c>
      <c r="G37" s="157">
        <f>floor(H37/(1+Q37),1)*(R37+S37)+mod(H37, (1+Q37))*R37</f>
        <v>26094</v>
      </c>
      <c r="H37" s="375">
        <f>H33</f>
        <v>69</v>
      </c>
      <c r="I37" s="214">
        <f>(2/(0.05+0.33+0.48))*60</f>
        <v>139.5348837</v>
      </c>
      <c r="J37" s="215">
        <v>0.48</v>
      </c>
      <c r="K37" s="215" t="s">
        <v>60</v>
      </c>
      <c r="L37" s="364">
        <f>H37*1/I37*60</f>
        <v>29.67</v>
      </c>
      <c r="M37" s="364">
        <f>H37*1/I37*60</f>
        <v>29.67</v>
      </c>
      <c r="N37" s="364" t="s">
        <v>60</v>
      </c>
      <c r="O37" s="157" t="s">
        <v>60</v>
      </c>
      <c r="P37" s="157" t="s">
        <v>60</v>
      </c>
      <c r="Q37" s="157">
        <v>1.0</v>
      </c>
      <c r="R37" s="177">
        <v>356.0</v>
      </c>
      <c r="S37" s="276">
        <v>401.0</v>
      </c>
    </row>
    <row r="38">
      <c r="A38" s="360" t="s">
        <v>535</v>
      </c>
      <c r="B38" s="177" t="s">
        <v>60</v>
      </c>
      <c r="C38" s="157">
        <f>R38*I38*1/60</f>
        <v>908.5106383</v>
      </c>
      <c r="D38" s="361">
        <f>R38*I38*1/60</f>
        <v>908.5106383</v>
      </c>
      <c r="E38" s="349"/>
      <c r="F38" s="374">
        <f>H38*R38</f>
        <v>29463</v>
      </c>
      <c r="G38" s="157">
        <f>H38*R38</f>
        <v>29463</v>
      </c>
      <c r="H38" s="375">
        <f>H33</f>
        <v>69</v>
      </c>
      <c r="I38" s="93">
        <f>$I$27</f>
        <v>127.6595745</v>
      </c>
      <c r="J38" s="358" t="s">
        <v>60</v>
      </c>
      <c r="K38" s="145" t="s">
        <v>60</v>
      </c>
      <c r="L38" s="364" t="s">
        <v>60</v>
      </c>
      <c r="M38" s="364" t="s">
        <v>60</v>
      </c>
      <c r="N38" s="364" t="s">
        <v>60</v>
      </c>
      <c r="O38" s="157" t="s">
        <v>60</v>
      </c>
      <c r="P38" s="157" t="s">
        <v>60</v>
      </c>
      <c r="Q38" s="157" t="s">
        <v>60</v>
      </c>
      <c r="R38" s="157">
        <f>R33</f>
        <v>427</v>
      </c>
      <c r="S38" s="276" t="s">
        <v>60</v>
      </c>
    </row>
    <row r="39">
      <c r="A39" s="347" t="s">
        <v>83</v>
      </c>
      <c r="B39" s="148">
        <v>0.0</v>
      </c>
      <c r="C39" s="148">
        <f t="shared" ref="C39:C42" si="86">(O39*R39 + S39)
/ (K39 + J39)</f>
        <v>993.4782609</v>
      </c>
      <c r="D39" s="348">
        <f t="shared" ref="D39:D42" si="87">(P39*R39 + S39)
/ (P39*1/I39*60 + J39)</f>
        <v>998.3356449</v>
      </c>
      <c r="E39" s="349"/>
      <c r="F39" s="321">
        <f t="shared" ref="F39:F42" si="88">floor(H39/(O39+Q39),1)*(O39*R39+S39)
+ if(mod(H39, O39+Q39) &gt; O39,
(O39*R39+S39),
mod(H39, O39+Q39)*R39)</f>
        <v>35189</v>
      </c>
      <c r="G39" s="148">
        <f t="shared" ref="G39:G42" si="89">floor(H39/(P39+Q39),1)*(P39*R39+S39)
+ if(mod(H39, P39+Q39) &gt; P39,
(P39*R39+S39),
mod(H39, P39+Q39)*R39)</f>
        <v>34391</v>
      </c>
      <c r="H39" s="148">
        <f>'Reserves Data (Reference)'!$D$119</f>
        <v>86</v>
      </c>
      <c r="I39" s="148">
        <f>(4)/((0.43+0.49+0.43+0.42)*1/60)</f>
        <v>135.5932203</v>
      </c>
      <c r="J39" s="350">
        <v>0.95</v>
      </c>
      <c r="K39" s="350">
        <v>2.27</v>
      </c>
      <c r="L39" s="350">
        <f t="shared" ref="L39:L42" si="90">floor(H39/(O39+Q39),1)*(O39*1/I39*60+J39)
+ if(mod(H39, O39+Q39) &gt; O39,
(O39*1/I39*60+J39),
mod(H39, O39+Q39)*1/I39*60)</f>
        <v>34.7875</v>
      </c>
      <c r="M39" s="350">
        <f t="shared" ref="M39:M42" si="91">floor(H39/(P39+Q39),1)*(P39*1/I39*60+J39)
+ if(mod(H39, P39+Q39) &gt; P39,
(P39*1/I39*60+J39),
mod(H39, P39+Q39)*1/I39*60)</f>
        <v>34.6575</v>
      </c>
      <c r="N39" s="350">
        <f t="shared" ref="N39:N42" si="92">K39-(O39*1/I39*60)</f>
        <v>0.0575</v>
      </c>
      <c r="O39" s="148">
        <f t="shared" ref="O39:O42" si="93">CEILING(K39*I39*1/60,1)-1</f>
        <v>5</v>
      </c>
      <c r="P39" s="148">
        <f t="shared" ref="P39:P42" si="94">O39+1</f>
        <v>6</v>
      </c>
      <c r="Q39" s="148">
        <v>3.0</v>
      </c>
      <c r="R39" s="148">
        <f>$R$3</f>
        <v>400</v>
      </c>
      <c r="S39" s="195">
        <v>1199.0</v>
      </c>
    </row>
    <row r="40">
      <c r="A40" s="376"/>
      <c r="B40" s="93">
        <v>1.0</v>
      </c>
      <c r="C40" s="93">
        <f t="shared" si="86"/>
        <v>1021.532847</v>
      </c>
      <c r="D40" s="353">
        <f t="shared" si="87"/>
        <v>1011.541502</v>
      </c>
      <c r="E40" s="349"/>
      <c r="F40" s="354">
        <f t="shared" si="88"/>
        <v>34388</v>
      </c>
      <c r="G40" s="93">
        <f t="shared" si="89"/>
        <v>35189</v>
      </c>
      <c r="H40" s="93">
        <f t="shared" ref="H40:H44" si="95">$H$39</f>
        <v>86</v>
      </c>
      <c r="I40" s="93">
        <f t="shared" ref="I40:I42" si="96">$I$39</f>
        <v>135.5932203</v>
      </c>
      <c r="J40" s="111">
        <f t="shared" ref="J40:J42" si="97">$J$39</f>
        <v>0.95</v>
      </c>
      <c r="K40" s="111">
        <v>1.79</v>
      </c>
      <c r="L40" s="111">
        <f t="shared" si="90"/>
        <v>33.525</v>
      </c>
      <c r="M40" s="111">
        <f t="shared" si="91"/>
        <v>34.7875</v>
      </c>
      <c r="N40" s="111">
        <f t="shared" si="92"/>
        <v>0.02</v>
      </c>
      <c r="O40" s="93">
        <f t="shared" si="93"/>
        <v>4</v>
      </c>
      <c r="P40" s="93">
        <f t="shared" si="94"/>
        <v>5</v>
      </c>
      <c r="Q40" s="93">
        <f t="shared" ref="Q40:Q42" si="98">$Q$39</f>
        <v>3</v>
      </c>
      <c r="R40" s="93">
        <f t="shared" ref="R40:R42" si="99">$R$39</f>
        <v>400</v>
      </c>
      <c r="S40" s="355">
        <f>S39</f>
        <v>1199</v>
      </c>
    </row>
    <row r="41">
      <c r="A41" s="376"/>
      <c r="B41" s="93">
        <v>2.0</v>
      </c>
      <c r="C41" s="93">
        <f t="shared" si="86"/>
        <v>1038.528139</v>
      </c>
      <c r="D41" s="353">
        <f t="shared" si="87"/>
        <v>1029.044118</v>
      </c>
      <c r="E41" s="349"/>
      <c r="F41" s="354">
        <f t="shared" si="88"/>
        <v>34386</v>
      </c>
      <c r="G41" s="93">
        <f t="shared" si="89"/>
        <v>34388</v>
      </c>
      <c r="H41" s="93">
        <f t="shared" si="95"/>
        <v>86</v>
      </c>
      <c r="I41" s="93">
        <f t="shared" si="96"/>
        <v>135.5932203</v>
      </c>
      <c r="J41" s="111">
        <f t="shared" si="97"/>
        <v>0.95</v>
      </c>
      <c r="K41" s="111">
        <v>1.36</v>
      </c>
      <c r="L41" s="111">
        <f t="shared" si="90"/>
        <v>32.77</v>
      </c>
      <c r="M41" s="111">
        <f t="shared" si="91"/>
        <v>33.525</v>
      </c>
      <c r="N41" s="111">
        <f t="shared" si="92"/>
        <v>0.0325</v>
      </c>
      <c r="O41" s="93">
        <f t="shared" si="93"/>
        <v>3</v>
      </c>
      <c r="P41" s="93">
        <f t="shared" si="94"/>
        <v>4</v>
      </c>
      <c r="Q41" s="93">
        <f t="shared" si="98"/>
        <v>3</v>
      </c>
      <c r="R41" s="93">
        <f t="shared" si="99"/>
        <v>400</v>
      </c>
      <c r="S41" s="355">
        <f>S39</f>
        <v>1199</v>
      </c>
    </row>
    <row r="42">
      <c r="A42" s="376"/>
      <c r="B42" s="93">
        <v>3.0</v>
      </c>
      <c r="C42" s="161">
        <f t="shared" si="86"/>
        <v>925.462963</v>
      </c>
      <c r="D42" s="356">
        <f t="shared" si="87"/>
        <v>1053.347969</v>
      </c>
      <c r="E42" s="349"/>
      <c r="F42" s="357">
        <f t="shared" si="88"/>
        <v>34383</v>
      </c>
      <c r="G42" s="161">
        <f t="shared" si="89"/>
        <v>34386</v>
      </c>
      <c r="H42" s="93">
        <f t="shared" si="95"/>
        <v>86</v>
      </c>
      <c r="I42" s="93">
        <f t="shared" si="96"/>
        <v>135.5932203</v>
      </c>
      <c r="J42" s="111">
        <f t="shared" si="97"/>
        <v>0.95</v>
      </c>
      <c r="K42" s="358">
        <v>1.21</v>
      </c>
      <c r="L42" s="358">
        <f t="shared" si="90"/>
        <v>31.6375</v>
      </c>
      <c r="M42" s="358">
        <f t="shared" si="91"/>
        <v>32.77</v>
      </c>
      <c r="N42" s="358">
        <f t="shared" si="92"/>
        <v>0.325</v>
      </c>
      <c r="O42" s="161">
        <f t="shared" si="93"/>
        <v>2</v>
      </c>
      <c r="P42" s="161">
        <f t="shared" si="94"/>
        <v>3</v>
      </c>
      <c r="Q42" s="93">
        <f t="shared" si="98"/>
        <v>3</v>
      </c>
      <c r="R42" s="161">
        <f t="shared" si="99"/>
        <v>400</v>
      </c>
      <c r="S42" s="359">
        <f>S39</f>
        <v>1199</v>
      </c>
    </row>
    <row r="43">
      <c r="A43" s="367" t="s">
        <v>534</v>
      </c>
      <c r="B43" s="214">
        <v>0.0</v>
      </c>
      <c r="C43" s="368">
        <f>(R43+S43)/(0.5+0.46+0.49)</f>
        <v>715.1724138</v>
      </c>
      <c r="D43" s="369">
        <f>(R43+S43)/(0.5+0.46+0.49)</f>
        <v>715.1724138</v>
      </c>
      <c r="E43" s="370"/>
      <c r="F43" s="371">
        <f>floor(H43/(1+Q43),1)*(R43+S43)
+if(mod(H43, 1+Q43) &gt; 1+Q43,
(R43+S43),
R43)</f>
        <v>29324</v>
      </c>
      <c r="G43" s="372">
        <f>floor(H43/(1+Q43),1)*(R43+S43)
+if(mod(H43, 1+Q43) &gt; 1+Q43,
(R43+S43),
R43)</f>
        <v>29324</v>
      </c>
      <c r="H43" s="93">
        <f t="shared" si="95"/>
        <v>86</v>
      </c>
      <c r="I43" s="214">
        <f>(2/(0.05+0.46+0.49))*60</f>
        <v>120</v>
      </c>
      <c r="J43" s="215">
        <v>0.48</v>
      </c>
      <c r="K43" s="215" t="s">
        <v>60</v>
      </c>
      <c r="L43" s="215">
        <f>H43*1/I43*60</f>
        <v>43</v>
      </c>
      <c r="M43" s="215">
        <f>H43*1/I43*60</f>
        <v>43</v>
      </c>
      <c r="N43" s="215" t="s">
        <v>60</v>
      </c>
      <c r="O43" s="215" t="s">
        <v>60</v>
      </c>
      <c r="P43" s="215" t="s">
        <v>60</v>
      </c>
      <c r="Q43" s="213">
        <v>2.0</v>
      </c>
      <c r="R43" s="377">
        <v>288.0</v>
      </c>
      <c r="S43" s="378">
        <v>749.0</v>
      </c>
    </row>
    <row r="44">
      <c r="A44" s="360" t="s">
        <v>535</v>
      </c>
      <c r="B44" s="144" t="s">
        <v>60</v>
      </c>
      <c r="C44" s="157">
        <f>R44*I44*1/60</f>
        <v>903.9548023</v>
      </c>
      <c r="D44" s="361">
        <f>R44*I44*1/60</f>
        <v>903.9548023</v>
      </c>
      <c r="E44" s="349"/>
      <c r="F44" s="357">
        <f>H44*R44</f>
        <v>34400</v>
      </c>
      <c r="G44" s="161">
        <f>H44*R44</f>
        <v>34400</v>
      </c>
      <c r="H44" s="93">
        <f t="shared" si="95"/>
        <v>86</v>
      </c>
      <c r="I44" s="93">
        <f>$I$39</f>
        <v>135.5932203</v>
      </c>
      <c r="J44" s="358" t="s">
        <v>60</v>
      </c>
      <c r="K44" s="145" t="s">
        <v>60</v>
      </c>
      <c r="L44" s="145" t="s">
        <v>60</v>
      </c>
      <c r="M44" s="145" t="s">
        <v>60</v>
      </c>
      <c r="N44" s="145" t="s">
        <v>60</v>
      </c>
      <c r="O44" s="145" t="s">
        <v>60</v>
      </c>
      <c r="P44" s="145" t="s">
        <v>60</v>
      </c>
      <c r="Q44" s="161" t="s">
        <v>60</v>
      </c>
      <c r="R44" s="161">
        <f>$R$39</f>
        <v>400</v>
      </c>
      <c r="S44" s="279" t="s">
        <v>60</v>
      </c>
    </row>
    <row r="45">
      <c r="A45" s="347" t="s">
        <v>82</v>
      </c>
      <c r="B45" s="148">
        <v>0.0</v>
      </c>
      <c r="C45" s="148">
        <f t="shared" ref="C45:C48" si="100">(O45*R45 + S45)
/ (K45 + J45)</f>
        <v>939.2670157</v>
      </c>
      <c r="D45" s="348">
        <f t="shared" ref="D45:D48" si="101">(P45*R45 + S45)
/ (P45*1/I45*60 + J45)</f>
        <v>1011.111111</v>
      </c>
      <c r="E45" s="349"/>
      <c r="F45" s="321">
        <f t="shared" ref="F45:F48" si="102">floor(H45/(O45+Q45),1)*(O45*R45+S45)
+ if(mod(H45, O45+Q45) &gt; O45,
(O45*R45+S45),
mod(H45, O45+Q45)*R45)</f>
        <v>33488</v>
      </c>
      <c r="G45" s="148">
        <f t="shared" ref="G45:G48" si="103">floor(H45/(P45+Q45),1)*(P45*R45+S45)
+ if(mod(H45, P45+Q45) &gt; P45,
(P45*R45+S45),
mod(H45, P45+Q45)*R45)</f>
        <v>33488</v>
      </c>
      <c r="H45" s="148">
        <f>'Reserves Data (Reference)'!$D$120</f>
        <v>56</v>
      </c>
      <c r="I45" s="148">
        <f>(2)/((0.66+0.66)*1/60)</f>
        <v>90.90909091</v>
      </c>
      <c r="J45" s="350">
        <v>1.5</v>
      </c>
      <c r="K45" s="350">
        <v>2.32</v>
      </c>
      <c r="L45" s="350">
        <f t="shared" ref="L45:L48" si="104">floor(H45/(O45+Q45),1)*(O45*1/I45*60+J45)
+ if(mod(H45, O45+Q45) &gt; O45,
(O45*1/I45*60+J45),
mod(H45, O45+Q45)*1/I45*60)</f>
        <v>32.64</v>
      </c>
      <c r="M45" s="350">
        <f t="shared" ref="M45:M48" si="105">floor(H45/(P45+Q45),1)*(P45*1/I45*60+J45)
+ if(mod(H45, P45+Q45) &gt; P45,
(P45*1/I45*60+J45),
mod(H45, P45+Q45)*1/I45*60)</f>
        <v>33.12</v>
      </c>
      <c r="N45" s="350">
        <f t="shared" ref="N45:N48" si="106">K45-(O45*1/I45*60)</f>
        <v>0.34</v>
      </c>
      <c r="O45" s="148">
        <f t="shared" ref="O45:O48" si="107">CEILING(K45*I45*1/60,1)-1</f>
        <v>3</v>
      </c>
      <c r="P45" s="148">
        <f t="shared" ref="P45:P48" si="108">O45+1</f>
        <v>4</v>
      </c>
      <c r="Q45" s="148">
        <v>3.0</v>
      </c>
      <c r="R45" s="73">
        <v>598.0</v>
      </c>
      <c r="S45" s="195">
        <v>1794.0</v>
      </c>
    </row>
    <row r="46">
      <c r="A46" s="376"/>
      <c r="B46" s="93">
        <v>1.0</v>
      </c>
      <c r="C46" s="93">
        <f t="shared" si="100"/>
        <v>866.6666667</v>
      </c>
      <c r="D46" s="353">
        <f t="shared" si="101"/>
        <v>1031.034483</v>
      </c>
      <c r="E46" s="349"/>
      <c r="F46" s="354">
        <f t="shared" si="102"/>
        <v>33488</v>
      </c>
      <c r="G46" s="93">
        <f t="shared" si="103"/>
        <v>33488</v>
      </c>
      <c r="H46" s="93">
        <f t="shared" ref="H46:H49" si="110">$H$45</f>
        <v>56</v>
      </c>
      <c r="I46" s="93">
        <f t="shared" ref="I46:I49" si="111">$I$45</f>
        <v>90.90909091</v>
      </c>
      <c r="J46" s="111">
        <f t="shared" ref="J46:J48" si="112">$J$45</f>
        <v>1.5</v>
      </c>
      <c r="K46" s="111">
        <v>1.95</v>
      </c>
      <c r="L46" s="111">
        <f t="shared" si="104"/>
        <v>31.68</v>
      </c>
      <c r="M46" s="111">
        <f t="shared" si="105"/>
        <v>32.64</v>
      </c>
      <c r="N46" s="111">
        <f t="shared" si="106"/>
        <v>0.63</v>
      </c>
      <c r="O46" s="93">
        <f t="shared" si="107"/>
        <v>2</v>
      </c>
      <c r="P46" s="93">
        <f t="shared" si="108"/>
        <v>3</v>
      </c>
      <c r="Q46" s="93">
        <f t="shared" ref="Q46:Q48" si="113">$Q$45</f>
        <v>3</v>
      </c>
      <c r="R46" s="93">
        <f t="shared" ref="R46:S46" si="109">R45</f>
        <v>598</v>
      </c>
      <c r="S46" s="355">
        <f t="shared" si="109"/>
        <v>1794</v>
      </c>
    </row>
    <row r="47">
      <c r="A47" s="376"/>
      <c r="B47" s="93">
        <v>2.0</v>
      </c>
      <c r="C47" s="93">
        <f t="shared" si="100"/>
        <v>973.9413681</v>
      </c>
      <c r="D47" s="353">
        <f t="shared" si="101"/>
        <v>1031.034483</v>
      </c>
      <c r="E47" s="349"/>
      <c r="F47" s="354">
        <f t="shared" si="102"/>
        <v>33488</v>
      </c>
      <c r="G47" s="93">
        <f t="shared" si="103"/>
        <v>33488</v>
      </c>
      <c r="H47" s="93">
        <f t="shared" si="110"/>
        <v>56</v>
      </c>
      <c r="I47" s="93">
        <f t="shared" si="111"/>
        <v>90.90909091</v>
      </c>
      <c r="J47" s="111">
        <f t="shared" si="112"/>
        <v>1.5</v>
      </c>
      <c r="K47" s="111">
        <v>1.57</v>
      </c>
      <c r="L47" s="111">
        <f t="shared" si="104"/>
        <v>31.68</v>
      </c>
      <c r="M47" s="111">
        <f t="shared" si="105"/>
        <v>32.64</v>
      </c>
      <c r="N47" s="111">
        <f t="shared" si="106"/>
        <v>0.25</v>
      </c>
      <c r="O47" s="93">
        <f t="shared" si="107"/>
        <v>2</v>
      </c>
      <c r="P47" s="93">
        <f t="shared" si="108"/>
        <v>3</v>
      </c>
      <c r="Q47" s="93">
        <f t="shared" si="113"/>
        <v>3</v>
      </c>
      <c r="R47" s="93">
        <f t="shared" ref="R47:S47" si="114">R45</f>
        <v>598</v>
      </c>
      <c r="S47" s="355">
        <f t="shared" si="114"/>
        <v>1794</v>
      </c>
    </row>
    <row r="48">
      <c r="A48" s="376"/>
      <c r="B48" s="93">
        <v>3.0</v>
      </c>
      <c r="C48" s="161">
        <f t="shared" si="100"/>
        <v>1017.006803</v>
      </c>
      <c r="D48" s="356">
        <f t="shared" si="101"/>
        <v>1031.034483</v>
      </c>
      <c r="E48" s="349"/>
      <c r="F48" s="357">
        <f t="shared" si="102"/>
        <v>33488</v>
      </c>
      <c r="G48" s="161">
        <f t="shared" si="103"/>
        <v>33488</v>
      </c>
      <c r="H48" s="93">
        <f t="shared" si="110"/>
        <v>56</v>
      </c>
      <c r="I48" s="93">
        <f t="shared" si="111"/>
        <v>90.90909091</v>
      </c>
      <c r="J48" s="111">
        <f t="shared" si="112"/>
        <v>1.5</v>
      </c>
      <c r="K48" s="358">
        <v>1.44</v>
      </c>
      <c r="L48" s="358">
        <f t="shared" si="104"/>
        <v>31.68</v>
      </c>
      <c r="M48" s="358">
        <f t="shared" si="105"/>
        <v>32.64</v>
      </c>
      <c r="N48" s="358">
        <f t="shared" si="106"/>
        <v>0.12</v>
      </c>
      <c r="O48" s="161">
        <f t="shared" si="107"/>
        <v>2</v>
      </c>
      <c r="P48" s="161">
        <f t="shared" si="108"/>
        <v>3</v>
      </c>
      <c r="Q48" s="93">
        <f t="shared" si="113"/>
        <v>3</v>
      </c>
      <c r="R48" s="161">
        <f t="shared" ref="R48:S48" si="115">R45</f>
        <v>598</v>
      </c>
      <c r="S48" s="359">
        <f t="shared" si="115"/>
        <v>1794</v>
      </c>
    </row>
    <row r="49">
      <c r="A49" s="360" t="s">
        <v>535</v>
      </c>
      <c r="B49" s="144" t="s">
        <v>60</v>
      </c>
      <c r="C49" s="157">
        <f>R49*I49*1/60</f>
        <v>906.0606061</v>
      </c>
      <c r="D49" s="361">
        <f>R49*I49*1/60</f>
        <v>906.0606061</v>
      </c>
      <c r="E49" s="349"/>
      <c r="F49" s="357">
        <f>H49*R49</f>
        <v>33488</v>
      </c>
      <c r="G49" s="161">
        <f>H49*R49</f>
        <v>33488</v>
      </c>
      <c r="H49" s="93">
        <f t="shared" si="110"/>
        <v>56</v>
      </c>
      <c r="I49" s="93">
        <f t="shared" si="111"/>
        <v>90.90909091</v>
      </c>
      <c r="J49" s="358" t="s">
        <v>60</v>
      </c>
      <c r="K49" s="145" t="s">
        <v>60</v>
      </c>
      <c r="L49" s="145" t="s">
        <v>60</v>
      </c>
      <c r="M49" s="145" t="s">
        <v>60</v>
      </c>
      <c r="N49" s="145" t="s">
        <v>60</v>
      </c>
      <c r="O49" s="145" t="s">
        <v>60</v>
      </c>
      <c r="P49" s="145" t="s">
        <v>60</v>
      </c>
      <c r="Q49" s="161" t="s">
        <v>60</v>
      </c>
      <c r="R49" s="161">
        <f>R45</f>
        <v>598</v>
      </c>
      <c r="S49" s="279" t="s">
        <v>60</v>
      </c>
    </row>
    <row r="50">
      <c r="A50" s="379" t="s">
        <v>542</v>
      </c>
      <c r="B50" s="148">
        <v>0.0</v>
      </c>
      <c r="C50" s="148">
        <f t="shared" ref="C50:C53" si="116">(O50*R50 + S50)
/ (K50 + J50)</f>
        <v>938.9121339</v>
      </c>
      <c r="D50" s="348">
        <f t="shared" ref="D50:D53" si="117">(P50*R50 + S50)
/ (P50*1/I50*60 + J50)</f>
        <v>925.0883392</v>
      </c>
      <c r="E50" s="349"/>
      <c r="F50" s="321">
        <f t="shared" ref="F50:F53" si="118">floor(H50/(O50+Q50),1)*(O50*R50+S50)
+ if(mod(H50, O50+Q50) &gt; O50,
(O50*R50+S50),
mod(H50, O50+Q50)*R50)</f>
        <v>22440</v>
      </c>
      <c r="G50" s="148">
        <f t="shared" ref="G50:G53" si="119">floor(H50/(P50+Q50),1)*(P50*R50+S50)
+ if(mod(H50, P50+Q50) &gt; P50,
(P50*R50+S50),
mod(H50, P50+Q50)*R50)</f>
        <v>23562</v>
      </c>
      <c r="H50" s="148">
        <f>'Reserves Data (Reference)'!$D$121</f>
        <v>69</v>
      </c>
      <c r="I50" s="148">
        <f>(3)/((0.46+0.46+0.49)*1/60)</f>
        <v>127.6595745</v>
      </c>
      <c r="J50" s="350">
        <v>0.95</v>
      </c>
      <c r="K50" s="350">
        <v>1.44</v>
      </c>
      <c r="L50" s="350">
        <f t="shared" ref="L50:L53" si="120">floor(H50/(O50+Q50),1)*(O50*1/I50*60+J50)
+ if(mod(H50, O50+Q50) &gt; O50,
(O50*1/I50*60+J50),
mod(H50, O50+Q50)*1/I50*60)</f>
        <v>23.6</v>
      </c>
      <c r="M50" s="350">
        <f t="shared" ref="M50:M53" si="121">floor(H50/(P50+Q50),1)*(P50*1/I50*60+J50)
+ if(mod(H50, P50+Q50) &gt; P50,
(P50*1/I50*60+J50),
mod(H50, P50+Q50)*1/I50*60)</f>
        <v>25.47</v>
      </c>
      <c r="N50" s="350">
        <f t="shared" ref="N50:N53" si="122">K50-(O50*1/I50*60)</f>
        <v>0.03</v>
      </c>
      <c r="O50" s="148">
        <f t="shared" ref="O50:O53" si="123">CEILING(K50*I50*1/60,1)-1</f>
        <v>3</v>
      </c>
      <c r="P50" s="148">
        <f t="shared" ref="P50:P53" si="124">O50+1</f>
        <v>4</v>
      </c>
      <c r="Q50" s="148">
        <v>4.0</v>
      </c>
      <c r="R50" s="73">
        <v>374.0</v>
      </c>
      <c r="S50" s="351">
        <f>561*2</f>
        <v>1122</v>
      </c>
    </row>
    <row r="51">
      <c r="A51" s="376"/>
      <c r="B51" s="93">
        <v>1.0</v>
      </c>
      <c r="C51" s="93">
        <f t="shared" si="116"/>
        <v>835.7541899</v>
      </c>
      <c r="D51" s="353">
        <f t="shared" si="117"/>
        <v>989.4179894</v>
      </c>
      <c r="E51" s="349"/>
      <c r="F51" s="354">
        <f t="shared" si="118"/>
        <v>20944</v>
      </c>
      <c r="G51" s="93">
        <f t="shared" si="119"/>
        <v>22440</v>
      </c>
      <c r="H51" s="93">
        <f t="shared" ref="H51:H58" si="125">$H$50</f>
        <v>69</v>
      </c>
      <c r="I51" s="93">
        <f t="shared" ref="I51:I58" si="126">$I$50</f>
        <v>127.6595745</v>
      </c>
      <c r="J51" s="111">
        <f t="shared" ref="J51:J53" si="127">$J$50</f>
        <v>0.95</v>
      </c>
      <c r="K51" s="111">
        <v>0.84</v>
      </c>
      <c r="L51" s="111">
        <f t="shared" si="120"/>
        <v>19.88</v>
      </c>
      <c r="M51" s="111">
        <f t="shared" si="121"/>
        <v>22.68</v>
      </c>
      <c r="N51" s="111">
        <f t="shared" si="122"/>
        <v>0.37</v>
      </c>
      <c r="O51" s="93">
        <f t="shared" si="123"/>
        <v>1</v>
      </c>
      <c r="P51" s="93">
        <f t="shared" si="124"/>
        <v>2</v>
      </c>
      <c r="Q51" s="93">
        <f t="shared" ref="Q51:Q53" si="128">$Q$50</f>
        <v>4</v>
      </c>
      <c r="R51" s="93">
        <f t="shared" ref="R51:R58" si="129">$R$50</f>
        <v>374</v>
      </c>
      <c r="S51" s="355">
        <f>S50</f>
        <v>1122</v>
      </c>
    </row>
    <row r="52">
      <c r="A52" s="376"/>
      <c r="B52" s="93">
        <v>2.0</v>
      </c>
      <c r="C52" s="93">
        <f t="shared" si="116"/>
        <v>890.4761905</v>
      </c>
      <c r="D52" s="353">
        <f t="shared" si="117"/>
        <v>989.4179894</v>
      </c>
      <c r="E52" s="349"/>
      <c r="F52" s="354">
        <f t="shared" si="118"/>
        <v>20944</v>
      </c>
      <c r="G52" s="93">
        <f t="shared" si="119"/>
        <v>22440</v>
      </c>
      <c r="H52" s="93">
        <f t="shared" si="125"/>
        <v>69</v>
      </c>
      <c r="I52" s="93">
        <f t="shared" si="126"/>
        <v>127.6595745</v>
      </c>
      <c r="J52" s="111">
        <f t="shared" si="127"/>
        <v>0.95</v>
      </c>
      <c r="K52" s="111">
        <v>0.73</v>
      </c>
      <c r="L52" s="111">
        <f t="shared" si="120"/>
        <v>19.88</v>
      </c>
      <c r="M52" s="111">
        <f t="shared" si="121"/>
        <v>22.68</v>
      </c>
      <c r="N52" s="111">
        <f t="shared" si="122"/>
        <v>0.26</v>
      </c>
      <c r="O52" s="93">
        <f t="shared" si="123"/>
        <v>1</v>
      </c>
      <c r="P52" s="93">
        <f t="shared" si="124"/>
        <v>2</v>
      </c>
      <c r="Q52" s="93">
        <f t="shared" si="128"/>
        <v>4</v>
      </c>
      <c r="R52" s="93">
        <f t="shared" si="129"/>
        <v>374</v>
      </c>
      <c r="S52" s="355">
        <f>S50</f>
        <v>1122</v>
      </c>
    </row>
    <row r="53">
      <c r="A53" s="376"/>
      <c r="B53" s="93">
        <v>3.0</v>
      </c>
      <c r="C53" s="161">
        <f t="shared" si="116"/>
        <v>890.4761905</v>
      </c>
      <c r="D53" s="356">
        <f t="shared" si="117"/>
        <v>989.4179894</v>
      </c>
      <c r="E53" s="349"/>
      <c r="F53" s="357">
        <f t="shared" si="118"/>
        <v>20944</v>
      </c>
      <c r="G53" s="161">
        <f t="shared" si="119"/>
        <v>22440</v>
      </c>
      <c r="H53" s="93">
        <f t="shared" si="125"/>
        <v>69</v>
      </c>
      <c r="I53" s="93">
        <f t="shared" si="126"/>
        <v>127.6595745</v>
      </c>
      <c r="J53" s="111">
        <f t="shared" si="127"/>
        <v>0.95</v>
      </c>
      <c r="K53" s="358">
        <v>0.73</v>
      </c>
      <c r="L53" s="358">
        <f t="shared" si="120"/>
        <v>19.88</v>
      </c>
      <c r="M53" s="358">
        <f t="shared" si="121"/>
        <v>22.68</v>
      </c>
      <c r="N53" s="358">
        <f t="shared" si="122"/>
        <v>0.26</v>
      </c>
      <c r="O53" s="161">
        <f t="shared" si="123"/>
        <v>1</v>
      </c>
      <c r="P53" s="161">
        <f t="shared" si="124"/>
        <v>2</v>
      </c>
      <c r="Q53" s="93">
        <f t="shared" si="128"/>
        <v>4</v>
      </c>
      <c r="R53" s="161">
        <f t="shared" si="129"/>
        <v>374</v>
      </c>
      <c r="S53" s="359">
        <f>S50</f>
        <v>1122</v>
      </c>
    </row>
    <row r="54">
      <c r="A54" s="360" t="s">
        <v>535</v>
      </c>
      <c r="B54" s="144" t="s">
        <v>60</v>
      </c>
      <c r="C54" s="157">
        <f>R54*I54*1/60</f>
        <v>795.7446809</v>
      </c>
      <c r="D54" s="361">
        <f>R54*I54*1/60</f>
        <v>795.7446809</v>
      </c>
      <c r="E54" s="349"/>
      <c r="F54" s="357">
        <f>H54*R54</f>
        <v>25806</v>
      </c>
      <c r="G54" s="161">
        <f>H54*R54</f>
        <v>25806</v>
      </c>
      <c r="H54" s="93">
        <f t="shared" si="125"/>
        <v>69</v>
      </c>
      <c r="I54" s="380">
        <f t="shared" si="126"/>
        <v>127.6595745</v>
      </c>
      <c r="J54" s="358" t="s">
        <v>60</v>
      </c>
      <c r="K54" s="145" t="s">
        <v>60</v>
      </c>
      <c r="L54" s="145" t="s">
        <v>60</v>
      </c>
      <c r="M54" s="145" t="s">
        <v>60</v>
      </c>
      <c r="N54" s="145" t="s">
        <v>60</v>
      </c>
      <c r="O54" s="145" t="s">
        <v>60</v>
      </c>
      <c r="P54" s="145" t="s">
        <v>60</v>
      </c>
      <c r="Q54" s="161" t="s">
        <v>60</v>
      </c>
      <c r="R54" s="161">
        <f t="shared" si="129"/>
        <v>374</v>
      </c>
      <c r="S54" s="279" t="s">
        <v>60</v>
      </c>
    </row>
    <row r="55">
      <c r="A55" s="379" t="s">
        <v>543</v>
      </c>
      <c r="B55" s="148">
        <v>0.0</v>
      </c>
      <c r="C55" s="148">
        <f t="shared" ref="C55:C62" si="130">(O55*R55 + S55)
/ (K55 + J55)</f>
        <v>1193.617021</v>
      </c>
      <c r="D55" s="348">
        <f t="shared" ref="D55:D62" si="131">(P55*R55 + S55)
/ (P55*1/I55*60 + J55)</f>
        <v>1285.223368</v>
      </c>
      <c r="E55" s="349"/>
      <c r="F55" s="321">
        <f t="shared" ref="F55:F62" si="132">floor(H55/(O55+Q55),1)*(O55*R55+S55)
+ if(mod(H55, O55+Q55) &gt; O55,
(O55*R55+S55),
mod(H55, O55+Q55)*R55)</f>
        <v>21318</v>
      </c>
      <c r="G55" s="148">
        <f t="shared" ref="G55:G62" si="133">floor(H55/(P55+Q55),1)*(P55*R55+S55)
+ if(mod(H55, P55+Q55) &gt; P55,
(P55*R55+S55),
mod(H55, P55+Q55)*R55)</f>
        <v>22440</v>
      </c>
      <c r="H55" s="148">
        <f t="shared" si="125"/>
        <v>69</v>
      </c>
      <c r="I55" s="375">
        <f t="shared" si="126"/>
        <v>127.6595745</v>
      </c>
      <c r="J55" s="350">
        <v>1.03</v>
      </c>
      <c r="K55" s="350">
        <v>1.79</v>
      </c>
      <c r="L55" s="350">
        <f t="shared" ref="L55:L62" si="134">floor(H55/(O55+Q55),1)*(O55*1/I55*60+J55)
+ if(mod(H55, O55+Q55) &gt; O55,
(O55*1/I55*60+J55),
mod(H55, O55+Q55)*1/I55*60)</f>
        <v>16.05</v>
      </c>
      <c r="M55" s="350">
        <f t="shared" ref="M55:M62" si="135">floor(H55/(P55+Q55),1)*(P55*1/I55*60+J55)
+ if(mod(H55, P55+Q55) &gt; P55,
(P55*1/I55*60+J55),
mod(H55, P55+Q55)*1/I55*60)</f>
        <v>17.46</v>
      </c>
      <c r="N55" s="350">
        <f t="shared" ref="N55:N62" si="136">K55-(O55*1/I55*60)</f>
        <v>0.38</v>
      </c>
      <c r="O55" s="148">
        <f t="shared" ref="O55:O62" si="137">CEILING(K55*I55*1/60,1)-1</f>
        <v>3</v>
      </c>
      <c r="P55" s="148">
        <f t="shared" ref="P55:P62" si="138">O55+1</f>
        <v>4</v>
      </c>
      <c r="Q55" s="148">
        <v>8.0</v>
      </c>
      <c r="R55" s="148">
        <f t="shared" si="129"/>
        <v>374</v>
      </c>
      <c r="S55" s="351">
        <f t="shared" ref="S55:S58" si="139">$S$50*2</f>
        <v>2244</v>
      </c>
    </row>
    <row r="56">
      <c r="A56" s="376"/>
      <c r="B56" s="93">
        <v>1.0</v>
      </c>
      <c r="C56" s="93">
        <f t="shared" si="130"/>
        <v>1341.704036</v>
      </c>
      <c r="D56" s="353">
        <f t="shared" si="131"/>
        <v>1379.508197</v>
      </c>
      <c r="E56" s="349"/>
      <c r="F56" s="354">
        <f t="shared" si="132"/>
        <v>20944</v>
      </c>
      <c r="G56" s="93">
        <f t="shared" si="133"/>
        <v>21318</v>
      </c>
      <c r="H56" s="93">
        <f t="shared" si="125"/>
        <v>69</v>
      </c>
      <c r="I56" s="93">
        <f t="shared" si="126"/>
        <v>127.6595745</v>
      </c>
      <c r="J56" s="111">
        <f t="shared" ref="J56:J58" si="140">$J$55</f>
        <v>1.03</v>
      </c>
      <c r="K56" s="111">
        <v>1.2</v>
      </c>
      <c r="L56" s="111">
        <f t="shared" si="134"/>
        <v>13.79</v>
      </c>
      <c r="M56" s="111">
        <f t="shared" si="135"/>
        <v>16.05</v>
      </c>
      <c r="N56" s="111">
        <f t="shared" si="136"/>
        <v>0.26</v>
      </c>
      <c r="O56" s="93">
        <f t="shared" si="137"/>
        <v>2</v>
      </c>
      <c r="P56" s="93">
        <f t="shared" si="138"/>
        <v>3</v>
      </c>
      <c r="Q56" s="93">
        <f t="shared" ref="Q56:Q58" si="141">$Q$55</f>
        <v>8</v>
      </c>
      <c r="R56" s="93">
        <f t="shared" si="129"/>
        <v>374</v>
      </c>
      <c r="S56" s="355">
        <f t="shared" si="139"/>
        <v>2244</v>
      </c>
    </row>
    <row r="57">
      <c r="A57" s="376"/>
      <c r="B57" s="93">
        <v>2.0</v>
      </c>
      <c r="C57" s="93">
        <f t="shared" si="130"/>
        <v>1411.320755</v>
      </c>
      <c r="D57" s="353">
        <f t="shared" si="131"/>
        <v>1379.508197</v>
      </c>
      <c r="E57" s="349"/>
      <c r="F57" s="354">
        <f t="shared" si="132"/>
        <v>20944</v>
      </c>
      <c r="G57" s="93">
        <f t="shared" si="133"/>
        <v>21318</v>
      </c>
      <c r="H57" s="93">
        <f t="shared" si="125"/>
        <v>69</v>
      </c>
      <c r="I57" s="93">
        <f t="shared" si="126"/>
        <v>127.6595745</v>
      </c>
      <c r="J57" s="111">
        <f t="shared" si="140"/>
        <v>1.03</v>
      </c>
      <c r="K57" s="111">
        <v>1.09</v>
      </c>
      <c r="L57" s="111">
        <f t="shared" si="134"/>
        <v>13.79</v>
      </c>
      <c r="M57" s="111">
        <f t="shared" si="135"/>
        <v>16.05</v>
      </c>
      <c r="N57" s="111">
        <f t="shared" si="136"/>
        <v>0.15</v>
      </c>
      <c r="O57" s="93">
        <f t="shared" si="137"/>
        <v>2</v>
      </c>
      <c r="P57" s="93">
        <f t="shared" si="138"/>
        <v>3</v>
      </c>
      <c r="Q57" s="93">
        <f t="shared" si="141"/>
        <v>8</v>
      </c>
      <c r="R57" s="93">
        <f t="shared" si="129"/>
        <v>374</v>
      </c>
      <c r="S57" s="355">
        <f t="shared" si="139"/>
        <v>2244</v>
      </c>
    </row>
    <row r="58">
      <c r="A58" s="381"/>
      <c r="B58" s="161">
        <v>3.0</v>
      </c>
      <c r="C58" s="161">
        <f t="shared" si="130"/>
        <v>1411.320755</v>
      </c>
      <c r="D58" s="356">
        <f t="shared" si="131"/>
        <v>1379.508197</v>
      </c>
      <c r="E58" s="349"/>
      <c r="F58" s="357">
        <f t="shared" si="132"/>
        <v>20944</v>
      </c>
      <c r="G58" s="161">
        <f t="shared" si="133"/>
        <v>21318</v>
      </c>
      <c r="H58" s="161">
        <f t="shared" si="125"/>
        <v>69</v>
      </c>
      <c r="I58" s="93">
        <f t="shared" si="126"/>
        <v>127.6595745</v>
      </c>
      <c r="J58" s="111">
        <f t="shared" si="140"/>
        <v>1.03</v>
      </c>
      <c r="K58" s="358">
        <v>1.09</v>
      </c>
      <c r="L58" s="358">
        <f t="shared" si="134"/>
        <v>13.79</v>
      </c>
      <c r="M58" s="358">
        <f t="shared" si="135"/>
        <v>16.05</v>
      </c>
      <c r="N58" s="358">
        <f t="shared" si="136"/>
        <v>0.15</v>
      </c>
      <c r="O58" s="161">
        <f t="shared" si="137"/>
        <v>2</v>
      </c>
      <c r="P58" s="161">
        <f t="shared" si="138"/>
        <v>3</v>
      </c>
      <c r="Q58" s="93">
        <f t="shared" si="141"/>
        <v>8</v>
      </c>
      <c r="R58" s="161">
        <f t="shared" si="129"/>
        <v>374</v>
      </c>
      <c r="S58" s="359">
        <f t="shared" si="139"/>
        <v>2244</v>
      </c>
    </row>
    <row r="59">
      <c r="A59" s="379" t="s">
        <v>544</v>
      </c>
      <c r="B59" s="148">
        <v>0.0</v>
      </c>
      <c r="C59" s="148">
        <f t="shared" si="130"/>
        <v>862.864259</v>
      </c>
      <c r="D59" s="348">
        <f t="shared" si="131"/>
        <v>903.4498834</v>
      </c>
      <c r="E59" s="349"/>
      <c r="F59" s="321">
        <f t="shared" si="132"/>
        <v>25195.63636</v>
      </c>
      <c r="G59" s="148">
        <f t="shared" si="133"/>
        <v>24664.18182</v>
      </c>
      <c r="H59" s="148">
        <f>'Reserves Data (Reference)'!$D$122</f>
        <v>69</v>
      </c>
      <c r="I59" s="148">
        <f>(3)/((0.46+0.46+0.49)*1/60)</f>
        <v>127.6595745</v>
      </c>
      <c r="J59" s="350">
        <v>1.08</v>
      </c>
      <c r="K59" s="350">
        <v>2.57</v>
      </c>
      <c r="L59" s="350">
        <f t="shared" si="134"/>
        <v>27.44</v>
      </c>
      <c r="M59" s="350">
        <f t="shared" si="135"/>
        <v>27.3</v>
      </c>
      <c r="N59" s="350">
        <f t="shared" si="136"/>
        <v>0.22</v>
      </c>
      <c r="O59" s="148">
        <f t="shared" si="137"/>
        <v>5</v>
      </c>
      <c r="P59" s="148">
        <f t="shared" si="138"/>
        <v>6</v>
      </c>
      <c r="Q59" s="148">
        <v>4.0</v>
      </c>
      <c r="R59" s="148">
        <f>R55</f>
        <v>374</v>
      </c>
      <c r="S59" s="351">
        <f>R59+249*4/1.1</f>
        <v>1279.454545</v>
      </c>
    </row>
    <row r="60">
      <c r="A60" s="376"/>
      <c r="B60" s="93">
        <v>1.0</v>
      </c>
      <c r="C60" s="93">
        <f t="shared" si="130"/>
        <v>867.3295455</v>
      </c>
      <c r="D60" s="353">
        <f t="shared" si="131"/>
        <v>918.2083223</v>
      </c>
      <c r="E60" s="349"/>
      <c r="F60" s="354">
        <f t="shared" si="132"/>
        <v>24979.09091</v>
      </c>
      <c r="G60" s="93">
        <f t="shared" si="133"/>
        <v>25195.63636</v>
      </c>
      <c r="H60" s="93">
        <f t="shared" ref="H60:H67" si="142">$H$59</f>
        <v>69</v>
      </c>
      <c r="I60" s="93">
        <f t="shared" ref="I60:I67" si="143">$I$59</f>
        <v>127.6595745</v>
      </c>
      <c r="J60" s="111">
        <f t="shared" ref="J60:J62" si="144">$J$59</f>
        <v>1.08</v>
      </c>
      <c r="K60" s="111">
        <v>2.12</v>
      </c>
      <c r="L60" s="111">
        <f t="shared" si="134"/>
        <v>26.64</v>
      </c>
      <c r="M60" s="111">
        <f t="shared" si="135"/>
        <v>27.44</v>
      </c>
      <c r="N60" s="111">
        <f t="shared" si="136"/>
        <v>0.24</v>
      </c>
      <c r="O60" s="93">
        <f t="shared" si="137"/>
        <v>4</v>
      </c>
      <c r="P60" s="93">
        <f t="shared" si="138"/>
        <v>5</v>
      </c>
      <c r="Q60" s="93">
        <f t="shared" ref="Q60:Q62" si="145">$Q$59</f>
        <v>4</v>
      </c>
      <c r="R60" s="93">
        <f t="shared" ref="R60:R67" si="146">$R$59</f>
        <v>374</v>
      </c>
      <c r="S60" s="355">
        <f>S59</f>
        <v>1279.454545</v>
      </c>
    </row>
    <row r="61">
      <c r="A61" s="376"/>
      <c r="B61" s="93">
        <v>2.0</v>
      </c>
      <c r="C61" s="93">
        <f t="shared" si="130"/>
        <v>906.2092624</v>
      </c>
      <c r="D61" s="353">
        <f t="shared" si="131"/>
        <v>937.6535627</v>
      </c>
      <c r="E61" s="349"/>
      <c r="F61" s="354">
        <f t="shared" si="132"/>
        <v>24014.54545</v>
      </c>
      <c r="G61" s="93">
        <f t="shared" si="133"/>
        <v>24979.09091</v>
      </c>
      <c r="H61" s="93">
        <f t="shared" si="142"/>
        <v>69</v>
      </c>
      <c r="I61" s="93">
        <f t="shared" si="143"/>
        <v>127.6595745</v>
      </c>
      <c r="J61" s="111">
        <f t="shared" si="144"/>
        <v>1.08</v>
      </c>
      <c r="K61" s="111">
        <v>1.57</v>
      </c>
      <c r="L61" s="111">
        <f t="shared" si="134"/>
        <v>24.9</v>
      </c>
      <c r="M61" s="111">
        <f t="shared" si="135"/>
        <v>26.64</v>
      </c>
      <c r="N61" s="111">
        <f t="shared" si="136"/>
        <v>0.16</v>
      </c>
      <c r="O61" s="93">
        <f t="shared" si="137"/>
        <v>3</v>
      </c>
      <c r="P61" s="93">
        <f t="shared" si="138"/>
        <v>4</v>
      </c>
      <c r="Q61" s="93">
        <f t="shared" si="145"/>
        <v>4</v>
      </c>
      <c r="R61" s="93">
        <f t="shared" si="146"/>
        <v>374</v>
      </c>
      <c r="S61" s="355">
        <f>S59</f>
        <v>1279.454545</v>
      </c>
    </row>
    <row r="62">
      <c r="A62" s="376"/>
      <c r="B62" s="93">
        <v>3.0</v>
      </c>
      <c r="C62" s="161">
        <f t="shared" si="130"/>
        <v>921.5702479</v>
      </c>
      <c r="D62" s="356">
        <f t="shared" si="131"/>
        <v>964.4395765</v>
      </c>
      <c r="E62" s="349"/>
      <c r="F62" s="357">
        <f t="shared" si="132"/>
        <v>24329.45455</v>
      </c>
      <c r="G62" s="161">
        <f t="shared" si="133"/>
        <v>24014.54545</v>
      </c>
      <c r="H62" s="161">
        <f t="shared" si="142"/>
        <v>69</v>
      </c>
      <c r="I62" s="161">
        <f t="shared" si="143"/>
        <v>127.6595745</v>
      </c>
      <c r="J62" s="111">
        <f t="shared" si="144"/>
        <v>1.08</v>
      </c>
      <c r="K62" s="358">
        <v>1.12</v>
      </c>
      <c r="L62" s="358">
        <f t="shared" si="134"/>
        <v>24.24</v>
      </c>
      <c r="M62" s="358">
        <f t="shared" si="135"/>
        <v>24.9</v>
      </c>
      <c r="N62" s="358">
        <f t="shared" si="136"/>
        <v>0.18</v>
      </c>
      <c r="O62" s="161">
        <f t="shared" si="137"/>
        <v>2</v>
      </c>
      <c r="P62" s="161">
        <f t="shared" si="138"/>
        <v>3</v>
      </c>
      <c r="Q62" s="93">
        <f t="shared" si="145"/>
        <v>4</v>
      </c>
      <c r="R62" s="161">
        <f t="shared" si="146"/>
        <v>374</v>
      </c>
      <c r="S62" s="359">
        <f>S59</f>
        <v>1279.454545</v>
      </c>
    </row>
    <row r="63">
      <c r="A63" s="360" t="s">
        <v>535</v>
      </c>
      <c r="B63" s="144" t="s">
        <v>60</v>
      </c>
      <c r="C63" s="157">
        <f>R63*I63*1/60</f>
        <v>795.7446809</v>
      </c>
      <c r="D63" s="361">
        <f>R63*I63*1/60</f>
        <v>795.7446809</v>
      </c>
      <c r="E63" s="349"/>
      <c r="F63" s="357">
        <f>H63*R63</f>
        <v>25806</v>
      </c>
      <c r="G63" s="161">
        <f>H63*R63</f>
        <v>25806</v>
      </c>
      <c r="H63" s="161">
        <f t="shared" si="142"/>
        <v>69</v>
      </c>
      <c r="I63" s="161">
        <f t="shared" si="143"/>
        <v>127.6595745</v>
      </c>
      <c r="J63" s="358" t="s">
        <v>60</v>
      </c>
      <c r="K63" s="145" t="s">
        <v>60</v>
      </c>
      <c r="L63" s="145" t="s">
        <v>60</v>
      </c>
      <c r="M63" s="145" t="s">
        <v>60</v>
      </c>
      <c r="N63" s="145" t="s">
        <v>60</v>
      </c>
      <c r="O63" s="145" t="s">
        <v>60</v>
      </c>
      <c r="P63" s="145" t="s">
        <v>60</v>
      </c>
      <c r="Q63" s="161" t="s">
        <v>60</v>
      </c>
      <c r="R63" s="161">
        <f t="shared" si="146"/>
        <v>374</v>
      </c>
      <c r="S63" s="279" t="s">
        <v>60</v>
      </c>
    </row>
    <row r="64">
      <c r="A64" s="382" t="s">
        <v>545</v>
      </c>
      <c r="B64" s="148">
        <v>0.0</v>
      </c>
      <c r="C64" s="148">
        <f t="shared" ref="C64:C75" si="147">(O64*R64 + S64)
/ (K64 + J64)</f>
        <v>477.8456837</v>
      </c>
      <c r="D64" s="348">
        <f t="shared" ref="D64:D75" si="148">(P64*R64 + S64)
/ (P64*1/I64*60 + J64)</f>
        <v>548.3530962</v>
      </c>
      <c r="E64" s="349"/>
      <c r="F64" s="321">
        <f t="shared" ref="F64:F75" si="149">floor(H64/(O64+Q64),1)*(O64*R64+S64)
+ if(mod(H64, O64+Q64) &gt; O64,
(O64*R64+S64),
mod(H64, O64+Q64)*R64)</f>
        <v>20066.36364</v>
      </c>
      <c r="G64" s="148">
        <f t="shared" ref="G64:G75" si="150">floor(H64/(P64+Q64),1)*(P64*R64+S64)
+ if(mod(H64, P64+Q64) &gt; P64,
(P64*R64+S64),
mod(H64, P64+Q64)*R64)</f>
        <v>20783.81818</v>
      </c>
      <c r="H64" s="148">
        <f t="shared" si="142"/>
        <v>69</v>
      </c>
      <c r="I64" s="148">
        <f t="shared" si="143"/>
        <v>127.6595745</v>
      </c>
      <c r="J64" s="350">
        <f>0.84+1.17</f>
        <v>2.01</v>
      </c>
      <c r="K64" s="350">
        <f>2.2+0.55</f>
        <v>2.75</v>
      </c>
      <c r="L64" s="350">
        <f t="shared" ref="L64:L75" si="151">floor(H64/(O64+Q64),1)*(O64*1/I64*60+J64)
+ if(mod(H64, O64+Q64) &gt; O64,
(O64*1/I64*60+J64),
mod(H64, O64+Q64)*1/I64*60)</f>
        <v>37.23</v>
      </c>
      <c r="M64" s="350">
        <f t="shared" ref="M64:M75" si="152">floor(H64/(P64+Q64),1)*(P64*1/I64*60+J64)
+ if(mod(H64, P64+Q64) &gt; P64,
(P64*1/I64*60+J64),
mod(H64, P64+Q64)*1/I64*60)</f>
        <v>36.63</v>
      </c>
      <c r="N64" s="350">
        <f t="shared" ref="N64:N75" si="153">K64-(O64*1/I64*60)</f>
        <v>0.4</v>
      </c>
      <c r="O64" s="148">
        <f t="shared" ref="O64:O75" si="154">CEILING(K64*I64*1/60,1)-1</f>
        <v>5</v>
      </c>
      <c r="P64" s="148">
        <f t="shared" ref="P64:P75" si="155">O64+1</f>
        <v>6</v>
      </c>
      <c r="Q64" s="148">
        <v>3.0</v>
      </c>
      <c r="R64" s="148">
        <f t="shared" si="146"/>
        <v>374</v>
      </c>
      <c r="S64" s="351">
        <f>445/1.1</f>
        <v>404.5454545</v>
      </c>
      <c r="T64" s="95" t="s">
        <v>546</v>
      </c>
    </row>
    <row r="65">
      <c r="A65" s="376"/>
      <c r="B65" s="93">
        <v>1.0</v>
      </c>
      <c r="C65" s="93">
        <f t="shared" si="147"/>
        <v>456.8618881</v>
      </c>
      <c r="D65" s="353">
        <f t="shared" si="148"/>
        <v>521.6847373</v>
      </c>
      <c r="E65" s="349"/>
      <c r="F65" s="354">
        <f t="shared" si="149"/>
        <v>19005.45455</v>
      </c>
      <c r="G65" s="93">
        <f t="shared" si="150"/>
        <v>20066.36364</v>
      </c>
      <c r="H65" s="93">
        <f t="shared" si="142"/>
        <v>69</v>
      </c>
      <c r="I65" s="93">
        <f t="shared" si="143"/>
        <v>127.6595745</v>
      </c>
      <c r="J65" s="111">
        <f t="shared" ref="J65:J67" si="156">$J$64</f>
        <v>2.01</v>
      </c>
      <c r="K65" s="111">
        <f>1.76+0.39</f>
        <v>2.15</v>
      </c>
      <c r="L65" s="111">
        <f t="shared" si="151"/>
        <v>38.9</v>
      </c>
      <c r="M65" s="111">
        <f t="shared" si="152"/>
        <v>37.23</v>
      </c>
      <c r="N65" s="111">
        <f t="shared" si="153"/>
        <v>0.27</v>
      </c>
      <c r="O65" s="93">
        <f t="shared" si="154"/>
        <v>4</v>
      </c>
      <c r="P65" s="93">
        <f t="shared" si="155"/>
        <v>5</v>
      </c>
      <c r="Q65" s="93">
        <f t="shared" ref="Q65:Q67" si="157">$Q$64</f>
        <v>3</v>
      </c>
      <c r="R65" s="93">
        <f t="shared" si="146"/>
        <v>374</v>
      </c>
      <c r="S65" s="355">
        <f>S64</f>
        <v>404.5454545</v>
      </c>
      <c r="T65" s="95" t="s">
        <v>546</v>
      </c>
    </row>
    <row r="66">
      <c r="A66" s="376"/>
      <c r="B66" s="93">
        <v>2.0</v>
      </c>
      <c r="C66" s="93">
        <f t="shared" si="147"/>
        <v>419.3806194</v>
      </c>
      <c r="D66" s="353">
        <f t="shared" si="148"/>
        <v>488.5720963</v>
      </c>
      <c r="E66" s="349"/>
      <c r="F66" s="354">
        <f t="shared" si="149"/>
        <v>17914</v>
      </c>
      <c r="G66" s="93">
        <f t="shared" si="150"/>
        <v>19005.45455</v>
      </c>
      <c r="H66" s="93">
        <f t="shared" si="142"/>
        <v>69</v>
      </c>
      <c r="I66" s="93">
        <f t="shared" si="143"/>
        <v>127.6595745</v>
      </c>
      <c r="J66" s="111">
        <f t="shared" si="156"/>
        <v>2.01</v>
      </c>
      <c r="K66" s="111">
        <f>1.34+0.29</f>
        <v>1.63</v>
      </c>
      <c r="L66" s="111">
        <f t="shared" si="151"/>
        <v>39.03</v>
      </c>
      <c r="M66" s="111">
        <f t="shared" si="152"/>
        <v>38.9</v>
      </c>
      <c r="N66" s="111">
        <f t="shared" si="153"/>
        <v>0.22</v>
      </c>
      <c r="O66" s="93">
        <f t="shared" si="154"/>
        <v>3</v>
      </c>
      <c r="P66" s="93">
        <f t="shared" si="155"/>
        <v>4</v>
      </c>
      <c r="Q66" s="93">
        <f t="shared" si="157"/>
        <v>3</v>
      </c>
      <c r="R66" s="93">
        <f t="shared" si="146"/>
        <v>374</v>
      </c>
      <c r="S66" s="355">
        <f>S64</f>
        <v>404.5454545</v>
      </c>
      <c r="T66" s="95" t="s">
        <v>546</v>
      </c>
    </row>
    <row r="67">
      <c r="A67" s="381"/>
      <c r="B67" s="161">
        <v>3.0</v>
      </c>
      <c r="C67" s="161">
        <f t="shared" si="147"/>
        <v>441.1981083</v>
      </c>
      <c r="D67" s="356">
        <f t="shared" si="148"/>
        <v>488.5720963</v>
      </c>
      <c r="E67" s="349"/>
      <c r="F67" s="357">
        <f t="shared" si="149"/>
        <v>17914</v>
      </c>
      <c r="G67" s="161">
        <f t="shared" si="150"/>
        <v>19005.45455</v>
      </c>
      <c r="H67" s="161">
        <f t="shared" si="142"/>
        <v>69</v>
      </c>
      <c r="I67" s="161">
        <f t="shared" si="143"/>
        <v>127.6595745</v>
      </c>
      <c r="J67" s="111">
        <f t="shared" si="156"/>
        <v>2.01</v>
      </c>
      <c r="K67" s="358">
        <f>1.21+0.24</f>
        <v>1.45</v>
      </c>
      <c r="L67" s="358">
        <f t="shared" si="151"/>
        <v>39.03</v>
      </c>
      <c r="M67" s="358">
        <f t="shared" si="152"/>
        <v>38.9</v>
      </c>
      <c r="N67" s="358">
        <f t="shared" si="153"/>
        <v>0.04</v>
      </c>
      <c r="O67" s="161">
        <f t="shared" si="154"/>
        <v>3</v>
      </c>
      <c r="P67" s="161">
        <f t="shared" si="155"/>
        <v>4</v>
      </c>
      <c r="Q67" s="93">
        <f t="shared" si="157"/>
        <v>3</v>
      </c>
      <c r="R67" s="161">
        <f t="shared" si="146"/>
        <v>374</v>
      </c>
      <c r="S67" s="359">
        <f>S64</f>
        <v>404.5454545</v>
      </c>
      <c r="T67" s="95" t="s">
        <v>546</v>
      </c>
    </row>
    <row r="68">
      <c r="A68" s="382" t="s">
        <v>547</v>
      </c>
      <c r="B68" s="148">
        <v>0.0</v>
      </c>
      <c r="C68" s="148">
        <f t="shared" si="147"/>
        <v>1178.317152</v>
      </c>
      <c r="D68" s="348">
        <f t="shared" si="148"/>
        <v>1150.285714</v>
      </c>
      <c r="E68" s="349"/>
      <c r="F68" s="321">
        <f t="shared" si="149"/>
        <v>32769</v>
      </c>
      <c r="G68" s="148">
        <f t="shared" si="150"/>
        <v>32208</v>
      </c>
      <c r="H68" s="148">
        <f>'Reserves Data (Reference)'!$D$123</f>
        <v>63</v>
      </c>
      <c r="I68" s="148">
        <f>(3)/((0.46+0.46+0.49)*1/60)</f>
        <v>127.6595745</v>
      </c>
      <c r="J68" s="74">
        <v>1.15</v>
      </c>
      <c r="K68" s="74">
        <v>1.94</v>
      </c>
      <c r="L68" s="350">
        <f t="shared" si="151"/>
        <v>27.27</v>
      </c>
      <c r="M68" s="350">
        <f t="shared" si="152"/>
        <v>28</v>
      </c>
      <c r="N68" s="350">
        <f t="shared" si="153"/>
        <v>0.06</v>
      </c>
      <c r="O68" s="148">
        <f t="shared" si="154"/>
        <v>4</v>
      </c>
      <c r="P68" s="148">
        <f t="shared" si="155"/>
        <v>5</v>
      </c>
      <c r="Q68" s="73">
        <v>3.0</v>
      </c>
      <c r="R68" s="73">
        <v>385.0</v>
      </c>
      <c r="S68" s="351">
        <f>(433+417*4)</f>
        <v>2101</v>
      </c>
      <c r="T68" s="95" t="s">
        <v>548</v>
      </c>
    </row>
    <row r="69">
      <c r="A69" s="376"/>
      <c r="B69" s="93">
        <v>1.0</v>
      </c>
      <c r="C69" s="93">
        <f t="shared" si="147"/>
        <v>1262.015504</v>
      </c>
      <c r="D69" s="353">
        <f t="shared" si="148"/>
        <v>1201.650165</v>
      </c>
      <c r="E69" s="349"/>
      <c r="F69" s="354">
        <f t="shared" si="149"/>
        <v>33715</v>
      </c>
      <c r="G69" s="93">
        <f t="shared" si="150"/>
        <v>32769</v>
      </c>
      <c r="H69" s="93">
        <f t="shared" ref="H69:H77" si="158">$H$68</f>
        <v>63</v>
      </c>
      <c r="I69" s="93">
        <f t="shared" ref="I69:I75" si="159">$I$68</f>
        <v>127.6595745</v>
      </c>
      <c r="J69" s="85">
        <f t="shared" ref="J69:J75" si="160">$J$68</f>
        <v>1.15</v>
      </c>
      <c r="K69" s="85">
        <v>1.43</v>
      </c>
      <c r="L69" s="111">
        <f t="shared" si="151"/>
        <v>27.01</v>
      </c>
      <c r="M69" s="111">
        <f t="shared" si="152"/>
        <v>27.27</v>
      </c>
      <c r="N69" s="111">
        <f t="shared" si="153"/>
        <v>0.02</v>
      </c>
      <c r="O69" s="93">
        <f t="shared" si="154"/>
        <v>3</v>
      </c>
      <c r="P69" s="93">
        <f t="shared" si="155"/>
        <v>4</v>
      </c>
      <c r="Q69" s="93">
        <f t="shared" ref="Q69:Q75" si="161">$Q$68</f>
        <v>3</v>
      </c>
      <c r="R69" s="84">
        <f t="shared" ref="R69:R71" si="162">$R$68</f>
        <v>385</v>
      </c>
      <c r="S69" s="355">
        <f>S68</f>
        <v>2101</v>
      </c>
      <c r="T69" s="95" t="s">
        <v>548</v>
      </c>
    </row>
    <row r="70">
      <c r="A70" s="376"/>
      <c r="B70" s="93">
        <v>2.0</v>
      </c>
      <c r="C70" s="93">
        <f t="shared" si="147"/>
        <v>1335.348837</v>
      </c>
      <c r="D70" s="353">
        <f t="shared" si="148"/>
        <v>1271.875</v>
      </c>
      <c r="E70" s="349"/>
      <c r="F70" s="354">
        <f t="shared" si="149"/>
        <v>37323</v>
      </c>
      <c r="G70" s="93">
        <f t="shared" si="150"/>
        <v>33715</v>
      </c>
      <c r="H70" s="93">
        <f t="shared" si="158"/>
        <v>63</v>
      </c>
      <c r="I70" s="93">
        <f t="shared" si="159"/>
        <v>127.6595745</v>
      </c>
      <c r="J70" s="85">
        <f t="shared" si="160"/>
        <v>1.15</v>
      </c>
      <c r="K70" s="85">
        <v>1.0</v>
      </c>
      <c r="L70" s="111">
        <f t="shared" si="151"/>
        <v>27.17</v>
      </c>
      <c r="M70" s="111">
        <f t="shared" si="152"/>
        <v>27.01</v>
      </c>
      <c r="N70" s="111">
        <f t="shared" si="153"/>
        <v>0.06</v>
      </c>
      <c r="O70" s="93">
        <f t="shared" si="154"/>
        <v>2</v>
      </c>
      <c r="P70" s="93">
        <f t="shared" si="155"/>
        <v>3</v>
      </c>
      <c r="Q70" s="93">
        <f t="shared" si="161"/>
        <v>3</v>
      </c>
      <c r="R70" s="84">
        <f t="shared" si="162"/>
        <v>385</v>
      </c>
      <c r="S70" s="355">
        <f>S68</f>
        <v>2101</v>
      </c>
      <c r="T70" s="95" t="s">
        <v>548</v>
      </c>
    </row>
    <row r="71">
      <c r="A71" s="376"/>
      <c r="B71" s="161">
        <v>3.0</v>
      </c>
      <c r="C71" s="161">
        <f t="shared" si="147"/>
        <v>1249.246231</v>
      </c>
      <c r="D71" s="356">
        <f t="shared" si="148"/>
        <v>1373.684211</v>
      </c>
      <c r="E71" s="349"/>
      <c r="F71" s="357">
        <f t="shared" si="149"/>
        <v>39776</v>
      </c>
      <c r="G71" s="161">
        <f t="shared" si="150"/>
        <v>37323</v>
      </c>
      <c r="H71" s="161">
        <f t="shared" si="158"/>
        <v>63</v>
      </c>
      <c r="I71" s="93">
        <f t="shared" si="159"/>
        <v>127.6595745</v>
      </c>
      <c r="J71" s="85">
        <f t="shared" si="160"/>
        <v>1.15</v>
      </c>
      <c r="K71" s="145">
        <v>0.84</v>
      </c>
      <c r="L71" s="358">
        <f t="shared" si="151"/>
        <v>25.92</v>
      </c>
      <c r="M71" s="358">
        <f t="shared" si="152"/>
        <v>27.17</v>
      </c>
      <c r="N71" s="358">
        <f t="shared" si="153"/>
        <v>0.37</v>
      </c>
      <c r="O71" s="161">
        <f t="shared" si="154"/>
        <v>1</v>
      </c>
      <c r="P71" s="161">
        <f t="shared" si="155"/>
        <v>2</v>
      </c>
      <c r="Q71" s="93">
        <f t="shared" si="161"/>
        <v>3</v>
      </c>
      <c r="R71" s="144">
        <f t="shared" si="162"/>
        <v>385</v>
      </c>
      <c r="S71" s="359">
        <f>S68</f>
        <v>2101</v>
      </c>
      <c r="T71" s="95" t="s">
        <v>548</v>
      </c>
    </row>
    <row r="72">
      <c r="A72" s="367"/>
      <c r="B72" s="93">
        <v>0.0</v>
      </c>
      <c r="C72" s="93">
        <f t="shared" si="147"/>
        <v>1693.830906</v>
      </c>
      <c r="D72" s="353">
        <f t="shared" si="148"/>
        <v>1653.535714</v>
      </c>
      <c r="E72" s="349"/>
      <c r="F72" s="354">
        <f t="shared" si="149"/>
        <v>47105.4375</v>
      </c>
      <c r="G72" s="93">
        <f t="shared" si="150"/>
        <v>46299</v>
      </c>
      <c r="H72" s="93">
        <f t="shared" si="158"/>
        <v>63</v>
      </c>
      <c r="I72" s="93">
        <f t="shared" si="159"/>
        <v>127.6595745</v>
      </c>
      <c r="J72" s="85">
        <f t="shared" si="160"/>
        <v>1.15</v>
      </c>
      <c r="K72" s="85">
        <v>1.94</v>
      </c>
      <c r="L72" s="111">
        <f t="shared" si="151"/>
        <v>27.27</v>
      </c>
      <c r="M72" s="111">
        <f t="shared" si="152"/>
        <v>28</v>
      </c>
      <c r="N72" s="111">
        <f t="shared" si="153"/>
        <v>0.06</v>
      </c>
      <c r="O72" s="93">
        <f t="shared" si="154"/>
        <v>4</v>
      </c>
      <c r="P72" s="93">
        <f t="shared" si="155"/>
        <v>5</v>
      </c>
      <c r="Q72" s="93">
        <f t="shared" si="161"/>
        <v>3</v>
      </c>
      <c r="R72" s="84">
        <f t="shared" ref="R72:R75" si="163">$R$68*1.25*1.15</f>
        <v>553.4375</v>
      </c>
      <c r="S72" s="355">
        <f>$S$68*1.25*1.15</f>
        <v>3020.1875</v>
      </c>
      <c r="T72" s="95" t="s">
        <v>549</v>
      </c>
    </row>
    <row r="73">
      <c r="A73" s="367"/>
      <c r="B73" s="93">
        <v>1.0</v>
      </c>
      <c r="C73" s="93">
        <f t="shared" si="147"/>
        <v>1814.147287</v>
      </c>
      <c r="D73" s="353">
        <f t="shared" si="148"/>
        <v>1727.372112</v>
      </c>
      <c r="E73" s="349"/>
      <c r="F73" s="354">
        <f t="shared" si="149"/>
        <v>48465.3125</v>
      </c>
      <c r="G73" s="93">
        <f t="shared" si="150"/>
        <v>47105.4375</v>
      </c>
      <c r="H73" s="93">
        <f t="shared" si="158"/>
        <v>63</v>
      </c>
      <c r="I73" s="93">
        <f t="shared" si="159"/>
        <v>127.6595745</v>
      </c>
      <c r="J73" s="85">
        <f t="shared" si="160"/>
        <v>1.15</v>
      </c>
      <c r="K73" s="85">
        <v>1.43</v>
      </c>
      <c r="L73" s="111">
        <f t="shared" si="151"/>
        <v>27.01</v>
      </c>
      <c r="M73" s="111">
        <f t="shared" si="152"/>
        <v>27.27</v>
      </c>
      <c r="N73" s="111">
        <f t="shared" si="153"/>
        <v>0.02</v>
      </c>
      <c r="O73" s="93">
        <f t="shared" si="154"/>
        <v>3</v>
      </c>
      <c r="P73" s="93">
        <f t="shared" si="155"/>
        <v>4</v>
      </c>
      <c r="Q73" s="93">
        <f t="shared" si="161"/>
        <v>3</v>
      </c>
      <c r="R73" s="84">
        <f t="shared" si="163"/>
        <v>553.4375</v>
      </c>
      <c r="S73" s="355">
        <f>S72</f>
        <v>3020.1875</v>
      </c>
      <c r="T73" s="95" t="s">
        <v>549</v>
      </c>
    </row>
    <row r="74">
      <c r="A74" s="367"/>
      <c r="B74" s="93">
        <v>2.0</v>
      </c>
      <c r="C74" s="93">
        <f t="shared" si="147"/>
        <v>1919.563953</v>
      </c>
      <c r="D74" s="353">
        <f t="shared" si="148"/>
        <v>1828.320313</v>
      </c>
      <c r="E74" s="349"/>
      <c r="F74" s="354">
        <f t="shared" si="149"/>
        <v>53651.8125</v>
      </c>
      <c r="G74" s="93">
        <f t="shared" si="150"/>
        <v>48465.3125</v>
      </c>
      <c r="H74" s="93">
        <f t="shared" si="158"/>
        <v>63</v>
      </c>
      <c r="I74" s="93">
        <f t="shared" si="159"/>
        <v>127.6595745</v>
      </c>
      <c r="J74" s="85">
        <f t="shared" si="160"/>
        <v>1.15</v>
      </c>
      <c r="K74" s="85">
        <v>1.0</v>
      </c>
      <c r="L74" s="111">
        <f t="shared" si="151"/>
        <v>27.17</v>
      </c>
      <c r="M74" s="111">
        <f t="shared" si="152"/>
        <v>27.01</v>
      </c>
      <c r="N74" s="111">
        <f t="shared" si="153"/>
        <v>0.06</v>
      </c>
      <c r="O74" s="93">
        <f t="shared" si="154"/>
        <v>2</v>
      </c>
      <c r="P74" s="93">
        <f t="shared" si="155"/>
        <v>3</v>
      </c>
      <c r="Q74" s="93">
        <f t="shared" si="161"/>
        <v>3</v>
      </c>
      <c r="R74" s="84">
        <f t="shared" si="163"/>
        <v>553.4375</v>
      </c>
      <c r="S74" s="355">
        <f>S72</f>
        <v>3020.1875</v>
      </c>
      <c r="T74" s="95" t="s">
        <v>549</v>
      </c>
    </row>
    <row r="75">
      <c r="A75" s="367"/>
      <c r="B75" s="93">
        <v>3.0</v>
      </c>
      <c r="C75" s="161">
        <f t="shared" si="147"/>
        <v>1795.791457</v>
      </c>
      <c r="D75" s="356">
        <f t="shared" si="148"/>
        <v>1974.671053</v>
      </c>
      <c r="E75" s="349"/>
      <c r="F75" s="357">
        <f t="shared" si="149"/>
        <v>57178</v>
      </c>
      <c r="G75" s="161">
        <f t="shared" si="150"/>
        <v>53651.8125</v>
      </c>
      <c r="H75" s="161">
        <f t="shared" si="158"/>
        <v>63</v>
      </c>
      <c r="I75" s="93">
        <f t="shared" si="159"/>
        <v>127.6595745</v>
      </c>
      <c r="J75" s="85">
        <f t="shared" si="160"/>
        <v>1.15</v>
      </c>
      <c r="K75" s="145">
        <v>0.84</v>
      </c>
      <c r="L75" s="358">
        <f t="shared" si="151"/>
        <v>25.92</v>
      </c>
      <c r="M75" s="358">
        <f t="shared" si="152"/>
        <v>27.17</v>
      </c>
      <c r="N75" s="358">
        <f t="shared" si="153"/>
        <v>0.37</v>
      </c>
      <c r="O75" s="161">
        <f t="shared" si="154"/>
        <v>1</v>
      </c>
      <c r="P75" s="161">
        <f t="shared" si="155"/>
        <v>2</v>
      </c>
      <c r="Q75" s="93">
        <f t="shared" si="161"/>
        <v>3</v>
      </c>
      <c r="R75" s="144">
        <f t="shared" si="163"/>
        <v>553.4375</v>
      </c>
      <c r="S75" s="359">
        <f>S72</f>
        <v>3020.1875</v>
      </c>
      <c r="T75" s="95" t="s">
        <v>549</v>
      </c>
    </row>
    <row r="76">
      <c r="A76" s="367" t="s">
        <v>534</v>
      </c>
      <c r="B76" s="213" t="s">
        <v>60</v>
      </c>
      <c r="C76" s="368">
        <f>(R76+S76)/(0.5+0.46+0.49)</f>
        <v>470.3448276</v>
      </c>
      <c r="D76" s="369">
        <f>(R76+S76)/(0.5+0.46+0.49)</f>
        <v>470.3448276</v>
      </c>
      <c r="E76" s="370"/>
      <c r="F76" s="371">
        <f>floor(H76/(1+Q76),1)*(R76+S76)
+if(mod(H76, 1+Q76) &gt; 1+Q76,
(R76+S76),
R76)</f>
        <v>21463</v>
      </c>
      <c r="G76" s="372">
        <f>floor(H76/(1+Q76),1)*(R76+S76)
+if(mod(H76, 1+Q76) &gt; 1+Q76,
(R76+S76),
R76)</f>
        <v>21463</v>
      </c>
      <c r="H76" s="161">
        <f t="shared" si="158"/>
        <v>63</v>
      </c>
      <c r="I76" s="214">
        <f>(2/(0.05+0.46+0.49))*60</f>
        <v>120</v>
      </c>
      <c r="J76" s="215">
        <v>0.48</v>
      </c>
      <c r="K76" s="215" t="s">
        <v>60</v>
      </c>
      <c r="L76" s="215">
        <f>H76*1/I76*60</f>
        <v>31.5</v>
      </c>
      <c r="M76" s="215">
        <f>H76*1/I76*60</f>
        <v>31.5</v>
      </c>
      <c r="N76" s="215" t="s">
        <v>60</v>
      </c>
      <c r="O76" s="215" t="s">
        <v>60</v>
      </c>
      <c r="P76" s="215" t="s">
        <v>60</v>
      </c>
      <c r="Q76" s="213">
        <v>1.0</v>
      </c>
      <c r="R76" s="377">
        <v>321.0</v>
      </c>
      <c r="S76" s="378">
        <v>361.0</v>
      </c>
    </row>
    <row r="77">
      <c r="A77" s="383" t="s">
        <v>535</v>
      </c>
      <c r="B77" s="331" t="s">
        <v>60</v>
      </c>
      <c r="C77" s="384">
        <f>R77*I77*1/60</f>
        <v>819.1489362</v>
      </c>
      <c r="D77" s="385">
        <f>R77*I77*1/60</f>
        <v>819.1489362</v>
      </c>
      <c r="E77" s="349"/>
      <c r="F77" s="386">
        <f>H77*R77</f>
        <v>24255</v>
      </c>
      <c r="G77" s="387">
        <f>H77*R77</f>
        <v>24255</v>
      </c>
      <c r="H77" s="387">
        <f t="shared" si="158"/>
        <v>63</v>
      </c>
      <c r="I77" s="387">
        <f>$I$68</f>
        <v>127.6595745</v>
      </c>
      <c r="J77" s="388" t="s">
        <v>60</v>
      </c>
      <c r="K77" s="332" t="s">
        <v>60</v>
      </c>
      <c r="L77" s="332" t="s">
        <v>60</v>
      </c>
      <c r="M77" s="332" t="s">
        <v>60</v>
      </c>
      <c r="N77" s="332" t="s">
        <v>60</v>
      </c>
      <c r="O77" s="332" t="s">
        <v>60</v>
      </c>
      <c r="P77" s="332" t="s">
        <v>60</v>
      </c>
      <c r="Q77" s="387" t="s">
        <v>60</v>
      </c>
      <c r="R77" s="331">
        <f>$R$68</f>
        <v>385</v>
      </c>
      <c r="S77" s="389" t="s">
        <v>60</v>
      </c>
    </row>
    <row r="78">
      <c r="A78" s="337"/>
      <c r="B78" s="337"/>
      <c r="C78" s="337"/>
      <c r="D78" s="337"/>
      <c r="E78" s="337"/>
      <c r="F78" s="337"/>
      <c r="G78" s="337"/>
      <c r="H78" s="337"/>
      <c r="I78" s="337"/>
      <c r="J78" s="337"/>
      <c r="K78" s="337"/>
      <c r="L78" s="337"/>
      <c r="M78" s="337"/>
      <c r="N78" s="337"/>
      <c r="O78" s="337"/>
      <c r="P78" s="337"/>
      <c r="Q78" s="337"/>
      <c r="R78" s="337"/>
      <c r="S78" s="337"/>
    </row>
    <row r="79">
      <c r="A79" s="390" t="s">
        <v>550</v>
      </c>
    </row>
    <row r="80">
      <c r="B80" s="391" t="s">
        <v>551</v>
      </c>
      <c r="C80" s="392"/>
      <c r="D80" s="393" t="s">
        <v>552</v>
      </c>
      <c r="E80" s="394"/>
      <c r="F80" s="391" t="s">
        <v>553</v>
      </c>
      <c r="G80" s="392"/>
      <c r="H80" s="393" t="s">
        <v>554</v>
      </c>
      <c r="I80" s="394"/>
      <c r="J80" s="391" t="s">
        <v>555</v>
      </c>
      <c r="K80" s="392"/>
      <c r="L80" s="391" t="s">
        <v>556</v>
      </c>
      <c r="M80" s="392"/>
      <c r="N80" s="393" t="s">
        <v>557</v>
      </c>
      <c r="O80" s="394"/>
      <c r="P80" s="391" t="s">
        <v>558</v>
      </c>
      <c r="Q80" s="394"/>
      <c r="R80" s="395"/>
      <c r="S80" s="337"/>
    </row>
    <row r="81">
      <c r="B81" s="396" t="s">
        <v>559</v>
      </c>
      <c r="C81" s="397">
        <v>0.98</v>
      </c>
      <c r="D81" s="95" t="s">
        <v>560</v>
      </c>
      <c r="E81" s="398">
        <v>1.08</v>
      </c>
      <c r="F81" s="396" t="s">
        <v>561</v>
      </c>
      <c r="G81" s="397">
        <v>0.58</v>
      </c>
      <c r="H81" s="95" t="s">
        <v>562</v>
      </c>
      <c r="I81" s="398">
        <v>0.1</v>
      </c>
      <c r="J81" s="396" t="s">
        <v>562</v>
      </c>
      <c r="K81" s="397">
        <v>4.07</v>
      </c>
      <c r="L81" s="396" t="s">
        <v>563</v>
      </c>
      <c r="M81" s="399">
        <f>$R$9</f>
        <v>436</v>
      </c>
      <c r="N81" s="95" t="s">
        <v>564</v>
      </c>
      <c r="O81" s="400">
        <f>436+109*2</f>
        <v>654</v>
      </c>
      <c r="P81" s="396" t="s">
        <v>564</v>
      </c>
      <c r="Q81" s="400">
        <f>814+153*2</f>
        <v>1120</v>
      </c>
      <c r="R81" s="396"/>
      <c r="S81" s="398"/>
    </row>
    <row r="82">
      <c r="B82" s="396" t="s">
        <v>565</v>
      </c>
      <c r="C82" s="397">
        <v>0.49</v>
      </c>
      <c r="D82" s="95" t="s">
        <v>561</v>
      </c>
      <c r="E82" s="398">
        <v>0.46</v>
      </c>
      <c r="F82" s="396" t="s">
        <v>566</v>
      </c>
      <c r="G82" s="397">
        <v>0.89</v>
      </c>
      <c r="H82" s="95" t="s">
        <v>567</v>
      </c>
      <c r="I82" s="398">
        <v>0.07</v>
      </c>
      <c r="J82" s="396" t="s">
        <v>567</v>
      </c>
      <c r="K82" s="397">
        <v>2.96</v>
      </c>
      <c r="L82" s="396" t="s">
        <v>568</v>
      </c>
      <c r="M82" s="401">
        <f>$S$9</f>
        <v>1492</v>
      </c>
      <c r="N82" s="95" t="s">
        <v>569</v>
      </c>
      <c r="O82" s="95">
        <f>582+109*2</f>
        <v>800</v>
      </c>
      <c r="P82" s="396" t="s">
        <v>569</v>
      </c>
      <c r="Q82" s="400">
        <f>1163+218*2</f>
        <v>1599</v>
      </c>
      <c r="R82" s="396"/>
      <c r="S82" s="398"/>
    </row>
    <row r="83">
      <c r="B83" s="396" t="s">
        <v>570</v>
      </c>
      <c r="C83" s="397">
        <v>0.5</v>
      </c>
      <c r="D83" s="95" t="s">
        <v>566</v>
      </c>
      <c r="E83" s="398">
        <v>0.46</v>
      </c>
      <c r="F83" s="396" t="s">
        <v>571</v>
      </c>
      <c r="G83" s="397">
        <v>0.85</v>
      </c>
      <c r="H83" s="95" t="s">
        <v>572</v>
      </c>
      <c r="I83" s="398">
        <v>0.05</v>
      </c>
      <c r="J83" s="396" t="s">
        <v>572</v>
      </c>
      <c r="K83" s="397">
        <v>2.12</v>
      </c>
      <c r="L83" s="396"/>
      <c r="M83" s="402"/>
      <c r="N83" s="95" t="s">
        <v>573</v>
      </c>
      <c r="O83" s="400">
        <f>O82</f>
        <v>800</v>
      </c>
      <c r="P83" s="396" t="s">
        <v>573</v>
      </c>
      <c r="Q83" s="400">
        <f>1512 + 284*2</f>
        <v>2080</v>
      </c>
      <c r="R83" s="396"/>
      <c r="S83" s="398"/>
    </row>
    <row r="84">
      <c r="B84" s="396" t="s">
        <v>574</v>
      </c>
      <c r="C84" s="397">
        <v>0.5</v>
      </c>
      <c r="D84" s="95" t="s">
        <v>571</v>
      </c>
      <c r="E84" s="398">
        <v>0.49</v>
      </c>
      <c r="F84" s="403"/>
      <c r="G84" s="402"/>
      <c r="H84" s="95" t="s">
        <v>575</v>
      </c>
      <c r="I84" s="398">
        <v>0.03</v>
      </c>
      <c r="J84" s="396" t="s">
        <v>575</v>
      </c>
      <c r="K84" s="397">
        <v>1.86</v>
      </c>
      <c r="L84" s="403"/>
      <c r="M84" s="402"/>
      <c r="N84" s="95" t="s">
        <v>576</v>
      </c>
      <c r="O84" s="400">
        <f>O82</f>
        <v>800</v>
      </c>
      <c r="P84" s="396" t="s">
        <v>576</v>
      </c>
      <c r="Q84" s="95">
        <f>1363 + 273*2</f>
        <v>1909</v>
      </c>
      <c r="R84" s="396"/>
      <c r="S84" s="398"/>
    </row>
    <row r="85">
      <c r="B85" s="404" t="s">
        <v>577</v>
      </c>
      <c r="C85" s="405">
        <v>0.15</v>
      </c>
      <c r="D85" s="406" t="s">
        <v>578</v>
      </c>
      <c r="E85" s="407">
        <f>(3)/((E82+E83+E84)*1/60)</f>
        <v>127.6595745</v>
      </c>
      <c r="F85" s="404"/>
      <c r="G85" s="405"/>
      <c r="H85" s="408"/>
      <c r="I85" s="408"/>
      <c r="J85" s="404"/>
      <c r="K85" s="405"/>
      <c r="L85" s="404"/>
      <c r="M85" s="405"/>
      <c r="N85" s="408"/>
      <c r="O85" s="408"/>
      <c r="P85" s="404"/>
      <c r="Q85" s="408"/>
      <c r="R85" s="403"/>
    </row>
    <row r="87">
      <c r="A87" s="409" t="s">
        <v>579</v>
      </c>
      <c r="B87" s="410" t="s">
        <v>517</v>
      </c>
      <c r="C87" s="411" t="s">
        <v>580</v>
      </c>
      <c r="D87" s="412"/>
      <c r="E87" s="58"/>
      <c r="F87" s="409" t="s">
        <v>32</v>
      </c>
      <c r="G87" s="410" t="s">
        <v>581</v>
      </c>
      <c r="H87" s="410" t="s">
        <v>522</v>
      </c>
      <c r="I87" s="410" t="s">
        <v>582</v>
      </c>
      <c r="J87" s="410" t="s">
        <v>583</v>
      </c>
      <c r="K87" s="410" t="s">
        <v>584</v>
      </c>
      <c r="L87" s="410" t="s">
        <v>585</v>
      </c>
      <c r="M87" s="410" t="s">
        <v>586</v>
      </c>
      <c r="N87" s="413" t="s">
        <v>587</v>
      </c>
      <c r="O87" s="58"/>
      <c r="P87" s="63"/>
      <c r="Q87" s="63"/>
      <c r="R87" s="63"/>
      <c r="S87" s="414"/>
      <c r="T87" s="58"/>
      <c r="U87" s="58"/>
      <c r="V87" s="58"/>
      <c r="W87" s="58"/>
      <c r="X87" s="58"/>
      <c r="Y87" s="58"/>
      <c r="Z87" s="58"/>
      <c r="AA87" s="58"/>
      <c r="AB87" s="58"/>
    </row>
    <row r="88">
      <c r="A88" s="415" t="s">
        <v>535</v>
      </c>
      <c r="B88" s="200">
        <v>0.0</v>
      </c>
      <c r="C88" s="416">
        <f>M81*E85*1/60</f>
        <v>927.6595745</v>
      </c>
      <c r="D88" s="417"/>
      <c r="F88" s="418">
        <f>H88*M81</f>
        <v>28340</v>
      </c>
      <c r="G88" s="375">
        <f>M81+M81+M81</f>
        <v>1308</v>
      </c>
      <c r="H88" s="103">
        <f>'Reserves Data (Reference)'!$D$125</f>
        <v>65</v>
      </c>
      <c r="I88" s="200" t="s">
        <v>60</v>
      </c>
      <c r="J88" s="200" t="s">
        <v>60</v>
      </c>
      <c r="K88" s="200" t="s">
        <v>60</v>
      </c>
      <c r="L88" s="201">
        <f>E82+E83+E84</f>
        <v>1.41</v>
      </c>
      <c r="M88" s="201">
        <f>H88*1/E85*60</f>
        <v>30.55</v>
      </c>
      <c r="N88" s="419">
        <f>3</f>
        <v>3</v>
      </c>
      <c r="P88" s="337"/>
      <c r="Q88" s="339"/>
      <c r="R88" s="339"/>
      <c r="S88" s="420"/>
    </row>
    <row r="89">
      <c r="A89" s="421" t="s">
        <v>588</v>
      </c>
      <c r="B89" s="92">
        <v>0.0</v>
      </c>
      <c r="C89" s="353">
        <f t="shared" ref="C89:C102" si="164">(G89)/(L89)</f>
        <v>910.5691057</v>
      </c>
      <c r="D89" s="422"/>
      <c r="F89" s="423">
        <f>ceiling(H89/2,1)*Q81</f>
        <v>36960</v>
      </c>
      <c r="G89" s="424">
        <f>Q81</f>
        <v>1120</v>
      </c>
      <c r="H89" s="84">
        <f t="shared" ref="H89:H102" si="165">$H$88</f>
        <v>65</v>
      </c>
      <c r="I89" s="92" t="s">
        <v>60</v>
      </c>
      <c r="J89" s="92" t="s">
        <v>60</v>
      </c>
      <c r="K89" s="92" t="s">
        <v>60</v>
      </c>
      <c r="L89" s="85">
        <f>C81+I81+C85</f>
        <v>1.23</v>
      </c>
      <c r="M89" s="85">
        <f t="shared" ref="M89:M90" si="166">CEILING(H89/N89,1)*L89</f>
        <v>40.59</v>
      </c>
      <c r="N89" s="206">
        <v>2.0</v>
      </c>
      <c r="P89" s="337"/>
      <c r="Q89" s="339"/>
      <c r="R89" s="339"/>
      <c r="S89" s="340"/>
    </row>
    <row r="90">
      <c r="A90" s="421" t="s">
        <v>589</v>
      </c>
      <c r="B90" s="92">
        <v>0.0</v>
      </c>
      <c r="C90" s="353">
        <f t="shared" si="164"/>
        <v>1264.40678</v>
      </c>
      <c r="D90" s="422"/>
      <c r="F90" s="423">
        <f>ceiling(H90/4,1)*M82</f>
        <v>25364</v>
      </c>
      <c r="G90" s="93">
        <f>M82</f>
        <v>1492</v>
      </c>
      <c r="H90" s="84">
        <f t="shared" si="165"/>
        <v>65</v>
      </c>
      <c r="I90" s="92" t="s">
        <v>60</v>
      </c>
      <c r="J90" s="92" t="s">
        <v>60</v>
      </c>
      <c r="K90" s="92" t="s">
        <v>60</v>
      </c>
      <c r="L90" s="85">
        <f>E81+I81</f>
        <v>1.18</v>
      </c>
      <c r="M90" s="85">
        <f t="shared" si="166"/>
        <v>20.06</v>
      </c>
      <c r="N90" s="206">
        <v>4.0</v>
      </c>
      <c r="P90" s="337"/>
      <c r="Q90" s="339"/>
      <c r="R90" s="339"/>
      <c r="S90" s="340"/>
    </row>
    <row r="91">
      <c r="A91" s="421" t="s">
        <v>590</v>
      </c>
      <c r="B91" s="92">
        <v>0.0</v>
      </c>
      <c r="C91" s="353">
        <f t="shared" si="164"/>
        <v>1088.663968</v>
      </c>
      <c r="D91" s="422"/>
      <c r="F91" s="423">
        <f>floor(H91/(I91+J91*2+K91),1)*G91
+O81+Q81</f>
        <v>44798</v>
      </c>
      <c r="G91" s="93">
        <f>O81+Q82+M81</f>
        <v>2689</v>
      </c>
      <c r="H91" s="84">
        <f t="shared" si="165"/>
        <v>65</v>
      </c>
      <c r="I91" s="92">
        <v>1.0</v>
      </c>
      <c r="J91" s="92">
        <v>1.0</v>
      </c>
      <c r="K91" s="92">
        <v>1.0</v>
      </c>
      <c r="L91" s="85">
        <f>C85+C82+C81+G83</f>
        <v>2.47</v>
      </c>
      <c r="M91" s="85">
        <f>floor(H91/N91,1)*L91
+C82+C81</f>
        <v>40.99</v>
      </c>
      <c r="N91" s="355">
        <f t="shared" ref="N91:N102" si="167">I91+J91*2+K91</f>
        <v>4</v>
      </c>
      <c r="P91" s="337"/>
      <c r="Q91" s="339"/>
      <c r="R91" s="339"/>
      <c r="S91" s="420"/>
    </row>
    <row r="92">
      <c r="A92" s="421" t="s">
        <v>591</v>
      </c>
      <c r="B92" s="92">
        <v>2.0</v>
      </c>
      <c r="C92" s="353">
        <f t="shared" si="164"/>
        <v>1336.700337</v>
      </c>
      <c r="D92" s="422"/>
      <c r="F92" s="423">
        <f>floor(H92/(I92+J92*2+K92),1)*G92
+ O81+O82+Q82</f>
        <v>54663</v>
      </c>
      <c r="G92" s="93">
        <f>O81+O82+Q83+M81</f>
        <v>3970</v>
      </c>
      <c r="H92" s="84">
        <f t="shared" si="165"/>
        <v>65</v>
      </c>
      <c r="I92" s="92">
        <v>2.0</v>
      </c>
      <c r="J92" s="92">
        <v>1.0</v>
      </c>
      <c r="K92" s="92">
        <v>1.0</v>
      </c>
      <c r="L92" s="85">
        <f>C85+C82+C83+C81+G83</f>
        <v>2.97</v>
      </c>
      <c r="M92" s="85">
        <f>floor(H92/N92,1)*L92
+C82+C83+C81</f>
        <v>40.58</v>
      </c>
      <c r="N92" s="355">
        <f t="shared" si="167"/>
        <v>5</v>
      </c>
      <c r="P92" s="337"/>
      <c r="Q92" s="339"/>
      <c r="R92" s="339"/>
      <c r="S92" s="420"/>
    </row>
    <row r="93">
      <c r="A93" s="421" t="s">
        <v>592</v>
      </c>
      <c r="B93" s="92">
        <v>3.0</v>
      </c>
      <c r="C93" s="353">
        <f t="shared" si="164"/>
        <v>1288.235294</v>
      </c>
      <c r="D93" s="422"/>
      <c r="F93" s="423">
        <f>floor(H93/(I93+J93*2+K93),1)*G93
+ O81+O82+O83+Q83</f>
        <v>50324</v>
      </c>
      <c r="G93" s="93">
        <f>O81+O82+O83+Q84+M81</f>
        <v>4599</v>
      </c>
      <c r="H93" s="84">
        <f t="shared" si="165"/>
        <v>65</v>
      </c>
      <c r="I93" s="92">
        <v>3.0</v>
      </c>
      <c r="J93" s="92">
        <v>1.0</v>
      </c>
      <c r="K93" s="92">
        <v>1.0</v>
      </c>
      <c r="L93" s="85">
        <f>C85+C82+C83+C84+C81+G83+0.1</f>
        <v>3.57</v>
      </c>
      <c r="M93" s="85">
        <f>floor(H93/N93,1)*L93
+C82+C83+C84+C81</f>
        <v>38.17</v>
      </c>
      <c r="N93" s="355">
        <f t="shared" si="167"/>
        <v>6</v>
      </c>
      <c r="P93" s="337"/>
      <c r="Q93" s="339"/>
      <c r="R93" s="339"/>
      <c r="S93" s="420"/>
    </row>
    <row r="94">
      <c r="A94" s="421" t="s">
        <v>593</v>
      </c>
      <c r="B94" s="92">
        <v>0.0</v>
      </c>
      <c r="C94" s="353">
        <f t="shared" si="164"/>
        <v>1161.710037</v>
      </c>
      <c r="D94" s="422"/>
      <c r="F94" s="423">
        <f>floor(H94/(I94+J94*2+K94),1)*G94
+ O81+Q81</f>
        <v>42399</v>
      </c>
      <c r="G94" s="93">
        <f>O81+Q82+M81+M81</f>
        <v>3125</v>
      </c>
      <c r="H94" s="84">
        <f t="shared" si="165"/>
        <v>65</v>
      </c>
      <c r="I94" s="92">
        <v>1.0</v>
      </c>
      <c r="J94" s="92">
        <v>1.0</v>
      </c>
      <c r="K94" s="92">
        <v>2.0</v>
      </c>
      <c r="L94" s="85">
        <f>C85+C82+C81+E84+G81</f>
        <v>2.69</v>
      </c>
      <c r="M94" s="85">
        <f>floor(H94/N94,1)*L94
+C82+C81</f>
        <v>36.44</v>
      </c>
      <c r="N94" s="355">
        <f t="shared" si="167"/>
        <v>5</v>
      </c>
      <c r="P94" s="337"/>
      <c r="Q94" s="339"/>
      <c r="R94" s="339"/>
      <c r="S94" s="420"/>
    </row>
    <row r="95">
      <c r="A95" s="421" t="s">
        <v>594</v>
      </c>
      <c r="B95" s="92">
        <v>1.0</v>
      </c>
      <c r="C95" s="353">
        <f t="shared" si="164"/>
        <v>1381.191223</v>
      </c>
      <c r="D95" s="422"/>
      <c r="F95" s="423">
        <f>floor(H95/(I95+J95*2+K95),1)*G95
+ O81+O82+Q82</f>
        <v>47113</v>
      </c>
      <c r="G95" s="93">
        <f>O81+O82+Q83+M81+M81</f>
        <v>4406</v>
      </c>
      <c r="H95" s="84">
        <f t="shared" si="165"/>
        <v>65</v>
      </c>
      <c r="I95" s="92">
        <v>2.0</v>
      </c>
      <c r="J95" s="92">
        <v>1.0</v>
      </c>
      <c r="K95" s="92">
        <v>2.0</v>
      </c>
      <c r="L95" s="85">
        <f>C85+C82+C83+C81+E84+G81</f>
        <v>3.19</v>
      </c>
      <c r="M95" s="85">
        <f>floor(H95/N95,1)*L95
+C82+C83+C81</f>
        <v>33.87</v>
      </c>
      <c r="N95" s="355">
        <f t="shared" si="167"/>
        <v>6</v>
      </c>
      <c r="P95" s="337"/>
      <c r="Q95" s="339"/>
      <c r="R95" s="339"/>
      <c r="S95" s="420"/>
    </row>
    <row r="96">
      <c r="A96" s="421" t="s">
        <v>595</v>
      </c>
      <c r="B96" s="92">
        <v>2.0</v>
      </c>
      <c r="C96" s="353">
        <f t="shared" si="164"/>
        <v>1364.498645</v>
      </c>
      <c r="D96" s="422"/>
      <c r="F96" s="423">
        <f>floor(H96/(I96+J96*2+K96),1)*G96
+ O81+O82</f>
        <v>46769</v>
      </c>
      <c r="G96" s="93">
        <f>O81+O82+O83+Q84+M81+M81</f>
        <v>5035</v>
      </c>
      <c r="H96" s="84">
        <f t="shared" si="165"/>
        <v>65</v>
      </c>
      <c r="I96" s="92">
        <v>3.0</v>
      </c>
      <c r="J96" s="92">
        <v>1.0</v>
      </c>
      <c r="K96" s="92">
        <v>2.0</v>
      </c>
      <c r="L96" s="85">
        <f>C85+C82+C83+C84+C81+E84+G81</f>
        <v>3.69</v>
      </c>
      <c r="M96" s="85">
        <f>floor(H96/N96,1)*L96
+C82+C83</f>
        <v>34.2</v>
      </c>
      <c r="N96" s="355">
        <f t="shared" si="167"/>
        <v>7</v>
      </c>
      <c r="P96" s="337"/>
      <c r="Q96" s="339"/>
      <c r="R96" s="339"/>
      <c r="S96" s="420"/>
    </row>
    <row r="97">
      <c r="A97" s="421" t="s">
        <v>596</v>
      </c>
      <c r="B97" s="92">
        <v>3.0</v>
      </c>
      <c r="C97" s="353">
        <f t="shared" si="164"/>
        <v>1360.13986</v>
      </c>
      <c r="D97" s="422"/>
      <c r="F97" s="423">
        <f>floor(H97/(I97+J97*2+K97),1)*G97
+ O81+O82</f>
        <v>48134</v>
      </c>
      <c r="G97" s="93">
        <f>O81+O82+O83+O84+Q84+M81+M81</f>
        <v>5835</v>
      </c>
      <c r="H97" s="84">
        <f t="shared" si="165"/>
        <v>65</v>
      </c>
      <c r="I97" s="92">
        <v>4.0</v>
      </c>
      <c r="J97" s="92">
        <v>1.0</v>
      </c>
      <c r="K97" s="92">
        <v>2.0</v>
      </c>
      <c r="L97" s="85">
        <f>C85+C82+C83+C84+C83+C81+E84+G81+0.1</f>
        <v>4.29</v>
      </c>
      <c r="M97" s="85">
        <f>floor(H97/N97,1)*L97
+C82+C83</f>
        <v>35.31</v>
      </c>
      <c r="N97" s="355">
        <f t="shared" si="167"/>
        <v>8</v>
      </c>
      <c r="P97" s="337"/>
      <c r="Q97" s="339"/>
      <c r="R97" s="339"/>
      <c r="S97" s="420"/>
    </row>
    <row r="98">
      <c r="A98" s="421" t="s">
        <v>597</v>
      </c>
      <c r="B98" s="92">
        <v>0.0</v>
      </c>
      <c r="C98" s="353">
        <f t="shared" si="164"/>
        <v>1029.190751</v>
      </c>
      <c r="D98" s="422"/>
      <c r="F98" s="376">
        <f>floor(H98/(I98+J98*2+K98),1)*G98
+ O81+Q81+M81</f>
        <v>37820</v>
      </c>
      <c r="G98" s="93">
        <f>O81+Q82+M81+M81+M81</f>
        <v>3561</v>
      </c>
      <c r="H98" s="84">
        <f t="shared" si="165"/>
        <v>65</v>
      </c>
      <c r="I98" s="92">
        <v>1.0</v>
      </c>
      <c r="J98" s="92">
        <v>1.0</v>
      </c>
      <c r="K98" s="92">
        <v>3.0</v>
      </c>
      <c r="L98" s="85">
        <f>C85+C82+C81+E84+E82+G82</f>
        <v>3.46</v>
      </c>
      <c r="M98" s="85">
        <f>floor(H98/N98,1)*L98
+C82+C81+E84</f>
        <v>36.56</v>
      </c>
      <c r="N98" s="355">
        <f t="shared" si="167"/>
        <v>6</v>
      </c>
      <c r="P98" s="337"/>
      <c r="Q98" s="339"/>
      <c r="R98" s="339"/>
      <c r="S98" s="420"/>
    </row>
    <row r="99">
      <c r="A99" s="421" t="s">
        <v>598</v>
      </c>
      <c r="B99" s="92">
        <v>0.0</v>
      </c>
      <c r="C99" s="353">
        <f t="shared" si="164"/>
        <v>1326.575342</v>
      </c>
      <c r="D99" s="422"/>
      <c r="F99" s="423">
        <f>floor(H99/(I99+J99*2+K99),1)*G99
+ O81+O82</f>
        <v>45032</v>
      </c>
      <c r="G99" s="93">
        <f>O81+O82+Q83+M81+M81+M81</f>
        <v>4842</v>
      </c>
      <c r="H99" s="84">
        <f t="shared" si="165"/>
        <v>65</v>
      </c>
      <c r="I99" s="92">
        <v>2.0</v>
      </c>
      <c r="J99" s="92">
        <v>1.0</v>
      </c>
      <c r="K99" s="92">
        <v>3.0</v>
      </c>
      <c r="L99" s="85">
        <f>C85+C82+C83+C81+E84+E82+G81</f>
        <v>3.65</v>
      </c>
      <c r="M99" s="85">
        <f>floor(H99/N99,1)*L99
+C82+C83</f>
        <v>33.84</v>
      </c>
      <c r="N99" s="355">
        <f t="shared" si="167"/>
        <v>7</v>
      </c>
      <c r="P99" s="337"/>
      <c r="Q99" s="339"/>
      <c r="R99" s="339"/>
      <c r="S99" s="420"/>
    </row>
    <row r="100">
      <c r="A100" s="421" t="s">
        <v>599</v>
      </c>
      <c r="B100" s="92">
        <v>1.0</v>
      </c>
      <c r="C100" s="353">
        <f t="shared" si="164"/>
        <v>1237.782805</v>
      </c>
      <c r="D100" s="422"/>
      <c r="F100" s="423">
        <f>floor(H100/(I100+J100*2+K100),1)*G100
+ O81+O82</f>
        <v>45222</v>
      </c>
      <c r="G100" s="93">
        <f>O81+O82+O83+Q84+M81+M81+M81</f>
        <v>5471</v>
      </c>
      <c r="H100" s="84">
        <f t="shared" si="165"/>
        <v>65</v>
      </c>
      <c r="I100" s="92">
        <v>3.0</v>
      </c>
      <c r="J100" s="92">
        <v>1.0</v>
      </c>
      <c r="K100" s="92">
        <v>3.0</v>
      </c>
      <c r="L100" s="85">
        <f>C85+C82+C83+C84+C81+E84+E82+G83</f>
        <v>4.42</v>
      </c>
      <c r="M100" s="85">
        <f>floor(H100/N100,1)*L100
+C82+C83</f>
        <v>36.35</v>
      </c>
      <c r="N100" s="355">
        <f t="shared" si="167"/>
        <v>8</v>
      </c>
      <c r="P100" s="337"/>
      <c r="Q100" s="339"/>
      <c r="R100" s="339"/>
      <c r="S100" s="420"/>
    </row>
    <row r="101">
      <c r="A101" s="421" t="s">
        <v>600</v>
      </c>
      <c r="B101" s="92">
        <v>2.0</v>
      </c>
      <c r="C101" s="353">
        <f t="shared" si="164"/>
        <v>1264.314516</v>
      </c>
      <c r="D101" s="422"/>
      <c r="F101" s="423">
        <f>floor(H101/(I101+J101*2+K101),1)*G101
+ O81+O82+O83+O84</f>
        <v>46951</v>
      </c>
      <c r="G101" s="93">
        <f>O81+O82+O83+O84+Q84+M81+M81+M81</f>
        <v>6271</v>
      </c>
      <c r="H101" s="84">
        <f t="shared" si="165"/>
        <v>65</v>
      </c>
      <c r="I101" s="92">
        <v>4.0</v>
      </c>
      <c r="J101" s="92">
        <v>1.0</v>
      </c>
      <c r="K101" s="92">
        <v>3.0</v>
      </c>
      <c r="L101" s="85">
        <f>C85+C82+C83+C84+C83+C81+E84+E82+G82</f>
        <v>4.96</v>
      </c>
      <c r="M101" s="85">
        <f>floor(H101/N101,1)*L101
+C82+C83+C84+C83</f>
        <v>36.71</v>
      </c>
      <c r="N101" s="355">
        <f t="shared" si="167"/>
        <v>9</v>
      </c>
      <c r="P101" s="337"/>
      <c r="Q101" s="339"/>
      <c r="R101" s="339"/>
      <c r="S101" s="420"/>
    </row>
    <row r="102">
      <c r="A102" s="425" t="s">
        <v>601</v>
      </c>
      <c r="B102" s="426">
        <v>3.0</v>
      </c>
      <c r="C102" s="427">
        <f t="shared" si="164"/>
        <v>1295.054945</v>
      </c>
      <c r="D102" s="428"/>
      <c r="F102" s="429">
        <f>floor(H102/(I102+J102*2+K102),1)*G102
+ O81+O82+O83+O84+O84+Q84+M81</f>
        <v>48625</v>
      </c>
      <c r="G102" s="387">
        <f>O81+O82+O83+O84+O84+Q84+M81+M81+M81</f>
        <v>7071</v>
      </c>
      <c r="H102" s="331">
        <f t="shared" si="165"/>
        <v>65</v>
      </c>
      <c r="I102" s="426">
        <v>5.0</v>
      </c>
      <c r="J102" s="426">
        <v>1.0</v>
      </c>
      <c r="K102" s="426">
        <v>3.0</v>
      </c>
      <c r="L102" s="332">
        <f>C85+C82+C83+C84+C83+C84+C81+E84+E82+G82</f>
        <v>5.46</v>
      </c>
      <c r="M102" s="332">
        <f>floor(H102/N102,1)*L102
+C82+C83+C84+C83+C84+C81+E84</f>
        <v>36.72</v>
      </c>
      <c r="N102" s="430">
        <f t="shared" si="167"/>
        <v>10</v>
      </c>
      <c r="P102" s="337"/>
      <c r="Q102" s="339"/>
      <c r="R102" s="339"/>
      <c r="S102" s="420"/>
    </row>
    <row r="103">
      <c r="C103" s="342"/>
      <c r="D103" s="342"/>
    </row>
    <row r="104">
      <c r="A104" s="390" t="s">
        <v>602</v>
      </c>
    </row>
    <row r="105">
      <c r="A105" s="343" t="s">
        <v>603</v>
      </c>
      <c r="B105" s="344" t="s">
        <v>517</v>
      </c>
      <c r="C105" s="344" t="s">
        <v>518</v>
      </c>
      <c r="D105" s="345" t="s">
        <v>519</v>
      </c>
      <c r="E105" s="346"/>
      <c r="F105" s="343" t="s">
        <v>520</v>
      </c>
      <c r="G105" s="344" t="s">
        <v>521</v>
      </c>
      <c r="H105" s="344" t="s">
        <v>522</v>
      </c>
      <c r="I105" s="344" t="s">
        <v>523</v>
      </c>
      <c r="J105" s="344" t="s">
        <v>524</v>
      </c>
      <c r="K105" s="344" t="s">
        <v>525</v>
      </c>
      <c r="L105" s="344" t="s">
        <v>526</v>
      </c>
      <c r="M105" s="344" t="s">
        <v>527</v>
      </c>
      <c r="N105" s="344" t="s">
        <v>528</v>
      </c>
      <c r="O105" s="344" t="s">
        <v>529</v>
      </c>
      <c r="P105" s="344" t="s">
        <v>530</v>
      </c>
      <c r="Q105" s="344" t="s">
        <v>531</v>
      </c>
      <c r="R105" s="344" t="s">
        <v>532</v>
      </c>
      <c r="S105" s="345" t="s">
        <v>533</v>
      </c>
    </row>
    <row r="106">
      <c r="A106" s="382" t="s">
        <v>537</v>
      </c>
      <c r="B106" s="148">
        <v>0.0</v>
      </c>
      <c r="C106" s="148">
        <f t="shared" ref="C106:C109" si="168">(O106*R106 + S106)
/ (K106 + J106)</f>
        <v>664.7260274</v>
      </c>
      <c r="D106" s="348">
        <f t="shared" ref="D106:D109" si="169">(P106*R106 + S106)
/ (P106*1/I106*60 + J106)</f>
        <v>696.25</v>
      </c>
      <c r="E106" s="349"/>
      <c r="F106" s="321">
        <f t="shared" ref="F106:F109" si="170">floor(H106/(O106+Q106),1)*(O106*R106+S106)
+ if(mod(H106, O106+Q106) &gt; O106,
(O106*R106+S106),
mod(H106, O106+Q106)*R106)</f>
        <v>10566</v>
      </c>
      <c r="G106" s="148">
        <f t="shared" ref="G106:G109" si="171">floor(H106/(P106+Q106),1)*(P106*R106+S106)
+ if(mod(H106, P106+Q106) &gt; P106,
(P106*R106+S106),
mod(H106, P106+Q106)*R106)</f>
        <v>11140</v>
      </c>
      <c r="H106" s="148">
        <f>'Reserves Data (Reference)'!$D$124</f>
        <v>48</v>
      </c>
      <c r="I106" s="148">
        <f t="shared" ref="I106:I109" si="172">(3)/((0.46+0.46+0.49)*1/60)</f>
        <v>127.6595745</v>
      </c>
      <c r="J106" s="350">
        <f>$J$15</f>
        <v>1.32</v>
      </c>
      <c r="K106" s="74">
        <v>1.6</v>
      </c>
      <c r="L106" s="350">
        <f t="shared" ref="L106:L109" si="173">floor(H106/(O106+Q106),1)*(O106*1/I106*60+J106)
+ if(mod(H106, O106+Q106) &gt; O106,
(O106*1/I106*60+J106),
mod(H106, O106+Q106)*1/I106*60)</f>
        <v>15.06</v>
      </c>
      <c r="M106" s="350">
        <f t="shared" ref="M106:M109" si="174">floor(H106/(P106+Q106),1)*(P106*1/I106*60+J106)
+ if(mod(H106, P106+Q106) &gt; P106,
(P106*1/I106*60+J106),
mod(H106, P106+Q106)*1/I106*60)</f>
        <v>16</v>
      </c>
      <c r="N106" s="350">
        <f t="shared" ref="N106:N109" si="175">K106-(O106*1/I106*60)</f>
        <v>0.19</v>
      </c>
      <c r="O106" s="148">
        <f t="shared" ref="O106:O109" si="176">CEILING(K106*I106*1/60,1)-1</f>
        <v>3</v>
      </c>
      <c r="P106" s="148">
        <f t="shared" ref="P106:P109" si="177">O106+1</f>
        <v>4</v>
      </c>
      <c r="Q106" s="73">
        <v>6.0</v>
      </c>
      <c r="R106" s="73">
        <v>287.0</v>
      </c>
      <c r="S106" s="195">
        <f>180*6</f>
        <v>1080</v>
      </c>
    </row>
    <row r="107">
      <c r="B107" s="84">
        <v>1.0</v>
      </c>
      <c r="C107" s="93">
        <f t="shared" si="168"/>
        <v>689.1666667</v>
      </c>
      <c r="D107" s="353">
        <f t="shared" si="169"/>
        <v>710.989011</v>
      </c>
      <c r="E107" s="349"/>
      <c r="F107" s="354">
        <f t="shared" si="170"/>
        <v>9924</v>
      </c>
      <c r="G107" s="93">
        <f t="shared" si="171"/>
        <v>10566</v>
      </c>
      <c r="H107" s="93">
        <f t="shared" ref="H107:H134" si="179">$H$106</f>
        <v>48</v>
      </c>
      <c r="I107" s="93">
        <f t="shared" si="172"/>
        <v>127.6595745</v>
      </c>
      <c r="J107" s="111">
        <f>J106</f>
        <v>1.32</v>
      </c>
      <c r="K107" s="85">
        <v>1.08</v>
      </c>
      <c r="L107" s="111">
        <f t="shared" si="173"/>
        <v>13.56</v>
      </c>
      <c r="M107" s="111">
        <f t="shared" si="174"/>
        <v>15.06</v>
      </c>
      <c r="N107" s="111">
        <f t="shared" si="175"/>
        <v>0.14</v>
      </c>
      <c r="O107" s="93">
        <f t="shared" si="176"/>
        <v>2</v>
      </c>
      <c r="P107" s="93">
        <f t="shared" si="177"/>
        <v>3</v>
      </c>
      <c r="Q107" s="84">
        <f t="shared" ref="Q107:S107" si="178">Q106</f>
        <v>6</v>
      </c>
      <c r="R107" s="84">
        <f t="shared" si="178"/>
        <v>287</v>
      </c>
      <c r="S107" s="355">
        <f t="shared" si="178"/>
        <v>1080</v>
      </c>
    </row>
    <row r="108">
      <c r="B108" s="84">
        <v>2.0</v>
      </c>
      <c r="C108" s="93">
        <f t="shared" si="168"/>
        <v>708.2901554</v>
      </c>
      <c r="D108" s="353">
        <f t="shared" si="169"/>
        <v>731.8584071</v>
      </c>
      <c r="E108" s="349"/>
      <c r="F108" s="354">
        <f t="shared" si="170"/>
        <v>9569</v>
      </c>
      <c r="G108" s="93">
        <f t="shared" si="171"/>
        <v>9924</v>
      </c>
      <c r="H108" s="93">
        <f t="shared" si="179"/>
        <v>48</v>
      </c>
      <c r="I108" s="93">
        <f t="shared" si="172"/>
        <v>127.6595745</v>
      </c>
      <c r="J108" s="111">
        <f>J106</f>
        <v>1.32</v>
      </c>
      <c r="K108" s="85">
        <v>0.61</v>
      </c>
      <c r="L108" s="111">
        <f t="shared" si="173"/>
        <v>12.53</v>
      </c>
      <c r="M108" s="111">
        <f t="shared" si="174"/>
        <v>13.56</v>
      </c>
      <c r="N108" s="111">
        <f t="shared" si="175"/>
        <v>0.14</v>
      </c>
      <c r="O108" s="93">
        <f t="shared" si="176"/>
        <v>1</v>
      </c>
      <c r="P108" s="93">
        <f t="shared" si="177"/>
        <v>2</v>
      </c>
      <c r="Q108" s="84">
        <f t="shared" ref="Q108:S108" si="180">Q106</f>
        <v>6</v>
      </c>
      <c r="R108" s="84">
        <f t="shared" si="180"/>
        <v>287</v>
      </c>
      <c r="S108" s="355">
        <f t="shared" si="180"/>
        <v>1080</v>
      </c>
    </row>
    <row r="109">
      <c r="B109" s="84">
        <v>3.0</v>
      </c>
      <c r="C109" s="93">
        <f t="shared" si="168"/>
        <v>610.1694915</v>
      </c>
      <c r="D109" s="353">
        <f t="shared" si="169"/>
        <v>763.6871508</v>
      </c>
      <c r="E109" s="349"/>
      <c r="F109" s="354">
        <f t="shared" si="170"/>
        <v>8640</v>
      </c>
      <c r="G109" s="93">
        <f t="shared" si="171"/>
        <v>9569</v>
      </c>
      <c r="H109" s="93">
        <f t="shared" si="179"/>
        <v>48</v>
      </c>
      <c r="I109" s="93">
        <f t="shared" si="172"/>
        <v>127.6595745</v>
      </c>
      <c r="J109" s="111">
        <f>J106</f>
        <v>1.32</v>
      </c>
      <c r="K109" s="85">
        <v>0.45</v>
      </c>
      <c r="L109" s="111">
        <f t="shared" si="173"/>
        <v>10.56</v>
      </c>
      <c r="M109" s="111">
        <f t="shared" si="174"/>
        <v>12.53</v>
      </c>
      <c r="N109" s="111">
        <f t="shared" si="175"/>
        <v>0.45</v>
      </c>
      <c r="O109" s="93">
        <f t="shared" si="176"/>
        <v>0</v>
      </c>
      <c r="P109" s="93">
        <f t="shared" si="177"/>
        <v>1</v>
      </c>
      <c r="Q109" s="84">
        <f t="shared" ref="Q109:S109" si="181">Q106</f>
        <v>6</v>
      </c>
      <c r="R109" s="84">
        <f t="shared" si="181"/>
        <v>287</v>
      </c>
      <c r="S109" s="355">
        <f t="shared" si="181"/>
        <v>1080</v>
      </c>
    </row>
    <row r="110">
      <c r="A110" s="352" t="s">
        <v>534</v>
      </c>
      <c r="B110" s="84">
        <v>0.0</v>
      </c>
      <c r="C110" s="161">
        <f>(R110+S110)/(0.5+0.33+0.48)</f>
        <v>389.3129771</v>
      </c>
      <c r="D110" s="356">
        <f>(R110+S110)/(0.5+0.33+0.48)</f>
        <v>389.3129771</v>
      </c>
      <c r="E110" s="349"/>
      <c r="F110" s="357">
        <f>floor(H110/(1+Q110),1)*(R110+S110)+mod(H110, (1+Q110))*R110</f>
        <v>8160</v>
      </c>
      <c r="G110" s="161">
        <f>floor(H110/(1+Q110),1)*(R110+S110)+mod(H110, (1+Q110))*R110</f>
        <v>8160</v>
      </c>
      <c r="H110" s="93">
        <f t="shared" si="179"/>
        <v>48</v>
      </c>
      <c r="I110" s="214">
        <f>(2/(0.05+0.33+0.48))*60</f>
        <v>139.5348837</v>
      </c>
      <c r="J110" s="145">
        <v>0.48</v>
      </c>
      <c r="K110" s="145" t="s">
        <v>60</v>
      </c>
      <c r="L110" s="145">
        <f>H110*1/I110*60</f>
        <v>20.64</v>
      </c>
      <c r="M110" s="145">
        <f>H110*1/I110*60</f>
        <v>20.64</v>
      </c>
      <c r="N110" s="145" t="s">
        <v>60</v>
      </c>
      <c r="O110" s="145" t="s">
        <v>60</v>
      </c>
      <c r="P110" s="145" t="s">
        <v>60</v>
      </c>
      <c r="Q110" s="144">
        <v>2.0</v>
      </c>
      <c r="R110" s="144">
        <v>240.0</v>
      </c>
      <c r="S110" s="279">
        <v>270.0</v>
      </c>
    </row>
    <row r="111">
      <c r="A111" s="431" t="s">
        <v>535</v>
      </c>
      <c r="B111" s="172" t="s">
        <v>60</v>
      </c>
      <c r="C111" s="432">
        <f>R111*I111*1/60</f>
        <v>610.6382979</v>
      </c>
      <c r="D111" s="433">
        <f>R111*I111*1/60</f>
        <v>610.6382979</v>
      </c>
      <c r="E111" s="349"/>
      <c r="F111" s="434">
        <f>H111*R111</f>
        <v>13776</v>
      </c>
      <c r="G111" s="380">
        <f>H111*R111</f>
        <v>13776</v>
      </c>
      <c r="H111" s="380">
        <f t="shared" si="179"/>
        <v>48</v>
      </c>
      <c r="I111" s="380">
        <f>$I$3</f>
        <v>127.6595745</v>
      </c>
      <c r="J111" s="173" t="s">
        <v>60</v>
      </c>
      <c r="K111" s="173" t="s">
        <v>60</v>
      </c>
      <c r="L111" s="173" t="s">
        <v>60</v>
      </c>
      <c r="M111" s="173" t="s">
        <v>60</v>
      </c>
      <c r="N111" s="173" t="s">
        <v>60</v>
      </c>
      <c r="O111" s="173" t="s">
        <v>60</v>
      </c>
      <c r="P111" s="173" t="s">
        <v>60</v>
      </c>
      <c r="Q111" s="172" t="s">
        <v>60</v>
      </c>
      <c r="R111" s="380">
        <f>R106</f>
        <v>287</v>
      </c>
      <c r="S111" s="435" t="s">
        <v>60</v>
      </c>
    </row>
    <row r="112">
      <c r="A112" s="382" t="s">
        <v>538</v>
      </c>
      <c r="B112" s="148">
        <v>0.0</v>
      </c>
      <c r="C112" s="148">
        <f t="shared" ref="C112:C115" si="182">(O112*R112 + S112)
/ (K112 + J112)</f>
        <v>700.6493506</v>
      </c>
      <c r="D112" s="348">
        <f t="shared" ref="D112:D115" si="183">(P112*R112 + S112)
/ (P112*1/I112*60 + J112)</f>
        <v>712.8279883</v>
      </c>
      <c r="E112" s="349"/>
      <c r="F112" s="321">
        <f t="shared" ref="F112:F115" si="184">floor(H112/(O112+Q112),1)*(O112*R112+S112)
+ if(mod(H112, O112+Q112) &gt; O112,
(O112*R112+S112),
mod(H112, O112+Q112)*R112)</f>
        <v>12948</v>
      </c>
      <c r="G112" s="148">
        <f t="shared" ref="G112:G115" si="185">floor(H112/(P112+Q112),1)*(P112*R112+S112)
+ if(mod(H112, P112+Q112) &gt; P112,
(P112*R112+S112),
mod(H112, P112+Q112)*R112)</f>
        <v>13086</v>
      </c>
      <c r="H112" s="148">
        <f t="shared" si="179"/>
        <v>48</v>
      </c>
      <c r="I112" s="148">
        <f t="shared" ref="I112:I115" si="186">(3)/((0.46+0.46+0.49)*1/60)</f>
        <v>127.6595745</v>
      </c>
      <c r="J112" s="350">
        <v>1.08</v>
      </c>
      <c r="K112" s="74">
        <v>2.0</v>
      </c>
      <c r="L112" s="350">
        <f t="shared" ref="L112:L115" si="187">floor(H112/(O112+Q112),1)*(O112*1/I112*60+J112)
+ if(mod(H112, O112+Q112) &gt; O112,
(O112*1/I112*60+J112),
mod(H112, O112+Q112)*1/I112*60)</f>
        <v>17.76</v>
      </c>
      <c r="M112" s="350">
        <f t="shared" ref="M112:M115" si="188">floor(H112/(P112+Q112),1)*(P112*1/I112*60+J112)
+ if(mod(H112, P112+Q112) &gt; P112,
(P112*1/I112*60+J112),
mod(H112, P112+Q112)*1/I112*60)</f>
        <v>18.56</v>
      </c>
      <c r="N112" s="350">
        <f t="shared" ref="N112:N115" si="189">K112-(O112*1/I112*60)</f>
        <v>0.12</v>
      </c>
      <c r="O112" s="148">
        <f t="shared" ref="O112:O115" si="190">CEILING(K112*I112*1/60,1)-1</f>
        <v>4</v>
      </c>
      <c r="P112" s="148">
        <f t="shared" ref="P112:P115" si="191">O112+1</f>
        <v>5</v>
      </c>
      <c r="Q112" s="148">
        <v>4.0</v>
      </c>
      <c r="R112" s="73">
        <f>$R$106</f>
        <v>287</v>
      </c>
      <c r="S112" s="195">
        <f>101*10</f>
        <v>1010</v>
      </c>
    </row>
    <row r="113">
      <c r="B113" s="84">
        <v>1.0</v>
      </c>
      <c r="C113" s="93">
        <f t="shared" si="182"/>
        <v>728.0155642</v>
      </c>
      <c r="D113" s="353">
        <f t="shared" si="183"/>
        <v>729.0540541</v>
      </c>
      <c r="E113" s="349"/>
      <c r="F113" s="354">
        <f t="shared" si="184"/>
        <v>13097</v>
      </c>
      <c r="G113" s="93">
        <f t="shared" si="185"/>
        <v>12948</v>
      </c>
      <c r="H113" s="93">
        <f t="shared" si="179"/>
        <v>48</v>
      </c>
      <c r="I113" s="93">
        <f t="shared" si="186"/>
        <v>127.6595745</v>
      </c>
      <c r="J113" s="111">
        <f>J112</f>
        <v>1.08</v>
      </c>
      <c r="K113" s="85">
        <v>1.49</v>
      </c>
      <c r="L113" s="111">
        <f t="shared" si="187"/>
        <v>17.43</v>
      </c>
      <c r="M113" s="111">
        <f t="shared" si="188"/>
        <v>17.76</v>
      </c>
      <c r="N113" s="111">
        <f t="shared" si="189"/>
        <v>0.08</v>
      </c>
      <c r="O113" s="93">
        <f t="shared" si="190"/>
        <v>3</v>
      </c>
      <c r="P113" s="93">
        <f t="shared" si="191"/>
        <v>4</v>
      </c>
      <c r="Q113" s="84">
        <f t="shared" ref="Q113:S113" si="192">Q112</f>
        <v>4</v>
      </c>
      <c r="R113" s="84">
        <f t="shared" si="192"/>
        <v>287</v>
      </c>
      <c r="S113" s="355">
        <f t="shared" si="192"/>
        <v>1010</v>
      </c>
    </row>
    <row r="114">
      <c r="B114" s="84">
        <v>2.0</v>
      </c>
      <c r="C114" s="93">
        <f t="shared" si="182"/>
        <v>750.7109005</v>
      </c>
      <c r="D114" s="353">
        <f t="shared" si="183"/>
        <v>751.4056225</v>
      </c>
      <c r="E114" s="349"/>
      <c r="F114" s="354">
        <f t="shared" si="184"/>
        <v>12672</v>
      </c>
      <c r="G114" s="93">
        <f t="shared" si="185"/>
        <v>13097</v>
      </c>
      <c r="H114" s="93">
        <f t="shared" si="179"/>
        <v>48</v>
      </c>
      <c r="I114" s="93">
        <f t="shared" si="186"/>
        <v>127.6595745</v>
      </c>
      <c r="J114" s="111">
        <f>J112</f>
        <v>1.08</v>
      </c>
      <c r="K114" s="85">
        <v>1.03</v>
      </c>
      <c r="L114" s="111">
        <f t="shared" si="187"/>
        <v>16.16</v>
      </c>
      <c r="M114" s="111">
        <f t="shared" si="188"/>
        <v>17.43</v>
      </c>
      <c r="N114" s="111">
        <f t="shared" si="189"/>
        <v>0.09</v>
      </c>
      <c r="O114" s="93">
        <f t="shared" si="190"/>
        <v>2</v>
      </c>
      <c r="P114" s="93">
        <f t="shared" si="191"/>
        <v>3</v>
      </c>
      <c r="Q114" s="84">
        <f t="shared" ref="Q114:S114" si="193">Q112</f>
        <v>4</v>
      </c>
      <c r="R114" s="84">
        <f t="shared" si="193"/>
        <v>287</v>
      </c>
      <c r="S114" s="355">
        <f t="shared" si="193"/>
        <v>1010</v>
      </c>
    </row>
    <row r="115">
      <c r="B115" s="84">
        <v>3.0</v>
      </c>
      <c r="C115" s="93">
        <f t="shared" si="182"/>
        <v>672.0207254</v>
      </c>
      <c r="D115" s="353">
        <f t="shared" si="183"/>
        <v>784.1584158</v>
      </c>
      <c r="E115" s="349"/>
      <c r="F115" s="354">
        <f t="shared" si="184"/>
        <v>12970</v>
      </c>
      <c r="G115" s="93">
        <f t="shared" si="185"/>
        <v>12672</v>
      </c>
      <c r="H115" s="93">
        <f t="shared" si="179"/>
        <v>48</v>
      </c>
      <c r="I115" s="93">
        <f t="shared" si="186"/>
        <v>127.6595745</v>
      </c>
      <c r="J115" s="111">
        <f>J112</f>
        <v>1.08</v>
      </c>
      <c r="K115" s="85">
        <v>0.85</v>
      </c>
      <c r="L115" s="111">
        <f t="shared" si="187"/>
        <v>15.5</v>
      </c>
      <c r="M115" s="111">
        <f t="shared" si="188"/>
        <v>16.16</v>
      </c>
      <c r="N115" s="111">
        <f t="shared" si="189"/>
        <v>0.38</v>
      </c>
      <c r="O115" s="93">
        <f t="shared" si="190"/>
        <v>1</v>
      </c>
      <c r="P115" s="93">
        <f t="shared" si="191"/>
        <v>2</v>
      </c>
      <c r="Q115" s="84">
        <f t="shared" ref="Q115:S115" si="194">Q112</f>
        <v>4</v>
      </c>
      <c r="R115" s="84">
        <f t="shared" si="194"/>
        <v>287</v>
      </c>
      <c r="S115" s="355">
        <f t="shared" si="194"/>
        <v>1010</v>
      </c>
    </row>
    <row r="116">
      <c r="A116" s="352" t="s">
        <v>534</v>
      </c>
      <c r="B116" s="84">
        <v>0.0</v>
      </c>
      <c r="C116" s="161">
        <f>(R116+S116)/(0.5+0.33+0.48)</f>
        <v>389.3129771</v>
      </c>
      <c r="D116" s="356">
        <f>(R116+S116)/(0.5+0.33+0.48)</f>
        <v>389.3129771</v>
      </c>
      <c r="E116" s="349"/>
      <c r="F116" s="357">
        <f>floor(H116/(1+Q116),1)*(R116+S116)+mod(H116, (1+Q116))*R116</f>
        <v>8160</v>
      </c>
      <c r="G116" s="161">
        <f>floor(H116/(1+Q116),1)*(R116+S116)+mod(H116, (1+Q116))*R116</f>
        <v>8160</v>
      </c>
      <c r="H116" s="93">
        <f t="shared" si="179"/>
        <v>48</v>
      </c>
      <c r="I116" s="214">
        <f>(2/(0.05+0.33+0.48))*60</f>
        <v>139.5348837</v>
      </c>
      <c r="J116" s="145">
        <v>0.48</v>
      </c>
      <c r="K116" s="145" t="s">
        <v>60</v>
      </c>
      <c r="L116" s="145">
        <f>H116*1/I116*60</f>
        <v>20.64</v>
      </c>
      <c r="M116" s="145">
        <f>H116*1/I116*60</f>
        <v>20.64</v>
      </c>
      <c r="N116" s="145" t="s">
        <v>60</v>
      </c>
      <c r="O116" s="145" t="s">
        <v>60</v>
      </c>
      <c r="P116" s="145" t="s">
        <v>60</v>
      </c>
      <c r="Q116" s="144">
        <v>2.0</v>
      </c>
      <c r="R116" s="144">
        <f>$R$110</f>
        <v>240</v>
      </c>
      <c r="S116" s="279">
        <f>$S$110</f>
        <v>270</v>
      </c>
    </row>
    <row r="117">
      <c r="A117" s="431" t="s">
        <v>535</v>
      </c>
      <c r="B117" s="172" t="s">
        <v>60</v>
      </c>
      <c r="C117" s="432">
        <f>R117*I117*1/60</f>
        <v>610.6382979</v>
      </c>
      <c r="D117" s="433">
        <f>R117*I117*1/60</f>
        <v>610.6382979</v>
      </c>
      <c r="E117" s="349"/>
      <c r="F117" s="434">
        <f>H117*R117</f>
        <v>13776</v>
      </c>
      <c r="G117" s="380">
        <f>H117*R117</f>
        <v>13776</v>
      </c>
      <c r="H117" s="380">
        <f t="shared" si="179"/>
        <v>48</v>
      </c>
      <c r="I117" s="380">
        <f>$I$3</f>
        <v>127.6595745</v>
      </c>
      <c r="J117" s="173" t="s">
        <v>60</v>
      </c>
      <c r="K117" s="173" t="s">
        <v>60</v>
      </c>
      <c r="L117" s="173" t="s">
        <v>60</v>
      </c>
      <c r="M117" s="173" t="s">
        <v>60</v>
      </c>
      <c r="N117" s="173" t="s">
        <v>60</v>
      </c>
      <c r="O117" s="173" t="s">
        <v>60</v>
      </c>
      <c r="P117" s="173" t="s">
        <v>60</v>
      </c>
      <c r="Q117" s="172" t="s">
        <v>60</v>
      </c>
      <c r="R117" s="380">
        <f>R112</f>
        <v>287</v>
      </c>
      <c r="S117" s="435" t="s">
        <v>60</v>
      </c>
    </row>
    <row r="118">
      <c r="A118" s="382" t="s">
        <v>604</v>
      </c>
      <c r="B118" s="148">
        <v>0.0</v>
      </c>
      <c r="C118" s="148" t="str">
        <f t="shared" ref="C118:C121" si="195">(O118*R118 + S118)
/ (K118 + J118)</f>
        <v>#VALUE!</v>
      </c>
      <c r="D118" s="348" t="str">
        <f t="shared" ref="D118:D121" si="196">(P118*R118 + S118)
/ (P118*1/I118*60 + J118)</f>
        <v>#VALUE!</v>
      </c>
      <c r="E118" s="349"/>
      <c r="F118" s="321" t="str">
        <f t="shared" ref="F118:F121" si="197">floor(H118/(O118+Q118),1)*(O118*R118+S118)
+ if(mod(H118, O118+Q118) &gt; O118,
(O118*R118+S118),
mod(H118, O118+Q118)*R118)</f>
        <v>#VALUE!</v>
      </c>
      <c r="G118" s="148" t="str">
        <f t="shared" ref="G118:G121" si="198">floor(H118/(P118+Q118),1)*(P118*R118+S118)
+ if(mod(H118, P118+Q118) &gt; P118,
(P118*R118+S118),
mod(H118, P118+Q118)*R118)</f>
        <v>#VALUE!</v>
      </c>
      <c r="H118" s="148">
        <f t="shared" si="179"/>
        <v>48</v>
      </c>
      <c r="I118" s="148">
        <f t="shared" ref="I118:I121" si="199">(3)/((0.46+0.46+0.49)*1/60)</f>
        <v>127.6595745</v>
      </c>
      <c r="J118" s="74">
        <f>$J$27</f>
        <v>1.65</v>
      </c>
      <c r="K118" s="363" t="s">
        <v>540</v>
      </c>
      <c r="L118" s="350" t="str">
        <f t="shared" ref="L118:L121" si="200">floor(H118/(O118+Q118),1)*(O118*1/I118*60+J118)
+ if(mod(H118, O118+Q118) &gt; O118,
(O118*1/I118*60+J118),
mod(H118, O118+Q118)*1/I118*60)</f>
        <v>#VALUE!</v>
      </c>
      <c r="M118" s="350" t="str">
        <f t="shared" ref="M118:M121" si="201">floor(H118/(P118+Q118),1)*(P118*1/I118*60+J118)
+ if(mod(H118, P118+Q118) &gt; P118,
(P118*1/I118*60+J118),
mod(H118, P118+Q118)*1/I118*60)</f>
        <v>#VALUE!</v>
      </c>
      <c r="N118" s="350" t="str">
        <f t="shared" ref="N118:N121" si="202">K118-(O118*1/I118*60)</f>
        <v>#VALUE!</v>
      </c>
      <c r="O118" s="148" t="str">
        <f t="shared" ref="O118:O121" si="203">CEILING(K118*I118*1/60,1)-1</f>
        <v>#VALUE!</v>
      </c>
      <c r="P118" s="148" t="str">
        <f t="shared" ref="P118:P121" si="204">O118+1</f>
        <v>#VALUE!</v>
      </c>
      <c r="Q118" s="73">
        <v>4.0</v>
      </c>
      <c r="R118" s="73">
        <f>$R$106</f>
        <v>287</v>
      </c>
      <c r="S118" s="195">
        <f>775+R118</f>
        <v>1062</v>
      </c>
    </row>
    <row r="119">
      <c r="B119" s="84">
        <v>1.0</v>
      </c>
      <c r="C119" s="93" t="str">
        <f t="shared" si="195"/>
        <v>#VALUE!</v>
      </c>
      <c r="D119" s="353" t="str">
        <f t="shared" si="196"/>
        <v>#VALUE!</v>
      </c>
      <c r="E119" s="349"/>
      <c r="F119" s="354" t="str">
        <f t="shared" si="197"/>
        <v>#VALUE!</v>
      </c>
      <c r="G119" s="93" t="str">
        <f t="shared" si="198"/>
        <v>#VALUE!</v>
      </c>
      <c r="H119" s="93">
        <f t="shared" si="179"/>
        <v>48</v>
      </c>
      <c r="I119" s="93">
        <f t="shared" si="199"/>
        <v>127.6595745</v>
      </c>
      <c r="J119" s="364">
        <f>J118</f>
        <v>1.65</v>
      </c>
      <c r="K119" s="436" t="s">
        <v>540</v>
      </c>
      <c r="L119" s="111" t="str">
        <f t="shared" si="200"/>
        <v>#VALUE!</v>
      </c>
      <c r="M119" s="111" t="str">
        <f t="shared" si="201"/>
        <v>#VALUE!</v>
      </c>
      <c r="N119" s="111" t="str">
        <f t="shared" si="202"/>
        <v>#VALUE!</v>
      </c>
      <c r="O119" s="93" t="str">
        <f t="shared" si="203"/>
        <v>#VALUE!</v>
      </c>
      <c r="P119" s="93" t="str">
        <f t="shared" si="204"/>
        <v>#VALUE!</v>
      </c>
      <c r="Q119" s="84">
        <f t="shared" ref="Q119:S119" si="205">Q118</f>
        <v>4</v>
      </c>
      <c r="R119" s="84">
        <f t="shared" si="205"/>
        <v>287</v>
      </c>
      <c r="S119" s="355">
        <f t="shared" si="205"/>
        <v>1062</v>
      </c>
    </row>
    <row r="120">
      <c r="B120" s="84">
        <v>2.0</v>
      </c>
      <c r="C120" s="93" t="str">
        <f t="shared" si="195"/>
        <v>#VALUE!</v>
      </c>
      <c r="D120" s="353" t="str">
        <f t="shared" si="196"/>
        <v>#VALUE!</v>
      </c>
      <c r="E120" s="349"/>
      <c r="F120" s="354" t="str">
        <f t="shared" si="197"/>
        <v>#VALUE!</v>
      </c>
      <c r="G120" s="93" t="str">
        <f t="shared" si="198"/>
        <v>#VALUE!</v>
      </c>
      <c r="H120" s="93">
        <f t="shared" si="179"/>
        <v>48</v>
      </c>
      <c r="I120" s="93">
        <f t="shared" si="199"/>
        <v>127.6595745</v>
      </c>
      <c r="J120" s="364">
        <f>J118</f>
        <v>1.65</v>
      </c>
      <c r="K120" s="436" t="s">
        <v>540</v>
      </c>
      <c r="L120" s="111" t="str">
        <f t="shared" si="200"/>
        <v>#VALUE!</v>
      </c>
      <c r="M120" s="111" t="str">
        <f t="shared" si="201"/>
        <v>#VALUE!</v>
      </c>
      <c r="N120" s="111" t="str">
        <f t="shared" si="202"/>
        <v>#VALUE!</v>
      </c>
      <c r="O120" s="93" t="str">
        <f t="shared" si="203"/>
        <v>#VALUE!</v>
      </c>
      <c r="P120" s="93" t="str">
        <f t="shared" si="204"/>
        <v>#VALUE!</v>
      </c>
      <c r="Q120" s="84">
        <f t="shared" ref="Q120:S120" si="206">Q118</f>
        <v>4</v>
      </c>
      <c r="R120" s="84">
        <f t="shared" si="206"/>
        <v>287</v>
      </c>
      <c r="S120" s="355">
        <f t="shared" si="206"/>
        <v>1062</v>
      </c>
    </row>
    <row r="121">
      <c r="B121" s="84">
        <v>3.0</v>
      </c>
      <c r="C121" s="93" t="str">
        <f t="shared" si="195"/>
        <v>#VALUE!</v>
      </c>
      <c r="D121" s="353" t="str">
        <f t="shared" si="196"/>
        <v>#VALUE!</v>
      </c>
      <c r="E121" s="349"/>
      <c r="F121" s="354" t="str">
        <f t="shared" si="197"/>
        <v>#VALUE!</v>
      </c>
      <c r="G121" s="93" t="str">
        <f t="shared" si="198"/>
        <v>#VALUE!</v>
      </c>
      <c r="H121" s="93">
        <f t="shared" si="179"/>
        <v>48</v>
      </c>
      <c r="I121" s="93">
        <f t="shared" si="199"/>
        <v>127.6595745</v>
      </c>
      <c r="J121" s="364">
        <f>J118</f>
        <v>1.65</v>
      </c>
      <c r="K121" s="436" t="s">
        <v>540</v>
      </c>
      <c r="L121" s="111" t="str">
        <f t="shared" si="200"/>
        <v>#VALUE!</v>
      </c>
      <c r="M121" s="111" t="str">
        <f t="shared" si="201"/>
        <v>#VALUE!</v>
      </c>
      <c r="N121" s="111" t="str">
        <f t="shared" si="202"/>
        <v>#VALUE!</v>
      </c>
      <c r="O121" s="93" t="str">
        <f t="shared" si="203"/>
        <v>#VALUE!</v>
      </c>
      <c r="P121" s="93" t="str">
        <f t="shared" si="204"/>
        <v>#VALUE!</v>
      </c>
      <c r="Q121" s="84">
        <f t="shared" ref="Q121:S121" si="207">Q118</f>
        <v>4</v>
      </c>
      <c r="R121" s="84">
        <f t="shared" si="207"/>
        <v>287</v>
      </c>
      <c r="S121" s="355">
        <f t="shared" si="207"/>
        <v>1062</v>
      </c>
    </row>
    <row r="122">
      <c r="A122" s="352" t="s">
        <v>534</v>
      </c>
      <c r="B122" s="84">
        <v>0.0</v>
      </c>
      <c r="C122" s="161">
        <f>(R122+S122)/(0.5+0.33+0.48)</f>
        <v>389.3129771</v>
      </c>
      <c r="D122" s="356">
        <f>(R122+S122)/(0.5+0.33+0.48)</f>
        <v>389.3129771</v>
      </c>
      <c r="E122" s="349"/>
      <c r="F122" s="357">
        <f>floor(H122/(1+Q122),1)*(R122+S122)+mod(H122, (1+Q122))*R122</f>
        <v>8160</v>
      </c>
      <c r="G122" s="161">
        <f>floor(H122/(1+Q122),1)*(R122+S122)+mod(H122, (1+Q122))*R122</f>
        <v>8160</v>
      </c>
      <c r="H122" s="93">
        <f t="shared" si="179"/>
        <v>48</v>
      </c>
      <c r="I122" s="214">
        <f>(2/(0.05+0.33+0.48))*60</f>
        <v>139.5348837</v>
      </c>
      <c r="J122" s="145">
        <v>0.48</v>
      </c>
      <c r="K122" s="145" t="s">
        <v>60</v>
      </c>
      <c r="L122" s="145">
        <f>H122*1/I122*60</f>
        <v>20.64</v>
      </c>
      <c r="M122" s="145">
        <f>H122*1/I122*60</f>
        <v>20.64</v>
      </c>
      <c r="N122" s="145" t="s">
        <v>60</v>
      </c>
      <c r="O122" s="145" t="s">
        <v>60</v>
      </c>
      <c r="P122" s="145" t="s">
        <v>60</v>
      </c>
      <c r="Q122" s="144">
        <v>2.0</v>
      </c>
      <c r="R122" s="144">
        <f>$R$110</f>
        <v>240</v>
      </c>
      <c r="S122" s="279">
        <f>$S$110</f>
        <v>270</v>
      </c>
    </row>
    <row r="123">
      <c r="A123" s="431" t="s">
        <v>535</v>
      </c>
      <c r="B123" s="172" t="s">
        <v>60</v>
      </c>
      <c r="C123" s="432">
        <f>R123*I123*1/60</f>
        <v>610.6382979</v>
      </c>
      <c r="D123" s="433">
        <f>R123*I123*1/60</f>
        <v>610.6382979</v>
      </c>
      <c r="E123" s="349"/>
      <c r="F123" s="434">
        <f>H123*R123</f>
        <v>13776</v>
      </c>
      <c r="G123" s="380">
        <f>H123*R123</f>
        <v>13776</v>
      </c>
      <c r="H123" s="380">
        <f t="shared" si="179"/>
        <v>48</v>
      </c>
      <c r="I123" s="380">
        <f>$I$3</f>
        <v>127.6595745</v>
      </c>
      <c r="J123" s="173" t="s">
        <v>60</v>
      </c>
      <c r="K123" s="173" t="s">
        <v>60</v>
      </c>
      <c r="L123" s="173" t="s">
        <v>60</v>
      </c>
      <c r="M123" s="173" t="s">
        <v>60</v>
      </c>
      <c r="N123" s="173" t="s">
        <v>60</v>
      </c>
      <c r="O123" s="173" t="s">
        <v>60</v>
      </c>
      <c r="P123" s="173" t="s">
        <v>60</v>
      </c>
      <c r="Q123" s="172" t="s">
        <v>60</v>
      </c>
      <c r="R123" s="380">
        <f>R118</f>
        <v>287</v>
      </c>
      <c r="S123" s="435" t="s">
        <v>60</v>
      </c>
    </row>
    <row r="124">
      <c r="A124" s="382" t="s">
        <v>83</v>
      </c>
      <c r="B124" s="148">
        <v>0.0</v>
      </c>
      <c r="C124" s="148">
        <f t="shared" ref="C124:C127" si="208">(O124*R124 + S124)
/ (K124 + J124)</f>
        <v>645.9807074</v>
      </c>
      <c r="D124" s="348">
        <f t="shared" ref="D124:D127" si="209">(P124*R124 + S124)
/ (P124*1/I124*60 + J124)</f>
        <v>726.0079051</v>
      </c>
      <c r="E124" s="349"/>
      <c r="F124" s="321">
        <f t="shared" ref="F124:F127" si="210">floor(H124/(O124+Q124),1)*(O124*R124+S124)
+ if(mod(H124, O124+Q124) &gt; O124,
(O124*R124+S124),
mod(H124, O124+Q124)*R124)</f>
        <v>14063</v>
      </c>
      <c r="G124" s="148">
        <f t="shared" ref="G124:G127" si="211">floor(H124/(P124+Q124),1)*(P124*R124+S124)
+ if(mod(H124, P124+Q124) &gt; P124,
(P124*R124+S124),
mod(H124, P124+Q124)*R124)</f>
        <v>13776</v>
      </c>
      <c r="H124" s="148">
        <f t="shared" si="179"/>
        <v>48</v>
      </c>
      <c r="I124" s="148">
        <f>(4)/((0.43+0.49+0.43+0.42)*1/60)</f>
        <v>135.5932203</v>
      </c>
      <c r="J124" s="350">
        <f>$J$39</f>
        <v>0.95</v>
      </c>
      <c r="K124" s="74">
        <v>2.16</v>
      </c>
      <c r="L124" s="350">
        <f t="shared" ref="L124:L127" si="212">floor(H124/(O124+Q124),1)*(O124*1/I124*60+J124)
+ if(mod(H124, O124+Q124) &gt; O124,
(O124*1/I124*60+J124),
mod(H124, O124+Q124)*1/I124*60)</f>
        <v>19.04</v>
      </c>
      <c r="M124" s="350">
        <f t="shared" ref="M124:M127" si="213">floor(H124/(P124+Q124),1)*(P124*1/I124*60+J124)
+ if(mod(H124, P124+Q124) &gt; P124,
(P124*1/I124*60+J124),
mod(H124, P124+Q124)*1/I124*60)</f>
        <v>18.975</v>
      </c>
      <c r="N124" s="350">
        <f t="shared" ref="N124:N127" si="214">K124-(O124*1/I124*60)</f>
        <v>0.39</v>
      </c>
      <c r="O124" s="148">
        <f t="shared" ref="O124:O127" si="215">CEILING(K124*I124*1/60,1)-1</f>
        <v>4</v>
      </c>
      <c r="P124" s="148">
        <f t="shared" ref="P124:P127" si="216">O124+1</f>
        <v>5</v>
      </c>
      <c r="Q124" s="73">
        <v>3.0</v>
      </c>
      <c r="R124" s="73">
        <f>$R$106</f>
        <v>287</v>
      </c>
      <c r="S124" s="195">
        <v>861.0</v>
      </c>
    </row>
    <row r="125">
      <c r="B125" s="84">
        <v>1.0</v>
      </c>
      <c r="C125" s="93">
        <f t="shared" si="208"/>
        <v>670.0389105</v>
      </c>
      <c r="D125" s="353">
        <f t="shared" si="209"/>
        <v>738.6029412</v>
      </c>
      <c r="E125" s="349"/>
      <c r="F125" s="354">
        <f t="shared" si="210"/>
        <v>13776</v>
      </c>
      <c r="G125" s="93">
        <f t="shared" si="211"/>
        <v>14063</v>
      </c>
      <c r="H125" s="93">
        <f t="shared" si="179"/>
        <v>48</v>
      </c>
      <c r="I125" s="93">
        <f t="shared" ref="I125:I127" si="218">$I$39</f>
        <v>135.5932203</v>
      </c>
      <c r="J125" s="111">
        <f>J124</f>
        <v>0.95</v>
      </c>
      <c r="K125" s="85">
        <v>1.62</v>
      </c>
      <c r="L125" s="111">
        <f t="shared" si="212"/>
        <v>18.22</v>
      </c>
      <c r="M125" s="111">
        <f t="shared" si="213"/>
        <v>19.04</v>
      </c>
      <c r="N125" s="111">
        <f t="shared" si="214"/>
        <v>0.2925</v>
      </c>
      <c r="O125" s="93">
        <f t="shared" si="215"/>
        <v>3</v>
      </c>
      <c r="P125" s="93">
        <f t="shared" si="216"/>
        <v>4</v>
      </c>
      <c r="Q125" s="84">
        <f t="shared" ref="Q125:S125" si="217">Q124</f>
        <v>3</v>
      </c>
      <c r="R125" s="84">
        <f t="shared" si="217"/>
        <v>287</v>
      </c>
      <c r="S125" s="355">
        <f t="shared" si="217"/>
        <v>861</v>
      </c>
    </row>
    <row r="126">
      <c r="B126" s="84">
        <v>2.0</v>
      </c>
      <c r="C126" s="93">
        <f t="shared" si="208"/>
        <v>680.0947867</v>
      </c>
      <c r="D126" s="353">
        <f t="shared" si="209"/>
        <v>756.0922064</v>
      </c>
      <c r="E126" s="349"/>
      <c r="F126" s="354">
        <f t="shared" si="210"/>
        <v>14350</v>
      </c>
      <c r="G126" s="93">
        <f t="shared" si="211"/>
        <v>13776</v>
      </c>
      <c r="H126" s="93">
        <f t="shared" si="179"/>
        <v>48</v>
      </c>
      <c r="I126" s="93">
        <f t="shared" si="218"/>
        <v>135.5932203</v>
      </c>
      <c r="J126" s="111">
        <f>J124</f>
        <v>0.95</v>
      </c>
      <c r="K126" s="85">
        <v>1.16</v>
      </c>
      <c r="L126" s="111">
        <f t="shared" si="212"/>
        <v>18.35</v>
      </c>
      <c r="M126" s="111">
        <f t="shared" si="213"/>
        <v>18.22</v>
      </c>
      <c r="N126" s="111">
        <f t="shared" si="214"/>
        <v>0.275</v>
      </c>
      <c r="O126" s="93">
        <f t="shared" si="215"/>
        <v>2</v>
      </c>
      <c r="P126" s="93">
        <f t="shared" si="216"/>
        <v>3</v>
      </c>
      <c r="Q126" s="84">
        <f t="shared" ref="Q126:S126" si="219">Q124</f>
        <v>3</v>
      </c>
      <c r="R126" s="84">
        <f t="shared" si="219"/>
        <v>287</v>
      </c>
      <c r="S126" s="355">
        <f t="shared" si="219"/>
        <v>861</v>
      </c>
    </row>
    <row r="127">
      <c r="B127" s="84">
        <v>3.0</v>
      </c>
      <c r="C127" s="93">
        <f t="shared" si="208"/>
        <v>732.1428571</v>
      </c>
      <c r="D127" s="353">
        <f t="shared" si="209"/>
        <v>756.0922064</v>
      </c>
      <c r="E127" s="349"/>
      <c r="F127" s="354">
        <f t="shared" si="210"/>
        <v>14350</v>
      </c>
      <c r="G127" s="93">
        <f t="shared" si="211"/>
        <v>13776</v>
      </c>
      <c r="H127" s="93">
        <f t="shared" si="179"/>
        <v>48</v>
      </c>
      <c r="I127" s="93">
        <f t="shared" si="218"/>
        <v>135.5932203</v>
      </c>
      <c r="J127" s="111">
        <f>J124</f>
        <v>0.95</v>
      </c>
      <c r="K127" s="85">
        <v>1.01</v>
      </c>
      <c r="L127" s="111">
        <f t="shared" si="212"/>
        <v>18.35</v>
      </c>
      <c r="M127" s="111">
        <f t="shared" si="213"/>
        <v>18.22</v>
      </c>
      <c r="N127" s="111">
        <f t="shared" si="214"/>
        <v>0.125</v>
      </c>
      <c r="O127" s="93">
        <f t="shared" si="215"/>
        <v>2</v>
      </c>
      <c r="P127" s="93">
        <f t="shared" si="216"/>
        <v>3</v>
      </c>
      <c r="Q127" s="84">
        <f t="shared" ref="Q127:S127" si="220">Q124</f>
        <v>3</v>
      </c>
      <c r="R127" s="84">
        <f t="shared" si="220"/>
        <v>287</v>
      </c>
      <c r="S127" s="355">
        <f t="shared" si="220"/>
        <v>861</v>
      </c>
    </row>
    <row r="128">
      <c r="A128" s="352" t="s">
        <v>534</v>
      </c>
      <c r="B128" s="84">
        <v>0.0</v>
      </c>
      <c r="C128" s="161">
        <f>(R128+S128)/(0.5+0.33+0.48)</f>
        <v>389.3129771</v>
      </c>
      <c r="D128" s="356">
        <f>(R128+S128)/(0.5+0.33+0.48)</f>
        <v>389.3129771</v>
      </c>
      <c r="E128" s="349"/>
      <c r="F128" s="357">
        <f>floor(H128/(1+Q128),1)*(R128+S128)+mod(H128, (1+Q128))*R128</f>
        <v>8160</v>
      </c>
      <c r="G128" s="161">
        <f>floor(H128/(1+Q128),1)*(R128+S128)+mod(H128, (1+Q128))*R128</f>
        <v>8160</v>
      </c>
      <c r="H128" s="93">
        <f t="shared" si="179"/>
        <v>48</v>
      </c>
      <c r="I128" s="214">
        <f>(2/(0.05+0.46+0.49))*60</f>
        <v>120</v>
      </c>
      <c r="J128" s="215">
        <v>0.48</v>
      </c>
      <c r="K128" s="145" t="s">
        <v>60</v>
      </c>
      <c r="L128" s="145">
        <f>H128*1/I128*60</f>
        <v>24</v>
      </c>
      <c r="M128" s="145">
        <f>H128*1/I128*60</f>
        <v>24</v>
      </c>
      <c r="N128" s="145" t="s">
        <v>60</v>
      </c>
      <c r="O128" s="145" t="s">
        <v>60</v>
      </c>
      <c r="P128" s="145" t="s">
        <v>60</v>
      </c>
      <c r="Q128" s="144">
        <v>2.0</v>
      </c>
      <c r="R128" s="144">
        <f>$R$110</f>
        <v>240</v>
      </c>
      <c r="S128" s="279">
        <f>$S$110</f>
        <v>270</v>
      </c>
    </row>
    <row r="129">
      <c r="A129" s="431" t="s">
        <v>535</v>
      </c>
      <c r="B129" s="172" t="s">
        <v>60</v>
      </c>
      <c r="C129" s="432">
        <f>R129*I129*1/60</f>
        <v>648.5875706</v>
      </c>
      <c r="D129" s="433">
        <f>R129*I129*1/60</f>
        <v>648.5875706</v>
      </c>
      <c r="E129" s="349"/>
      <c r="F129" s="434">
        <f>H129*R129</f>
        <v>13776</v>
      </c>
      <c r="G129" s="380">
        <f>H129*R129</f>
        <v>13776</v>
      </c>
      <c r="H129" s="380">
        <f t="shared" si="179"/>
        <v>48</v>
      </c>
      <c r="I129" s="93">
        <f>$I$39</f>
        <v>135.5932203</v>
      </c>
      <c r="J129" s="173" t="s">
        <v>60</v>
      </c>
      <c r="K129" s="173" t="s">
        <v>60</v>
      </c>
      <c r="L129" s="173" t="s">
        <v>60</v>
      </c>
      <c r="M129" s="173" t="s">
        <v>60</v>
      </c>
      <c r="N129" s="173" t="s">
        <v>60</v>
      </c>
      <c r="O129" s="173" t="s">
        <v>60</v>
      </c>
      <c r="P129" s="173" t="s">
        <v>60</v>
      </c>
      <c r="Q129" s="172" t="s">
        <v>60</v>
      </c>
      <c r="R129" s="380">
        <f>R124</f>
        <v>287</v>
      </c>
      <c r="S129" s="435" t="s">
        <v>60</v>
      </c>
    </row>
    <row r="130">
      <c r="A130" s="382" t="s">
        <v>82</v>
      </c>
      <c r="B130" s="148">
        <v>0.0</v>
      </c>
      <c r="C130" s="148">
        <f t="shared" ref="C130:C133" si="221">(O130*R130 + S130)
/ (K130 + J130)</f>
        <v>449.8432602</v>
      </c>
      <c r="D130" s="348">
        <f t="shared" ref="D130:D133" si="222">(P130*R130 + S130)
/ (P130*1/I130*60 + J130)</f>
        <v>494.8275862</v>
      </c>
      <c r="E130" s="349"/>
      <c r="F130" s="321">
        <f t="shared" ref="F130:F133" si="223">floor(H130/(O130+Q130),1)*(O130*R130+S130)
+ if(mod(H130, O130+Q130) &gt; O130,
(O130*R130+S130),
mod(H130, O130+Q130)*R130)</f>
        <v>14350</v>
      </c>
      <c r="G130" s="148">
        <f t="shared" ref="G130:G133" si="224">floor(H130/(P130+Q130),1)*(P130*R130+S130)
+ if(mod(H130, P130+Q130) &gt; P130,
(P130*R130+S130),
mod(H130, P130+Q130)*R130)</f>
        <v>13776</v>
      </c>
      <c r="H130" s="148">
        <f t="shared" si="179"/>
        <v>48</v>
      </c>
      <c r="I130" s="148">
        <f>(2)/((0.66+0.66)*1/60)</f>
        <v>90.90909091</v>
      </c>
      <c r="J130" s="350">
        <f>$J$45</f>
        <v>1.5</v>
      </c>
      <c r="K130" s="74">
        <v>1.69</v>
      </c>
      <c r="L130" s="350">
        <f t="shared" ref="L130:L133" si="225">floor(H130/(O130+Q130),1)*(O130*1/I130*60+J130)
+ if(mod(H130, O130+Q130) &gt; O130,
(O130*1/I130*60+J130),
mod(H130, O130+Q130)*1/I130*60)</f>
        <v>28.2</v>
      </c>
      <c r="M130" s="350">
        <f t="shared" ref="M130:M133" si="226">floor(H130/(P130+Q130),1)*(P130*1/I130*60+J130)
+ if(mod(H130, P130+Q130) &gt; P130,
(P130*1/I130*60+J130),
mod(H130, P130+Q130)*1/I130*60)</f>
        <v>27.84</v>
      </c>
      <c r="N130" s="350">
        <f t="shared" ref="N130:N133" si="227">K130-(O130*1/I130*60)</f>
        <v>0.37</v>
      </c>
      <c r="O130" s="148">
        <f t="shared" ref="O130:O133" si="228">CEILING(K130*I130*1/60,1)-1</f>
        <v>2</v>
      </c>
      <c r="P130" s="148">
        <f t="shared" ref="P130:P133" si="229">O130+1</f>
        <v>3</v>
      </c>
      <c r="Q130" s="73">
        <v>3.0</v>
      </c>
      <c r="R130" s="73">
        <f>$R$106</f>
        <v>287</v>
      </c>
      <c r="S130" s="195">
        <v>861.0</v>
      </c>
    </row>
    <row r="131">
      <c r="B131" s="84">
        <v>1.0</v>
      </c>
      <c r="C131" s="93">
        <f t="shared" si="221"/>
        <v>429.9625468</v>
      </c>
      <c r="D131" s="353">
        <f t="shared" si="222"/>
        <v>508.8652482</v>
      </c>
      <c r="E131" s="349"/>
      <c r="F131" s="354">
        <f t="shared" si="223"/>
        <v>13776</v>
      </c>
      <c r="G131" s="93">
        <f t="shared" si="224"/>
        <v>14350</v>
      </c>
      <c r="H131" s="93">
        <f t="shared" si="179"/>
        <v>48</v>
      </c>
      <c r="I131" s="93">
        <f t="shared" ref="I131:I134" si="231">$I$45</f>
        <v>90.90909091</v>
      </c>
      <c r="J131" s="111">
        <f>J130</f>
        <v>1.5</v>
      </c>
      <c r="K131" s="85">
        <v>1.17</v>
      </c>
      <c r="L131" s="111">
        <f t="shared" si="225"/>
        <v>25.92</v>
      </c>
      <c r="M131" s="111">
        <f t="shared" si="226"/>
        <v>28.2</v>
      </c>
      <c r="N131" s="111">
        <f t="shared" si="227"/>
        <v>0.51</v>
      </c>
      <c r="O131" s="93">
        <f t="shared" si="228"/>
        <v>1</v>
      </c>
      <c r="P131" s="93">
        <f t="shared" si="229"/>
        <v>2</v>
      </c>
      <c r="Q131" s="84">
        <f t="shared" ref="Q131:S131" si="230">Q130</f>
        <v>3</v>
      </c>
      <c r="R131" s="84">
        <f t="shared" si="230"/>
        <v>287</v>
      </c>
      <c r="S131" s="355">
        <f t="shared" si="230"/>
        <v>861</v>
      </c>
    </row>
    <row r="132">
      <c r="B132" s="84">
        <v>2.0</v>
      </c>
      <c r="C132" s="93">
        <f t="shared" si="221"/>
        <v>519.4570136</v>
      </c>
      <c r="D132" s="353">
        <f t="shared" si="222"/>
        <v>508.8652482</v>
      </c>
      <c r="E132" s="349"/>
      <c r="F132" s="354">
        <f t="shared" si="223"/>
        <v>13776</v>
      </c>
      <c r="G132" s="93">
        <f t="shared" si="224"/>
        <v>14350</v>
      </c>
      <c r="H132" s="93">
        <f t="shared" si="179"/>
        <v>48</v>
      </c>
      <c r="I132" s="93">
        <f t="shared" si="231"/>
        <v>90.90909091</v>
      </c>
      <c r="J132" s="111">
        <f>J130</f>
        <v>1.5</v>
      </c>
      <c r="K132" s="85">
        <v>0.71</v>
      </c>
      <c r="L132" s="111">
        <f t="shared" si="225"/>
        <v>25.92</v>
      </c>
      <c r="M132" s="111">
        <f t="shared" si="226"/>
        <v>28.2</v>
      </c>
      <c r="N132" s="111">
        <f t="shared" si="227"/>
        <v>0.05</v>
      </c>
      <c r="O132" s="93">
        <f t="shared" si="228"/>
        <v>1</v>
      </c>
      <c r="P132" s="93">
        <f t="shared" si="229"/>
        <v>2</v>
      </c>
      <c r="Q132" s="84">
        <f t="shared" ref="Q132:S132" si="232">Q130</f>
        <v>3</v>
      </c>
      <c r="R132" s="84">
        <f t="shared" si="232"/>
        <v>287</v>
      </c>
      <c r="S132" s="355">
        <f t="shared" si="232"/>
        <v>861</v>
      </c>
    </row>
    <row r="133">
      <c r="B133" s="84">
        <v>3.0</v>
      </c>
      <c r="C133" s="93">
        <f t="shared" si="221"/>
        <v>420</v>
      </c>
      <c r="D133" s="353">
        <f t="shared" si="222"/>
        <v>531.4814815</v>
      </c>
      <c r="E133" s="349"/>
      <c r="F133" s="354">
        <f t="shared" si="223"/>
        <v>13776</v>
      </c>
      <c r="G133" s="93">
        <f t="shared" si="224"/>
        <v>13776</v>
      </c>
      <c r="H133" s="93">
        <f t="shared" si="179"/>
        <v>48</v>
      </c>
      <c r="I133" s="93">
        <f t="shared" si="231"/>
        <v>90.90909091</v>
      </c>
      <c r="J133" s="111">
        <f>J130</f>
        <v>1.5</v>
      </c>
      <c r="K133" s="85">
        <v>0.55</v>
      </c>
      <c r="L133" s="111">
        <f t="shared" si="225"/>
        <v>24</v>
      </c>
      <c r="M133" s="111">
        <f t="shared" si="226"/>
        <v>25.92</v>
      </c>
      <c r="N133" s="111">
        <f t="shared" si="227"/>
        <v>0.55</v>
      </c>
      <c r="O133" s="93">
        <f t="shared" si="228"/>
        <v>0</v>
      </c>
      <c r="P133" s="93">
        <f t="shared" si="229"/>
        <v>1</v>
      </c>
      <c r="Q133" s="84">
        <f t="shared" ref="Q133:S133" si="233">Q130</f>
        <v>3</v>
      </c>
      <c r="R133" s="84">
        <f t="shared" si="233"/>
        <v>287</v>
      </c>
      <c r="S133" s="355">
        <f t="shared" si="233"/>
        <v>861</v>
      </c>
    </row>
    <row r="134">
      <c r="A134" s="431" t="s">
        <v>535</v>
      </c>
      <c r="B134" s="172" t="s">
        <v>60</v>
      </c>
      <c r="C134" s="432">
        <f>R134*I134*1/60</f>
        <v>434.8484848</v>
      </c>
      <c r="D134" s="433">
        <f>R134*I134*1/60</f>
        <v>434.8484848</v>
      </c>
      <c r="E134" s="349"/>
      <c r="F134" s="434">
        <f>H134*R134</f>
        <v>13776</v>
      </c>
      <c r="G134" s="380">
        <f>H134*R134</f>
        <v>13776</v>
      </c>
      <c r="H134" s="380">
        <f t="shared" si="179"/>
        <v>48</v>
      </c>
      <c r="I134" s="380">
        <f t="shared" si="231"/>
        <v>90.90909091</v>
      </c>
      <c r="J134" s="173" t="s">
        <v>60</v>
      </c>
      <c r="K134" s="173" t="s">
        <v>60</v>
      </c>
      <c r="L134" s="173" t="s">
        <v>60</v>
      </c>
      <c r="M134" s="173" t="s">
        <v>60</v>
      </c>
      <c r="N134" s="173" t="s">
        <v>60</v>
      </c>
      <c r="O134" s="173" t="s">
        <v>60</v>
      </c>
      <c r="P134" s="173" t="s">
        <v>60</v>
      </c>
      <c r="Q134" s="172" t="s">
        <v>60</v>
      </c>
      <c r="R134" s="380">
        <f>R130</f>
        <v>287</v>
      </c>
      <c r="S134" s="435" t="s">
        <v>60</v>
      </c>
    </row>
    <row r="135">
      <c r="C135" s="342"/>
      <c r="D135" s="342"/>
    </row>
    <row r="136">
      <c r="C136" s="342"/>
      <c r="D136" s="342"/>
    </row>
    <row r="137">
      <c r="C137" s="342"/>
      <c r="D137" s="342"/>
    </row>
    <row r="138" hidden="1">
      <c r="C138" s="342"/>
      <c r="D138" s="342"/>
    </row>
    <row r="139" hidden="1">
      <c r="C139" s="342"/>
      <c r="D139" s="342"/>
    </row>
    <row r="140" hidden="1">
      <c r="C140" s="342"/>
      <c r="D140" s="342"/>
    </row>
    <row r="141" hidden="1">
      <c r="C141" s="342"/>
      <c r="D141" s="342"/>
    </row>
    <row r="142" hidden="1">
      <c r="C142" s="342"/>
      <c r="D142" s="342"/>
    </row>
    <row r="143" hidden="1">
      <c r="C143" s="342"/>
      <c r="D143" s="342"/>
    </row>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row r="1046" hidden="1"/>
    <row r="1047" hidden="1"/>
    <row r="1048" hidden="1"/>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row r="1073" hidden="1"/>
    <row r="1074" hidden="1"/>
    <row r="1075" hidden="1"/>
    <row r="1076" hidden="1"/>
    <row r="1077" hidden="1"/>
    <row r="1078" hidden="1"/>
    <row r="1079" hidden="1"/>
    <row r="1080" hidden="1"/>
    <row r="1081" hidden="1"/>
  </sheetData>
  <mergeCells count="27">
    <mergeCell ref="A1:T1"/>
    <mergeCell ref="A79:T79"/>
    <mergeCell ref="B80:C80"/>
    <mergeCell ref="D80:E80"/>
    <mergeCell ref="F80:G80"/>
    <mergeCell ref="H80:I80"/>
    <mergeCell ref="J80:K80"/>
    <mergeCell ref="P80:Q80"/>
    <mergeCell ref="L80:M80"/>
    <mergeCell ref="N80:O80"/>
    <mergeCell ref="C87:D87"/>
    <mergeCell ref="C88:D88"/>
    <mergeCell ref="C89:D89"/>
    <mergeCell ref="C90:D90"/>
    <mergeCell ref="C91:D91"/>
    <mergeCell ref="C99:D99"/>
    <mergeCell ref="C100:D100"/>
    <mergeCell ref="C101:D101"/>
    <mergeCell ref="C102:D102"/>
    <mergeCell ref="A104:T104"/>
    <mergeCell ref="C92:D92"/>
    <mergeCell ref="C93:D93"/>
    <mergeCell ref="C94:D94"/>
    <mergeCell ref="C95:D95"/>
    <mergeCell ref="C96:D96"/>
    <mergeCell ref="C97:D97"/>
    <mergeCell ref="C98:D98"/>
  </mergeCells>
  <conditionalFormatting sqref="C3:C77 C106:C134">
    <cfRule type="colorScale" priority="1">
      <colorScale>
        <cfvo type="min"/>
        <cfvo type="max"/>
        <color rgb="FFFFFFFF"/>
        <color rgb="FF57BB8A"/>
      </colorScale>
    </cfRule>
  </conditionalFormatting>
  <conditionalFormatting sqref="D3:D77 D106:D134">
    <cfRule type="colorScale" priority="2">
      <colorScale>
        <cfvo type="min"/>
        <cfvo type="max"/>
        <color rgb="FFFFFFFF"/>
        <color rgb="FF57BB8A"/>
      </colorScale>
    </cfRule>
  </conditionalFormatting>
  <conditionalFormatting sqref="R3:R77 R106:R134 Q107:Q109 Q113:Q115 Q119:Q121 Q125:Q127 Q131:Q133">
    <cfRule type="colorScale" priority="3">
      <colorScale>
        <cfvo type="min"/>
        <cfvo type="max"/>
        <color rgb="FFFFFFFF"/>
        <color rgb="FF57BB8A"/>
      </colorScale>
    </cfRule>
  </conditionalFormatting>
  <conditionalFormatting sqref="S3:S77 S106:S134">
    <cfRule type="colorScale" priority="4">
      <colorScale>
        <cfvo type="min"/>
        <cfvo type="max"/>
        <color rgb="FFFFFFFF"/>
        <color rgb="FF57BB8A"/>
      </colorScale>
    </cfRule>
  </conditionalFormatting>
  <conditionalFormatting sqref="F3:F77 F106:F134">
    <cfRule type="colorScale" priority="5">
      <colorScale>
        <cfvo type="min"/>
        <cfvo type="max"/>
        <color rgb="FFFFFFFF"/>
        <color rgb="FF57BB8A"/>
      </colorScale>
    </cfRule>
  </conditionalFormatting>
  <conditionalFormatting sqref="G3:G77 G106:G134">
    <cfRule type="colorScale" priority="6">
      <colorScale>
        <cfvo type="min"/>
        <cfvo type="max"/>
        <color rgb="FFFFFFFF"/>
        <color rgb="FF57BB8A"/>
      </colorScale>
    </cfRule>
  </conditionalFormatting>
  <conditionalFormatting sqref="C88:D102">
    <cfRule type="colorScale" priority="7">
      <colorScale>
        <cfvo type="min"/>
        <cfvo type="max"/>
        <color rgb="FFFFFFFF"/>
        <color rgb="FF57BB8A"/>
      </colorScale>
    </cfRule>
  </conditionalFormatting>
  <conditionalFormatting sqref="F88:F102">
    <cfRule type="colorScale" priority="8">
      <colorScale>
        <cfvo type="min"/>
        <cfvo type="max"/>
        <color rgb="FFFFFFFF"/>
        <color rgb="FF57BB8A"/>
      </colorScale>
    </cfRule>
  </conditionalFormatting>
  <conditionalFormatting sqref="G88:G102">
    <cfRule type="colorScale" priority="9">
      <colorScale>
        <cfvo type="min"/>
        <cfvo type="max"/>
        <color rgb="FFFFFFFF"/>
        <color rgb="FF57BB8A"/>
      </colorScale>
    </cfRule>
  </conditionalFormatting>
  <conditionalFormatting sqref="Q88:Q102">
    <cfRule type="colorScale" priority="10">
      <colorScale>
        <cfvo type="min"/>
        <cfvo type="max"/>
        <color rgb="FFFFFFFF"/>
        <color rgb="FF57BB8A"/>
      </colorScale>
    </cfRule>
  </conditionalFormatting>
  <conditionalFormatting sqref="R88:R102">
    <cfRule type="colorScale" priority="11">
      <colorScale>
        <cfvo type="min"/>
        <cfvo type="max"/>
        <color rgb="FFFFFFFF"/>
        <color rgb="FF57BB8A"/>
      </colorScale>
    </cfRule>
  </conditionalFormatting>
  <hyperlinks>
    <hyperlink display="!!! IMPORTANT: ALL SWORDS ASSUME SWORDMASTER'S GUARD + JAGGED EDGE + MASTERWORK + BACKUP MAG UNLESS OTHERWISE STATED !!!&#10;All weapon damage (except exotic) is normalized.&#10;Want to contribute? Have questions, comments, or concerns? See Home page for contact information." location="Home!C12:E13" ref="A1"/>
  </hyperlin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3" width="8.88"/>
    <col customWidth="1" min="4" max="4" width="20.88"/>
    <col customWidth="1" min="5" max="15" width="12.63"/>
    <col customWidth="1" min="16" max="16" width="44.13"/>
    <col hidden="1" min="17" max="35" width="12.63"/>
  </cols>
  <sheetData>
    <row r="1">
      <c r="A1" s="59" t="s">
        <v>605</v>
      </c>
    </row>
    <row r="2" ht="38.25" customHeight="1">
      <c r="A2" s="61" t="s">
        <v>606</v>
      </c>
      <c r="B2" s="61" t="s">
        <v>607</v>
      </c>
      <c r="C2" s="61" t="s">
        <v>517</v>
      </c>
      <c r="D2" s="61" t="s">
        <v>29</v>
      </c>
      <c r="E2" s="61" t="s">
        <v>30</v>
      </c>
      <c r="F2" s="62" t="s">
        <v>31</v>
      </c>
      <c r="G2" s="64" t="s">
        <v>32</v>
      </c>
      <c r="H2" s="61" t="s">
        <v>33</v>
      </c>
      <c r="I2" s="61" t="s">
        <v>34</v>
      </c>
      <c r="J2" s="61" t="s">
        <v>35</v>
      </c>
      <c r="K2" s="61" t="s">
        <v>608</v>
      </c>
      <c r="L2" s="61" t="s">
        <v>37</v>
      </c>
      <c r="M2" s="61" t="s">
        <v>38</v>
      </c>
      <c r="N2" s="61" t="s">
        <v>609</v>
      </c>
      <c r="O2" s="62" t="s">
        <v>610</v>
      </c>
      <c r="P2" s="95" t="s">
        <v>611</v>
      </c>
      <c r="Q2" s="58"/>
      <c r="R2" s="58"/>
      <c r="S2" s="58"/>
      <c r="T2" s="58"/>
      <c r="U2" s="58"/>
      <c r="V2" s="58"/>
      <c r="W2" s="58"/>
      <c r="X2" s="58"/>
      <c r="Y2" s="58"/>
      <c r="Z2" s="58"/>
      <c r="AA2" s="58"/>
      <c r="AB2" s="58"/>
      <c r="AC2" s="58"/>
      <c r="AD2" s="58"/>
      <c r="AE2" s="58"/>
      <c r="AF2" s="58"/>
      <c r="AG2" s="58"/>
      <c r="AH2" s="58"/>
      <c r="AI2" s="58"/>
    </row>
    <row r="3">
      <c r="A3" s="437" t="s">
        <v>612</v>
      </c>
      <c r="B3" s="437" t="s">
        <v>220</v>
      </c>
      <c r="C3" s="437" t="s">
        <v>60</v>
      </c>
      <c r="D3" s="438" t="str">
        <f>Heavies!$B$89</f>
        <v>Leviathan's Breath</v>
      </c>
      <c r="E3" s="439">
        <f>Heavies!$C$89</f>
        <v>1087.655602</v>
      </c>
      <c r="F3" s="440">
        <f>Heavies!$D$89</f>
        <v>1087.655602</v>
      </c>
      <c r="G3" s="441">
        <f>Heavies!$F$89</f>
        <v>18873</v>
      </c>
      <c r="H3" s="442">
        <f>Heavies!$G$89</f>
        <v>2097</v>
      </c>
      <c r="I3" s="443">
        <f>Heavies!$H$89</f>
        <v>1</v>
      </c>
      <c r="J3" s="444">
        <f>Heavies!$I$89</f>
        <v>9</v>
      </c>
      <c r="K3" s="444">
        <f>Heavies!$J$89</f>
        <v>31.12033195</v>
      </c>
      <c r="L3" s="445">
        <f>Heavies!$K$89</f>
        <v>0.6</v>
      </c>
      <c r="M3" s="446">
        <f>Heavies!$L$89</f>
        <v>17.352</v>
      </c>
      <c r="N3" s="447">
        <f>Heavies!$M$89</f>
        <v>1779</v>
      </c>
      <c r="O3" s="448">
        <f>Heavies!$N$89</f>
        <v>2097</v>
      </c>
      <c r="P3" s="117" t="s">
        <v>613</v>
      </c>
    </row>
    <row r="4">
      <c r="A4" s="449" t="s">
        <v>612</v>
      </c>
      <c r="B4" s="449" t="s">
        <v>220</v>
      </c>
      <c r="C4" s="449" t="s">
        <v>60</v>
      </c>
      <c r="D4" s="450" t="str">
        <f>Heavies!$B$90</f>
        <v>Leviathan's Breath</v>
      </c>
      <c r="E4" s="451">
        <f>Heavies!$C$90</f>
        <v>1556.792873</v>
      </c>
      <c r="F4" s="452">
        <f>Heavies!$D$90</f>
        <v>1556.792873</v>
      </c>
      <c r="G4" s="453">
        <f>Heavies!$F$90</f>
        <v>29358</v>
      </c>
      <c r="H4" s="454">
        <f>Heavies!$G$90</f>
        <v>2097</v>
      </c>
      <c r="I4" s="455">
        <f>Heavies!$H$90</f>
        <v>1</v>
      </c>
      <c r="J4" s="456">
        <f>Heavies!$I$90</f>
        <v>14</v>
      </c>
      <c r="K4" s="456">
        <f>Heavies!$J$90</f>
        <v>44.54342984</v>
      </c>
      <c r="L4" s="457">
        <f>Heavies!$K$90</f>
        <v>0.6</v>
      </c>
      <c r="M4" s="458">
        <f>Heavies!$L$90</f>
        <v>18.858</v>
      </c>
      <c r="N4" s="459">
        <f>Heavies!$M$90</f>
        <v>1779</v>
      </c>
      <c r="O4" s="460">
        <f>Heavies!$N$90</f>
        <v>2097</v>
      </c>
      <c r="P4" s="117" t="s">
        <v>614</v>
      </c>
    </row>
    <row r="5">
      <c r="A5" s="449" t="s">
        <v>612</v>
      </c>
      <c r="B5" s="461" t="s">
        <v>615</v>
      </c>
      <c r="C5" s="449" t="s">
        <v>60</v>
      </c>
      <c r="D5" s="450" t="str">
        <f>Heavies!$B$92</f>
        <v>Microcosm</v>
      </c>
      <c r="E5" s="451">
        <f>Heavies!$C$92</f>
        <v>1407.272727</v>
      </c>
      <c r="F5" s="452">
        <f>Heavies!$D$92</f>
        <v>1201.086254</v>
      </c>
      <c r="G5" s="453">
        <f>Heavies!$F$92</f>
        <v>34102.90909</v>
      </c>
      <c r="H5" s="454">
        <f>Heavies!$G$92</f>
        <v>11258.18182</v>
      </c>
      <c r="I5" s="455">
        <f>Heavies!$H$92</f>
        <v>120</v>
      </c>
      <c r="J5" s="456">
        <f>Heavies!$I$92</f>
        <v>385</v>
      </c>
      <c r="K5" s="456">
        <f>Heavies!$J$92</f>
        <v>900</v>
      </c>
      <c r="L5" s="457">
        <f>Heavies!$K$92</f>
        <v>1.44</v>
      </c>
      <c r="M5" s="458">
        <f>Heavies!$L$92</f>
        <v>29.72</v>
      </c>
      <c r="N5" s="459">
        <f>Heavies!$M$92</f>
        <v>70.90909091</v>
      </c>
      <c r="O5" s="460">
        <f>Heavies!$N$92</f>
        <v>93.81818182</v>
      </c>
      <c r="P5" s="127"/>
    </row>
    <row r="6">
      <c r="A6" s="449" t="s">
        <v>612</v>
      </c>
      <c r="B6" s="461" t="s">
        <v>615</v>
      </c>
      <c r="C6" s="449" t="s">
        <v>60</v>
      </c>
      <c r="D6" s="450" t="str">
        <f>Heavies!$B$91</f>
        <v>Microcosm</v>
      </c>
      <c r="E6" s="451">
        <f>Heavies!$C$91</f>
        <v>1172.727273</v>
      </c>
      <c r="F6" s="452">
        <f>Heavies!$D$91</f>
        <v>1000.905211</v>
      </c>
      <c r="G6" s="453">
        <f>Heavies!$F$91</f>
        <v>30100</v>
      </c>
      <c r="H6" s="454">
        <f>Heavies!$G$91</f>
        <v>9381.818182</v>
      </c>
      <c r="I6" s="455">
        <f>Heavies!$H$91</f>
        <v>120</v>
      </c>
      <c r="J6" s="456">
        <f>Heavies!$I$91</f>
        <v>385</v>
      </c>
      <c r="K6" s="456">
        <f>Heavies!$J$91</f>
        <v>900</v>
      </c>
      <c r="L6" s="457">
        <f>Heavies!$K$91</f>
        <v>1.44</v>
      </c>
      <c r="M6" s="458">
        <f>Heavies!$L$91</f>
        <v>29.72</v>
      </c>
      <c r="N6" s="459">
        <f>Heavies!$M$91</f>
        <v>59.09090909</v>
      </c>
      <c r="O6" s="460">
        <f>Heavies!$N$91</f>
        <v>78.18181818</v>
      </c>
      <c r="P6" s="127" t="s">
        <v>616</v>
      </c>
    </row>
    <row r="7">
      <c r="A7" s="449" t="s">
        <v>612</v>
      </c>
      <c r="B7" s="449" t="s">
        <v>617</v>
      </c>
      <c r="C7" s="449" t="s">
        <v>60</v>
      </c>
      <c r="D7" s="450" t="str">
        <f>Heavies!$B$88</f>
        <v>One Thousand Voices</v>
      </c>
      <c r="E7" s="462">
        <f>Heavies!$C$88</f>
        <v>1136.612022</v>
      </c>
      <c r="F7" s="463">
        <f>Heavies!$D$88</f>
        <v>1009.708738</v>
      </c>
      <c r="G7" s="462">
        <f>Heavies!$F$88</f>
        <v>22880</v>
      </c>
      <c r="H7" s="464">
        <f>Heavies!$G$88</f>
        <v>8320</v>
      </c>
      <c r="I7" s="455">
        <f>Heavies!$H$88</f>
        <v>4</v>
      </c>
      <c r="J7" s="456">
        <f>Heavies!$I$88</f>
        <v>11</v>
      </c>
      <c r="K7" s="456">
        <f>Heavies!$J$88</f>
        <v>32.78688525</v>
      </c>
      <c r="L7" s="457">
        <f>Heavies!$K$88</f>
        <v>1.25</v>
      </c>
      <c r="M7" s="458">
        <f>Heavies!$L$88</f>
        <v>20.68</v>
      </c>
      <c r="N7" s="465">
        <f>Heavies!$M$88</f>
        <v>2080</v>
      </c>
      <c r="O7" s="466" t="str">
        <f>Heavies!$N$88</f>
        <v>N/A</v>
      </c>
      <c r="P7" s="467" t="s">
        <v>508</v>
      </c>
    </row>
    <row r="8">
      <c r="A8" s="449" t="s">
        <v>612</v>
      </c>
      <c r="B8" s="449" t="s">
        <v>617</v>
      </c>
      <c r="C8" s="449" t="s">
        <v>60</v>
      </c>
      <c r="D8" s="450" t="str">
        <f>Heavies!$B$87</f>
        <v>One Thousand Voices</v>
      </c>
      <c r="E8" s="462">
        <f>Heavies!$C$87</f>
        <v>1169.398907</v>
      </c>
      <c r="F8" s="463">
        <f>Heavies!$D$87</f>
        <v>1038.834951</v>
      </c>
      <c r="G8" s="462">
        <f>Heavies!$F$87</f>
        <v>23540</v>
      </c>
      <c r="H8" s="464">
        <f>Heavies!$G$87</f>
        <v>8560</v>
      </c>
      <c r="I8" s="455">
        <f>Heavies!$H$87</f>
        <v>4</v>
      </c>
      <c r="J8" s="456">
        <f>Heavies!$I$87</f>
        <v>11</v>
      </c>
      <c r="K8" s="456">
        <f>Heavies!$J$87</f>
        <v>32.78688525</v>
      </c>
      <c r="L8" s="457">
        <f>Heavies!$K$87</f>
        <v>1.25</v>
      </c>
      <c r="M8" s="458">
        <f>Heavies!$L$87</f>
        <v>20.68</v>
      </c>
      <c r="N8" s="465">
        <f>Heavies!$M$87</f>
        <v>2080</v>
      </c>
      <c r="O8" s="466" t="str">
        <f>Heavies!$N$87</f>
        <v>N/A</v>
      </c>
      <c r="P8" s="127" t="s">
        <v>618</v>
      </c>
    </row>
    <row r="9">
      <c r="A9" s="449" t="s">
        <v>612</v>
      </c>
      <c r="B9" s="449" t="s">
        <v>617</v>
      </c>
      <c r="C9" s="449" t="s">
        <v>60</v>
      </c>
      <c r="D9" s="450" t="str">
        <f>Heavies!$B$86</f>
        <v>One Thousand Voices</v>
      </c>
      <c r="E9" s="468">
        <f>Heavies!$C$86</f>
        <v>1153.005464</v>
      </c>
      <c r="F9" s="469">
        <f>Heavies!$D$86</f>
        <v>1024.271845</v>
      </c>
      <c r="G9" s="470">
        <f>Heavies!$F$86</f>
        <v>23180</v>
      </c>
      <c r="H9" s="471">
        <f>Heavies!$G$86</f>
        <v>8440</v>
      </c>
      <c r="I9" s="455">
        <f>Heavies!$H$86</f>
        <v>4</v>
      </c>
      <c r="J9" s="456">
        <f>Heavies!$I$86</f>
        <v>11</v>
      </c>
      <c r="K9" s="456">
        <f>Heavies!$J$86</f>
        <v>32.78688525</v>
      </c>
      <c r="L9" s="457">
        <f>Heavies!$K$86</f>
        <v>1.25</v>
      </c>
      <c r="M9" s="458">
        <f>Heavies!$L$86</f>
        <v>20.68</v>
      </c>
      <c r="N9" s="465">
        <f>Heavies!$M$86</f>
        <v>2080</v>
      </c>
      <c r="O9" s="466" t="str">
        <f>Heavies!$N$86</f>
        <v>N/A</v>
      </c>
      <c r="P9" s="467" t="s">
        <v>506</v>
      </c>
    </row>
    <row r="10">
      <c r="A10" s="449" t="s">
        <v>612</v>
      </c>
      <c r="B10" s="449" t="s">
        <v>619</v>
      </c>
      <c r="C10" s="449" t="s">
        <v>60</v>
      </c>
      <c r="D10" s="450" t="str">
        <f>Heavies!$B$76</f>
        <v>Winterbite</v>
      </c>
      <c r="E10" s="472">
        <f>Heavies!$C$76</f>
        <v>253.3333333</v>
      </c>
      <c r="F10" s="466">
        <f>Heavies!$D$76</f>
        <v>253.3333333</v>
      </c>
      <c r="G10" s="473" t="str">
        <f>Heavies!$F$76</f>
        <v>inf</v>
      </c>
      <c r="H10" s="473" t="str">
        <f>Heavies!$G$76</f>
        <v>N/A</v>
      </c>
      <c r="I10" s="456" t="str">
        <f>Heavies!$H$76</f>
        <v>N/A</v>
      </c>
      <c r="J10" s="456" t="str">
        <f>Heavies!$I$76</f>
        <v>N/A</v>
      </c>
      <c r="K10" s="456">
        <f>Heavies!$J$76</f>
        <v>133.3333333</v>
      </c>
      <c r="L10" s="457" t="str">
        <f>Heavies!$K$76</f>
        <v>N/A</v>
      </c>
      <c r="M10" s="458" t="str">
        <f>Heavies!$L$76</f>
        <v>N/A</v>
      </c>
      <c r="N10" s="474">
        <f>Heavies!$M$76</f>
        <v>114</v>
      </c>
      <c r="O10" s="466" t="str">
        <f>Heavies!$N$76</f>
        <v>N/A</v>
      </c>
      <c r="P10" s="127" t="s">
        <v>620</v>
      </c>
    </row>
    <row r="11">
      <c r="A11" s="449" t="s">
        <v>612</v>
      </c>
      <c r="B11" s="449" t="s">
        <v>619</v>
      </c>
      <c r="C11" s="449" t="s">
        <v>60</v>
      </c>
      <c r="D11" s="450" t="str">
        <f>Heavies!$B$74</f>
        <v>Winterbite</v>
      </c>
      <c r="E11" s="475">
        <f>Heavies!$C$74</f>
        <v>404.2777778</v>
      </c>
      <c r="F11" s="466">
        <f>Heavies!$D$74</f>
        <v>404.2777778</v>
      </c>
      <c r="G11" s="473" t="str">
        <f>Heavies!$F$74</f>
        <v>inf</v>
      </c>
      <c r="H11" s="473" t="str">
        <f>Heavies!$G$74</f>
        <v>N/A</v>
      </c>
      <c r="I11" s="456" t="str">
        <f>Heavies!$H$74</f>
        <v>N/A</v>
      </c>
      <c r="J11" s="456" t="str">
        <f>Heavies!$I$74</f>
        <v>N/A</v>
      </c>
      <c r="K11" s="456">
        <f>Heavies!$J$74</f>
        <v>133.3333333</v>
      </c>
      <c r="L11" s="457" t="str">
        <f>Heavies!$K$74</f>
        <v>N/A</v>
      </c>
      <c r="M11" s="458" t="str">
        <f>Heavies!$L$74</f>
        <v>N/A</v>
      </c>
      <c r="N11" s="476">
        <f>Heavies!$M$74</f>
        <v>136.8</v>
      </c>
      <c r="O11" s="466" t="str">
        <f>Heavies!$N$74</f>
        <v>N/A</v>
      </c>
      <c r="P11" s="127" t="s">
        <v>621</v>
      </c>
    </row>
    <row r="12">
      <c r="A12" s="449" t="s">
        <v>612</v>
      </c>
      <c r="B12" s="449" t="s">
        <v>619</v>
      </c>
      <c r="C12" s="449" t="s">
        <v>60</v>
      </c>
      <c r="D12" s="450" t="str">
        <f>Heavies!$B$75</f>
        <v>Winterbite</v>
      </c>
      <c r="E12" s="475">
        <f>Heavies!$C$75</f>
        <v>306.4354839</v>
      </c>
      <c r="F12" s="466">
        <f>Heavies!$D$75</f>
        <v>306.4354839</v>
      </c>
      <c r="G12" s="473" t="str">
        <f>Heavies!$F$75</f>
        <v>inf</v>
      </c>
      <c r="H12" s="473" t="str">
        <f>Heavies!$G$75</f>
        <v>N/A</v>
      </c>
      <c r="I12" s="456" t="str">
        <f>Heavies!$H$75</f>
        <v>N/A</v>
      </c>
      <c r="J12" s="456" t="str">
        <f>Heavies!$I$75</f>
        <v>N/A</v>
      </c>
      <c r="K12" s="456">
        <f>Heavies!$J$75</f>
        <v>116.1290323</v>
      </c>
      <c r="L12" s="457" t="str">
        <f>Heavies!$K$75</f>
        <v>N/A</v>
      </c>
      <c r="M12" s="458" t="str">
        <f>Heavies!$L$75</f>
        <v>N/A</v>
      </c>
      <c r="N12" s="476">
        <f>Heavies!$M$75</f>
        <v>136.8</v>
      </c>
      <c r="O12" s="466" t="str">
        <f>Heavies!$N$75</f>
        <v>N/A</v>
      </c>
      <c r="P12" s="127" t="s">
        <v>622</v>
      </c>
    </row>
    <row r="13">
      <c r="A13" s="449" t="s">
        <v>612</v>
      </c>
      <c r="B13" s="449" t="s">
        <v>619</v>
      </c>
      <c r="C13" s="449" t="s">
        <v>60</v>
      </c>
      <c r="D13" s="450" t="str">
        <f>Heavies!$B$73</f>
        <v>Winterbite</v>
      </c>
      <c r="E13" s="477">
        <f>Heavies!$C$73</f>
        <v>424.875</v>
      </c>
      <c r="F13" s="478">
        <f>Heavies!$D$73</f>
        <v>506.7663257</v>
      </c>
      <c r="G13" s="479">
        <f>Heavies!$F$73</f>
        <v>18252</v>
      </c>
      <c r="H13" s="480">
        <f>Heavies!$G$73</f>
        <v>3042</v>
      </c>
      <c r="I13" s="455">
        <f>Heavies!$H$73</f>
        <v>3</v>
      </c>
      <c r="J13" s="456">
        <f>Heavies!$I$73</f>
        <v>18</v>
      </c>
      <c r="K13" s="456">
        <f>Heavies!$J$73</f>
        <v>45</v>
      </c>
      <c r="L13" s="457">
        <f>Heavies!$K$73</f>
        <v>1.57</v>
      </c>
      <c r="M13" s="458">
        <f>Heavies!$L$73</f>
        <v>23.85</v>
      </c>
      <c r="N13" s="481">
        <f>Heavies!$M$73</f>
        <v>1014</v>
      </c>
      <c r="O13" s="466" t="str">
        <f>Heavies!$N$73</f>
        <v>N/A</v>
      </c>
      <c r="P13" s="467" t="s">
        <v>489</v>
      </c>
    </row>
    <row r="14">
      <c r="A14" s="449" t="s">
        <v>612</v>
      </c>
      <c r="B14" s="449" t="s">
        <v>623</v>
      </c>
      <c r="C14" s="449" t="s">
        <v>60</v>
      </c>
      <c r="D14" s="482" t="str">
        <f>Heavies!$B$19</f>
        <v>Adaptive</v>
      </c>
      <c r="E14" s="483">
        <f>Heavies!$C$19</f>
        <v>1444</v>
      </c>
      <c r="F14" s="484">
        <f>Heavies!$D$19</f>
        <v>1035.125448</v>
      </c>
      <c r="G14" s="485">
        <f>Heavies!$F$19</f>
        <v>18772</v>
      </c>
      <c r="H14" s="486">
        <f>Heavies!$G$19</f>
        <v>5776</v>
      </c>
      <c r="I14" s="455">
        <f>Heavies!$H$19</f>
        <v>8</v>
      </c>
      <c r="J14" s="456">
        <f>Heavies!$I$19</f>
        <v>26</v>
      </c>
      <c r="K14" s="456">
        <f>Heavies!$J$19</f>
        <v>120</v>
      </c>
      <c r="L14" s="457">
        <f>Heavies!$K$19</f>
        <v>2.08</v>
      </c>
      <c r="M14" s="458">
        <f>Heavies!$L$19</f>
        <v>17.24</v>
      </c>
      <c r="N14" s="487">
        <f>Heavies!$M$19</f>
        <v>722</v>
      </c>
      <c r="O14" s="466" t="str">
        <f>Heavies!$N$19</f>
        <v>N/A</v>
      </c>
      <c r="P14" s="117"/>
    </row>
    <row r="15">
      <c r="A15" s="449" t="s">
        <v>612</v>
      </c>
      <c r="B15" s="449" t="s">
        <v>623</v>
      </c>
      <c r="C15" s="449" t="s">
        <v>60</v>
      </c>
      <c r="D15" s="482" t="str">
        <f>Heavies!$B$20</f>
        <v>Adaptive</v>
      </c>
      <c r="E15" s="488">
        <f>Heavies!$C$20</f>
        <v>2406.666667</v>
      </c>
      <c r="F15" s="489">
        <f>Heavies!$D$20</f>
        <v>1381.818182</v>
      </c>
      <c r="G15" s="485">
        <f>Heavies!$F$20</f>
        <v>18772</v>
      </c>
      <c r="H15" s="486">
        <f>Heavies!$G$20</f>
        <v>5776</v>
      </c>
      <c r="I15" s="455">
        <f>Heavies!$H$20</f>
        <v>8</v>
      </c>
      <c r="J15" s="456">
        <f>Heavies!$I$20</f>
        <v>26</v>
      </c>
      <c r="K15" s="456">
        <f>Heavies!$J$20</f>
        <v>200</v>
      </c>
      <c r="L15" s="457">
        <f>Heavies!$K$20</f>
        <v>2.08</v>
      </c>
      <c r="M15" s="458">
        <f>Heavies!$L$20</f>
        <v>12.84</v>
      </c>
      <c r="N15" s="487">
        <f>Heavies!$M$20</f>
        <v>722</v>
      </c>
      <c r="O15" s="466" t="str">
        <f>Heavies!$N$20</f>
        <v>N/A</v>
      </c>
      <c r="P15" s="117" t="s">
        <v>323</v>
      </c>
    </row>
    <row r="16">
      <c r="A16" s="449" t="s">
        <v>612</v>
      </c>
      <c r="B16" s="449" t="s">
        <v>623</v>
      </c>
      <c r="C16" s="449" t="s">
        <v>60</v>
      </c>
      <c r="D16" s="450" t="str">
        <f>Heavies!$B$25</f>
        <v>Anarchy</v>
      </c>
      <c r="E16" s="490">
        <f>Heavies!$C$25</f>
        <v>145.9</v>
      </c>
      <c r="F16" s="491">
        <f>Heavies!$D$25</f>
        <v>145.9</v>
      </c>
      <c r="G16" s="492">
        <f>Heavies!$F$25</f>
        <v>42311</v>
      </c>
      <c r="H16" s="493">
        <f>Heavies!$G$25</f>
        <v>8754</v>
      </c>
      <c r="I16" s="455">
        <f>Heavies!$H$25</f>
        <v>6</v>
      </c>
      <c r="J16" s="456">
        <f>Heavies!$I$25</f>
        <v>29</v>
      </c>
      <c r="K16" s="456">
        <f>Heavies!$J$25</f>
        <v>150</v>
      </c>
      <c r="L16" s="457">
        <f>Heavies!$K$25</f>
        <v>2.08</v>
      </c>
      <c r="M16" s="458">
        <f>Heavies!$L$25</f>
        <v>290</v>
      </c>
      <c r="N16" s="494">
        <f>Heavies!$M$25</f>
        <v>19</v>
      </c>
      <c r="O16" s="466" t="str">
        <f>Heavies!$N$25</f>
        <v>N/A</v>
      </c>
      <c r="P16" s="495" t="s">
        <v>436</v>
      </c>
    </row>
    <row r="17">
      <c r="A17" s="449" t="s">
        <v>612</v>
      </c>
      <c r="B17" s="449" t="s">
        <v>623</v>
      </c>
      <c r="C17" s="449" t="s">
        <v>60</v>
      </c>
      <c r="D17" s="450" t="str">
        <f>Heavies!$B$26</f>
        <v>Anarchy</v>
      </c>
      <c r="E17" s="496">
        <f>Heavies!$C$26</f>
        <v>963.9</v>
      </c>
      <c r="F17" s="497">
        <f>Heavies!$D$26</f>
        <v>963.9</v>
      </c>
      <c r="G17" s="492">
        <f>Heavies!$F$26</f>
        <v>136671</v>
      </c>
      <c r="H17" s="493">
        <f>Heavies!$G$26</f>
        <v>28974</v>
      </c>
      <c r="I17" s="455">
        <f>Heavies!$H$26</f>
        <v>6</v>
      </c>
      <c r="J17" s="456">
        <f>Heavies!$I$26</f>
        <v>29</v>
      </c>
      <c r="K17" s="456">
        <f>Heavies!$J$26</f>
        <v>150</v>
      </c>
      <c r="L17" s="457">
        <f>Heavies!$K$26</f>
        <v>2.08</v>
      </c>
      <c r="M17" s="458">
        <f>Heavies!$L$26</f>
        <v>150</v>
      </c>
      <c r="N17" s="494">
        <f>Heavies!$M$26</f>
        <v>19</v>
      </c>
      <c r="O17" s="466" t="str">
        <f>Heavies!$N$26</f>
        <v>N/A</v>
      </c>
      <c r="P17" s="495" t="s">
        <v>438</v>
      </c>
    </row>
    <row r="18">
      <c r="A18" s="449" t="s">
        <v>612</v>
      </c>
      <c r="B18" s="449" t="s">
        <v>623</v>
      </c>
      <c r="C18" s="449" t="s">
        <v>60</v>
      </c>
      <c r="D18" s="482" t="str">
        <f>Heavies!$B$21</f>
        <v>Compressed Wave</v>
      </c>
      <c r="E18" s="498">
        <f>Heavies!$C$21</f>
        <v>1460</v>
      </c>
      <c r="F18" s="499">
        <f>Heavies!$D$21</f>
        <v>902.8268551</v>
      </c>
      <c r="G18" s="500">
        <f>Heavies!$F$21</f>
        <v>18980</v>
      </c>
      <c r="H18" s="501">
        <f>Heavies!$G$21</f>
        <v>5110</v>
      </c>
      <c r="I18" s="455">
        <f>Heavies!$H$21</f>
        <v>7</v>
      </c>
      <c r="J18" s="456">
        <f>Heavies!$I$21</f>
        <v>26</v>
      </c>
      <c r="K18" s="456">
        <f>Heavies!$J$21</f>
        <v>120</v>
      </c>
      <c r="L18" s="457">
        <f>Heavies!$K$21</f>
        <v>2.16</v>
      </c>
      <c r="M18" s="458">
        <f>Heavies!$L$21</f>
        <v>19.48</v>
      </c>
      <c r="N18" s="502">
        <f>Heavies!$M$21</f>
        <v>730</v>
      </c>
      <c r="O18" s="466" t="str">
        <f>Heavies!$N$21</f>
        <v>N/A</v>
      </c>
      <c r="P18" s="467"/>
    </row>
    <row r="19">
      <c r="A19" s="449" t="s">
        <v>612</v>
      </c>
      <c r="B19" s="449" t="s">
        <v>623</v>
      </c>
      <c r="C19" s="449" t="s">
        <v>60</v>
      </c>
      <c r="D19" s="482" t="str">
        <f>Heavies!$B$22</f>
        <v>Compressed Wave</v>
      </c>
      <c r="E19" s="498">
        <f>Heavies!$C$22</f>
        <v>2433.333333</v>
      </c>
      <c r="F19" s="499">
        <f>Heavies!$D$22</f>
        <v>1199.530516</v>
      </c>
      <c r="G19" s="500">
        <f>Heavies!$F$22</f>
        <v>18980</v>
      </c>
      <c r="H19" s="501">
        <f>Heavies!$G$22</f>
        <v>5110</v>
      </c>
      <c r="I19" s="455">
        <f>Heavies!$H$22</f>
        <v>7</v>
      </c>
      <c r="J19" s="456">
        <f>Heavies!$I$22</f>
        <v>26</v>
      </c>
      <c r="K19" s="456">
        <f>Heavies!$J$22</f>
        <v>200</v>
      </c>
      <c r="L19" s="457">
        <f>Heavies!$K$22</f>
        <v>2.16</v>
      </c>
      <c r="M19" s="458">
        <f>Heavies!$L$22</f>
        <v>14.28</v>
      </c>
      <c r="N19" s="502">
        <f>Heavies!$M$22</f>
        <v>730</v>
      </c>
      <c r="O19" s="466" t="str">
        <f>Heavies!$N$22</f>
        <v>N/A</v>
      </c>
      <c r="P19" s="127" t="s">
        <v>323</v>
      </c>
    </row>
    <row r="20">
      <c r="A20" s="449" t="s">
        <v>612</v>
      </c>
      <c r="B20" s="449" t="s">
        <v>623</v>
      </c>
      <c r="C20" s="449" t="s">
        <v>60</v>
      </c>
      <c r="D20" s="450" t="str">
        <f>Heavies!$B$28</f>
        <v>Parasite</v>
      </c>
      <c r="E20" s="500">
        <f>Heavies!$C$28</f>
        <v>4064</v>
      </c>
      <c r="F20" s="503">
        <f>Heavies!$D$28</f>
        <v>976.9230769</v>
      </c>
      <c r="G20" s="504">
        <f>Heavies!$F$28</f>
        <v>36576</v>
      </c>
      <c r="H20" s="505">
        <f>Heavies!$G$28</f>
        <v>2032</v>
      </c>
      <c r="I20" s="455">
        <f>Heavies!$H$28</f>
        <v>1</v>
      </c>
      <c r="J20" s="456">
        <f>Heavies!$I$28</f>
        <v>18</v>
      </c>
      <c r="K20" s="456">
        <f>Heavies!$J$28</f>
        <v>120</v>
      </c>
      <c r="L20" s="457">
        <f>Heavies!$K$28</f>
        <v>2.08</v>
      </c>
      <c r="M20" s="458">
        <f>Heavies!$L$28</f>
        <v>35.36</v>
      </c>
      <c r="N20" s="506">
        <f>Heavies!$M$28</f>
        <v>2032</v>
      </c>
      <c r="O20" s="466" t="str">
        <f>Heavies!$N$28</f>
        <v>N/A</v>
      </c>
      <c r="P20" s="467"/>
    </row>
    <row r="21">
      <c r="A21" s="449" t="s">
        <v>612</v>
      </c>
      <c r="B21" s="449" t="s">
        <v>623</v>
      </c>
      <c r="C21" s="449" t="s">
        <v>60</v>
      </c>
      <c r="D21" s="450" t="str">
        <f>Heavies!$B$29</f>
        <v>Parasite</v>
      </c>
      <c r="E21" s="487">
        <f>Heavies!$C$29</f>
        <v>4064</v>
      </c>
      <c r="F21" s="507">
        <f>Heavies!$D$29</f>
        <v>1149.321267</v>
      </c>
      <c r="G21" s="508">
        <f>Heavies!$F$29</f>
        <v>40640</v>
      </c>
      <c r="H21" s="505">
        <f>Heavies!$G$29</f>
        <v>6096</v>
      </c>
      <c r="I21" s="455">
        <f>Heavies!$H$29</f>
        <v>1</v>
      </c>
      <c r="J21" s="456">
        <f>Heavies!$I$29</f>
        <v>18</v>
      </c>
      <c r="K21" s="456">
        <f>Heavies!$J$29</f>
        <v>120</v>
      </c>
      <c r="L21" s="457">
        <f>Heavies!$K$29</f>
        <v>2.08</v>
      </c>
      <c r="M21" s="458">
        <f>Heavies!$L$29</f>
        <v>35.36</v>
      </c>
      <c r="N21" s="506">
        <f>Heavies!$M$29</f>
        <v>2032</v>
      </c>
      <c r="O21" s="466" t="str">
        <f>Heavies!$N$29</f>
        <v>N/A</v>
      </c>
      <c r="P21" s="127" t="s">
        <v>624</v>
      </c>
    </row>
    <row r="22">
      <c r="A22" s="449" t="s">
        <v>612</v>
      </c>
      <c r="B22" s="449" t="s">
        <v>623</v>
      </c>
      <c r="C22" s="449" t="s">
        <v>60</v>
      </c>
      <c r="D22" s="482" t="str">
        <f>Heavies!$B$17</f>
        <v>Rapid-Fire</v>
      </c>
      <c r="E22" s="483">
        <f>Heavies!$C$17</f>
        <v>1535</v>
      </c>
      <c r="F22" s="509">
        <f>Heavies!$D$17</f>
        <v>1040.677966</v>
      </c>
      <c r="G22" s="510">
        <f>Heavies!$F$17</f>
        <v>18420</v>
      </c>
      <c r="H22" s="511">
        <f>Heavies!$G$17</f>
        <v>4912</v>
      </c>
      <c r="I22" s="455">
        <f>Heavies!$H$17</f>
        <v>8</v>
      </c>
      <c r="J22" s="456">
        <f>Heavies!$I$17</f>
        <v>30</v>
      </c>
      <c r="K22" s="456">
        <f>Heavies!$J$17</f>
        <v>150</v>
      </c>
      <c r="L22" s="457">
        <f>Heavies!$K$17</f>
        <v>1.92</v>
      </c>
      <c r="M22" s="458">
        <f>Heavies!$L$17</f>
        <v>16.16</v>
      </c>
      <c r="N22" s="512">
        <f>Heavies!$M$17</f>
        <v>614</v>
      </c>
      <c r="O22" s="466" t="str">
        <f>Heavies!$N$17</f>
        <v>N/A</v>
      </c>
      <c r="P22" s="467"/>
    </row>
    <row r="23">
      <c r="A23" s="449" t="s">
        <v>612</v>
      </c>
      <c r="B23" s="449" t="s">
        <v>623</v>
      </c>
      <c r="C23" s="449" t="s">
        <v>60</v>
      </c>
      <c r="D23" s="482" t="str">
        <f>Heavies!$B$18</f>
        <v>Rapid-Fire</v>
      </c>
      <c r="E23" s="488">
        <f>Heavies!$C$18</f>
        <v>2558.333333</v>
      </c>
      <c r="F23" s="513">
        <f>Heavies!$D$18</f>
        <v>1364.444444</v>
      </c>
      <c r="G23" s="510">
        <f>Heavies!$F$18</f>
        <v>18420</v>
      </c>
      <c r="H23" s="511">
        <f>Heavies!$G$18</f>
        <v>4912</v>
      </c>
      <c r="I23" s="455">
        <f>Heavies!$H$18</f>
        <v>8</v>
      </c>
      <c r="J23" s="456">
        <f>Heavies!$I$18</f>
        <v>30</v>
      </c>
      <c r="K23" s="456">
        <f>Heavies!$J$18</f>
        <v>250</v>
      </c>
      <c r="L23" s="457">
        <f>Heavies!$K$18</f>
        <v>1.92</v>
      </c>
      <c r="M23" s="458">
        <f>Heavies!$L$18</f>
        <v>12</v>
      </c>
      <c r="N23" s="512">
        <f>Heavies!$M$18</f>
        <v>614</v>
      </c>
      <c r="O23" s="466" t="str">
        <f>Heavies!$N$18</f>
        <v>N/A</v>
      </c>
      <c r="P23" s="117" t="s">
        <v>323</v>
      </c>
    </row>
    <row r="24">
      <c r="A24" s="449" t="s">
        <v>612</v>
      </c>
      <c r="B24" s="449" t="s">
        <v>623</v>
      </c>
      <c r="C24" s="449" t="s">
        <v>60</v>
      </c>
      <c r="D24" s="450" t="str">
        <f>Heavies!$B$36</f>
        <v>Salvation's Grip</v>
      </c>
      <c r="E24" s="514">
        <f>Heavies!$C$36</f>
        <v>970.8</v>
      </c>
      <c r="F24" s="466">
        <f>Heavies!$D$36</f>
        <v>970.8</v>
      </c>
      <c r="G24" s="508">
        <f>Heavies!$F$36</f>
        <v>30560</v>
      </c>
      <c r="H24" s="473" t="str">
        <f>Heavies!$G$36</f>
        <v>N/A</v>
      </c>
      <c r="I24" s="455">
        <f>Heavies!$H$36</f>
        <v>8</v>
      </c>
      <c r="J24" s="456">
        <f>Heavies!$I$36</f>
        <v>25</v>
      </c>
      <c r="K24" s="456">
        <f>Heavies!$J$36</f>
        <v>60</v>
      </c>
      <c r="L24" s="457">
        <f>Heavies!$K$36</f>
        <v>2.2</v>
      </c>
      <c r="M24" s="458">
        <f>Heavies!$L$36</f>
        <v>12.5</v>
      </c>
      <c r="N24" s="487">
        <f>Heavies!$M$36</f>
        <v>991</v>
      </c>
      <c r="O24" s="466" t="str">
        <f>Heavies!$N$36</f>
        <v>N/A</v>
      </c>
      <c r="P24" s="515" t="s">
        <v>625</v>
      </c>
    </row>
    <row r="25">
      <c r="A25" s="449" t="s">
        <v>612</v>
      </c>
      <c r="B25" s="449" t="s">
        <v>623</v>
      </c>
      <c r="C25" s="449" t="s">
        <v>60</v>
      </c>
      <c r="D25" s="450" t="str">
        <f>Heavies!$B$30</f>
        <v>Salvation's Grip</v>
      </c>
      <c r="E25" s="483">
        <f>Heavies!$C$30</f>
        <v>1522</v>
      </c>
      <c r="F25" s="516">
        <f>Heavies!$D$30</f>
        <v>1068.070175</v>
      </c>
      <c r="G25" s="477">
        <f>Heavies!$F$30</f>
        <v>19025</v>
      </c>
      <c r="H25" s="486">
        <f>Heavies!$G$30</f>
        <v>6088</v>
      </c>
      <c r="I25" s="455">
        <f>Heavies!$H$30</f>
        <v>8</v>
      </c>
      <c r="J25" s="456">
        <f>Heavies!$I$30</f>
        <v>25</v>
      </c>
      <c r="K25" s="456">
        <f>Heavies!$J$30</f>
        <v>120</v>
      </c>
      <c r="L25" s="457">
        <f>Heavies!$K$30</f>
        <v>2.2</v>
      </c>
      <c r="M25" s="458">
        <f>Heavies!$L$30</f>
        <v>17.1</v>
      </c>
      <c r="N25" s="487">
        <f>Heavies!$M$30</f>
        <v>761</v>
      </c>
      <c r="O25" s="466" t="str">
        <f>Heavies!$N$30</f>
        <v>N/A</v>
      </c>
      <c r="P25" s="127" t="s">
        <v>626</v>
      </c>
    </row>
    <row r="26">
      <c r="A26" s="449" t="s">
        <v>612</v>
      </c>
      <c r="B26" s="449" t="s">
        <v>623</v>
      </c>
      <c r="C26" s="449" t="s">
        <v>60</v>
      </c>
      <c r="D26" s="450" t="str">
        <f>Heavies!$B$33</f>
        <v>Salvation's Grip</v>
      </c>
      <c r="E26" s="514">
        <f>Heavies!$C$33</f>
        <v>1156</v>
      </c>
      <c r="F26" s="466">
        <f>Heavies!$D$33</f>
        <v>1156</v>
      </c>
      <c r="G26" s="508">
        <f>Heavies!$F$33</f>
        <v>29065</v>
      </c>
      <c r="H26" s="473" t="str">
        <f>Heavies!$G$33</f>
        <v>N/A</v>
      </c>
      <c r="I26" s="455">
        <f>Heavies!$H$33</f>
        <v>8</v>
      </c>
      <c r="J26" s="456">
        <f>Heavies!$I$33</f>
        <v>25</v>
      </c>
      <c r="K26" s="456">
        <f>Heavies!$J$33</f>
        <v>60</v>
      </c>
      <c r="L26" s="457">
        <f>Heavies!$K$33</f>
        <v>2.2</v>
      </c>
      <c r="M26" s="458">
        <f>Heavies!$L$33</f>
        <v>16.66666667</v>
      </c>
      <c r="N26" s="487">
        <f>Heavies!$M$33</f>
        <v>991</v>
      </c>
      <c r="O26" s="466" t="str">
        <f>Heavies!$N$33</f>
        <v>N/A</v>
      </c>
      <c r="P26" s="517" t="s">
        <v>627</v>
      </c>
    </row>
    <row r="27">
      <c r="A27" s="449" t="s">
        <v>612</v>
      </c>
      <c r="B27" s="449" t="s">
        <v>623</v>
      </c>
      <c r="C27" s="449" t="s">
        <v>60</v>
      </c>
      <c r="D27" s="450" t="str">
        <f>Heavies!$B$32</f>
        <v>Salvation's Grip</v>
      </c>
      <c r="E27" s="494">
        <f>Heavies!$C$32</f>
        <v>390.6666667</v>
      </c>
      <c r="F27" s="518">
        <f>Heavies!$D$32</f>
        <v>390.6666667</v>
      </c>
      <c r="G27" s="490">
        <f>Heavies!$F$32</f>
        <v>14650</v>
      </c>
      <c r="H27" s="519" t="str">
        <f>Heavies!$G$32</f>
        <v>N/A</v>
      </c>
      <c r="I27" s="455">
        <f>Heavies!$H$32</f>
        <v>8</v>
      </c>
      <c r="J27" s="456">
        <f>Heavies!$I$32</f>
        <v>25</v>
      </c>
      <c r="K27" s="456">
        <f>Heavies!$J$32</f>
        <v>60</v>
      </c>
      <c r="L27" s="457">
        <f>Heavies!$K$32</f>
        <v>2.2</v>
      </c>
      <c r="M27" s="458">
        <f>Heavies!$L$32</f>
        <v>27.6</v>
      </c>
      <c r="N27" s="520">
        <f>Heavies!$M$32</f>
        <v>158</v>
      </c>
      <c r="O27" s="466" t="str">
        <f>Heavies!$N$32</f>
        <v>N/A</v>
      </c>
      <c r="P27" s="127" t="s">
        <v>628</v>
      </c>
    </row>
    <row r="28">
      <c r="A28" s="449" t="s">
        <v>612</v>
      </c>
      <c r="B28" s="449" t="s">
        <v>623</v>
      </c>
      <c r="C28" s="449" t="s">
        <v>60</v>
      </c>
      <c r="D28" s="450" t="str">
        <f>Heavies!$B$31</f>
        <v>Salvation's Grip</v>
      </c>
      <c r="E28" s="494">
        <f>Heavies!$C$31</f>
        <v>672</v>
      </c>
      <c r="F28" s="518">
        <f>Heavies!$D$31</f>
        <v>672</v>
      </c>
      <c r="G28" s="490">
        <f>Heavies!$F$31</f>
        <v>25609</v>
      </c>
      <c r="H28" s="519" t="str">
        <f>Heavies!$G$31</f>
        <v>N/A</v>
      </c>
      <c r="I28" s="455">
        <f>Heavies!$H$31</f>
        <v>8</v>
      </c>
      <c r="J28" s="456">
        <f>Heavies!$I$31</f>
        <v>25</v>
      </c>
      <c r="K28" s="456">
        <f>Heavies!$J$31</f>
        <v>60</v>
      </c>
      <c r="L28" s="457">
        <f>Heavies!$K$31</f>
        <v>2.2</v>
      </c>
      <c r="M28" s="458">
        <f>Heavies!$L$31</f>
        <v>27.6</v>
      </c>
      <c r="N28" s="520">
        <f>Heavies!$M$31</f>
        <v>158</v>
      </c>
      <c r="O28" s="466" t="str">
        <f>Heavies!$N$31</f>
        <v>N/A</v>
      </c>
      <c r="P28" s="127" t="s">
        <v>629</v>
      </c>
    </row>
    <row r="29">
      <c r="A29" s="449" t="s">
        <v>612</v>
      </c>
      <c r="B29" s="449" t="s">
        <v>623</v>
      </c>
      <c r="C29" s="449" t="s">
        <v>60</v>
      </c>
      <c r="D29" s="450" t="str">
        <f>Heavies!$B$34</f>
        <v>Salvation's Grip</v>
      </c>
      <c r="E29" s="514">
        <f>Heavies!$C$34</f>
        <v>869</v>
      </c>
      <c r="F29" s="466">
        <f>Heavies!$D$34</f>
        <v>869</v>
      </c>
      <c r="G29" s="508">
        <f>Heavies!$F$34</f>
        <v>32816</v>
      </c>
      <c r="H29" s="473" t="str">
        <f>Heavies!$G$34</f>
        <v>N/A</v>
      </c>
      <c r="I29" s="455">
        <f>Heavies!$H$34</f>
        <v>8</v>
      </c>
      <c r="J29" s="456">
        <f>Heavies!$I$34</f>
        <v>25</v>
      </c>
      <c r="K29" s="456">
        <f>Heavies!$J$34</f>
        <v>60</v>
      </c>
      <c r="L29" s="457">
        <f>Heavies!$K$34</f>
        <v>2.2</v>
      </c>
      <c r="M29" s="458">
        <f>Heavies!$L$34</f>
        <v>27.6</v>
      </c>
      <c r="N29" s="487">
        <f>Heavies!$M$34</f>
        <v>158</v>
      </c>
      <c r="O29" s="466" t="str">
        <f>Heavies!$N$34</f>
        <v>N/A</v>
      </c>
      <c r="P29" s="515" t="s">
        <v>630</v>
      </c>
    </row>
    <row r="30">
      <c r="A30" s="449" t="s">
        <v>612</v>
      </c>
      <c r="B30" s="449" t="s">
        <v>623</v>
      </c>
      <c r="C30" s="449" t="s">
        <v>60</v>
      </c>
      <c r="D30" s="450" t="str">
        <f>Heavies!$B$35</f>
        <v>Salvation's Grip</v>
      </c>
      <c r="E30" s="514">
        <f>Heavies!$C$35</f>
        <v>467.3333333</v>
      </c>
      <c r="F30" s="466">
        <f>Heavies!$D$35</f>
        <v>467.3333333</v>
      </c>
      <c r="G30" s="508">
        <f>Heavies!$F$35</f>
        <v>17525</v>
      </c>
      <c r="H30" s="473" t="str">
        <f>Heavies!$G$35</f>
        <v>N/A</v>
      </c>
      <c r="I30" s="455">
        <f>Heavies!$H$35</f>
        <v>8</v>
      </c>
      <c r="J30" s="456">
        <f>Heavies!$I$35</f>
        <v>25</v>
      </c>
      <c r="K30" s="456">
        <f>Heavies!$J$35</f>
        <v>60</v>
      </c>
      <c r="L30" s="457">
        <f>Heavies!$K$35</f>
        <v>2.2</v>
      </c>
      <c r="M30" s="458">
        <f>Heavies!$L$35</f>
        <v>27.6</v>
      </c>
      <c r="N30" s="487">
        <f>Heavies!$M$35</f>
        <v>158</v>
      </c>
      <c r="O30" s="466" t="str">
        <f>Heavies!$N$35</f>
        <v>N/A</v>
      </c>
      <c r="P30" s="515" t="s">
        <v>631</v>
      </c>
    </row>
    <row r="31">
      <c r="A31" s="449" t="s">
        <v>612</v>
      </c>
      <c r="B31" s="449" t="s">
        <v>623</v>
      </c>
      <c r="C31" s="449" t="s">
        <v>60</v>
      </c>
      <c r="D31" s="450" t="str">
        <f>Heavies!$B$27</f>
        <v>The Colony</v>
      </c>
      <c r="E31" s="508">
        <f>Heavies!$C$27</f>
        <v>1766.333333</v>
      </c>
      <c r="F31" s="521">
        <f>Heavies!$D$27</f>
        <v>1192.125984</v>
      </c>
      <c r="G31" s="505">
        <f>Heavies!$F$27</f>
        <v>18925</v>
      </c>
      <c r="H31" s="522">
        <f>Heavies!$G$27</f>
        <v>6056</v>
      </c>
      <c r="I31" s="455">
        <f>Heavies!$H$27</f>
        <v>8</v>
      </c>
      <c r="J31" s="456">
        <f>Heavies!$I$27</f>
        <v>25</v>
      </c>
      <c r="K31" s="456">
        <f>Heavies!$J$27</f>
        <v>140</v>
      </c>
      <c r="L31" s="457">
        <f>Heavies!$K$27</f>
        <v>2.08</v>
      </c>
      <c r="M31" s="458">
        <f>Heavies!$L$27</f>
        <v>15.24</v>
      </c>
      <c r="N31" s="485">
        <f>Heavies!$M$27</f>
        <v>757</v>
      </c>
      <c r="O31" s="466" t="str">
        <f>Heavies!$N$27</f>
        <v>N/A</v>
      </c>
      <c r="P31" s="467"/>
    </row>
    <row r="32">
      <c r="A32" s="449" t="s">
        <v>612</v>
      </c>
      <c r="B32" s="449" t="s">
        <v>623</v>
      </c>
      <c r="C32" s="449" t="s">
        <v>60</v>
      </c>
      <c r="D32" s="450" t="str">
        <f>Heavies!$B$23</f>
        <v>The Prospector</v>
      </c>
      <c r="E32" s="488">
        <f>Heavies!$C$23</f>
        <v>1694</v>
      </c>
      <c r="F32" s="523">
        <f>Heavies!$D$23</f>
        <v>948.1343284</v>
      </c>
      <c r="G32" s="506">
        <f>Heavies!$F$23</f>
        <v>18480</v>
      </c>
      <c r="H32" s="524">
        <f>Heavies!$G$23</f>
        <v>3696</v>
      </c>
      <c r="I32" s="455">
        <f>Heavies!$H$23</f>
        <v>6</v>
      </c>
      <c r="J32" s="456">
        <f>Heavies!$I$23</f>
        <v>30</v>
      </c>
      <c r="K32" s="456">
        <f>Heavies!$J$23</f>
        <v>165</v>
      </c>
      <c r="L32" s="457">
        <f>Heavies!$K$23</f>
        <v>2.08</v>
      </c>
      <c r="M32" s="458">
        <f>Heavies!$L$23</f>
        <v>17.41090909</v>
      </c>
      <c r="N32" s="525">
        <f>Heavies!$M$23</f>
        <v>616</v>
      </c>
      <c r="O32" s="466" t="str">
        <f>Heavies!$N$23</f>
        <v>N/A</v>
      </c>
      <c r="P32" s="127" t="s">
        <v>632</v>
      </c>
    </row>
    <row r="33">
      <c r="A33" s="449" t="s">
        <v>612</v>
      </c>
      <c r="B33" s="449" t="s">
        <v>623</v>
      </c>
      <c r="C33" s="449" t="s">
        <v>60</v>
      </c>
      <c r="D33" s="450" t="str">
        <f>Heavies!$B$24</f>
        <v>The Prospector</v>
      </c>
      <c r="E33" s="526">
        <f>Heavies!$C$24</f>
        <v>2915</v>
      </c>
      <c r="F33" s="527">
        <f>Heavies!$D$24</f>
        <v>1631.529851</v>
      </c>
      <c r="G33" s="510">
        <f>Heavies!$F$24</f>
        <v>31800</v>
      </c>
      <c r="H33" s="481">
        <f>Heavies!$G$24</f>
        <v>6360</v>
      </c>
      <c r="I33" s="455">
        <f>Heavies!$H$24</f>
        <v>6</v>
      </c>
      <c r="J33" s="456">
        <f>Heavies!$I$24</f>
        <v>30</v>
      </c>
      <c r="K33" s="456">
        <f>Heavies!$J$24</f>
        <v>165</v>
      </c>
      <c r="L33" s="457">
        <f>Heavies!$K$24</f>
        <v>2.08</v>
      </c>
      <c r="M33" s="458">
        <f>Heavies!$L$24</f>
        <v>17.41090909</v>
      </c>
      <c r="N33" s="512">
        <f>Heavies!$M$24</f>
        <v>838</v>
      </c>
      <c r="O33" s="466" t="str">
        <f>Heavies!$N$24</f>
        <v>N/A</v>
      </c>
      <c r="P33" s="127" t="s">
        <v>633</v>
      </c>
    </row>
    <row r="34">
      <c r="A34" s="449" t="s">
        <v>612</v>
      </c>
      <c r="B34" s="449" t="s">
        <v>634</v>
      </c>
      <c r="C34" s="449" t="s">
        <v>60</v>
      </c>
      <c r="D34" s="482" t="str">
        <f>Heavies!$B$7</f>
        <v>Adaptive</v>
      </c>
      <c r="E34" s="528">
        <f>Heavies!$C$7</f>
        <v>720</v>
      </c>
      <c r="F34" s="529">
        <f>Heavies!$D$7</f>
        <v>535.8471843</v>
      </c>
      <c r="G34" s="530">
        <f>Heavies!$F$7</f>
        <v>36000</v>
      </c>
      <c r="H34" s="531">
        <f>Heavies!$G$7</f>
        <v>7200</v>
      </c>
      <c r="I34" s="455">
        <f>Heavies!$H$7</f>
        <v>75</v>
      </c>
      <c r="J34" s="456">
        <f>Heavies!$I$7</f>
        <v>375</v>
      </c>
      <c r="K34" s="456">
        <f>Heavies!$J$7</f>
        <v>450</v>
      </c>
      <c r="L34" s="457">
        <f>Heavies!$K$7</f>
        <v>3.57</v>
      </c>
      <c r="M34" s="458">
        <f>Heavies!$L$7</f>
        <v>63.61333333</v>
      </c>
      <c r="N34" s="532">
        <f>Heavies!$M$7</f>
        <v>68</v>
      </c>
      <c r="O34" s="533">
        <f>Heavies!$N$7</f>
        <v>96</v>
      </c>
      <c r="P34" s="467"/>
    </row>
    <row r="35">
      <c r="A35" s="449" t="s">
        <v>612</v>
      </c>
      <c r="B35" s="449" t="s">
        <v>634</v>
      </c>
      <c r="C35" s="449" t="s">
        <v>60</v>
      </c>
      <c r="D35" s="450" t="str">
        <f>Heavies!$B$12</f>
        <v>Deterministic Chaos</v>
      </c>
      <c r="E35" s="534">
        <f>Heavies!$C$12</f>
        <v>1566.11413</v>
      </c>
      <c r="F35" s="535">
        <f>Heavies!$D$12</f>
        <v>1098.706201</v>
      </c>
      <c r="G35" s="536">
        <f>Heavies!$F$12</f>
        <v>42488</v>
      </c>
      <c r="H35" s="481">
        <f>Heavies!$G$12</f>
        <v>12528.91304</v>
      </c>
      <c r="I35" s="455">
        <f>Heavies!$H$12</f>
        <v>48</v>
      </c>
      <c r="J35" s="456">
        <f>Heavies!$I$12</f>
        <v>376</v>
      </c>
      <c r="K35" s="456">
        <f>Heavies!$J$12</f>
        <v>360</v>
      </c>
      <c r="L35" s="457">
        <f>Heavies!$K$12</f>
        <v>3.57</v>
      </c>
      <c r="M35" s="458">
        <f>Heavies!$L$12</f>
        <v>86.32333333</v>
      </c>
      <c r="N35" s="537">
        <f>Heavies!$M$12</f>
        <v>78</v>
      </c>
      <c r="O35" s="538">
        <f>Heavies!$N$12</f>
        <v>113</v>
      </c>
      <c r="P35" s="467" t="s">
        <v>420</v>
      </c>
    </row>
    <row r="36">
      <c r="A36" s="449" t="s">
        <v>612</v>
      </c>
      <c r="B36" s="449" t="s">
        <v>634</v>
      </c>
      <c r="C36" s="449" t="s">
        <v>60</v>
      </c>
      <c r="D36" s="450" t="str">
        <f>Heavies!$B$13</f>
        <v>Deterministic Chaos</v>
      </c>
      <c r="E36" s="534">
        <f>Heavies!$C$13</f>
        <v>1798.95</v>
      </c>
      <c r="F36" s="539">
        <f>Heavies!$D$13</f>
        <v>1262.052032</v>
      </c>
      <c r="G36" s="540">
        <f>Heavies!$F$13</f>
        <v>48861.2</v>
      </c>
      <c r="H36" s="541">
        <f>Heavies!$G$13</f>
        <v>14391.6</v>
      </c>
      <c r="I36" s="455">
        <f>Heavies!$H$13</f>
        <v>48</v>
      </c>
      <c r="J36" s="456">
        <f>Heavies!$I$13</f>
        <v>376</v>
      </c>
      <c r="K36" s="456">
        <f>Heavies!$J$13</f>
        <v>360</v>
      </c>
      <c r="L36" s="457">
        <f>Heavies!$K$13</f>
        <v>3.57</v>
      </c>
      <c r="M36" s="458">
        <f>Heavies!$L$13</f>
        <v>86.32333333</v>
      </c>
      <c r="N36" s="542">
        <f>Heavies!$M$13</f>
        <v>89.7</v>
      </c>
      <c r="O36" s="543">
        <f>Heavies!$N$13</f>
        <v>129.95</v>
      </c>
      <c r="P36" s="467" t="s">
        <v>422</v>
      </c>
    </row>
    <row r="37">
      <c r="A37" s="449" t="s">
        <v>612</v>
      </c>
      <c r="B37" s="449" t="s">
        <v>634</v>
      </c>
      <c r="C37" s="449" t="s">
        <v>60</v>
      </c>
      <c r="D37" s="450" t="str">
        <f>Heavies!$B$15</f>
        <v>Grand Overture</v>
      </c>
      <c r="E37" s="544">
        <f>Heavies!$C$15</f>
        <v>898.3333333</v>
      </c>
      <c r="F37" s="545">
        <f>Heavies!$D$15</f>
        <v>683.5764109</v>
      </c>
      <c r="G37" s="546">
        <f>Heavies!$F$15</f>
        <v>31262</v>
      </c>
      <c r="H37" s="547">
        <f>Heavies!$G$15</f>
        <v>10780</v>
      </c>
      <c r="I37" s="455">
        <f>Heavies!$H$15</f>
        <v>20</v>
      </c>
      <c r="J37" s="456">
        <f>Heavies!$I$15</f>
        <v>58</v>
      </c>
      <c r="K37" s="456">
        <f>Heavies!$J$15</f>
        <v>100</v>
      </c>
      <c r="L37" s="457">
        <f>Heavies!$K$15</f>
        <v>3.57</v>
      </c>
      <c r="M37" s="458">
        <f>Heavies!$L$15</f>
        <v>40.14</v>
      </c>
      <c r="N37" s="548">
        <f>Heavies!$M$15</f>
        <v>539</v>
      </c>
      <c r="O37" s="466" t="str">
        <f>Heavies!$N$15</f>
        <v>N/A</v>
      </c>
      <c r="P37" s="467" t="s">
        <v>635</v>
      </c>
    </row>
    <row r="38">
      <c r="A38" s="449" t="s">
        <v>612</v>
      </c>
      <c r="B38" s="449" t="s">
        <v>634</v>
      </c>
      <c r="C38" s="449" t="s">
        <v>60</v>
      </c>
      <c r="D38" s="450" t="str">
        <f>Heavies!$B$16</f>
        <v>Grand Overture</v>
      </c>
      <c r="E38" s="549">
        <f>Heavies!$C$16</f>
        <v>855</v>
      </c>
      <c r="F38" s="478">
        <f>Heavies!$D$16</f>
        <v>666.4997218</v>
      </c>
      <c r="G38" s="550">
        <f>Heavies!$F$16</f>
        <v>34733.3</v>
      </c>
      <c r="H38" s="549">
        <f>Heavies!$G$16</f>
        <v>11977</v>
      </c>
      <c r="I38" s="455">
        <f>Heavies!$H$16</f>
        <v>20</v>
      </c>
      <c r="J38" s="456">
        <f>Heavies!$I$16</f>
        <v>58</v>
      </c>
      <c r="K38" s="456">
        <f>Heavies!$J$16</f>
        <v>100</v>
      </c>
      <c r="L38" s="457">
        <f>Heavies!$K$16</f>
        <v>3.57</v>
      </c>
      <c r="M38" s="458">
        <f>Heavies!$L$16</f>
        <v>49</v>
      </c>
      <c r="N38" s="548">
        <f>Heavies!$M$16</f>
        <v>539</v>
      </c>
      <c r="O38" s="466" t="str">
        <f>Heavies!$N$16</f>
        <v>N/A</v>
      </c>
      <c r="P38" s="515" t="s">
        <v>636</v>
      </c>
    </row>
    <row r="39">
      <c r="A39" s="449" t="s">
        <v>612</v>
      </c>
      <c r="B39" s="449" t="s">
        <v>634</v>
      </c>
      <c r="C39" s="449" t="s">
        <v>60</v>
      </c>
      <c r="D39" s="450" t="str">
        <f>Heavies!$B$9</f>
        <v>Heir Apparent</v>
      </c>
      <c r="E39" s="510">
        <f>Heavies!$C$9</f>
        <v>810</v>
      </c>
      <c r="F39" s="551">
        <f>Heavies!$D$9</f>
        <v>641.4571372</v>
      </c>
      <c r="G39" s="552">
        <f>Heavies!$F$9</f>
        <v>23760</v>
      </c>
      <c r="H39" s="553">
        <f>Heavies!$G$9</f>
        <v>10800</v>
      </c>
      <c r="I39" s="455">
        <f>Heavies!$H$9</f>
        <v>200</v>
      </c>
      <c r="J39" s="456">
        <f>Heavies!$I$9</f>
        <v>440</v>
      </c>
      <c r="K39" s="456">
        <f>Heavies!$J$9</f>
        <v>900</v>
      </c>
      <c r="L39" s="457">
        <f>Heavies!$K$9</f>
        <v>3.57</v>
      </c>
      <c r="M39" s="458">
        <f>Heavies!$L$9</f>
        <v>36.27333333</v>
      </c>
      <c r="N39" s="554">
        <f>Heavies!$M$9</f>
        <v>45</v>
      </c>
      <c r="O39" s="555">
        <f>Heavies!$N$9</f>
        <v>54</v>
      </c>
      <c r="P39" s="467"/>
    </row>
    <row r="40">
      <c r="A40" s="449" t="s">
        <v>612</v>
      </c>
      <c r="B40" s="449" t="s">
        <v>634</v>
      </c>
      <c r="C40" s="449" t="s">
        <v>60</v>
      </c>
      <c r="D40" s="482" t="str">
        <f>Heavies!$B$8</f>
        <v>High-Impact</v>
      </c>
      <c r="E40" s="556">
        <f>Heavies!$C$8</f>
        <v>678</v>
      </c>
      <c r="F40" s="557">
        <f>Heavies!$D$8</f>
        <v>532.9071473</v>
      </c>
      <c r="G40" s="558">
        <f>Heavies!$F$8</f>
        <v>42149</v>
      </c>
      <c r="H40" s="559">
        <f>Heavies!$G$8</f>
        <v>8475</v>
      </c>
      <c r="I40" s="455">
        <f>Heavies!$H$8</f>
        <v>75</v>
      </c>
      <c r="J40" s="456">
        <f>Heavies!$I$8</f>
        <v>373</v>
      </c>
      <c r="K40" s="456">
        <f>Heavies!$J$8</f>
        <v>360</v>
      </c>
      <c r="L40" s="457">
        <f>Heavies!$K$8</f>
        <v>3.57</v>
      </c>
      <c r="M40" s="458">
        <f>Heavies!$L$8</f>
        <v>75.61333333</v>
      </c>
      <c r="N40" s="537">
        <f>Heavies!$M$8</f>
        <v>78</v>
      </c>
      <c r="O40" s="538">
        <f>Heavies!$N$8</f>
        <v>113</v>
      </c>
      <c r="P40" s="467"/>
    </row>
    <row r="41">
      <c r="A41" s="449" t="s">
        <v>612</v>
      </c>
      <c r="B41" s="449" t="s">
        <v>634</v>
      </c>
      <c r="C41" s="449" t="s">
        <v>60</v>
      </c>
      <c r="D41" s="482" t="str">
        <f>Heavies!$B$3</f>
        <v>Rapid-Fire</v>
      </c>
      <c r="E41" s="548">
        <f>Heavies!$C$3</f>
        <v>825</v>
      </c>
      <c r="F41" s="560">
        <f>Heavies!$D$3</f>
        <v>604.9158378</v>
      </c>
      <c r="G41" s="453">
        <f>Heavies!$F$3</f>
        <v>31625</v>
      </c>
      <c r="H41" s="481">
        <f>Heavies!$G$3</f>
        <v>6325</v>
      </c>
      <c r="I41" s="455">
        <f>Heavies!$H$3</f>
        <v>115</v>
      </c>
      <c r="J41" s="456">
        <f>Heavies!$I$3</f>
        <v>575</v>
      </c>
      <c r="K41" s="456">
        <f>Heavies!$J$3</f>
        <v>900</v>
      </c>
      <c r="L41" s="457">
        <f>Heavies!$K$3</f>
        <v>2.856</v>
      </c>
      <c r="M41" s="458">
        <f>Heavies!$L$3</f>
        <v>49.424</v>
      </c>
      <c r="N41" s="561">
        <f>Heavies!$M$3</f>
        <v>42</v>
      </c>
      <c r="O41" s="562">
        <f>Heavies!$N$3</f>
        <v>55</v>
      </c>
      <c r="P41" s="467"/>
    </row>
    <row r="42">
      <c r="A42" s="449" t="s">
        <v>612</v>
      </c>
      <c r="B42" s="449" t="s">
        <v>634</v>
      </c>
      <c r="C42" s="449" t="s">
        <v>60</v>
      </c>
      <c r="D42" s="482" t="str">
        <f>Heavies!$B$4</f>
        <v>Rapid-Fire</v>
      </c>
      <c r="E42" s="548">
        <f>Heavies!$C$4</f>
        <v>825</v>
      </c>
      <c r="F42" s="563">
        <f>Heavies!$D$4</f>
        <v>663.5802469</v>
      </c>
      <c r="G42" s="564">
        <f>Heavies!$F$4</f>
        <v>47300</v>
      </c>
      <c r="H42" s="565">
        <f>Heavies!$G$4</f>
        <v>9460</v>
      </c>
      <c r="I42" s="455">
        <f>Heavies!$H$4</f>
        <v>172</v>
      </c>
      <c r="J42" s="566">
        <f>Heavies!$I$4</f>
        <v>860</v>
      </c>
      <c r="K42" s="456">
        <f>Heavies!$J$4</f>
        <v>900</v>
      </c>
      <c r="L42" s="457">
        <f>Heavies!$K$4</f>
        <v>2.856</v>
      </c>
      <c r="M42" s="458">
        <f>Heavies!$L$4</f>
        <v>68.424</v>
      </c>
      <c r="N42" s="561">
        <f>Heavies!$M$4</f>
        <v>42</v>
      </c>
      <c r="O42" s="562">
        <f>Heavies!$N$4</f>
        <v>55</v>
      </c>
      <c r="P42" s="467" t="s">
        <v>257</v>
      </c>
    </row>
    <row r="43">
      <c r="A43" s="449" t="s">
        <v>612</v>
      </c>
      <c r="B43" s="449" t="s">
        <v>634</v>
      </c>
      <c r="C43" s="449" t="s">
        <v>60</v>
      </c>
      <c r="D43" s="482" t="str">
        <f>Heavies!$B$5</f>
        <v>Rapid-Fire</v>
      </c>
      <c r="E43" s="548">
        <f>Heavies!$C$5</f>
        <v>825</v>
      </c>
      <c r="F43" s="567">
        <f>Heavies!$D$5</f>
        <v>696.603928</v>
      </c>
      <c r="G43" s="568">
        <f>Heavies!$F$5</f>
        <v>62425</v>
      </c>
      <c r="H43" s="569">
        <f>Heavies!$G$5</f>
        <v>12485</v>
      </c>
      <c r="I43" s="455">
        <f>Heavies!$H$5</f>
        <v>227</v>
      </c>
      <c r="J43" s="566">
        <f>Heavies!$I$5</f>
        <v>1135</v>
      </c>
      <c r="K43" s="456">
        <f>Heavies!$J$5</f>
        <v>900</v>
      </c>
      <c r="L43" s="457">
        <f>Heavies!$K$5</f>
        <v>2.856</v>
      </c>
      <c r="M43" s="458">
        <f>Heavies!$L$5</f>
        <v>86.75733333</v>
      </c>
      <c r="N43" s="561">
        <f>Heavies!$M$5</f>
        <v>42</v>
      </c>
      <c r="O43" s="562">
        <f>Heavies!$N$5</f>
        <v>55</v>
      </c>
      <c r="P43" s="467" t="s">
        <v>259</v>
      </c>
    </row>
    <row r="44">
      <c r="A44" s="449" t="s">
        <v>612</v>
      </c>
      <c r="B44" s="449" t="s">
        <v>634</v>
      </c>
      <c r="C44" s="449" t="s">
        <v>60</v>
      </c>
      <c r="D44" s="482" t="str">
        <f>Heavies!$B$6</f>
        <v>Aggressive</v>
      </c>
      <c r="E44" s="548">
        <f>Heavies!$C$6</f>
        <v>770</v>
      </c>
      <c r="F44" s="567">
        <f>Heavies!$D$6</f>
        <v>557.4383453</v>
      </c>
      <c r="G44" s="568">
        <f>Heavies!$F$6</f>
        <v>35035</v>
      </c>
      <c r="H44" s="569">
        <f>Heavies!$G$6</f>
        <v>7007</v>
      </c>
      <c r="I44" s="455">
        <f>Heavies!$H$6</f>
        <v>91</v>
      </c>
      <c r="J44" s="456">
        <f>Heavies!$I$6</f>
        <v>455</v>
      </c>
      <c r="K44" s="456">
        <f>Heavies!$J$6</f>
        <v>600</v>
      </c>
      <c r="L44" s="457">
        <f>Heavies!$K$6</f>
        <v>3.57</v>
      </c>
      <c r="M44" s="458">
        <f>Heavies!$L$6</f>
        <v>59.28</v>
      </c>
      <c r="N44" s="561">
        <f>Heavies!$M$6</f>
        <v>60</v>
      </c>
      <c r="O44" s="562">
        <f>Heavies!$N$6</f>
        <v>77</v>
      </c>
      <c r="P44" s="467"/>
    </row>
    <row r="45">
      <c r="A45" s="449" t="s">
        <v>612</v>
      </c>
      <c r="B45" s="449" t="s">
        <v>634</v>
      </c>
      <c r="C45" s="449" t="s">
        <v>60</v>
      </c>
      <c r="D45" s="450" t="str">
        <f>Heavies!$B$10</f>
        <v>Thunderlord</v>
      </c>
      <c r="E45" s="570">
        <f>Heavies!$C$10</f>
        <v>1189.62</v>
      </c>
      <c r="F45" s="571">
        <f>Heavies!$D$10</f>
        <v>645.9169061</v>
      </c>
      <c r="G45" s="572">
        <f>Heavies!$F$10</f>
        <v>37512.6</v>
      </c>
      <c r="H45" s="573">
        <f>Heavies!$G$10</f>
        <v>6140.1</v>
      </c>
      <c r="I45" s="455">
        <f>Heavies!$H$10</f>
        <v>62</v>
      </c>
      <c r="J45" s="456">
        <f>Heavies!$I$10</f>
        <v>379</v>
      </c>
      <c r="K45" s="456">
        <f>Heavies!$J$10</f>
        <v>616.5745856</v>
      </c>
      <c r="L45" s="457">
        <f>Heavies!$K$10</f>
        <v>3.57</v>
      </c>
      <c r="M45" s="458">
        <f>Heavies!$L$10</f>
        <v>57.62</v>
      </c>
      <c r="N45" s="532">
        <f>Heavies!$M$10</f>
        <v>68</v>
      </c>
      <c r="O45" s="533">
        <f>Heavies!$N$10</f>
        <v>96</v>
      </c>
      <c r="P45" s="467"/>
    </row>
    <row r="46">
      <c r="A46" s="449" t="s">
        <v>612</v>
      </c>
      <c r="B46" s="449" t="s">
        <v>634</v>
      </c>
      <c r="C46" s="449" t="s">
        <v>60</v>
      </c>
      <c r="D46" s="450" t="str">
        <f>Heavies!$B$11</f>
        <v>Thunderlord</v>
      </c>
      <c r="E46" s="570">
        <f>Heavies!$C$11</f>
        <v>1189.62</v>
      </c>
      <c r="F46" s="574">
        <f>Heavies!$D$11</f>
        <v>1189.62</v>
      </c>
      <c r="G46" s="549">
        <f>Heavies!$F$11</f>
        <v>37543.95</v>
      </c>
      <c r="H46" s="575" t="str">
        <f>Heavies!$G$11</f>
        <v>inf</v>
      </c>
      <c r="I46" s="455" t="str">
        <f>Heavies!$H$11</f>
        <v>inf</v>
      </c>
      <c r="J46" s="456">
        <f>Heavies!$I$11</f>
        <v>379</v>
      </c>
      <c r="K46" s="456">
        <f>Heavies!$J$11</f>
        <v>616.5745856</v>
      </c>
      <c r="L46" s="457">
        <f>Heavies!$K$11</f>
        <v>3.57</v>
      </c>
      <c r="M46" s="458">
        <f>Heavies!$L$11</f>
        <v>32.45</v>
      </c>
      <c r="N46" s="532">
        <f>Heavies!$M$11</f>
        <v>68</v>
      </c>
      <c r="O46" s="533">
        <f>Heavies!$N$11</f>
        <v>96</v>
      </c>
      <c r="P46" s="127" t="s">
        <v>637</v>
      </c>
    </row>
    <row r="47">
      <c r="A47" s="449" t="s">
        <v>612</v>
      </c>
      <c r="B47" s="449" t="s">
        <v>634</v>
      </c>
      <c r="C47" s="449" t="s">
        <v>60</v>
      </c>
      <c r="D47" s="450" t="str">
        <f>Heavies!$B$14</f>
        <v>Xenophage</v>
      </c>
      <c r="E47" s="576">
        <f>Heavies!$C$14</f>
        <v>1362</v>
      </c>
      <c r="F47" s="577">
        <f>Heavies!$D$14</f>
        <v>925.0783699</v>
      </c>
      <c r="G47" s="451">
        <f>Heavies!$F$14</f>
        <v>19749</v>
      </c>
      <c r="H47" s="506">
        <f>Heavies!$G$14</f>
        <v>8853</v>
      </c>
      <c r="I47" s="455">
        <f>Heavies!$H$14</f>
        <v>13</v>
      </c>
      <c r="J47" s="456">
        <f>Heavies!$I$14</f>
        <v>29</v>
      </c>
      <c r="K47" s="456">
        <f>Heavies!$J$14</f>
        <v>120</v>
      </c>
      <c r="L47" s="457">
        <f>Heavies!$K$14</f>
        <v>3.57</v>
      </c>
      <c r="M47" s="458">
        <f>Heavies!$L$14</f>
        <v>20.14</v>
      </c>
      <c r="N47" s="578">
        <f>Heavies!$M$14</f>
        <v>681</v>
      </c>
      <c r="O47" s="466" t="str">
        <f>Heavies!$N$14</f>
        <v>N/A</v>
      </c>
      <c r="P47" s="117" t="s">
        <v>424</v>
      </c>
    </row>
    <row r="48">
      <c r="A48" s="449" t="s">
        <v>612</v>
      </c>
      <c r="B48" s="461" t="s">
        <v>638</v>
      </c>
      <c r="C48" s="449" t="s">
        <v>60</v>
      </c>
      <c r="D48" s="482" t="str">
        <f>Heavies!$B$67</f>
        <v>Adaptive Burst</v>
      </c>
      <c r="E48" s="579">
        <f>Heavies!$C$67</f>
        <v>985.4469854</v>
      </c>
      <c r="F48" s="580">
        <f>Heavies!$D$67</f>
        <v>912.2903492</v>
      </c>
      <c r="G48" s="581">
        <f>Heavies!$F$67</f>
        <v>29862</v>
      </c>
      <c r="H48" s="565">
        <f>Heavies!$G$67</f>
        <v>9954</v>
      </c>
      <c r="I48" s="455">
        <f>Heavies!$H$67</f>
        <v>7</v>
      </c>
      <c r="J48" s="456">
        <f>Heavies!$I$67</f>
        <v>21</v>
      </c>
      <c r="K48" s="456">
        <f>Heavies!$J$67</f>
        <v>41.58004158</v>
      </c>
      <c r="L48" s="457">
        <f>Heavies!$K$67</f>
        <v>1.32</v>
      </c>
      <c r="M48" s="458">
        <f>Heavies!$L$67</f>
        <v>42.324</v>
      </c>
      <c r="N48" s="582">
        <f>Heavies!$M$67</f>
        <v>414</v>
      </c>
      <c r="O48" s="567">
        <f>Heavies!$N$67</f>
        <v>1422</v>
      </c>
      <c r="P48" s="117"/>
    </row>
    <row r="49">
      <c r="A49" s="449" t="s">
        <v>612</v>
      </c>
      <c r="B49" s="461" t="s">
        <v>638</v>
      </c>
      <c r="C49" s="449" t="s">
        <v>60</v>
      </c>
      <c r="D49" s="482" t="str">
        <f>Heavies!$B$64</f>
        <v>Precision</v>
      </c>
      <c r="E49" s="583">
        <f>Heavies!$C$64</f>
        <v>938.8523048</v>
      </c>
      <c r="F49" s="584">
        <f>Heavies!$D$64</f>
        <v>848.7425586</v>
      </c>
      <c r="G49" s="585">
        <f>Heavies!$F$64</f>
        <v>20958</v>
      </c>
      <c r="H49" s="486">
        <f>Heavies!$G$64</f>
        <v>6986</v>
      </c>
      <c r="I49" s="455">
        <f>Heavies!$H$64</f>
        <v>7</v>
      </c>
      <c r="J49" s="456">
        <f>Heavies!$I$64</f>
        <v>21</v>
      </c>
      <c r="K49" s="456">
        <f>Heavies!$J$64</f>
        <v>56.44402634</v>
      </c>
      <c r="L49" s="457">
        <f>Heavies!$K$64</f>
        <v>1.32</v>
      </c>
      <c r="M49" s="458">
        <f>Heavies!$L$64</f>
        <v>31.604</v>
      </c>
      <c r="N49" s="586">
        <f>Heavies!$M$64</f>
        <v>290</v>
      </c>
      <c r="O49" s="529">
        <f>Heavies!$N$64</f>
        <v>998</v>
      </c>
      <c r="P49" s="117"/>
    </row>
    <row r="50">
      <c r="A50" s="449" t="s">
        <v>612</v>
      </c>
      <c r="B50" s="461" t="s">
        <v>638</v>
      </c>
      <c r="C50" s="449" t="s">
        <v>60</v>
      </c>
      <c r="D50" s="482" t="str">
        <f>Heavies!$B$65</f>
        <v>Precision</v>
      </c>
      <c r="E50" s="583">
        <f>Heavies!$C$65</f>
        <v>938.8523048</v>
      </c>
      <c r="F50" s="584">
        <f>Heavies!$D$65</f>
        <v>873.9054291</v>
      </c>
      <c r="G50" s="585">
        <f>Heavies!$F$65</f>
        <v>29940</v>
      </c>
      <c r="H50" s="486">
        <f>Heavies!$G$65</f>
        <v>9980</v>
      </c>
      <c r="I50" s="455">
        <f>Heavies!$H$65</f>
        <v>10</v>
      </c>
      <c r="J50" s="566">
        <f>Heavies!$I$65</f>
        <v>30</v>
      </c>
      <c r="K50" s="456">
        <f>Heavies!$J$65</f>
        <v>56.44402634</v>
      </c>
      <c r="L50" s="457">
        <f>Heavies!$K$65</f>
        <v>1.32</v>
      </c>
      <c r="M50" s="458">
        <f>Heavies!$L$65</f>
        <v>44.36</v>
      </c>
      <c r="N50" s="586">
        <f>Heavies!$M$65</f>
        <v>290</v>
      </c>
      <c r="O50" s="529">
        <f>Heavies!$N$65</f>
        <v>998</v>
      </c>
      <c r="P50" s="127" t="s">
        <v>257</v>
      </c>
    </row>
    <row r="51">
      <c r="A51" s="449" t="s">
        <v>612</v>
      </c>
      <c r="B51" s="461" t="s">
        <v>638</v>
      </c>
      <c r="C51" s="449" t="s">
        <v>60</v>
      </c>
      <c r="D51" s="482" t="str">
        <f>Heavies!$B$66</f>
        <v>Precision</v>
      </c>
      <c r="E51" s="583">
        <f>Heavies!$C$66</f>
        <v>938.8523048</v>
      </c>
      <c r="F51" s="584">
        <f>Heavies!$D$66</f>
        <v>879.436033</v>
      </c>
      <c r="G51" s="585">
        <f>Heavies!$F$66</f>
        <v>32934</v>
      </c>
      <c r="H51" s="486">
        <f>Heavies!$G$66</f>
        <v>10978</v>
      </c>
      <c r="I51" s="455">
        <f>Heavies!$H$66</f>
        <v>11</v>
      </c>
      <c r="J51" s="566">
        <f>Heavies!$I$66</f>
        <v>33</v>
      </c>
      <c r="K51" s="456">
        <f>Heavies!$J$66</f>
        <v>56.44402634</v>
      </c>
      <c r="L51" s="457">
        <f>Heavies!$K$66</f>
        <v>1.32</v>
      </c>
      <c r="M51" s="458">
        <f>Heavies!$L$66</f>
        <v>48.612</v>
      </c>
      <c r="N51" s="586">
        <f>Heavies!$M$66</f>
        <v>290</v>
      </c>
      <c r="O51" s="529">
        <f>Heavies!$N$66</f>
        <v>998</v>
      </c>
      <c r="P51" s="127" t="s">
        <v>259</v>
      </c>
    </row>
    <row r="52">
      <c r="A52" s="449" t="s">
        <v>612</v>
      </c>
      <c r="B52" s="461" t="s">
        <v>638</v>
      </c>
      <c r="C52" s="449" t="s">
        <v>60</v>
      </c>
      <c r="D52" s="450" t="str">
        <f>Heavies!$B$70</f>
        <v>Sleeper Simulant</v>
      </c>
      <c r="E52" s="585">
        <f>Heavies!$C$70</f>
        <v>1583.202512</v>
      </c>
      <c r="F52" s="587">
        <f>Heavies!$D$70</f>
        <v>1363.759297</v>
      </c>
      <c r="G52" s="588">
        <f>Heavies!$F$70</f>
        <v>32272</v>
      </c>
      <c r="H52" s="589">
        <f>Heavies!$G$70</f>
        <v>8068</v>
      </c>
      <c r="I52" s="455">
        <f>Heavies!$H$70</f>
        <v>4</v>
      </c>
      <c r="J52" s="456">
        <f>Heavies!$I$70</f>
        <v>16</v>
      </c>
      <c r="K52" s="456">
        <f>Heavies!$J$70</f>
        <v>47.09576138</v>
      </c>
      <c r="L52" s="457">
        <f>Heavies!$K$70</f>
        <v>1.32</v>
      </c>
      <c r="M52" s="458">
        <f>Heavies!$L$70</f>
        <v>28.26</v>
      </c>
      <c r="N52" s="541">
        <f>Heavies!$M$70</f>
        <v>1459</v>
      </c>
      <c r="O52" s="590">
        <f>Heavies!$N$70</f>
        <v>2017</v>
      </c>
      <c r="P52" s="467"/>
    </row>
    <row r="53">
      <c r="A53" s="449" t="s">
        <v>612</v>
      </c>
      <c r="B53" s="461" t="s">
        <v>638</v>
      </c>
      <c r="C53" s="449" t="s">
        <v>60</v>
      </c>
      <c r="D53" s="450" t="str">
        <f>Heavies!$B$69</f>
        <v>The Queenbreaker</v>
      </c>
      <c r="E53" s="591">
        <f>Heavies!$C$69</f>
        <v>1297.297297</v>
      </c>
      <c r="F53" s="592">
        <f>Heavies!$D$69</f>
        <v>1164.903547</v>
      </c>
      <c r="G53" s="498">
        <f>Heavies!$F$69</f>
        <v>39312</v>
      </c>
      <c r="H53" s="468">
        <f>Heavies!$G$69</f>
        <v>9360</v>
      </c>
      <c r="I53" s="455">
        <f>Heavies!$H$69</f>
        <v>5</v>
      </c>
      <c r="J53" s="456">
        <f>Heavies!$I$69</f>
        <v>21</v>
      </c>
      <c r="K53" s="456">
        <f>Heavies!$J$69</f>
        <v>41.58004158</v>
      </c>
      <c r="L53" s="457">
        <f>Heavies!$K$69</f>
        <v>1.32</v>
      </c>
      <c r="M53" s="458">
        <f>Heavies!$L$69</f>
        <v>33.033</v>
      </c>
      <c r="N53" s="593">
        <f>Heavies!$M$69</f>
        <v>546</v>
      </c>
      <c r="O53" s="594">
        <f>Heavies!$N$69</f>
        <v>1872</v>
      </c>
      <c r="P53" s="467"/>
    </row>
    <row r="54">
      <c r="A54" s="449" t="s">
        <v>612</v>
      </c>
      <c r="B54" s="461" t="s">
        <v>638</v>
      </c>
      <c r="C54" s="449" t="s">
        <v>60</v>
      </c>
      <c r="D54" s="450" t="str">
        <f>Heavies!$B$68</f>
        <v>The Queenbreaker</v>
      </c>
      <c r="E54" s="485">
        <f>Heavies!$C$68</f>
        <v>1265.666372</v>
      </c>
      <c r="F54" s="595">
        <f>Heavies!$D$68</f>
        <v>1105.628373</v>
      </c>
      <c r="G54" s="596">
        <f>Heavies!$F$68</f>
        <v>30114</v>
      </c>
      <c r="H54" s="581">
        <f>Heavies!$G$68</f>
        <v>7170</v>
      </c>
      <c r="I54" s="455">
        <f>Heavies!$H$68</f>
        <v>5</v>
      </c>
      <c r="J54" s="456">
        <f>Heavies!$I$68</f>
        <v>21</v>
      </c>
      <c r="K54" s="456">
        <f>Heavies!$J$68</f>
        <v>52.95675199</v>
      </c>
      <c r="L54" s="457">
        <f>Heavies!$K$68</f>
        <v>1.32</v>
      </c>
      <c r="M54" s="458">
        <f>Heavies!$L$68</f>
        <v>26.573</v>
      </c>
      <c r="N54" s="475">
        <f>Heavies!$M$68</f>
        <v>417</v>
      </c>
      <c r="O54" s="597">
        <f>Heavies!$N$68</f>
        <v>1434</v>
      </c>
      <c r="P54" s="117"/>
    </row>
    <row r="55">
      <c r="A55" s="449" t="s">
        <v>612</v>
      </c>
      <c r="B55" s="449" t="s">
        <v>639</v>
      </c>
      <c r="C55" s="449" t="s">
        <v>60</v>
      </c>
      <c r="D55" s="482" t="str">
        <f>Heavies!$B$41</f>
        <v>Adaptive</v>
      </c>
      <c r="E55" s="548">
        <f>Heavies!$C$41</f>
        <v>2086.25</v>
      </c>
      <c r="F55" s="598">
        <f>Heavies!$D$41</f>
        <v>781.2340426</v>
      </c>
      <c r="G55" s="599">
        <f>Heavies!$F$41</f>
        <v>16523.1</v>
      </c>
      <c r="H55" s="544">
        <f>Heavies!$G$41</f>
        <v>1835.9</v>
      </c>
      <c r="I55" s="455">
        <f>Heavies!$H$41</f>
        <v>1</v>
      </c>
      <c r="J55" s="456">
        <f>Heavies!$I$41</f>
        <v>9</v>
      </c>
      <c r="K55" s="456">
        <f>Heavies!$J$41</f>
        <v>68.18181818</v>
      </c>
      <c r="L55" s="457">
        <f>Heavies!$K$41</f>
        <v>2.35</v>
      </c>
      <c r="M55" s="458">
        <f>Heavies!$L$41</f>
        <v>18.8</v>
      </c>
      <c r="N55" s="600">
        <f>Heavies!$M$41</f>
        <v>1835.9</v>
      </c>
      <c r="O55" s="466" t="str">
        <f>Heavies!$N$41</f>
        <v>N/A</v>
      </c>
      <c r="P55" s="117"/>
    </row>
    <row r="56">
      <c r="A56" s="449" t="s">
        <v>612</v>
      </c>
      <c r="B56" s="449" t="s">
        <v>639</v>
      </c>
      <c r="C56" s="449" t="s">
        <v>60</v>
      </c>
      <c r="D56" s="482" t="str">
        <f>Heavies!$B$37</f>
        <v>Aggressive</v>
      </c>
      <c r="E56" s="548">
        <f>Heavies!$C$37</f>
        <v>2294.875</v>
      </c>
      <c r="F56" s="598">
        <f>Heavies!$D$37</f>
        <v>781.2340426</v>
      </c>
      <c r="G56" s="599">
        <f>Heavies!$F$37</f>
        <v>16523.1</v>
      </c>
      <c r="H56" s="544">
        <f>Heavies!$G$37</f>
        <v>1835.9</v>
      </c>
      <c r="I56" s="455">
        <f>Heavies!$H$37</f>
        <v>1</v>
      </c>
      <c r="J56" s="456">
        <f>Heavies!$I$37</f>
        <v>9</v>
      </c>
      <c r="K56" s="456">
        <f>Heavies!$J$37</f>
        <v>75</v>
      </c>
      <c r="L56" s="457">
        <f>Heavies!$K$37</f>
        <v>2.35</v>
      </c>
      <c r="M56" s="458">
        <f>Heavies!$L$37</f>
        <v>18.8</v>
      </c>
      <c r="N56" s="600">
        <f>Heavies!$M$37</f>
        <v>1835.9</v>
      </c>
      <c r="O56" s="466" t="str">
        <f>Heavies!$N$37</f>
        <v>N/A</v>
      </c>
      <c r="P56" s="117"/>
    </row>
    <row r="57">
      <c r="A57" s="449" t="s">
        <v>612</v>
      </c>
      <c r="B57" s="449" t="s">
        <v>639</v>
      </c>
      <c r="C57" s="449" t="s">
        <v>60</v>
      </c>
      <c r="D57" s="482" t="str">
        <f>Heavies!$B$39</f>
        <v>Aggressive</v>
      </c>
      <c r="E57" s="500">
        <f>Heavies!$C$39</f>
        <v>1721.15625</v>
      </c>
      <c r="F57" s="601">
        <f>Heavies!$D$39</f>
        <v>874.2380952</v>
      </c>
      <c r="G57" s="501">
        <f>Heavies!$F$39</f>
        <v>19276.95</v>
      </c>
      <c r="H57" s="602">
        <f>Heavies!$G$39</f>
        <v>2753.85</v>
      </c>
      <c r="I57" s="455">
        <f>Heavies!$H$39</f>
        <v>2</v>
      </c>
      <c r="J57" s="456">
        <f>Heavies!$I$39</f>
        <v>14</v>
      </c>
      <c r="K57" s="456">
        <f>Heavies!$J$39</f>
        <v>75</v>
      </c>
      <c r="L57" s="457">
        <f>Heavies!$K$39</f>
        <v>2.35</v>
      </c>
      <c r="M57" s="458">
        <f>Heavies!$L$39</f>
        <v>19.7</v>
      </c>
      <c r="N57" s="603">
        <f>Heavies!$M$39</f>
        <v>1376.925</v>
      </c>
      <c r="O57" s="466" t="str">
        <f>Heavies!$N$39</f>
        <v>N/A</v>
      </c>
      <c r="P57" s="467" t="s">
        <v>458</v>
      </c>
    </row>
    <row r="58">
      <c r="A58" s="449" t="s">
        <v>612</v>
      </c>
      <c r="B58" s="449" t="s">
        <v>639</v>
      </c>
      <c r="C58" s="449" t="s">
        <v>60</v>
      </c>
      <c r="D58" s="482" t="str">
        <f>Heavies!$B$38</f>
        <v>Aggressive</v>
      </c>
      <c r="E58" s="510">
        <f>Heavies!$C$38</f>
        <v>2894.875</v>
      </c>
      <c r="F58" s="604">
        <f>Heavies!$D$38</f>
        <v>985.4893617</v>
      </c>
      <c r="G58" s="514">
        <f>Heavies!$F$38</f>
        <v>20843.1</v>
      </c>
      <c r="H58" s="605">
        <f>Heavies!$G$38</f>
        <v>2315.9</v>
      </c>
      <c r="I58" s="455">
        <f>Heavies!$H$38</f>
        <v>1</v>
      </c>
      <c r="J58" s="456">
        <f>Heavies!$I$38</f>
        <v>9</v>
      </c>
      <c r="K58" s="456">
        <f>Heavies!$J$38</f>
        <v>75</v>
      </c>
      <c r="L58" s="457">
        <f>Heavies!$K$38</f>
        <v>2.35</v>
      </c>
      <c r="M58" s="458">
        <f>Heavies!$L$38</f>
        <v>18.8</v>
      </c>
      <c r="N58" s="606">
        <f>Heavies!$M$38</f>
        <v>2315.9</v>
      </c>
      <c r="O58" s="466" t="str">
        <f>Heavies!$N$38</f>
        <v>N/A</v>
      </c>
      <c r="P58" s="117" t="s">
        <v>457</v>
      </c>
    </row>
    <row r="59">
      <c r="A59" s="449" t="s">
        <v>612</v>
      </c>
      <c r="B59" s="449" t="s">
        <v>639</v>
      </c>
      <c r="C59" s="449" t="s">
        <v>60</v>
      </c>
      <c r="D59" s="482" t="str">
        <f>Heavies!$B$40</f>
        <v>Aggressive</v>
      </c>
      <c r="E59" s="462">
        <f>Heavies!$C$40</f>
        <v>2321.15625</v>
      </c>
      <c r="F59" s="607">
        <f>Heavies!$D$40</f>
        <v>1179</v>
      </c>
      <c r="G59" s="608">
        <f>Heavies!$F$40</f>
        <v>25996.95</v>
      </c>
      <c r="H59" s="585">
        <f>Heavies!$G$40</f>
        <v>3713.85</v>
      </c>
      <c r="I59" s="455">
        <f>Heavies!$H$40</f>
        <v>2</v>
      </c>
      <c r="J59" s="456">
        <f>Heavies!$I$40</f>
        <v>14</v>
      </c>
      <c r="K59" s="456">
        <f>Heavies!$J$40</f>
        <v>75</v>
      </c>
      <c r="L59" s="457">
        <f>Heavies!$K$40</f>
        <v>2.35</v>
      </c>
      <c r="M59" s="458">
        <f>Heavies!$L$40</f>
        <v>19.7</v>
      </c>
      <c r="N59" s="558">
        <f>Heavies!$M$40</f>
        <v>1856.925</v>
      </c>
      <c r="O59" s="466" t="str">
        <f>Heavies!$N$40</f>
        <v>N/A</v>
      </c>
      <c r="P59" s="495" t="s">
        <v>640</v>
      </c>
    </row>
    <row r="60">
      <c r="A60" s="449" t="s">
        <v>612</v>
      </c>
      <c r="B60" s="449" t="s">
        <v>639</v>
      </c>
      <c r="C60" s="449" t="s">
        <v>60</v>
      </c>
      <c r="D60" s="450" t="str">
        <f>Heavies!$B$59</f>
        <v>Deathbringer</v>
      </c>
      <c r="E60" s="579">
        <f>Heavies!$C$59</f>
        <v>2100</v>
      </c>
      <c r="F60" s="595">
        <f>Heavies!$D$59</f>
        <v>866.8085106</v>
      </c>
      <c r="G60" s="609">
        <f>Heavies!$F$59</f>
        <v>22407</v>
      </c>
      <c r="H60" s="548">
        <f>Heavies!$G$59</f>
        <v>2037</v>
      </c>
      <c r="I60" s="455">
        <f>Heavies!$H$59</f>
        <v>1</v>
      </c>
      <c r="J60" s="456">
        <f>Heavies!$I$59</f>
        <v>11</v>
      </c>
      <c r="K60" s="456">
        <f>Heavies!$J$59</f>
        <v>61.8556701</v>
      </c>
      <c r="L60" s="457">
        <f>Heavies!$K$59</f>
        <v>2.35</v>
      </c>
      <c r="M60" s="458">
        <f>Heavies!$L$59</f>
        <v>23.5</v>
      </c>
      <c r="N60" s="610">
        <f>Heavies!$M$59</f>
        <v>2037</v>
      </c>
      <c r="O60" s="466" t="str">
        <f>Heavies!$N$59</f>
        <v>N/A</v>
      </c>
      <c r="P60" s="117" t="s">
        <v>641</v>
      </c>
    </row>
    <row r="61">
      <c r="A61" s="449" t="s">
        <v>612</v>
      </c>
      <c r="B61" s="449" t="s">
        <v>639</v>
      </c>
      <c r="C61" s="449" t="s">
        <v>60</v>
      </c>
      <c r="D61" s="450" t="str">
        <f>Heavies!$B$60</f>
        <v>Deathbringer</v>
      </c>
      <c r="E61" s="483">
        <f>Heavies!$C$60</f>
        <v>3644.329897</v>
      </c>
      <c r="F61" s="611">
        <f>Heavies!$D$60</f>
        <v>1504.255319</v>
      </c>
      <c r="G61" s="612">
        <f>Heavies!$F$60</f>
        <v>38885</v>
      </c>
      <c r="H61" s="487">
        <f>Heavies!$G$60</f>
        <v>3535</v>
      </c>
      <c r="I61" s="455">
        <f>Heavies!$H$60</f>
        <v>1</v>
      </c>
      <c r="J61" s="456">
        <f>Heavies!$I$60</f>
        <v>11</v>
      </c>
      <c r="K61" s="456">
        <f>Heavies!$J$60</f>
        <v>61.8556701</v>
      </c>
      <c r="L61" s="457">
        <f>Heavies!$K$60</f>
        <v>2.35</v>
      </c>
      <c r="M61" s="458">
        <f>Heavies!$L$60</f>
        <v>23.5</v>
      </c>
      <c r="N61" s="549">
        <f>Heavies!$M$60</f>
        <v>3535</v>
      </c>
      <c r="O61" s="466" t="str">
        <f>Heavies!$N$60</f>
        <v>N/A</v>
      </c>
      <c r="P61" s="517" t="s">
        <v>642</v>
      </c>
    </row>
    <row r="62">
      <c r="A62" s="449" t="s">
        <v>612</v>
      </c>
      <c r="B62" s="449" t="s">
        <v>639</v>
      </c>
      <c r="C62" s="449" t="s">
        <v>60</v>
      </c>
      <c r="D62" s="450" t="str">
        <f>Heavies!$B$61</f>
        <v>Dragon's Breath</v>
      </c>
      <c r="E62" s="483">
        <f>Heavies!$C$61</f>
        <v>1917.307683</v>
      </c>
      <c r="F62" s="611">
        <f>Heavies!$D$61</f>
        <v>1635.659828</v>
      </c>
      <c r="G62" s="612">
        <f>Heavies!$F$61</f>
        <v>17576.9</v>
      </c>
      <c r="H62" s="487">
        <f>Heavies!$G$61</f>
        <v>1597.9</v>
      </c>
      <c r="I62" s="455">
        <f>Heavies!$H$61</f>
        <v>1</v>
      </c>
      <c r="J62" s="456">
        <f>Heavies!$I$61</f>
        <v>11</v>
      </c>
      <c r="K62" s="456">
        <f>Heavies!$J$61</f>
        <v>61.8556701</v>
      </c>
      <c r="L62" s="457">
        <f>Heavies!$K$61</f>
        <v>2.35</v>
      </c>
      <c r="M62" s="458">
        <f>Heavies!$L$61</f>
        <v>23.5</v>
      </c>
      <c r="N62" s="549">
        <f>Heavies!$M$61</f>
        <v>171</v>
      </c>
      <c r="O62" s="466" t="str">
        <f>Heavies!$N$61</f>
        <v>N/A</v>
      </c>
      <c r="P62" s="127" t="s">
        <v>477</v>
      </c>
    </row>
    <row r="63">
      <c r="A63" s="449" t="s">
        <v>612</v>
      </c>
      <c r="B63" s="449" t="s">
        <v>639</v>
      </c>
      <c r="C63" s="449" t="s">
        <v>60</v>
      </c>
      <c r="D63" s="450" t="str">
        <f>Heavies!$B$62</f>
        <v>Dragon's Breath</v>
      </c>
      <c r="E63" s="483">
        <f>Heavies!$C$62</f>
        <v>4166.974762</v>
      </c>
      <c r="F63" s="611">
        <f>Heavies!$D$62</f>
        <v>4166.974762</v>
      </c>
      <c r="G63" s="612">
        <f>Heavies!$F$62</f>
        <v>55084.7</v>
      </c>
      <c r="H63" s="487">
        <f>Heavies!$G$62</f>
        <v>5007.7</v>
      </c>
      <c r="I63" s="455">
        <f>Heavies!$H$62</f>
        <v>1</v>
      </c>
      <c r="J63" s="456">
        <f>Heavies!$I$62</f>
        <v>11</v>
      </c>
      <c r="K63" s="456">
        <f>Heavies!$J$62</f>
        <v>61.8556701</v>
      </c>
      <c r="L63" s="457">
        <f>Heavies!$K$62</f>
        <v>2.35</v>
      </c>
      <c r="M63" s="458">
        <f>Heavies!$L$62</f>
        <v>39</v>
      </c>
      <c r="N63" s="549">
        <f>Heavies!$M$62</f>
        <v>171</v>
      </c>
      <c r="O63" s="466" t="str">
        <f>Heavies!$N$62</f>
        <v>N/A</v>
      </c>
      <c r="P63" s="127" t="s">
        <v>643</v>
      </c>
    </row>
    <row r="64">
      <c r="A64" s="449" t="s">
        <v>612</v>
      </c>
      <c r="B64" s="449" t="s">
        <v>639</v>
      </c>
      <c r="C64" s="449" t="s">
        <v>60</v>
      </c>
      <c r="D64" s="450" t="str">
        <f>Heavies!$B$63</f>
        <v>Dragon's Breath</v>
      </c>
      <c r="E64" s="483">
        <f>Heavies!$C$63</f>
        <v>4034.921429</v>
      </c>
      <c r="F64" s="611">
        <f>Heavies!$D$63</f>
        <v>4034.921429</v>
      </c>
      <c r="G64" s="612">
        <f>Heavies!$F$63</f>
        <v>88467.5</v>
      </c>
      <c r="H64" s="487">
        <f>Heavies!$G$63</f>
        <v>8042.5</v>
      </c>
      <c r="I64" s="455">
        <f>Heavies!$H$63</f>
        <v>1</v>
      </c>
      <c r="J64" s="456">
        <f>Heavies!$I$63</f>
        <v>11</v>
      </c>
      <c r="K64" s="456">
        <f>Heavies!$J$63</f>
        <v>61.8556701</v>
      </c>
      <c r="L64" s="457">
        <f>Heavies!$K$63</f>
        <v>2.35</v>
      </c>
      <c r="M64" s="458">
        <f>Heavies!$L$63</f>
        <v>72</v>
      </c>
      <c r="N64" s="549">
        <f>Heavies!$M$63</f>
        <v>171</v>
      </c>
      <c r="O64" s="466" t="str">
        <f>Heavies!$N$63</f>
        <v>N/A</v>
      </c>
      <c r="P64" s="127" t="s">
        <v>644</v>
      </c>
    </row>
    <row r="65">
      <c r="A65" s="449" t="s">
        <v>612</v>
      </c>
      <c r="B65" s="449" t="s">
        <v>639</v>
      </c>
      <c r="C65" s="449" t="s">
        <v>60</v>
      </c>
      <c r="D65" s="450" t="str">
        <f>Heavies!$B$55</f>
        <v>Eyes of Tomorrow</v>
      </c>
      <c r="E65" s="613">
        <f>Heavies!$C$55</f>
        <v>2956.626506</v>
      </c>
      <c r="F65" s="551">
        <f>Heavies!$D$55</f>
        <v>771.6981132</v>
      </c>
      <c r="G65" s="501">
        <f>Heavies!$F$55</f>
        <v>24540</v>
      </c>
      <c r="H65" s="500">
        <f>Heavies!$G$55</f>
        <v>2454</v>
      </c>
      <c r="I65" s="566">
        <f>Heavies!$H$55</f>
        <v>1</v>
      </c>
      <c r="J65" s="456">
        <f>Heavies!$I$55</f>
        <v>10</v>
      </c>
      <c r="K65" s="456">
        <f>Heavies!$J$55</f>
        <v>72.28915663</v>
      </c>
      <c r="L65" s="457">
        <f>Heavies!$K$55</f>
        <v>2.35</v>
      </c>
      <c r="M65" s="458">
        <f>Heavies!$L$55</f>
        <v>29.25</v>
      </c>
      <c r="N65" s="614">
        <f>Heavies!$M$55</f>
        <v>2454</v>
      </c>
      <c r="O65" s="466" t="str">
        <f>Heavies!$N$55</f>
        <v>N/A</v>
      </c>
      <c r="P65" s="117"/>
    </row>
    <row r="66">
      <c r="A66" s="449" t="s">
        <v>612</v>
      </c>
      <c r="B66" s="449" t="s">
        <v>639</v>
      </c>
      <c r="C66" s="449" t="s">
        <v>60</v>
      </c>
      <c r="D66" s="450" t="str">
        <f>Heavies!$B$56</f>
        <v>Eyes of Tomorrow</v>
      </c>
      <c r="E66" s="485">
        <f>Heavies!$C$56</f>
        <v>3695.783133</v>
      </c>
      <c r="F66" s="615">
        <f>Heavies!$D$56</f>
        <v>1005.737705</v>
      </c>
      <c r="G66" s="616">
        <f>Heavies!$F$56</f>
        <v>30675</v>
      </c>
      <c r="H66" s="599">
        <f>Heavies!$G$56</f>
        <v>3067.5</v>
      </c>
      <c r="I66" s="566">
        <f>Heavies!$H$56</f>
        <v>1</v>
      </c>
      <c r="J66" s="456">
        <f>Heavies!$I$56</f>
        <v>10</v>
      </c>
      <c r="K66" s="456">
        <f>Heavies!$J$56</f>
        <v>72.28915663</v>
      </c>
      <c r="L66" s="457">
        <f>Heavies!$K$56</f>
        <v>2.35</v>
      </c>
      <c r="M66" s="458">
        <f>Heavies!$L$56</f>
        <v>27.45</v>
      </c>
      <c r="N66" s="617">
        <f>Heavies!$M$56</f>
        <v>3067.5</v>
      </c>
      <c r="O66" s="466" t="str">
        <f>Heavies!$N$56</f>
        <v>N/A</v>
      </c>
      <c r="P66" s="495" t="s">
        <v>645</v>
      </c>
    </row>
    <row r="67">
      <c r="A67" s="449" t="s">
        <v>612</v>
      </c>
      <c r="B67" s="449" t="s">
        <v>639</v>
      </c>
      <c r="C67" s="449" t="s">
        <v>60</v>
      </c>
      <c r="D67" s="450" t="str">
        <f>Heavies!$B$58</f>
        <v>Gjallarhorn</v>
      </c>
      <c r="E67" s="502">
        <f>Heavies!$C$58</f>
        <v>1375.2</v>
      </c>
      <c r="F67" s="618">
        <f>Heavies!$D$58</f>
        <v>947.107438</v>
      </c>
      <c r="G67" s="591">
        <f>Heavies!$F$58</f>
        <v>18909</v>
      </c>
      <c r="H67" s="602">
        <f>Heavies!$G$58</f>
        <v>3438</v>
      </c>
      <c r="I67" s="455">
        <f>Heavies!$H$58</f>
        <v>2</v>
      </c>
      <c r="J67" s="456">
        <f>Heavies!$I$58</f>
        <v>11</v>
      </c>
      <c r="K67" s="456">
        <f>Heavies!$J$58</f>
        <v>46.875</v>
      </c>
      <c r="L67" s="457">
        <f>Heavies!$K$58</f>
        <v>2.35</v>
      </c>
      <c r="M67" s="458">
        <f>Heavies!$L$58</f>
        <v>18</v>
      </c>
      <c r="N67" s="619">
        <f>Heavies!$M$58</f>
        <v>1719</v>
      </c>
      <c r="O67" s="466" t="str">
        <f>Heavies!$N$58</f>
        <v>N/A</v>
      </c>
      <c r="P67" s="467"/>
    </row>
    <row r="68">
      <c r="A68" s="449" t="s">
        <v>612</v>
      </c>
      <c r="B68" s="449" t="s">
        <v>639</v>
      </c>
      <c r="C68" s="449" t="s">
        <v>60</v>
      </c>
      <c r="D68" s="482" t="str">
        <f>Heavies!$B$42</f>
        <v>High-Impact</v>
      </c>
      <c r="E68" s="544">
        <f>Heavies!$C$42</f>
        <v>1720.721649</v>
      </c>
      <c r="F68" s="300">
        <f>Heavies!$D$42</f>
        <v>710.2553191</v>
      </c>
      <c r="G68" s="599">
        <f>Heavies!$F$42</f>
        <v>18360.1</v>
      </c>
      <c r="H68" s="475">
        <f>Heavies!$G$42</f>
        <v>1669.1</v>
      </c>
      <c r="I68" s="455">
        <f>Heavies!$H$42</f>
        <v>1</v>
      </c>
      <c r="J68" s="456">
        <f>Heavies!$I$42</f>
        <v>11</v>
      </c>
      <c r="K68" s="456">
        <f>Heavies!$J$42</f>
        <v>61.8556701</v>
      </c>
      <c r="L68" s="457">
        <f>Heavies!$K$42</f>
        <v>2.35</v>
      </c>
      <c r="M68" s="458">
        <f>Heavies!$L$42</f>
        <v>23.5</v>
      </c>
      <c r="N68" s="552">
        <f>Heavies!$M$42</f>
        <v>1669.1</v>
      </c>
      <c r="O68" s="466" t="str">
        <f>Heavies!$N$42</f>
        <v>N/A</v>
      </c>
      <c r="P68" s="117"/>
    </row>
    <row r="69">
      <c r="A69" s="449" t="s">
        <v>612</v>
      </c>
      <c r="B69" s="449" t="s">
        <v>639</v>
      </c>
      <c r="C69" s="449" t="s">
        <v>60</v>
      </c>
      <c r="D69" s="482" t="str">
        <f>Heavies!$B$43</f>
        <v>High-Impact</v>
      </c>
      <c r="E69" s="544">
        <f>Heavies!$C$43</f>
        <v>2215.56701</v>
      </c>
      <c r="F69" s="300">
        <f>Heavies!$D$43</f>
        <v>914.5106383</v>
      </c>
      <c r="G69" s="599">
        <f>Heavies!$F$43</f>
        <v>23640.1</v>
      </c>
      <c r="H69" s="475">
        <f>Heavies!$G$43</f>
        <v>2149.1</v>
      </c>
      <c r="I69" s="455">
        <f>Heavies!$H$43</f>
        <v>1</v>
      </c>
      <c r="J69" s="456">
        <f>Heavies!$I$43</f>
        <v>11</v>
      </c>
      <c r="K69" s="456">
        <f>Heavies!$J$43</f>
        <v>61.8556701</v>
      </c>
      <c r="L69" s="457">
        <f>Heavies!$K$43</f>
        <v>2.35</v>
      </c>
      <c r="M69" s="458">
        <f>Heavies!$L$43</f>
        <v>23.5</v>
      </c>
      <c r="N69" s="552">
        <f>Heavies!$M$43</f>
        <v>2149.1</v>
      </c>
      <c r="O69" s="466" t="str">
        <f>Heavies!$N$43</f>
        <v>N/A</v>
      </c>
      <c r="P69" s="117" t="str">
        <f>Heavies!A43</f>
        <v>Wolfpack Rounds</v>
      </c>
    </row>
    <row r="70">
      <c r="A70" s="449" t="s">
        <v>612</v>
      </c>
      <c r="B70" s="449" t="s">
        <v>639</v>
      </c>
      <c r="C70" s="449" t="s">
        <v>60</v>
      </c>
      <c r="D70" s="482" t="str">
        <f>Heavies!$B$44</f>
        <v>High-Impact</v>
      </c>
      <c r="E70" s="544">
        <f>Heavies!$C$44</f>
        <v>1290.541237</v>
      </c>
      <c r="F70" s="300">
        <f>Heavies!$D$44</f>
        <v>754.1114458</v>
      </c>
      <c r="G70" s="599">
        <f>Heavies!$F$44</f>
        <v>20029.2</v>
      </c>
      <c r="H70" s="475">
        <f>Heavies!$G$44</f>
        <v>2503.65</v>
      </c>
      <c r="I70" s="455">
        <f>Heavies!$H$44</f>
        <v>2</v>
      </c>
      <c r="J70" s="456">
        <f>Heavies!$I$44</f>
        <v>16</v>
      </c>
      <c r="K70" s="456">
        <f>Heavies!$J$44</f>
        <v>61.8556701</v>
      </c>
      <c r="L70" s="457">
        <f>Heavies!$K$44</f>
        <v>2.35</v>
      </c>
      <c r="M70" s="458">
        <f>Heavies!$L$44</f>
        <v>24.21</v>
      </c>
      <c r="N70" s="552">
        <f>Heavies!$M$44</f>
        <v>1251.825</v>
      </c>
      <c r="O70" s="466" t="str">
        <f>Heavies!$N$44</f>
        <v>N/A</v>
      </c>
      <c r="P70" s="117" t="str">
        <f>Heavies!A44</f>
        <v>Bipod</v>
      </c>
    </row>
    <row r="71">
      <c r="A71" s="449" t="s">
        <v>612</v>
      </c>
      <c r="B71" s="449" t="s">
        <v>639</v>
      </c>
      <c r="C71" s="449" t="s">
        <v>60</v>
      </c>
      <c r="D71" s="482" t="str">
        <f>Heavies!$B$45</f>
        <v>High-Impact</v>
      </c>
      <c r="E71" s="544">
        <f>Heavies!$C$45</f>
        <v>1785.386598</v>
      </c>
      <c r="F71" s="300">
        <f>Heavies!$D$45</f>
        <v>1043.268072</v>
      </c>
      <c r="G71" s="599">
        <f>Heavies!$F$45</f>
        <v>27709.2</v>
      </c>
      <c r="H71" s="475">
        <f>Heavies!$G$45</f>
        <v>3463.65</v>
      </c>
      <c r="I71" s="455">
        <f>Heavies!$H$45</f>
        <v>2</v>
      </c>
      <c r="J71" s="456">
        <f>Heavies!$I$45</f>
        <v>16</v>
      </c>
      <c r="K71" s="456">
        <f>Heavies!$J$45</f>
        <v>61.8556701</v>
      </c>
      <c r="L71" s="457">
        <f>Heavies!$K$45</f>
        <v>2.35</v>
      </c>
      <c r="M71" s="458">
        <f>Heavies!$L$45</f>
        <v>24.21</v>
      </c>
      <c r="N71" s="552">
        <f>Heavies!$M$45</f>
        <v>1731.825</v>
      </c>
      <c r="O71" s="466" t="str">
        <f>Heavies!$N$45</f>
        <v>N/A</v>
      </c>
      <c r="P71" s="117" t="str">
        <f>Heavies!A45</f>
        <v>Bipod + Wolfpack Rounds</v>
      </c>
    </row>
    <row r="72">
      <c r="A72" s="449" t="s">
        <v>612</v>
      </c>
      <c r="B72" s="449" t="s">
        <v>639</v>
      </c>
      <c r="C72" s="449" t="s">
        <v>60</v>
      </c>
      <c r="D72" s="482" t="str">
        <f>Heavies!$B$46</f>
        <v>Precision</v>
      </c>
      <c r="E72" s="544">
        <f>Heavies!$C$46</f>
        <v>1634.020619</v>
      </c>
      <c r="F72" s="300">
        <f>Heavies!$D$46</f>
        <v>698.2378855</v>
      </c>
      <c r="G72" s="485">
        <f>Heavies!$F$46</f>
        <v>17435</v>
      </c>
      <c r="H72" s="620">
        <f>Heavies!$G$46</f>
        <v>1585</v>
      </c>
      <c r="I72" s="455">
        <f>Heavies!$H$46</f>
        <v>1</v>
      </c>
      <c r="J72" s="456">
        <f>Heavies!$I$46</f>
        <v>11</v>
      </c>
      <c r="K72" s="456">
        <f>Heavies!$J$46</f>
        <v>61.8556701</v>
      </c>
      <c r="L72" s="457">
        <f>Heavies!$K$46</f>
        <v>2.27</v>
      </c>
      <c r="M72" s="458">
        <f>Heavies!$L$46</f>
        <v>22.7</v>
      </c>
      <c r="N72" s="488">
        <f>Heavies!$M$46</f>
        <v>1585</v>
      </c>
      <c r="O72" s="466" t="str">
        <f>Heavies!$N$46</f>
        <v>N/A</v>
      </c>
      <c r="P72" s="467"/>
    </row>
    <row r="73">
      <c r="A73" s="449" t="s">
        <v>612</v>
      </c>
      <c r="B73" s="449" t="s">
        <v>639</v>
      </c>
      <c r="C73" s="449" t="s">
        <v>60</v>
      </c>
      <c r="D73" s="482" t="str">
        <f>Heavies!$B$47</f>
        <v>Precision</v>
      </c>
      <c r="E73" s="544">
        <f>Heavies!$C$47</f>
        <v>2128.865979</v>
      </c>
      <c r="F73" s="300">
        <f>Heavies!$D$47</f>
        <v>909.69163</v>
      </c>
      <c r="G73" s="485">
        <f>Heavies!$F$47</f>
        <v>22715</v>
      </c>
      <c r="H73" s="620">
        <f>Heavies!$G$47</f>
        <v>2065</v>
      </c>
      <c r="I73" s="455">
        <f>Heavies!$H$47</f>
        <v>1</v>
      </c>
      <c r="J73" s="456">
        <f>Heavies!$I$47</f>
        <v>11</v>
      </c>
      <c r="K73" s="456">
        <f>Heavies!$J$47</f>
        <v>61.8556701</v>
      </c>
      <c r="L73" s="457">
        <f>Heavies!$K$47</f>
        <v>2.27</v>
      </c>
      <c r="M73" s="458">
        <f>Heavies!$L$47</f>
        <v>22.7</v>
      </c>
      <c r="N73" s="488">
        <f>Heavies!$M$47</f>
        <v>2065</v>
      </c>
      <c r="O73" s="466" t="str">
        <f>Heavies!$N$47</f>
        <v>N/A</v>
      </c>
      <c r="P73" s="467" t="str">
        <f>Heavies!A47</f>
        <v>Wolfpack Rounds</v>
      </c>
    </row>
    <row r="74">
      <c r="A74" s="449" t="s">
        <v>612</v>
      </c>
      <c r="B74" s="449" t="s">
        <v>639</v>
      </c>
      <c r="C74" s="449" t="s">
        <v>60</v>
      </c>
      <c r="D74" s="482" t="str">
        <f>Heavies!$B$48</f>
        <v>Precision</v>
      </c>
      <c r="E74" s="544">
        <f>Heavies!$C$48</f>
        <v>1225.515464</v>
      </c>
      <c r="F74" s="300">
        <f>Heavies!$D$48</f>
        <v>733.7962963</v>
      </c>
      <c r="G74" s="485">
        <f>Heavies!$F$48</f>
        <v>19020</v>
      </c>
      <c r="H74" s="620">
        <f>Heavies!$G$48</f>
        <v>2377.5</v>
      </c>
      <c r="I74" s="455">
        <f>Heavies!$H$48</f>
        <v>2</v>
      </c>
      <c r="J74" s="456">
        <f>Heavies!$I$48</f>
        <v>16</v>
      </c>
      <c r="K74" s="456">
        <f>Heavies!$J$48</f>
        <v>61.8556701</v>
      </c>
      <c r="L74" s="457">
        <f>Heavies!$K$48</f>
        <v>2.27</v>
      </c>
      <c r="M74" s="458">
        <f>Heavies!$L$48</f>
        <v>23.65</v>
      </c>
      <c r="N74" s="488">
        <f>Heavies!$M$48</f>
        <v>1188.75</v>
      </c>
      <c r="O74" s="466" t="str">
        <f>Heavies!$N$48</f>
        <v>N/A</v>
      </c>
      <c r="P74" s="467" t="str">
        <f>Heavies!A48</f>
        <v>Bipod</v>
      </c>
    </row>
    <row r="75">
      <c r="A75" s="449" t="s">
        <v>612</v>
      </c>
      <c r="B75" s="449" t="s">
        <v>639</v>
      </c>
      <c r="C75" s="449" t="s">
        <v>60</v>
      </c>
      <c r="D75" s="482" t="str">
        <f>Heavies!$B$49</f>
        <v>Precision</v>
      </c>
      <c r="E75" s="544">
        <f>Heavies!$C$49</f>
        <v>1720.360825</v>
      </c>
      <c r="F75" s="300">
        <f>Heavies!$D$49</f>
        <v>1030.092593</v>
      </c>
      <c r="G75" s="485">
        <f>Heavies!$F$49</f>
        <v>26700</v>
      </c>
      <c r="H75" s="620">
        <f>Heavies!$G$49</f>
        <v>3337.5</v>
      </c>
      <c r="I75" s="455">
        <f>Heavies!$H$49</f>
        <v>2</v>
      </c>
      <c r="J75" s="456">
        <f>Heavies!$I$49</f>
        <v>16</v>
      </c>
      <c r="K75" s="456">
        <f>Heavies!$J$49</f>
        <v>61.8556701</v>
      </c>
      <c r="L75" s="457">
        <f>Heavies!$K$49</f>
        <v>2.27</v>
      </c>
      <c r="M75" s="458">
        <f>Heavies!$L$49</f>
        <v>23.65</v>
      </c>
      <c r="N75" s="488">
        <f>Heavies!$M$49</f>
        <v>1668.75</v>
      </c>
      <c r="O75" s="466" t="str">
        <f>Heavies!$N$49</f>
        <v>N/A</v>
      </c>
      <c r="P75" s="467" t="str">
        <f>Heavies!A49</f>
        <v>Bipod + Wolfpack Rounds</v>
      </c>
    </row>
    <row r="76">
      <c r="A76" s="449" t="s">
        <v>612</v>
      </c>
      <c r="B76" s="449" t="s">
        <v>639</v>
      </c>
      <c r="C76" s="449" t="s">
        <v>60</v>
      </c>
      <c r="D76" s="450" t="str">
        <f>Heavies!$B$50</f>
        <v>The Wardcliff Coil</v>
      </c>
      <c r="E76" s="505">
        <f>Heavies!$C$50</f>
        <v>3120</v>
      </c>
      <c r="F76" s="621">
        <f>Heavies!$D$50</f>
        <v>716.0655738</v>
      </c>
      <c r="G76" s="462">
        <f>Heavies!$F$50</f>
        <v>17472</v>
      </c>
      <c r="H76" s="583">
        <f>Heavies!$G$50</f>
        <v>2184</v>
      </c>
      <c r="I76" s="455">
        <f>Heavies!$H$50</f>
        <v>1</v>
      </c>
      <c r="J76" s="456">
        <f>Heavies!$I$50</f>
        <v>8</v>
      </c>
      <c r="K76" s="456">
        <f>Heavies!$J$50</f>
        <v>85.71428571</v>
      </c>
      <c r="L76" s="457">
        <f>Heavies!$K$50</f>
        <v>2.35</v>
      </c>
      <c r="M76" s="458">
        <f>Heavies!$L$50</f>
        <v>21.35</v>
      </c>
      <c r="N76" s="622">
        <f>Heavies!$M$50</f>
        <v>2184</v>
      </c>
      <c r="O76" s="466" t="str">
        <f>Heavies!$N$50</f>
        <v>N/A</v>
      </c>
      <c r="P76" s="467"/>
    </row>
    <row r="77">
      <c r="A77" s="449" t="s">
        <v>612</v>
      </c>
      <c r="B77" s="449" t="s">
        <v>639</v>
      </c>
      <c r="C77" s="449" t="s">
        <v>60</v>
      </c>
      <c r="D77" s="450" t="str">
        <f>Heavies!$B$57</f>
        <v>Truth</v>
      </c>
      <c r="E77" s="623">
        <f>Heavies!$C$57</f>
        <v>1303.2</v>
      </c>
      <c r="F77" s="624">
        <f>Heavies!$D$57</f>
        <v>995.3156823</v>
      </c>
      <c r="G77" s="454">
        <f>Heavies!$F$57</f>
        <v>22806</v>
      </c>
      <c r="H77" s="480">
        <f>Heavies!$G$57</f>
        <v>4887</v>
      </c>
      <c r="I77" s="455">
        <f>Heavies!$H$57</f>
        <v>3</v>
      </c>
      <c r="J77" s="456">
        <f>Heavies!$I$57</f>
        <v>14</v>
      </c>
      <c r="K77" s="456">
        <f>Heavies!$J$57</f>
        <v>46.875</v>
      </c>
      <c r="L77" s="457">
        <f>Heavies!$K$57</f>
        <v>2.35</v>
      </c>
      <c r="M77" s="458">
        <f>Heavies!$L$57</f>
        <v>20.65</v>
      </c>
      <c r="N77" s="625">
        <f>Heavies!$M$57</f>
        <v>1629</v>
      </c>
      <c r="O77" s="466" t="str">
        <f>Heavies!$N$57</f>
        <v>N/A</v>
      </c>
      <c r="P77" s="117"/>
    </row>
    <row r="78">
      <c r="A78" s="449" t="s">
        <v>612</v>
      </c>
      <c r="B78" s="449" t="s">
        <v>639</v>
      </c>
      <c r="C78" s="449" t="s">
        <v>60</v>
      </c>
      <c r="D78" s="450" t="str">
        <f>Heavies!$B$51</f>
        <v>Two-Tailed Fox</v>
      </c>
      <c r="E78" s="583" t="str">
        <f>Heavies!$C$51</f>
        <v>N/A</v>
      </c>
      <c r="F78" s="626">
        <f>Heavies!$D$51</f>
        <v>826.459144</v>
      </c>
      <c r="G78" s="470">
        <f>Heavies!$F$51</f>
        <v>21240</v>
      </c>
      <c r="H78" s="454">
        <f>Heavies!$G$51</f>
        <v>2124</v>
      </c>
      <c r="I78" s="455">
        <f>Heavies!$H$51</f>
        <v>1</v>
      </c>
      <c r="J78" s="456">
        <f>Heavies!$I$51</f>
        <v>10</v>
      </c>
      <c r="K78" s="456">
        <f>Heavies!$J$51</f>
        <v>40</v>
      </c>
      <c r="L78" s="457">
        <f>Heavies!$K$51</f>
        <v>2.35</v>
      </c>
      <c r="M78" s="458">
        <f>Heavies!$L$51</f>
        <v>24.12</v>
      </c>
      <c r="N78" s="627">
        <f>Heavies!$M$51</f>
        <v>2124</v>
      </c>
      <c r="O78" s="466" t="str">
        <f>Heavies!$N$51</f>
        <v>N/A</v>
      </c>
      <c r="P78" s="467" t="s">
        <v>462</v>
      </c>
    </row>
    <row r="79">
      <c r="A79" s="449" t="s">
        <v>612</v>
      </c>
      <c r="B79" s="449" t="s">
        <v>639</v>
      </c>
      <c r="C79" s="449" t="s">
        <v>60</v>
      </c>
      <c r="D79" s="450" t="str">
        <f>Heavies!$B$52</f>
        <v>Two-Tailed Fox</v>
      </c>
      <c r="E79" s="579" t="str">
        <f>Heavies!$C$52</f>
        <v>N/A</v>
      </c>
      <c r="F79" s="628">
        <f>Heavies!$D$52</f>
        <v>865.1523297</v>
      </c>
      <c r="G79" s="629">
        <f>Heavies!$F$52</f>
        <v>23137.75</v>
      </c>
      <c r="H79" s="500">
        <f>Heavies!$G$52</f>
        <v>2313.775</v>
      </c>
      <c r="I79" s="455">
        <f>Heavies!$H$52</f>
        <v>1</v>
      </c>
      <c r="J79" s="456">
        <f>Heavies!$I$52</f>
        <v>10</v>
      </c>
      <c r="K79" s="456">
        <f>Heavies!$J$52</f>
        <v>40</v>
      </c>
      <c r="L79" s="457">
        <f>Heavies!$K$52</f>
        <v>2.35</v>
      </c>
      <c r="M79" s="458">
        <f>Heavies!$L$52</f>
        <v>24.12</v>
      </c>
      <c r="N79" s="630">
        <f>Heavies!$M$52</f>
        <v>2313.775</v>
      </c>
      <c r="O79" s="466" t="str">
        <f>Heavies!$N$52</f>
        <v>N/A</v>
      </c>
      <c r="P79" s="515" t="s">
        <v>646</v>
      </c>
    </row>
    <row r="80">
      <c r="A80" s="449" t="s">
        <v>612</v>
      </c>
      <c r="B80" s="449" t="s">
        <v>639</v>
      </c>
      <c r="C80" s="449" t="s">
        <v>60</v>
      </c>
      <c r="D80" s="450" t="str">
        <f>Heavies!$B$53</f>
        <v>Two-Tailed Fox</v>
      </c>
      <c r="E80" s="510" t="str">
        <f>Heavies!$C$53</f>
        <v>N/A</v>
      </c>
      <c r="F80" s="631">
        <f>Heavies!$D$53</f>
        <v>993.3331017</v>
      </c>
      <c r="G80" s="501">
        <f>Heavies!$F$53</f>
        <v>24955</v>
      </c>
      <c r="H80" s="454">
        <f>Heavies!$G$53</f>
        <v>2124</v>
      </c>
      <c r="I80" s="455">
        <f>Heavies!$H$53</f>
        <v>1</v>
      </c>
      <c r="J80" s="456">
        <f>Heavies!$I$53</f>
        <v>10</v>
      </c>
      <c r="K80" s="456">
        <f>Heavies!$J$53</f>
        <v>40</v>
      </c>
      <c r="L80" s="457">
        <f>Heavies!$K$53</f>
        <v>2.35</v>
      </c>
      <c r="M80" s="458">
        <f>Heavies!$L$53</f>
        <v>24.12</v>
      </c>
      <c r="N80" s="627">
        <f>Heavies!$M$53</f>
        <v>2124</v>
      </c>
      <c r="O80" s="466" t="str">
        <f>Heavies!$N$53</f>
        <v>N/A</v>
      </c>
      <c r="P80" s="467" t="s">
        <v>647</v>
      </c>
    </row>
    <row r="81">
      <c r="A81" s="449" t="s">
        <v>612</v>
      </c>
      <c r="B81" s="449" t="s">
        <v>639</v>
      </c>
      <c r="C81" s="449" t="s">
        <v>60</v>
      </c>
      <c r="D81" s="450" t="str">
        <f>Heavies!$B$54</f>
        <v>Two-Tailed Fox</v>
      </c>
      <c r="E81" s="485" t="str">
        <f>Heavies!$C$54</f>
        <v>N/A</v>
      </c>
      <c r="F81" s="632">
        <f>Heavies!$D$54</f>
        <v>1020.62788</v>
      </c>
      <c r="G81" s="633">
        <f>Heavies!$F$54</f>
        <v>26852.75</v>
      </c>
      <c r="H81" s="500">
        <f>Heavies!$G$54</f>
        <v>2313.775</v>
      </c>
      <c r="I81" s="455">
        <f>Heavies!$H$54</f>
        <v>1</v>
      </c>
      <c r="J81" s="456">
        <f>Heavies!$I$54</f>
        <v>10</v>
      </c>
      <c r="K81" s="456">
        <f>Heavies!$J$54</f>
        <v>40</v>
      </c>
      <c r="L81" s="457">
        <f>Heavies!$K$54</f>
        <v>2.35</v>
      </c>
      <c r="M81" s="458">
        <f>Heavies!$L$54</f>
        <v>24.12</v>
      </c>
      <c r="N81" s="630">
        <f>Heavies!$M$54</f>
        <v>2313.775</v>
      </c>
      <c r="O81" s="466" t="str">
        <f>Heavies!$N$54</f>
        <v>N/A</v>
      </c>
      <c r="P81" s="515" t="s">
        <v>648</v>
      </c>
    </row>
    <row r="82">
      <c r="A82" s="449" t="s">
        <v>612</v>
      </c>
      <c r="B82" s="449" t="s">
        <v>649</v>
      </c>
      <c r="C82" s="449" t="s">
        <v>60</v>
      </c>
      <c r="D82" s="450" t="str">
        <f>Heavies!$B$83</f>
        <v>Legend of Acrius</v>
      </c>
      <c r="E82" s="634">
        <f>Heavies!$C$83</f>
        <v>1175</v>
      </c>
      <c r="F82" s="635">
        <f>Heavies!$D$83</f>
        <v>928.3441238</v>
      </c>
      <c r="G82" s="501">
        <f>Heavies!$F$83</f>
        <v>20509.09091</v>
      </c>
      <c r="H82" s="636">
        <f>Heavies!$G$83</f>
        <v>7690.909091</v>
      </c>
      <c r="I82" s="455">
        <f>Heavies!$H$83</f>
        <v>6</v>
      </c>
      <c r="J82" s="456">
        <f>Heavies!$I$83</f>
        <v>16</v>
      </c>
      <c r="K82" s="456">
        <f>Heavies!$J$83</f>
        <v>55</v>
      </c>
      <c r="L82" s="457">
        <f>Heavies!$K$83</f>
        <v>0.43</v>
      </c>
      <c r="M82" s="458">
        <f>Heavies!$L$83</f>
        <v>21.13181818</v>
      </c>
      <c r="N82" s="616">
        <f>Heavies!$M$83</f>
        <v>1281.818182</v>
      </c>
      <c r="O82" s="621">
        <f>Heavies!$N$83</f>
        <v>1413.636364</v>
      </c>
      <c r="P82" s="127" t="s">
        <v>650</v>
      </c>
    </row>
    <row r="83">
      <c r="A83" s="449" t="s">
        <v>612</v>
      </c>
      <c r="B83" s="449" t="s">
        <v>649</v>
      </c>
      <c r="C83" s="449" t="s">
        <v>60</v>
      </c>
      <c r="D83" s="450" t="str">
        <f>Heavies!$B$84</f>
        <v>Legend of Acrius</v>
      </c>
      <c r="E83" s="498">
        <f>Heavies!$C$84</f>
        <v>1443.148936</v>
      </c>
      <c r="F83" s="637">
        <f>Heavies!$D$84</f>
        <v>1199.116061</v>
      </c>
      <c r="G83" s="488">
        <f>Heavies!$F$84</f>
        <v>30763.63636</v>
      </c>
      <c r="H83" s="638">
        <f>Heavies!$G$84</f>
        <v>11934.36364</v>
      </c>
      <c r="I83" s="455">
        <f>Heavies!$H$84</f>
        <v>6</v>
      </c>
      <c r="J83" s="456">
        <f>Heavies!$I$84</f>
        <v>16</v>
      </c>
      <c r="K83" s="456">
        <f>Heavies!$J$84</f>
        <v>55</v>
      </c>
      <c r="L83" s="457">
        <f>Heavies!$K$84</f>
        <v>0.43</v>
      </c>
      <c r="M83" s="458">
        <f>Heavies!$L$84</f>
        <v>26.13181818</v>
      </c>
      <c r="N83" s="464">
        <f>Heavies!$M$84</f>
        <v>1922.727273</v>
      </c>
      <c r="O83" s="639">
        <f>Heavies!$N$84</f>
        <v>2120.454545</v>
      </c>
      <c r="P83" s="515" t="s">
        <v>651</v>
      </c>
    </row>
    <row r="84">
      <c r="A84" s="449" t="s">
        <v>612</v>
      </c>
      <c r="B84" s="449" t="s">
        <v>649</v>
      </c>
      <c r="C84" s="449" t="s">
        <v>60</v>
      </c>
      <c r="D84" s="450" t="str">
        <f>Heavies!$B$85</f>
        <v>Legend of Acrius</v>
      </c>
      <c r="E84" s="498">
        <f>Heavies!$C$85</f>
        <v>1443.148936</v>
      </c>
      <c r="F84" s="640">
        <f>Heavies!$D$85</f>
        <v>1443.148936</v>
      </c>
      <c r="G84" s="488">
        <f>Heavies!$F$85</f>
        <v>30763.63636</v>
      </c>
      <c r="H84" s="534" t="str">
        <f>Heavies!$G$85</f>
        <v>N/A</v>
      </c>
      <c r="I84" s="455">
        <f>Heavies!$H$85</f>
        <v>1</v>
      </c>
      <c r="J84" s="456">
        <f>Heavies!$I$85</f>
        <v>16</v>
      </c>
      <c r="K84" s="456">
        <f>Heavies!$J$85</f>
        <v>55</v>
      </c>
      <c r="L84" s="457">
        <f>Heavies!$K$85</f>
        <v>0.68</v>
      </c>
      <c r="M84" s="458">
        <f>Heavies!$L$85</f>
        <v>22.45454545</v>
      </c>
      <c r="N84" s="464">
        <f>Heavies!$M$85</f>
        <v>1922.727273</v>
      </c>
      <c r="O84" s="639">
        <f>Heavies!$N$85</f>
        <v>2120.454545</v>
      </c>
      <c r="P84" s="515" t="s">
        <v>652</v>
      </c>
    </row>
    <row r="85">
      <c r="A85" s="449" t="s">
        <v>612</v>
      </c>
      <c r="B85" s="449" t="s">
        <v>649</v>
      </c>
      <c r="C85" s="449" t="s">
        <v>60</v>
      </c>
      <c r="D85" s="450" t="str">
        <f>Heavies!$B$82</f>
        <v>Tractor Cannon</v>
      </c>
      <c r="E85" s="534">
        <f>Heavies!$C$82</f>
        <v>664</v>
      </c>
      <c r="F85" s="567">
        <f>Heavies!$D$82</f>
        <v>583.919598</v>
      </c>
      <c r="G85" s="454">
        <f>Heavies!$F$82</f>
        <v>8964</v>
      </c>
      <c r="H85" s="480">
        <f>Heavies!$G$82</f>
        <v>3486</v>
      </c>
      <c r="I85" s="456">
        <f>Heavies!$H$82</f>
        <v>7</v>
      </c>
      <c r="J85" s="456">
        <f>Heavies!$I$82</f>
        <v>18</v>
      </c>
      <c r="K85" s="456">
        <f>Heavies!$J$82</f>
        <v>80</v>
      </c>
      <c r="L85" s="457">
        <f>Heavies!$K$82</f>
        <v>1.47</v>
      </c>
      <c r="M85" s="458">
        <f>Heavies!$L$82</f>
        <v>14.19</v>
      </c>
      <c r="N85" s="510">
        <f>Heavies!$M$82</f>
        <v>498</v>
      </c>
      <c r="O85" s="641" t="str">
        <f>Heavies!$N$82</f>
        <v>N/A</v>
      </c>
      <c r="P85" s="467" t="s">
        <v>653</v>
      </c>
    </row>
    <row r="86">
      <c r="A86" s="449" t="s">
        <v>612</v>
      </c>
      <c r="B86" s="449" t="s">
        <v>654</v>
      </c>
      <c r="C86" s="449" t="s">
        <v>60</v>
      </c>
      <c r="D86" s="450" t="str">
        <f>Heavies!$B$77</f>
        <v>D.A.R.C.I.</v>
      </c>
      <c r="E86" s="642">
        <f>Heavies!$C$77</f>
        <v>1788.111111</v>
      </c>
      <c r="F86" s="643">
        <f>Heavies!$D$77</f>
        <v>1248.060201</v>
      </c>
      <c r="G86" s="644">
        <f>Heavies!$F$77</f>
        <v>23723</v>
      </c>
      <c r="H86" s="479">
        <f>Heavies!$G$77</f>
        <v>5331</v>
      </c>
      <c r="I86" s="455">
        <f>Heavies!$H$77</f>
        <v>7</v>
      </c>
      <c r="J86" s="456">
        <f>Heavies!$I$77</f>
        <v>31</v>
      </c>
      <c r="K86" s="456">
        <f>Heavies!$J$77</f>
        <v>140</v>
      </c>
      <c r="L86" s="457">
        <f>Heavies!$K$77</f>
        <v>1.7</v>
      </c>
      <c r="M86" s="458">
        <f>Heavies!$L$77</f>
        <v>17.94285714</v>
      </c>
      <c r="N86" s="645">
        <f>Heavies!$M$77</f>
        <v>162</v>
      </c>
      <c r="O86" s="646">
        <f>Heavies!$N$77</f>
        <v>733</v>
      </c>
      <c r="P86" s="467" t="s">
        <v>655</v>
      </c>
    </row>
    <row r="87">
      <c r="A87" s="449" t="s">
        <v>612</v>
      </c>
      <c r="B87" s="449" t="s">
        <v>654</v>
      </c>
      <c r="C87" s="449" t="s">
        <v>60</v>
      </c>
      <c r="D87" s="450" t="str">
        <f>Heavies!$B$78</f>
        <v>D.A.R.C.I.</v>
      </c>
      <c r="E87" s="642">
        <f>Heavies!$C$78</f>
        <v>1951.444444</v>
      </c>
      <c r="F87" s="643">
        <f>Heavies!$D$78</f>
        <v>1362.77592</v>
      </c>
      <c r="G87" s="644">
        <f>Heavies!$F$78</f>
        <v>26616.845</v>
      </c>
      <c r="H87" s="479">
        <f>Heavies!$G$78</f>
        <v>6544.845</v>
      </c>
      <c r="I87" s="455">
        <f>Heavies!$H$78</f>
        <v>7</v>
      </c>
      <c r="J87" s="456">
        <f>Heavies!$I$78</f>
        <v>31</v>
      </c>
      <c r="K87" s="456">
        <f>Heavies!$J$78</f>
        <v>140</v>
      </c>
      <c r="L87" s="457">
        <f>Heavies!$K$78</f>
        <v>1.7</v>
      </c>
      <c r="M87" s="458">
        <f>Heavies!$L$78</f>
        <v>17.94285714</v>
      </c>
      <c r="N87" s="645">
        <f>Heavies!$M$78</f>
        <v>162</v>
      </c>
      <c r="O87" s="646">
        <f>Heavies!$N$78</f>
        <v>803</v>
      </c>
      <c r="P87" s="127" t="s">
        <v>656</v>
      </c>
    </row>
    <row r="88">
      <c r="A88" s="449" t="s">
        <v>612</v>
      </c>
      <c r="B88" s="449" t="s">
        <v>654</v>
      </c>
      <c r="C88" s="449" t="s">
        <v>60</v>
      </c>
      <c r="D88" s="450" t="str">
        <f>Heavies!$B$79</f>
        <v>D.A.R.C.I.</v>
      </c>
      <c r="E88" s="642">
        <f>Heavies!$C$79</f>
        <v>2232.494444</v>
      </c>
      <c r="F88" s="643">
        <f>Heavies!$D$79</f>
        <v>1560.168896</v>
      </c>
      <c r="G88" s="644">
        <f>Heavies!$F$79</f>
        <v>29868.545</v>
      </c>
      <c r="H88" s="479">
        <f>Heavies!$G$79</f>
        <v>6785.745</v>
      </c>
      <c r="I88" s="455">
        <f>Heavies!$H$79</f>
        <v>7</v>
      </c>
      <c r="J88" s="456">
        <f>Heavies!$I$79</f>
        <v>31</v>
      </c>
      <c r="K88" s="456">
        <f>Heavies!$J$79</f>
        <v>140</v>
      </c>
      <c r="L88" s="457">
        <f>Heavies!$K$79</f>
        <v>1.7</v>
      </c>
      <c r="M88" s="458">
        <f>Heavies!$L$79</f>
        <v>17.94285714</v>
      </c>
      <c r="N88" s="645">
        <f>Heavies!$M$79</f>
        <v>186.3</v>
      </c>
      <c r="O88" s="646">
        <f>Heavies!$N$79</f>
        <v>923.45</v>
      </c>
      <c r="P88" s="127" t="s">
        <v>657</v>
      </c>
    </row>
    <row r="89">
      <c r="A89" s="449" t="s">
        <v>612</v>
      </c>
      <c r="B89" s="449" t="s">
        <v>654</v>
      </c>
      <c r="C89" s="449" t="s">
        <v>60</v>
      </c>
      <c r="D89" s="450" t="str">
        <f>Heavies!$B$80</f>
        <v>Whisper of the Worm</v>
      </c>
      <c r="E89" s="578">
        <f>Heavies!$C$80</f>
        <v>969.8181818</v>
      </c>
      <c r="F89" s="466">
        <f>Heavies!$D$80</f>
        <v>969.8181818</v>
      </c>
      <c r="G89" s="573">
        <f>Heavies!$F$80</f>
        <v>30710.90909</v>
      </c>
      <c r="H89" s="512">
        <f>Heavies!$G$80</f>
        <v>2424.545455</v>
      </c>
      <c r="I89" s="455">
        <f>Heavies!$H$80</f>
        <v>3</v>
      </c>
      <c r="J89" s="566">
        <f>Heavies!$I$80</f>
        <v>38</v>
      </c>
      <c r="K89" s="456">
        <f>Heavies!$J$80</f>
        <v>72</v>
      </c>
      <c r="L89" s="457">
        <f>Heavies!$K$80</f>
        <v>1.98</v>
      </c>
      <c r="M89" s="458">
        <f>Heavies!$L$80</f>
        <v>31.66666667</v>
      </c>
      <c r="N89" s="647">
        <f>Heavies!$M$80</f>
        <v>231.8181818</v>
      </c>
      <c r="O89" s="539">
        <f>Heavies!$N$80</f>
        <v>808.1818182</v>
      </c>
      <c r="P89" s="127"/>
    </row>
    <row r="90">
      <c r="A90" s="449" t="s">
        <v>612</v>
      </c>
      <c r="B90" s="449" t="s">
        <v>654</v>
      </c>
      <c r="C90" s="449" t="s">
        <v>60</v>
      </c>
      <c r="D90" s="450" t="str">
        <f>Heavies!$B$81</f>
        <v>Whisper of the Worm</v>
      </c>
      <c r="E90" s="578">
        <f>Heavies!$C$81</f>
        <v>1428</v>
      </c>
      <c r="F90" s="466">
        <f>Heavies!$D$81</f>
        <v>1428</v>
      </c>
      <c r="G90" s="573">
        <f>Heavies!$F$81</f>
        <v>45220</v>
      </c>
      <c r="H90" s="512">
        <f>Heavies!$G$81</f>
        <v>3570</v>
      </c>
      <c r="I90" s="455">
        <f>Heavies!$H$81</f>
        <v>3</v>
      </c>
      <c r="J90" s="566">
        <f>Heavies!$I$81</f>
        <v>38</v>
      </c>
      <c r="K90" s="456">
        <f>Heavies!$J$81</f>
        <v>72</v>
      </c>
      <c r="L90" s="457">
        <f>Heavies!$K$81</f>
        <v>1.98</v>
      </c>
      <c r="M90" s="458">
        <f>Heavies!$L$81</f>
        <v>31.66666667</v>
      </c>
      <c r="N90" s="647">
        <f>Heavies!$M$81</f>
        <v>252.7272727</v>
      </c>
      <c r="O90" s="539">
        <f>Heavies!$N$81</f>
        <v>1190</v>
      </c>
      <c r="P90" s="127" t="s">
        <v>658</v>
      </c>
    </row>
    <row r="91">
      <c r="A91" s="449" t="s">
        <v>612</v>
      </c>
      <c r="B91" s="449" t="s">
        <v>659</v>
      </c>
      <c r="C91" s="648">
        <f>Swords!$B$7</f>
        <v>0</v>
      </c>
      <c r="D91" s="649" t="str">
        <f>Swords!$A$3</f>
        <v>Adaptive</v>
      </c>
      <c r="E91" s="519">
        <f>Swords!$C$7</f>
        <v>540.4580153</v>
      </c>
      <c r="F91" s="650">
        <f>Swords!$C$7</f>
        <v>540.4580153</v>
      </c>
      <c r="G91" s="651">
        <f>Swords!$F$7</f>
        <v>24780</v>
      </c>
      <c r="H91" s="473" t="s">
        <v>60</v>
      </c>
      <c r="I91" s="455" t="s">
        <v>60</v>
      </c>
      <c r="J91" s="456">
        <f>Swords!$H$7</f>
        <v>70</v>
      </c>
      <c r="K91" s="456">
        <f>Swords!$I$7</f>
        <v>139.5348837</v>
      </c>
      <c r="L91" s="457" t="str">
        <f>Swords!$K$7</f>
        <v>N/A</v>
      </c>
      <c r="M91" s="458">
        <f>Swords!$L$7</f>
        <v>30.1</v>
      </c>
      <c r="N91" s="556">
        <f>Swords!$R$7</f>
        <v>333</v>
      </c>
      <c r="O91" s="652">
        <f>Swords!$S$7</f>
        <v>375</v>
      </c>
      <c r="P91" s="467" t="s">
        <v>660</v>
      </c>
    </row>
    <row r="92">
      <c r="A92" s="449" t="s">
        <v>612</v>
      </c>
      <c r="B92" s="449" t="s">
        <v>659</v>
      </c>
      <c r="C92" s="648">
        <f>Swords!$B$3</f>
        <v>0</v>
      </c>
      <c r="D92" s="649" t="str">
        <f>Swords!$A$3</f>
        <v>Adaptive</v>
      </c>
      <c r="E92" s="500">
        <f>Swords!$C$3</f>
        <v>962.2857143</v>
      </c>
      <c r="F92" s="478">
        <f>Swords!$C$3</f>
        <v>962.2857143</v>
      </c>
      <c r="G92" s="483">
        <f>Swords!$F$3</f>
        <v>26944</v>
      </c>
      <c r="H92" s="473" t="s">
        <v>60</v>
      </c>
      <c r="I92" s="455" t="s">
        <v>60</v>
      </c>
      <c r="J92" s="456">
        <f>Swords!$H$3</f>
        <v>70</v>
      </c>
      <c r="K92" s="456">
        <f>Swords!$I$3</f>
        <v>127.6595745</v>
      </c>
      <c r="L92" s="457">
        <f>Swords!$K$3</f>
        <v>2.42</v>
      </c>
      <c r="M92" s="458">
        <f>Swords!$L$3</f>
        <v>27.44</v>
      </c>
      <c r="N92" s="653">
        <f>Swords!$R$3</f>
        <v>400</v>
      </c>
      <c r="O92" s="654">
        <f>Swords!$S$3</f>
        <v>1368</v>
      </c>
      <c r="P92" s="467" t="s">
        <v>661</v>
      </c>
    </row>
    <row r="93">
      <c r="A93" s="449" t="s">
        <v>612</v>
      </c>
      <c r="B93" s="449" t="s">
        <v>659</v>
      </c>
      <c r="C93" s="648">
        <f>Swords!$B$3</f>
        <v>0</v>
      </c>
      <c r="D93" s="649" t="str">
        <f>Swords!$A$3</f>
        <v>Adaptive</v>
      </c>
      <c r="E93" s="500">
        <f>Swords!$D$3</f>
        <v>966.1538462</v>
      </c>
      <c r="F93" s="655">
        <f>Swords!$D$3</f>
        <v>966.1538462</v>
      </c>
      <c r="G93" s="656">
        <f>Swords!$G$3</f>
        <v>26376</v>
      </c>
      <c r="H93" s="473" t="s">
        <v>60</v>
      </c>
      <c r="I93" s="455" t="s">
        <v>60</v>
      </c>
      <c r="J93" s="456">
        <f>Swords!$H$3</f>
        <v>70</v>
      </c>
      <c r="K93" s="456">
        <f>Swords!$I$3</f>
        <v>127.6595745</v>
      </c>
      <c r="L93" s="457">
        <f>Swords!$K$3</f>
        <v>2.42</v>
      </c>
      <c r="M93" s="458">
        <f>Swords!$L$3</f>
        <v>27.44</v>
      </c>
      <c r="N93" s="653">
        <f>Swords!$R$3</f>
        <v>400</v>
      </c>
      <c r="O93" s="654">
        <f>Swords!$S$3</f>
        <v>1368</v>
      </c>
      <c r="P93" s="117" t="s">
        <v>662</v>
      </c>
    </row>
    <row r="94">
      <c r="A94" s="449" t="s">
        <v>612</v>
      </c>
      <c r="B94" s="449" t="s">
        <v>659</v>
      </c>
      <c r="C94" s="648">
        <f>Swords!$B$4</f>
        <v>1</v>
      </c>
      <c r="D94" s="649" t="str">
        <f>Swords!$A$3</f>
        <v>Adaptive</v>
      </c>
      <c r="E94" s="500">
        <f>Swords!$D$4</f>
        <v>981.9241983</v>
      </c>
      <c r="F94" s="657">
        <f>Swords!$D$4</f>
        <v>981.9241983</v>
      </c>
      <c r="G94" s="483">
        <f>Swords!$G$4</f>
        <v>26944</v>
      </c>
      <c r="H94" s="473" t="s">
        <v>60</v>
      </c>
      <c r="I94" s="455" t="s">
        <v>60</v>
      </c>
      <c r="J94" s="456">
        <f>Swords!$H$4</f>
        <v>70</v>
      </c>
      <c r="K94" s="456">
        <f>Swords!$I$4</f>
        <v>127.6595745</v>
      </c>
      <c r="L94" s="457">
        <f>Swords!$K$4</f>
        <v>1.94</v>
      </c>
      <c r="M94" s="458">
        <f>Swords!$L$4</f>
        <v>26.64</v>
      </c>
      <c r="N94" s="653">
        <f>Swords!$R$4</f>
        <v>400</v>
      </c>
      <c r="O94" s="654">
        <f>Swords!$S$4</f>
        <v>1368</v>
      </c>
      <c r="P94" s="467" t="s">
        <v>662</v>
      </c>
    </row>
    <row r="95">
      <c r="A95" s="449" t="s">
        <v>612</v>
      </c>
      <c r="B95" s="449" t="s">
        <v>659</v>
      </c>
      <c r="C95" s="648">
        <f>Swords!$B$4</f>
        <v>1</v>
      </c>
      <c r="D95" s="649" t="str">
        <f>Swords!$A$3</f>
        <v>Adaptive</v>
      </c>
      <c r="E95" s="500">
        <f>Swords!$C$4</f>
        <v>982.781457</v>
      </c>
      <c r="F95" s="657">
        <f>Swords!$C$4</f>
        <v>982.781457</v>
      </c>
      <c r="G95" s="656">
        <f>Swords!$F$4</f>
        <v>26712</v>
      </c>
      <c r="H95" s="473" t="s">
        <v>60</v>
      </c>
      <c r="I95" s="566" t="s">
        <v>60</v>
      </c>
      <c r="J95" s="456">
        <f>Swords!$H$4</f>
        <v>70</v>
      </c>
      <c r="K95" s="456">
        <f>Swords!$I$4</f>
        <v>127.6595745</v>
      </c>
      <c r="L95" s="457">
        <f>Swords!$K$4</f>
        <v>1.94</v>
      </c>
      <c r="M95" s="458">
        <f>Swords!$L$4</f>
        <v>26.64</v>
      </c>
      <c r="N95" s="653">
        <f>Swords!$R$4</f>
        <v>400</v>
      </c>
      <c r="O95" s="654">
        <f>Swords!$S$4</f>
        <v>1368</v>
      </c>
      <c r="P95" s="467" t="s">
        <v>661</v>
      </c>
    </row>
    <row r="96">
      <c r="A96" s="449" t="s">
        <v>612</v>
      </c>
      <c r="B96" s="449" t="s">
        <v>659</v>
      </c>
      <c r="C96" s="648">
        <f>Swords!$B$5</f>
        <v>2</v>
      </c>
      <c r="D96" s="649" t="str">
        <f>Swords!$A$3</f>
        <v>Adaptive</v>
      </c>
      <c r="E96" s="658">
        <f>Swords!$C$5</f>
        <v>987.6923077</v>
      </c>
      <c r="F96" s="657">
        <f>Swords!$C$5</f>
        <v>987.6923077</v>
      </c>
      <c r="G96" s="479">
        <f>Swords!$F$5</f>
        <v>25680</v>
      </c>
      <c r="H96" s="473" t="s">
        <v>60</v>
      </c>
      <c r="I96" s="455" t="s">
        <v>60</v>
      </c>
      <c r="J96" s="456">
        <f>Swords!$H$5</f>
        <v>70</v>
      </c>
      <c r="K96" s="456">
        <f>Swords!$I$5</f>
        <v>127.6595745</v>
      </c>
      <c r="L96" s="457">
        <f>Swords!$K$5</f>
        <v>1.52</v>
      </c>
      <c r="M96" s="458">
        <f>Swords!$L$5</f>
        <v>24.9</v>
      </c>
      <c r="N96" s="653">
        <f>Swords!$R$5</f>
        <v>400</v>
      </c>
      <c r="O96" s="654">
        <f>Swords!$S$5</f>
        <v>1368</v>
      </c>
      <c r="P96" s="467" t="s">
        <v>661</v>
      </c>
    </row>
    <row r="97">
      <c r="A97" s="449" t="s">
        <v>612</v>
      </c>
      <c r="B97" s="449" t="s">
        <v>659</v>
      </c>
      <c r="C97" s="648">
        <f>Swords!$B$5</f>
        <v>2</v>
      </c>
      <c r="D97" s="649" t="str">
        <f>Swords!$A$3</f>
        <v>Adaptive</v>
      </c>
      <c r="E97" s="659">
        <f>Swords!$D$5</f>
        <v>1002.702703</v>
      </c>
      <c r="F97" s="635">
        <f>Swords!$D$5</f>
        <v>1002.702703</v>
      </c>
      <c r="G97" s="656">
        <f>Swords!$G$5</f>
        <v>26712</v>
      </c>
      <c r="H97" s="473" t="s">
        <v>60</v>
      </c>
      <c r="I97" s="455" t="s">
        <v>60</v>
      </c>
      <c r="J97" s="456">
        <f>Swords!$H$5</f>
        <v>70</v>
      </c>
      <c r="K97" s="456">
        <f>Swords!$I$5</f>
        <v>127.6595745</v>
      </c>
      <c r="L97" s="457">
        <f>Swords!$K$5</f>
        <v>1.52</v>
      </c>
      <c r="M97" s="458">
        <f>Swords!$L$5</f>
        <v>24.9</v>
      </c>
      <c r="N97" s="653">
        <f>Swords!$R$5</f>
        <v>400</v>
      </c>
      <c r="O97" s="654">
        <f>Swords!$S$5</f>
        <v>1368</v>
      </c>
      <c r="P97" s="117" t="s">
        <v>662</v>
      </c>
    </row>
    <row r="98">
      <c r="A98" s="449" t="s">
        <v>612</v>
      </c>
      <c r="B98" s="449" t="s">
        <v>659</v>
      </c>
      <c r="C98" s="648">
        <f>Swords!$B$6</f>
        <v>3</v>
      </c>
      <c r="D98" s="649" t="str">
        <f>Swords!$A$3</f>
        <v>Adaptive</v>
      </c>
      <c r="E98" s="579">
        <f>Swords!$C$6</f>
        <v>934.4827586</v>
      </c>
      <c r="F98" s="660">
        <f>Swords!$C$6</f>
        <v>934.4827586</v>
      </c>
      <c r="G98" s="656">
        <f>Swords!$F$6</f>
        <v>26016</v>
      </c>
      <c r="H98" s="473" t="s">
        <v>60</v>
      </c>
      <c r="I98" s="455" t="s">
        <v>60</v>
      </c>
      <c r="J98" s="456">
        <f>Swords!$H$6</f>
        <v>70</v>
      </c>
      <c r="K98" s="456">
        <f>Swords!$I$6</f>
        <v>127.6595745</v>
      </c>
      <c r="L98" s="457">
        <f>Swords!$K$6</f>
        <v>1.24</v>
      </c>
      <c r="M98" s="458">
        <f>Swords!$L$6</f>
        <v>24.24</v>
      </c>
      <c r="N98" s="653">
        <f>Swords!$R$6</f>
        <v>400</v>
      </c>
      <c r="O98" s="654">
        <f>Swords!$S$6</f>
        <v>1368</v>
      </c>
      <c r="P98" s="117" t="s">
        <v>661</v>
      </c>
    </row>
    <row r="99">
      <c r="A99" s="449" t="s">
        <v>612</v>
      </c>
      <c r="B99" s="449" t="s">
        <v>659</v>
      </c>
      <c r="C99" s="648">
        <f>Swords!$B$6</f>
        <v>3</v>
      </c>
      <c r="D99" s="649" t="str">
        <f>Swords!$A$3</f>
        <v>Adaptive</v>
      </c>
      <c r="E99" s="510">
        <f>Swords!$D$6</f>
        <v>1031.325301</v>
      </c>
      <c r="F99" s="631">
        <f>Swords!$D$6</f>
        <v>1031.325301</v>
      </c>
      <c r="G99" s="479">
        <f>Swords!$G$6</f>
        <v>25680</v>
      </c>
      <c r="H99" s="473" t="s">
        <v>60</v>
      </c>
      <c r="I99" s="455" t="s">
        <v>60</v>
      </c>
      <c r="J99" s="456">
        <f>Swords!$H$6</f>
        <v>70</v>
      </c>
      <c r="K99" s="456">
        <f>Swords!$I$6</f>
        <v>127.6595745</v>
      </c>
      <c r="L99" s="457">
        <f>Swords!$K$6</f>
        <v>1.24</v>
      </c>
      <c r="M99" s="458">
        <f>Swords!$L$6</f>
        <v>24.24</v>
      </c>
      <c r="N99" s="653">
        <f>Swords!$R$6</f>
        <v>400</v>
      </c>
      <c r="O99" s="654">
        <f>Swords!$S$6</f>
        <v>1368</v>
      </c>
      <c r="P99" s="117" t="s">
        <v>662</v>
      </c>
    </row>
    <row r="100">
      <c r="A100" s="449" t="s">
        <v>612</v>
      </c>
      <c r="B100" s="449" t="s">
        <v>659</v>
      </c>
      <c r="C100" s="648" t="str">
        <f>Swords!$B$8</f>
        <v>N/A</v>
      </c>
      <c r="D100" s="649" t="str">
        <f>Swords!$A$3</f>
        <v>Adaptive</v>
      </c>
      <c r="E100" s="454">
        <f>Swords!$C$8</f>
        <v>851.0638298</v>
      </c>
      <c r="F100" s="298">
        <f>Swords!$C$8</f>
        <v>851.0638298</v>
      </c>
      <c r="G100" s="661">
        <f>Swords!$F$8</f>
        <v>28000</v>
      </c>
      <c r="H100" s="473" t="s">
        <v>60</v>
      </c>
      <c r="I100" s="566" t="s">
        <v>60</v>
      </c>
      <c r="J100" s="456">
        <f>Swords!$H$8</f>
        <v>70</v>
      </c>
      <c r="K100" s="456">
        <f>Swords!$I$8</f>
        <v>127.6595745</v>
      </c>
      <c r="L100" s="457" t="str">
        <f>Swords!$K$8</f>
        <v>N/A</v>
      </c>
      <c r="M100" s="458" t="str">
        <f>Swords!$L$8</f>
        <v>N/A</v>
      </c>
      <c r="N100" s="653">
        <f>Swords!$R$8</f>
        <v>400</v>
      </c>
      <c r="O100" s="654" t="str">
        <f>Swords!$S$8</f>
        <v>N/A</v>
      </c>
      <c r="P100" s="117" t="s">
        <v>663</v>
      </c>
    </row>
    <row r="101">
      <c r="A101" s="449" t="s">
        <v>612</v>
      </c>
      <c r="B101" s="449" t="s">
        <v>659</v>
      </c>
      <c r="C101" s="648">
        <f>Swords!$B$13</f>
        <v>0</v>
      </c>
      <c r="D101" s="649" t="str">
        <f>Swords!$A$9</f>
        <v>Adaptive (Bequest)</v>
      </c>
      <c r="E101" s="476">
        <f>Swords!$C$13</f>
        <v>590.0763359</v>
      </c>
      <c r="F101" s="662">
        <f>Swords!$C$13</f>
        <v>590.0763359</v>
      </c>
      <c r="G101" s="451">
        <f>Swords!$F$13</f>
        <v>26646</v>
      </c>
      <c r="H101" s="473" t="s">
        <v>60</v>
      </c>
      <c r="I101" s="455" t="s">
        <v>60</v>
      </c>
      <c r="J101" s="456">
        <f>Swords!$H$13</f>
        <v>69</v>
      </c>
      <c r="K101" s="456">
        <f>Swords!$I$13</f>
        <v>139.5348837</v>
      </c>
      <c r="L101" s="457" t="str">
        <f>Swords!$K$13</f>
        <v>N/A</v>
      </c>
      <c r="M101" s="458">
        <f>Swords!$L$13</f>
        <v>29.67</v>
      </c>
      <c r="N101" s="475">
        <f>Swords!$R$13</f>
        <v>364</v>
      </c>
      <c r="O101" s="663">
        <f>Swords!$S$13</f>
        <v>409</v>
      </c>
      <c r="P101" s="467" t="s">
        <v>660</v>
      </c>
    </row>
    <row r="102">
      <c r="A102" s="449" t="s">
        <v>612</v>
      </c>
      <c r="B102" s="449" t="s">
        <v>659</v>
      </c>
      <c r="C102" s="648">
        <f>Swords!$B$9</f>
        <v>0</v>
      </c>
      <c r="D102" s="649" t="str">
        <f>Swords!$A$9</f>
        <v>Adaptive (Bequest)</v>
      </c>
      <c r="E102" s="485">
        <f>Swords!$C$9</f>
        <v>1056.603774</v>
      </c>
      <c r="F102" s="664">
        <f>Swords!$C$9</f>
        <v>1056.603774</v>
      </c>
      <c r="G102" s="661">
        <f>Swords!$F$9</f>
        <v>28000</v>
      </c>
      <c r="H102" s="473" t="s">
        <v>60</v>
      </c>
      <c r="I102" s="455" t="s">
        <v>60</v>
      </c>
      <c r="J102" s="456">
        <f>Swords!$H$9</f>
        <v>69</v>
      </c>
      <c r="K102" s="456">
        <f>Swords!$I$9</f>
        <v>127.6595745</v>
      </c>
      <c r="L102" s="457">
        <f>Swords!$K$9</f>
        <v>1.57</v>
      </c>
      <c r="M102" s="458">
        <f>Swords!$L$9</f>
        <v>24.9</v>
      </c>
      <c r="N102" s="613">
        <f>Swords!$R$9</f>
        <v>436</v>
      </c>
      <c r="O102" s="300">
        <f>Swords!$S$9</f>
        <v>1492</v>
      </c>
      <c r="P102" s="467" t="s">
        <v>661</v>
      </c>
    </row>
    <row r="103">
      <c r="A103" s="449" t="s">
        <v>612</v>
      </c>
      <c r="B103" s="449" t="s">
        <v>659</v>
      </c>
      <c r="C103" s="648">
        <f>Swords!$B$9</f>
        <v>0</v>
      </c>
      <c r="D103" s="649" t="str">
        <f>Swords!$A$9</f>
        <v>Adaptive (Bequest)</v>
      </c>
      <c r="E103" s="623">
        <f>Swords!$D$9</f>
        <v>1093.243243</v>
      </c>
      <c r="F103" s="665">
        <f>Swords!$D$9</f>
        <v>1093.243243</v>
      </c>
      <c r="G103" s="629">
        <f>Swords!$G$9</f>
        <v>29124</v>
      </c>
      <c r="H103" s="473" t="s">
        <v>60</v>
      </c>
      <c r="I103" s="455" t="s">
        <v>60</v>
      </c>
      <c r="J103" s="456">
        <f>Swords!$H$9</f>
        <v>69</v>
      </c>
      <c r="K103" s="456">
        <f>Swords!$I$9</f>
        <v>127.6595745</v>
      </c>
      <c r="L103" s="457">
        <f>Swords!$K$9</f>
        <v>1.57</v>
      </c>
      <c r="M103" s="458">
        <f>Swords!$L$9</f>
        <v>24.9</v>
      </c>
      <c r="N103" s="613">
        <f>Swords!$R$9</f>
        <v>436</v>
      </c>
      <c r="O103" s="300">
        <f>Swords!$S$9</f>
        <v>1492</v>
      </c>
      <c r="P103" s="467" t="s">
        <v>662</v>
      </c>
    </row>
    <row r="104">
      <c r="A104" s="449" t="s">
        <v>612</v>
      </c>
      <c r="B104" s="449" t="s">
        <v>659</v>
      </c>
      <c r="C104" s="648">
        <f>Swords!$B$10</f>
        <v>1</v>
      </c>
      <c r="D104" s="649" t="str">
        <f>Swords!$A$9</f>
        <v>Adaptive (Bequest)</v>
      </c>
      <c r="E104" s="485">
        <f>Swords!$C$10</f>
        <v>1060.089686</v>
      </c>
      <c r="F104" s="460">
        <f>Swords!$C$10</f>
        <v>1060.089686</v>
      </c>
      <c r="G104" s="666">
        <f>Swords!$F$10</f>
        <v>28368</v>
      </c>
      <c r="H104" s="473" t="s">
        <v>60</v>
      </c>
      <c r="I104" s="455" t="s">
        <v>60</v>
      </c>
      <c r="J104" s="456">
        <f>Swords!$H$10</f>
        <v>69</v>
      </c>
      <c r="K104" s="456">
        <f>Swords!$I$10</f>
        <v>127.6595745</v>
      </c>
      <c r="L104" s="457">
        <f>Swords!$K$10</f>
        <v>1.15</v>
      </c>
      <c r="M104" s="458">
        <f>Swords!$L$10</f>
        <v>24.24</v>
      </c>
      <c r="N104" s="613">
        <f>Swords!$R$10</f>
        <v>436</v>
      </c>
      <c r="O104" s="300">
        <f>Swords!$S$10</f>
        <v>1492</v>
      </c>
      <c r="P104" s="117" t="s">
        <v>661</v>
      </c>
    </row>
    <row r="105">
      <c r="A105" s="449" t="s">
        <v>612</v>
      </c>
      <c r="B105" s="449" t="s">
        <v>659</v>
      </c>
      <c r="C105" s="648">
        <f>Swords!$B$10</f>
        <v>1</v>
      </c>
      <c r="D105" s="649" t="str">
        <f>Swords!$A$9</f>
        <v>Adaptive (Bequest)</v>
      </c>
      <c r="E105" s="512">
        <f>Swords!$D$10</f>
        <v>1124.497992</v>
      </c>
      <c r="F105" s="667">
        <f>Swords!$D$10</f>
        <v>1124.497992</v>
      </c>
      <c r="G105" s="661">
        <f>Swords!$G$10</f>
        <v>28000</v>
      </c>
      <c r="H105" s="473" t="s">
        <v>60</v>
      </c>
      <c r="I105" s="455" t="s">
        <v>60</v>
      </c>
      <c r="J105" s="456">
        <f>Swords!$H$10</f>
        <v>69</v>
      </c>
      <c r="K105" s="456">
        <f>Swords!$I$10</f>
        <v>127.6595745</v>
      </c>
      <c r="L105" s="457">
        <f>Swords!$K$10</f>
        <v>1.15</v>
      </c>
      <c r="M105" s="458">
        <f>Swords!$L$10</f>
        <v>24.24</v>
      </c>
      <c r="N105" s="613">
        <f>Swords!$R$10</f>
        <v>436</v>
      </c>
      <c r="O105" s="300">
        <f>Swords!$S$10</f>
        <v>1492</v>
      </c>
      <c r="P105" s="467" t="s">
        <v>662</v>
      </c>
    </row>
    <row r="106">
      <c r="A106" s="449" t="s">
        <v>612</v>
      </c>
      <c r="B106" s="449" t="s">
        <v>659</v>
      </c>
      <c r="C106" s="648">
        <f>Swords!$B$11</f>
        <v>2</v>
      </c>
      <c r="D106" s="649" t="str">
        <f>Swords!$A$9</f>
        <v>Adaptive (Bequest)</v>
      </c>
      <c r="E106" s="485">
        <f>Swords!$C$11</f>
        <v>1064.864865</v>
      </c>
      <c r="F106" s="632">
        <f>Swords!$C$11</f>
        <v>1064.864865</v>
      </c>
      <c r="G106" s="666">
        <f>Swords!$F$11</f>
        <v>28368</v>
      </c>
      <c r="H106" s="473" t="s">
        <v>60</v>
      </c>
      <c r="I106" s="455" t="s">
        <v>60</v>
      </c>
      <c r="J106" s="456">
        <f>Swords!$H$11</f>
        <v>69</v>
      </c>
      <c r="K106" s="456">
        <f>Swords!$I$11</f>
        <v>127.6595745</v>
      </c>
      <c r="L106" s="457">
        <f>Swords!$K$11</f>
        <v>1.14</v>
      </c>
      <c r="M106" s="458">
        <f>Swords!$L$11</f>
        <v>24.24</v>
      </c>
      <c r="N106" s="613">
        <f>Swords!$R$11</f>
        <v>436</v>
      </c>
      <c r="O106" s="300">
        <f>Swords!$S$11</f>
        <v>1492</v>
      </c>
      <c r="P106" s="467" t="s">
        <v>661</v>
      </c>
    </row>
    <row r="107">
      <c r="A107" s="449" t="s">
        <v>612</v>
      </c>
      <c r="B107" s="449" t="s">
        <v>659</v>
      </c>
      <c r="C107" s="648">
        <f>Swords!$B$11</f>
        <v>2</v>
      </c>
      <c r="D107" s="649" t="str">
        <f>Swords!$A$9</f>
        <v>Adaptive (Bequest)</v>
      </c>
      <c r="E107" s="512">
        <f>Swords!$D$11</f>
        <v>1124.497992</v>
      </c>
      <c r="F107" s="667">
        <f>Swords!$D$11</f>
        <v>1124.497992</v>
      </c>
      <c r="G107" s="661">
        <f>Swords!$G$11</f>
        <v>28000</v>
      </c>
      <c r="H107" s="473" t="s">
        <v>60</v>
      </c>
      <c r="I107" s="455" t="s">
        <v>60</v>
      </c>
      <c r="J107" s="456">
        <f>Swords!$H$11</f>
        <v>69</v>
      </c>
      <c r="K107" s="456">
        <f>Swords!$I$11</f>
        <v>127.6595745</v>
      </c>
      <c r="L107" s="457">
        <f>Swords!$K$11</f>
        <v>1.14</v>
      </c>
      <c r="M107" s="458">
        <f>Swords!$L$11</f>
        <v>24.24</v>
      </c>
      <c r="N107" s="613">
        <f>Swords!$R$11</f>
        <v>436</v>
      </c>
      <c r="O107" s="300">
        <f>Swords!$S$11</f>
        <v>1492</v>
      </c>
      <c r="P107" s="467" t="s">
        <v>662</v>
      </c>
    </row>
    <row r="108">
      <c r="A108" s="449" t="s">
        <v>612</v>
      </c>
      <c r="B108" s="449" t="s">
        <v>659</v>
      </c>
      <c r="C108" s="648">
        <f>Swords!$B$12</f>
        <v>3</v>
      </c>
      <c r="D108" s="649" t="str">
        <f>Swords!$A$9</f>
        <v>Adaptive (Bequest)</v>
      </c>
      <c r="E108" s="485">
        <f>Swords!$C$12</f>
        <v>1064.864865</v>
      </c>
      <c r="F108" s="632">
        <f>Swords!$C$12</f>
        <v>1064.864865</v>
      </c>
      <c r="G108" s="666">
        <f>Swords!$F$12</f>
        <v>28368</v>
      </c>
      <c r="H108" s="473" t="s">
        <v>60</v>
      </c>
      <c r="I108" s="455" t="s">
        <v>60</v>
      </c>
      <c r="J108" s="456">
        <f>Swords!$H$12</f>
        <v>69</v>
      </c>
      <c r="K108" s="456">
        <f>Swords!$I$12</f>
        <v>127.6595745</v>
      </c>
      <c r="L108" s="457">
        <f>Swords!$K$12</f>
        <v>1.14</v>
      </c>
      <c r="M108" s="458">
        <f>Swords!$L$12</f>
        <v>24.24</v>
      </c>
      <c r="N108" s="613">
        <f>Swords!$R$12</f>
        <v>436</v>
      </c>
      <c r="O108" s="300">
        <f>Swords!$S$12</f>
        <v>1492</v>
      </c>
      <c r="P108" s="467" t="s">
        <v>661</v>
      </c>
    </row>
    <row r="109">
      <c r="A109" s="449" t="s">
        <v>612</v>
      </c>
      <c r="B109" s="449" t="s">
        <v>659</v>
      </c>
      <c r="C109" s="648">
        <f>Swords!$B$12</f>
        <v>3</v>
      </c>
      <c r="D109" s="649" t="str">
        <f>Swords!$A$9</f>
        <v>Adaptive (Bequest)</v>
      </c>
      <c r="E109" s="512">
        <f>Swords!$D$12</f>
        <v>1124.497992</v>
      </c>
      <c r="F109" s="667">
        <f>Swords!$D$12</f>
        <v>1124.497992</v>
      </c>
      <c r="G109" s="661">
        <f>Swords!$G$12</f>
        <v>28000</v>
      </c>
      <c r="H109" s="473" t="s">
        <v>60</v>
      </c>
      <c r="I109" s="455" t="s">
        <v>60</v>
      </c>
      <c r="J109" s="456">
        <f>Swords!$H$12</f>
        <v>69</v>
      </c>
      <c r="K109" s="456">
        <f>Swords!$I$12</f>
        <v>127.6595745</v>
      </c>
      <c r="L109" s="457">
        <f>Swords!$K$12</f>
        <v>1.14</v>
      </c>
      <c r="M109" s="458">
        <f>Swords!$L$12</f>
        <v>24.24</v>
      </c>
      <c r="N109" s="613">
        <f>Swords!$R$12</f>
        <v>436</v>
      </c>
      <c r="O109" s="300">
        <f>Swords!$S$12</f>
        <v>1492</v>
      </c>
      <c r="P109" s="117" t="s">
        <v>662</v>
      </c>
    </row>
    <row r="110">
      <c r="A110" s="449" t="s">
        <v>612</v>
      </c>
      <c r="B110" s="449" t="s">
        <v>659</v>
      </c>
      <c r="C110" s="648" t="str">
        <f>Swords!$B$14</f>
        <v>N/A</v>
      </c>
      <c r="D110" s="649" t="str">
        <f>Swords!$A$9</f>
        <v>Adaptive (Bequest)</v>
      </c>
      <c r="E110" s="579">
        <f>Swords!$C$14</f>
        <v>927.6595745</v>
      </c>
      <c r="F110" s="595">
        <f>Swords!$C$14</f>
        <v>927.6595745</v>
      </c>
      <c r="G110" s="668">
        <f>Swords!$F$14</f>
        <v>30084</v>
      </c>
      <c r="H110" s="473" t="s">
        <v>60</v>
      </c>
      <c r="I110" s="455" t="s">
        <v>60</v>
      </c>
      <c r="J110" s="456">
        <f>Swords!$H$14</f>
        <v>69</v>
      </c>
      <c r="K110" s="456">
        <f>Swords!$I$14</f>
        <v>127.6595745</v>
      </c>
      <c r="L110" s="457" t="str">
        <f>Swords!$K$14</f>
        <v>N/A</v>
      </c>
      <c r="M110" s="458" t="str">
        <f>Swords!$L$14</f>
        <v>N/A</v>
      </c>
      <c r="N110" s="613">
        <f>Swords!$R$14</f>
        <v>436</v>
      </c>
      <c r="O110" s="300" t="str">
        <f>Swords!$S$14</f>
        <v>N/A</v>
      </c>
      <c r="P110" s="467" t="s">
        <v>663</v>
      </c>
    </row>
    <row r="111">
      <c r="A111" s="449" t="s">
        <v>612</v>
      </c>
      <c r="B111" s="449" t="s">
        <v>659</v>
      </c>
      <c r="C111" s="648">
        <f>Swords!$B$45</f>
        <v>0</v>
      </c>
      <c r="D111" s="649" t="str">
        <f>Swords!$A$45</f>
        <v>Aggressive</v>
      </c>
      <c r="E111" s="579">
        <f>Swords!$C$45</f>
        <v>939.2670157</v>
      </c>
      <c r="F111" s="669">
        <f>Swords!$C$45</f>
        <v>939.2670157</v>
      </c>
      <c r="G111" s="633">
        <f>Swords!$F$45</f>
        <v>33488</v>
      </c>
      <c r="H111" s="473" t="s">
        <v>60</v>
      </c>
      <c r="I111" s="455" t="s">
        <v>60</v>
      </c>
      <c r="J111" s="456">
        <f>Swords!$H$45</f>
        <v>56</v>
      </c>
      <c r="K111" s="456">
        <f>Swords!$I$45</f>
        <v>90.90909091</v>
      </c>
      <c r="L111" s="457">
        <f>Swords!$K$45</f>
        <v>2.32</v>
      </c>
      <c r="M111" s="458">
        <f>Swords!$L$45</f>
        <v>32.64</v>
      </c>
      <c r="N111" s="485">
        <f>Swords!$R$45</f>
        <v>598</v>
      </c>
      <c r="O111" s="670">
        <f>Swords!$S$45</f>
        <v>1794</v>
      </c>
      <c r="P111" s="467" t="s">
        <v>661</v>
      </c>
    </row>
    <row r="112">
      <c r="A112" s="449" t="s">
        <v>612</v>
      </c>
      <c r="B112" s="449" t="s">
        <v>659</v>
      </c>
      <c r="C112" s="648">
        <f>Swords!$B$45</f>
        <v>0</v>
      </c>
      <c r="D112" s="649" t="str">
        <f>Swords!$A$45</f>
        <v>Aggressive</v>
      </c>
      <c r="E112" s="477">
        <f>Swords!$D$45</f>
        <v>1011.111111</v>
      </c>
      <c r="F112" s="671">
        <f>Swords!$D$45</f>
        <v>1011.111111</v>
      </c>
      <c r="G112" s="633">
        <f>Swords!$G$45</f>
        <v>33488</v>
      </c>
      <c r="H112" s="473" t="s">
        <v>60</v>
      </c>
      <c r="I112" s="455" t="s">
        <v>60</v>
      </c>
      <c r="J112" s="456">
        <f>Swords!$H$45</f>
        <v>56</v>
      </c>
      <c r="K112" s="456">
        <f>Swords!$I$45</f>
        <v>90.90909091</v>
      </c>
      <c r="L112" s="457">
        <f>Swords!$K$45</f>
        <v>2.32</v>
      </c>
      <c r="M112" s="458">
        <f>Swords!$L$45</f>
        <v>32.64</v>
      </c>
      <c r="N112" s="485">
        <f>Swords!$R$45</f>
        <v>598</v>
      </c>
      <c r="O112" s="670">
        <f>Swords!$S$45</f>
        <v>1794</v>
      </c>
      <c r="P112" s="467" t="s">
        <v>662</v>
      </c>
    </row>
    <row r="113">
      <c r="A113" s="449" t="s">
        <v>612</v>
      </c>
      <c r="B113" s="449" t="s">
        <v>659</v>
      </c>
      <c r="C113" s="648">
        <f>Swords!$B$46</f>
        <v>1</v>
      </c>
      <c r="D113" s="649" t="str">
        <f>Swords!$A$45</f>
        <v>Aggressive</v>
      </c>
      <c r="E113" s="454">
        <f>Swords!$C$46</f>
        <v>866.6666667</v>
      </c>
      <c r="F113" s="618">
        <f>Swords!$C$46</f>
        <v>866.6666667</v>
      </c>
      <c r="G113" s="633">
        <f>Swords!$F$46</f>
        <v>33488</v>
      </c>
      <c r="H113" s="473" t="s">
        <v>60</v>
      </c>
      <c r="I113" s="455" t="s">
        <v>60</v>
      </c>
      <c r="J113" s="456">
        <f>Swords!$H$46</f>
        <v>56</v>
      </c>
      <c r="K113" s="456">
        <f>Swords!$I$46</f>
        <v>90.90909091</v>
      </c>
      <c r="L113" s="457">
        <f>Swords!$K$46</f>
        <v>1.95</v>
      </c>
      <c r="M113" s="458">
        <f>Swords!$L$46</f>
        <v>31.68</v>
      </c>
      <c r="N113" s="485">
        <f>Swords!$R$46</f>
        <v>598</v>
      </c>
      <c r="O113" s="670">
        <f>Swords!$S$46</f>
        <v>1794</v>
      </c>
      <c r="P113" s="467" t="s">
        <v>661</v>
      </c>
    </row>
    <row r="114">
      <c r="A114" s="449" t="s">
        <v>612</v>
      </c>
      <c r="B114" s="449" t="s">
        <v>659</v>
      </c>
      <c r="C114" s="648">
        <f>Swords!$B$46</f>
        <v>1</v>
      </c>
      <c r="D114" s="649" t="str">
        <f>Swords!$A$45</f>
        <v>Aggressive</v>
      </c>
      <c r="E114" s="510">
        <f>Swords!$D$46</f>
        <v>1031.034483</v>
      </c>
      <c r="F114" s="302">
        <f>Swords!$D$46</f>
        <v>1031.034483</v>
      </c>
      <c r="G114" s="633">
        <f>Swords!$G$46</f>
        <v>33488</v>
      </c>
      <c r="H114" s="473" t="s">
        <v>60</v>
      </c>
      <c r="I114" s="455" t="s">
        <v>60</v>
      </c>
      <c r="J114" s="456">
        <f>Swords!$H$46</f>
        <v>56</v>
      </c>
      <c r="K114" s="456">
        <f>Swords!$I$46</f>
        <v>90.90909091</v>
      </c>
      <c r="L114" s="457">
        <f>Swords!$K$46</f>
        <v>1.95</v>
      </c>
      <c r="M114" s="458">
        <f>Swords!$L$46</f>
        <v>31.68</v>
      </c>
      <c r="N114" s="485">
        <f>Swords!$R$46</f>
        <v>598</v>
      </c>
      <c r="O114" s="670">
        <f>Swords!$S$46</f>
        <v>1794</v>
      </c>
      <c r="P114" s="467" t="s">
        <v>662</v>
      </c>
    </row>
    <row r="115">
      <c r="A115" s="449" t="s">
        <v>612</v>
      </c>
      <c r="B115" s="449" t="s">
        <v>659</v>
      </c>
      <c r="C115" s="648">
        <f>Swords!$B$47</f>
        <v>2</v>
      </c>
      <c r="D115" s="649" t="str">
        <f>Swords!$A$45</f>
        <v>Aggressive</v>
      </c>
      <c r="E115" s="500">
        <f>Swords!$C$47</f>
        <v>973.9413681</v>
      </c>
      <c r="F115" s="601">
        <f>Swords!$C$47</f>
        <v>973.9413681</v>
      </c>
      <c r="G115" s="633">
        <f>Swords!$F$47</f>
        <v>33488</v>
      </c>
      <c r="H115" s="473" t="s">
        <v>60</v>
      </c>
      <c r="I115" s="455" t="s">
        <v>60</v>
      </c>
      <c r="J115" s="456">
        <f>Swords!$H$47</f>
        <v>56</v>
      </c>
      <c r="K115" s="456">
        <f>Swords!$I$47</f>
        <v>90.90909091</v>
      </c>
      <c r="L115" s="457">
        <f>Swords!$K$47</f>
        <v>1.57</v>
      </c>
      <c r="M115" s="458">
        <f>Swords!$L$47</f>
        <v>31.68</v>
      </c>
      <c r="N115" s="485">
        <f>Swords!$R$47</f>
        <v>598</v>
      </c>
      <c r="O115" s="670">
        <f>Swords!$S$47</f>
        <v>1794</v>
      </c>
      <c r="P115" s="467" t="s">
        <v>661</v>
      </c>
    </row>
    <row r="116">
      <c r="A116" s="449" t="s">
        <v>612</v>
      </c>
      <c r="B116" s="449" t="s">
        <v>659</v>
      </c>
      <c r="C116" s="648">
        <f>Swords!$B$47</f>
        <v>2</v>
      </c>
      <c r="D116" s="649" t="str">
        <f>Swords!$A$45</f>
        <v>Aggressive</v>
      </c>
      <c r="E116" s="510">
        <f>Swords!$D$47</f>
        <v>1031.034483</v>
      </c>
      <c r="F116" s="302">
        <f>Swords!$D$47</f>
        <v>1031.034483</v>
      </c>
      <c r="G116" s="633">
        <f>Swords!$G$47</f>
        <v>33488</v>
      </c>
      <c r="H116" s="473" t="s">
        <v>60</v>
      </c>
      <c r="I116" s="455" t="s">
        <v>60</v>
      </c>
      <c r="J116" s="456">
        <f>Swords!$H$47</f>
        <v>56</v>
      </c>
      <c r="K116" s="456">
        <f>Swords!$I$47</f>
        <v>90.90909091</v>
      </c>
      <c r="L116" s="457">
        <f>Swords!$K$47</f>
        <v>1.57</v>
      </c>
      <c r="M116" s="458">
        <f>Swords!$L$47</f>
        <v>31.68</v>
      </c>
      <c r="N116" s="485">
        <f>Swords!$R$47</f>
        <v>598</v>
      </c>
      <c r="O116" s="670">
        <f>Swords!$S$47</f>
        <v>1794</v>
      </c>
      <c r="P116" s="467" t="s">
        <v>662</v>
      </c>
    </row>
    <row r="117">
      <c r="A117" s="449" t="s">
        <v>612</v>
      </c>
      <c r="B117" s="449" t="s">
        <v>659</v>
      </c>
      <c r="C117" s="648">
        <f>Swords!$B$48</f>
        <v>3</v>
      </c>
      <c r="D117" s="649" t="str">
        <f>Swords!$A$45</f>
        <v>Aggressive</v>
      </c>
      <c r="E117" s="510">
        <f>Swords!$C$48</f>
        <v>1017.006803</v>
      </c>
      <c r="F117" s="672">
        <f>Swords!$C$48</f>
        <v>1017.006803</v>
      </c>
      <c r="G117" s="633">
        <f>Swords!$F$48</f>
        <v>33488</v>
      </c>
      <c r="H117" s="473" t="s">
        <v>60</v>
      </c>
      <c r="I117" s="455" t="s">
        <v>60</v>
      </c>
      <c r="J117" s="456">
        <f>Swords!$H$48</f>
        <v>56</v>
      </c>
      <c r="K117" s="456">
        <f>Swords!$I$48</f>
        <v>90.90909091</v>
      </c>
      <c r="L117" s="457">
        <f>Swords!$K$48</f>
        <v>1.44</v>
      </c>
      <c r="M117" s="458">
        <f>Swords!$L$48</f>
        <v>31.68</v>
      </c>
      <c r="N117" s="485">
        <f>Swords!$R$48</f>
        <v>598</v>
      </c>
      <c r="O117" s="670">
        <f>Swords!$S$48</f>
        <v>1794</v>
      </c>
      <c r="P117" s="467" t="s">
        <v>661</v>
      </c>
    </row>
    <row r="118">
      <c r="A118" s="449" t="s">
        <v>612</v>
      </c>
      <c r="B118" s="449" t="s">
        <v>659</v>
      </c>
      <c r="C118" s="648">
        <f>Swords!$B$48</f>
        <v>3</v>
      </c>
      <c r="D118" s="649" t="str">
        <f>Swords!$A$45</f>
        <v>Aggressive</v>
      </c>
      <c r="E118" s="510">
        <f>Swords!$D$48</f>
        <v>1031.034483</v>
      </c>
      <c r="F118" s="302">
        <f>Swords!$D$48</f>
        <v>1031.034483</v>
      </c>
      <c r="G118" s="633">
        <f>Swords!$G$48</f>
        <v>33488</v>
      </c>
      <c r="H118" s="473" t="s">
        <v>60</v>
      </c>
      <c r="I118" s="455" t="s">
        <v>60</v>
      </c>
      <c r="J118" s="456">
        <f>Swords!$H$48</f>
        <v>56</v>
      </c>
      <c r="K118" s="456">
        <f>Swords!$I$48</f>
        <v>90.90909091</v>
      </c>
      <c r="L118" s="457">
        <f>Swords!$K$48</f>
        <v>1.44</v>
      </c>
      <c r="M118" s="458">
        <f>Swords!$L$48</f>
        <v>31.68</v>
      </c>
      <c r="N118" s="485">
        <f>Swords!$R$48</f>
        <v>598</v>
      </c>
      <c r="O118" s="670">
        <f>Swords!$S$48</f>
        <v>1794</v>
      </c>
      <c r="P118" s="467" t="s">
        <v>662</v>
      </c>
    </row>
    <row r="119">
      <c r="A119" s="449" t="s">
        <v>612</v>
      </c>
      <c r="B119" s="449" t="s">
        <v>659</v>
      </c>
      <c r="C119" s="648" t="str">
        <f>Swords!$B$49</f>
        <v>N/A</v>
      </c>
      <c r="D119" s="649" t="str">
        <f>Swords!$A$45</f>
        <v>Aggressive</v>
      </c>
      <c r="E119" s="673">
        <f>Swords!$C$49</f>
        <v>906.0606061</v>
      </c>
      <c r="F119" s="674">
        <f>Swords!$C$49</f>
        <v>906.0606061</v>
      </c>
      <c r="G119" s="633">
        <f>Swords!$F$49</f>
        <v>33488</v>
      </c>
      <c r="H119" s="473" t="s">
        <v>60</v>
      </c>
      <c r="I119" s="455" t="s">
        <v>60</v>
      </c>
      <c r="J119" s="456">
        <f>Swords!$H$49</f>
        <v>56</v>
      </c>
      <c r="K119" s="456">
        <f>Swords!$I$49</f>
        <v>90.90909091</v>
      </c>
      <c r="L119" s="457" t="str">
        <f>Swords!$K$49</f>
        <v>N/A</v>
      </c>
      <c r="M119" s="458" t="str">
        <f>Swords!$L$49</f>
        <v>N/A</v>
      </c>
      <c r="N119" s="485">
        <f>Swords!$R$49</f>
        <v>598</v>
      </c>
      <c r="O119" s="670" t="str">
        <f>Swords!$S$49</f>
        <v>N/A</v>
      </c>
      <c r="P119" s="467" t="s">
        <v>663</v>
      </c>
    </row>
    <row r="120">
      <c r="A120" s="449" t="s">
        <v>612</v>
      </c>
      <c r="B120" s="449" t="s">
        <v>659</v>
      </c>
      <c r="C120" s="648" t="str">
        <f>Swords!$B$54</f>
        <v>N/A</v>
      </c>
      <c r="D120" s="450" t="s">
        <v>664</v>
      </c>
      <c r="E120" s="534">
        <f>Swords!$C$54</f>
        <v>795.7446809</v>
      </c>
      <c r="F120" s="675">
        <f>Swords!$C$54</f>
        <v>795.7446809</v>
      </c>
      <c r="G120" s="483">
        <f>Swords!$F$54</f>
        <v>25806</v>
      </c>
      <c r="H120" s="473" t="s">
        <v>60</v>
      </c>
      <c r="I120" s="455" t="s">
        <v>60</v>
      </c>
      <c r="J120" s="456">
        <f>Swords!$H$54</f>
        <v>69</v>
      </c>
      <c r="K120" s="456">
        <f>Swords!$I$54</f>
        <v>127.6595745</v>
      </c>
      <c r="L120" s="457" t="str">
        <f>Swords!$K$54</f>
        <v>N/A</v>
      </c>
      <c r="M120" s="458" t="str">
        <f>Swords!$L$54</f>
        <v>N/A</v>
      </c>
      <c r="N120" s="582">
        <f>Swords!$R$54</f>
        <v>374</v>
      </c>
      <c r="O120" s="560" t="str">
        <f>Swords!$S$54</f>
        <v>N/A</v>
      </c>
      <c r="P120" s="467" t="s">
        <v>663</v>
      </c>
    </row>
    <row r="121">
      <c r="A121" s="449" t="s">
        <v>612</v>
      </c>
      <c r="B121" s="449" t="s">
        <v>659</v>
      </c>
      <c r="C121" s="648">
        <f>Swords!$B$50</f>
        <v>0</v>
      </c>
      <c r="D121" s="676" t="str">
        <f>Swords!$A$50</f>
        <v>Black Talon (x1 Heavy)</v>
      </c>
      <c r="E121" s="579">
        <f>Swords!$D$50</f>
        <v>925.0883392</v>
      </c>
      <c r="F121" s="677">
        <f>Swords!$D$50</f>
        <v>925.0883392</v>
      </c>
      <c r="G121" s="498">
        <f>Swords!$G$50</f>
        <v>23562</v>
      </c>
      <c r="H121" s="473" t="s">
        <v>60</v>
      </c>
      <c r="I121" s="455" t="s">
        <v>60</v>
      </c>
      <c r="J121" s="456">
        <f>Swords!$H$50</f>
        <v>69</v>
      </c>
      <c r="K121" s="456">
        <f>Swords!$I$50</f>
        <v>127.6595745</v>
      </c>
      <c r="L121" s="457">
        <f>Swords!$K$50</f>
        <v>1.44</v>
      </c>
      <c r="M121" s="458">
        <f>Swords!$L$50</f>
        <v>23.6</v>
      </c>
      <c r="N121" s="582">
        <f>Swords!$R$50</f>
        <v>374</v>
      </c>
      <c r="O121" s="560">
        <f>Swords!$S$50</f>
        <v>1122</v>
      </c>
      <c r="P121" s="467" t="s">
        <v>662</v>
      </c>
    </row>
    <row r="122">
      <c r="A122" s="449" t="s">
        <v>612</v>
      </c>
      <c r="B122" s="449" t="s">
        <v>659</v>
      </c>
      <c r="C122" s="648">
        <f>Swords!$B$50</f>
        <v>0</v>
      </c>
      <c r="D122" s="676" t="str">
        <f>Swords!$A$50</f>
        <v>Black Talon (x1 Heavy)</v>
      </c>
      <c r="E122" s="579">
        <f>Swords!$C$50</f>
        <v>938.9121339</v>
      </c>
      <c r="F122" s="628">
        <f>Swords!$C$50</f>
        <v>938.9121339</v>
      </c>
      <c r="G122" s="508">
        <f>Swords!$F$50</f>
        <v>22440</v>
      </c>
      <c r="H122" s="473" t="s">
        <v>60</v>
      </c>
      <c r="I122" s="455" t="s">
        <v>60</v>
      </c>
      <c r="J122" s="456">
        <f>Swords!$H$50</f>
        <v>69</v>
      </c>
      <c r="K122" s="456">
        <f>Swords!$I$50</f>
        <v>127.6595745</v>
      </c>
      <c r="L122" s="457">
        <f>Swords!$K$50</f>
        <v>1.44</v>
      </c>
      <c r="M122" s="458">
        <f>Swords!$L$50</f>
        <v>23.6</v>
      </c>
      <c r="N122" s="582">
        <f>Swords!$R$50</f>
        <v>374</v>
      </c>
      <c r="O122" s="560">
        <f>Swords!$S$50</f>
        <v>1122</v>
      </c>
      <c r="P122" s="117" t="s">
        <v>661</v>
      </c>
    </row>
    <row r="123">
      <c r="A123" s="449" t="s">
        <v>612</v>
      </c>
      <c r="B123" s="449" t="s">
        <v>659</v>
      </c>
      <c r="C123" s="648">
        <f>Swords!$B$51</f>
        <v>1</v>
      </c>
      <c r="D123" s="676" t="str">
        <f>Swords!$A$50</f>
        <v>Black Talon (x1 Heavy)</v>
      </c>
      <c r="E123" s="548">
        <f>Swords!$C$51</f>
        <v>835.7541899</v>
      </c>
      <c r="F123" s="678">
        <f>Swords!$C$51</f>
        <v>835.7541899</v>
      </c>
      <c r="G123" s="609">
        <f>Swords!$F$51</f>
        <v>20944</v>
      </c>
      <c r="H123" s="473" t="s">
        <v>60</v>
      </c>
      <c r="I123" s="455" t="s">
        <v>60</v>
      </c>
      <c r="J123" s="456">
        <f>Swords!$H$51</f>
        <v>69</v>
      </c>
      <c r="K123" s="456">
        <f>Swords!$I$51</f>
        <v>127.6595745</v>
      </c>
      <c r="L123" s="457">
        <f>Swords!$K$51</f>
        <v>0.84</v>
      </c>
      <c r="M123" s="458">
        <f>Swords!$L$51</f>
        <v>19.88</v>
      </c>
      <c r="N123" s="582">
        <f>Swords!$R$51</f>
        <v>374</v>
      </c>
      <c r="O123" s="560">
        <f>Swords!$S$51</f>
        <v>1122</v>
      </c>
      <c r="P123" s="467" t="s">
        <v>661</v>
      </c>
    </row>
    <row r="124">
      <c r="A124" s="449" t="s">
        <v>612</v>
      </c>
      <c r="B124" s="449" t="s">
        <v>659</v>
      </c>
      <c r="C124" s="648">
        <f>Swords!$B$51</f>
        <v>1</v>
      </c>
      <c r="D124" s="676" t="str">
        <f>Swords!$A$50</f>
        <v>Black Talon (x1 Heavy)</v>
      </c>
      <c r="E124" s="658">
        <f>Swords!$D$51</f>
        <v>989.4179894</v>
      </c>
      <c r="F124" s="679">
        <f>Swords!$D$51</f>
        <v>989.4179894</v>
      </c>
      <c r="G124" s="609">
        <f>Swords!$G$51</f>
        <v>22440</v>
      </c>
      <c r="H124" s="473" t="s">
        <v>60</v>
      </c>
      <c r="I124" s="455" t="s">
        <v>60</v>
      </c>
      <c r="J124" s="456">
        <f>Swords!$H$51</f>
        <v>69</v>
      </c>
      <c r="K124" s="456">
        <f>Swords!$I$51</f>
        <v>127.6595745</v>
      </c>
      <c r="L124" s="457">
        <f>Swords!$K$51</f>
        <v>0.84</v>
      </c>
      <c r="M124" s="458">
        <f>Swords!$L$51</f>
        <v>19.88</v>
      </c>
      <c r="N124" s="582">
        <f>Swords!$R$51</f>
        <v>374</v>
      </c>
      <c r="O124" s="560">
        <f>Swords!$S$51</f>
        <v>1122</v>
      </c>
      <c r="P124" s="467" t="s">
        <v>662</v>
      </c>
    </row>
    <row r="125">
      <c r="A125" s="449" t="s">
        <v>612</v>
      </c>
      <c r="B125" s="449" t="s">
        <v>659</v>
      </c>
      <c r="C125" s="648">
        <f>Swords!$B$52</f>
        <v>2</v>
      </c>
      <c r="D125" s="676" t="str">
        <f>Swords!$A$50</f>
        <v>Black Talon (x1 Heavy)</v>
      </c>
      <c r="E125" s="583">
        <f>Swords!$C$52</f>
        <v>890.4761905</v>
      </c>
      <c r="F125" s="499">
        <f>Swords!$C$52</f>
        <v>890.4761905</v>
      </c>
      <c r="G125" s="609">
        <f>Swords!$F$52</f>
        <v>20944</v>
      </c>
      <c r="H125" s="473" t="s">
        <v>60</v>
      </c>
      <c r="I125" s="455" t="s">
        <v>60</v>
      </c>
      <c r="J125" s="456">
        <f>Swords!$H$52</f>
        <v>69</v>
      </c>
      <c r="K125" s="456">
        <f>Swords!$I$52</f>
        <v>127.6595745</v>
      </c>
      <c r="L125" s="457">
        <f>Swords!$K$52</f>
        <v>0.73</v>
      </c>
      <c r="M125" s="458">
        <f>Swords!$L$52</f>
        <v>19.88</v>
      </c>
      <c r="N125" s="582">
        <f>Swords!$R$52</f>
        <v>374</v>
      </c>
      <c r="O125" s="560">
        <f>Swords!$S$52</f>
        <v>1122</v>
      </c>
      <c r="P125" s="467" t="s">
        <v>661</v>
      </c>
    </row>
    <row r="126">
      <c r="A126" s="449" t="s">
        <v>612</v>
      </c>
      <c r="B126" s="449" t="s">
        <v>659</v>
      </c>
      <c r="C126" s="648">
        <f>Swords!$B$52</f>
        <v>2</v>
      </c>
      <c r="D126" s="676" t="str">
        <f>Swords!$A$50</f>
        <v>Black Talon (x1 Heavy)</v>
      </c>
      <c r="E126" s="658">
        <f>Swords!$D$52</f>
        <v>989.4179894</v>
      </c>
      <c r="F126" s="679">
        <f>Swords!$D$52</f>
        <v>989.4179894</v>
      </c>
      <c r="G126" s="609">
        <f>Swords!$G$52</f>
        <v>22440</v>
      </c>
      <c r="H126" s="473" t="s">
        <v>60</v>
      </c>
      <c r="I126" s="455" t="s">
        <v>60</v>
      </c>
      <c r="J126" s="456">
        <f>Swords!$H$52</f>
        <v>69</v>
      </c>
      <c r="K126" s="456">
        <f>Swords!$I$52</f>
        <v>127.6595745</v>
      </c>
      <c r="L126" s="457">
        <f>Swords!$K$52</f>
        <v>0.73</v>
      </c>
      <c r="M126" s="458">
        <f>Swords!$L$52</f>
        <v>19.88</v>
      </c>
      <c r="N126" s="582">
        <f>Swords!$R$52</f>
        <v>374</v>
      </c>
      <c r="O126" s="560">
        <f>Swords!$S$52</f>
        <v>1122</v>
      </c>
      <c r="P126" s="467" t="s">
        <v>662</v>
      </c>
    </row>
    <row r="127">
      <c r="A127" s="449" t="s">
        <v>612</v>
      </c>
      <c r="B127" s="449" t="s">
        <v>659</v>
      </c>
      <c r="C127" s="648">
        <f>Swords!$B$53</f>
        <v>3</v>
      </c>
      <c r="D127" s="676" t="str">
        <f>Swords!$A$50</f>
        <v>Black Talon (x1 Heavy)</v>
      </c>
      <c r="E127" s="583">
        <f>Swords!$C$53</f>
        <v>890.4761905</v>
      </c>
      <c r="F127" s="499">
        <f>Swords!$C$53</f>
        <v>890.4761905</v>
      </c>
      <c r="G127" s="609">
        <f>Swords!$F$53</f>
        <v>20944</v>
      </c>
      <c r="H127" s="473" t="s">
        <v>60</v>
      </c>
      <c r="I127" s="455" t="s">
        <v>60</v>
      </c>
      <c r="J127" s="456">
        <f>Swords!$H$53</f>
        <v>69</v>
      </c>
      <c r="K127" s="456">
        <f>Swords!$I$53</f>
        <v>127.6595745</v>
      </c>
      <c r="L127" s="457">
        <f>Swords!$K$53</f>
        <v>0.73</v>
      </c>
      <c r="M127" s="458">
        <f>Swords!$L$53</f>
        <v>19.88</v>
      </c>
      <c r="N127" s="582">
        <f>Swords!$R$53</f>
        <v>374</v>
      </c>
      <c r="O127" s="560">
        <f>Swords!$S$53</f>
        <v>1122</v>
      </c>
      <c r="P127" s="467" t="s">
        <v>661</v>
      </c>
    </row>
    <row r="128">
      <c r="A128" s="449" t="s">
        <v>612</v>
      </c>
      <c r="B128" s="449" t="s">
        <v>659</v>
      </c>
      <c r="C128" s="648">
        <f>Swords!$B$53</f>
        <v>3</v>
      </c>
      <c r="D128" s="676" t="str">
        <f>Swords!$A$50</f>
        <v>Black Talon (x1 Heavy)</v>
      </c>
      <c r="E128" s="658">
        <f>Swords!$D$53</f>
        <v>989.4179894</v>
      </c>
      <c r="F128" s="679">
        <f>Swords!$D$53</f>
        <v>989.4179894</v>
      </c>
      <c r="G128" s="609">
        <f>Swords!$G$53</f>
        <v>22440</v>
      </c>
      <c r="H128" s="473" t="s">
        <v>60</v>
      </c>
      <c r="I128" s="455" t="s">
        <v>60</v>
      </c>
      <c r="J128" s="456">
        <f>Swords!$H$53</f>
        <v>69</v>
      </c>
      <c r="K128" s="456">
        <f>Swords!$I$53</f>
        <v>127.6595745</v>
      </c>
      <c r="L128" s="457">
        <f>Swords!$K$53</f>
        <v>0.73</v>
      </c>
      <c r="M128" s="458">
        <f>Swords!$L$53</f>
        <v>19.88</v>
      </c>
      <c r="N128" s="582">
        <f>Swords!$R$53</f>
        <v>374</v>
      </c>
      <c r="O128" s="560">
        <f>Swords!$S$53</f>
        <v>1122</v>
      </c>
      <c r="P128" s="467" t="s">
        <v>662</v>
      </c>
    </row>
    <row r="129">
      <c r="A129" s="449" t="s">
        <v>612</v>
      </c>
      <c r="B129" s="449" t="s">
        <v>659</v>
      </c>
      <c r="C129" s="648">
        <f>Swords!$B$55</f>
        <v>0</v>
      </c>
      <c r="D129" s="676" t="str">
        <f>Swords!$A$55</f>
        <v>Black Talon (x2 Heavy)</v>
      </c>
      <c r="E129" s="599">
        <f>Swords!$C$55</f>
        <v>1193.617021</v>
      </c>
      <c r="F129" s="680">
        <f>Swords!$C$55</f>
        <v>1193.617021</v>
      </c>
      <c r="G129" s="508">
        <f>Swords!$F$55</f>
        <v>21318</v>
      </c>
      <c r="H129" s="473" t="s">
        <v>60</v>
      </c>
      <c r="I129" s="455" t="s">
        <v>60</v>
      </c>
      <c r="J129" s="456">
        <f>Swords!$H$55</f>
        <v>69</v>
      </c>
      <c r="K129" s="456">
        <f>Swords!$I$55</f>
        <v>127.6595745</v>
      </c>
      <c r="L129" s="457">
        <f>Swords!$K$55</f>
        <v>1.79</v>
      </c>
      <c r="M129" s="458">
        <f>Swords!$L$55</f>
        <v>16.05</v>
      </c>
      <c r="N129" s="582">
        <f>Swords!$R$55</f>
        <v>374</v>
      </c>
      <c r="O129" s="460">
        <f>Swords!$S$55</f>
        <v>2244</v>
      </c>
      <c r="P129" s="467" t="s">
        <v>661</v>
      </c>
    </row>
    <row r="130">
      <c r="A130" s="449" t="s">
        <v>612</v>
      </c>
      <c r="B130" s="449" t="s">
        <v>659</v>
      </c>
      <c r="C130" s="648">
        <f>Swords!$B$55</f>
        <v>0</v>
      </c>
      <c r="D130" s="676" t="str">
        <f>Swords!$A$55</f>
        <v>Black Talon (x2 Heavy)</v>
      </c>
      <c r="E130" s="634">
        <f>Swords!$D$55</f>
        <v>1285.223368</v>
      </c>
      <c r="F130" s="587">
        <f>Swords!$D$55</f>
        <v>1285.223368</v>
      </c>
      <c r="G130" s="609">
        <f>Swords!$G$55</f>
        <v>22440</v>
      </c>
      <c r="H130" s="473" t="s">
        <v>60</v>
      </c>
      <c r="I130" s="455" t="s">
        <v>60</v>
      </c>
      <c r="J130" s="456">
        <f>Swords!$H$55</f>
        <v>69</v>
      </c>
      <c r="K130" s="456">
        <f>Swords!$I$55</f>
        <v>127.6595745</v>
      </c>
      <c r="L130" s="457">
        <f>Swords!$K$55</f>
        <v>1.79</v>
      </c>
      <c r="M130" s="458">
        <f>Swords!$L$55</f>
        <v>16.05</v>
      </c>
      <c r="N130" s="582">
        <f>Swords!$R$55</f>
        <v>374</v>
      </c>
      <c r="O130" s="460">
        <f>Swords!$S$55</f>
        <v>2244</v>
      </c>
      <c r="P130" s="467" t="s">
        <v>662</v>
      </c>
    </row>
    <row r="131">
      <c r="A131" s="449" t="s">
        <v>612</v>
      </c>
      <c r="B131" s="449" t="s">
        <v>659</v>
      </c>
      <c r="C131" s="648">
        <f>Swords!$B$56</f>
        <v>1</v>
      </c>
      <c r="D131" s="676" t="str">
        <f>Swords!$A$55</f>
        <v>Black Talon (x2 Heavy)</v>
      </c>
      <c r="E131" s="681">
        <f>Swords!$C$56</f>
        <v>1341.704036</v>
      </c>
      <c r="F131" s="682">
        <f>Swords!$C$56</f>
        <v>1341.704036</v>
      </c>
      <c r="G131" s="462">
        <f>Swords!$F$56</f>
        <v>20944</v>
      </c>
      <c r="H131" s="473" t="s">
        <v>60</v>
      </c>
      <c r="I131" s="455" t="s">
        <v>60</v>
      </c>
      <c r="J131" s="456">
        <f>Swords!$H$56</f>
        <v>69</v>
      </c>
      <c r="K131" s="456">
        <f>Swords!$I$56</f>
        <v>127.6595745</v>
      </c>
      <c r="L131" s="457">
        <f>Swords!$K$56</f>
        <v>1.2</v>
      </c>
      <c r="M131" s="458">
        <f>Swords!$L$56</f>
        <v>13.79</v>
      </c>
      <c r="N131" s="582">
        <f>Swords!$R$56</f>
        <v>374</v>
      </c>
      <c r="O131" s="460">
        <f>Swords!$S$56</f>
        <v>2244</v>
      </c>
      <c r="P131" s="467" t="s">
        <v>661</v>
      </c>
    </row>
    <row r="132">
      <c r="A132" s="449" t="s">
        <v>612</v>
      </c>
      <c r="B132" s="449" t="s">
        <v>659</v>
      </c>
      <c r="C132" s="648">
        <f>Swords!$B$56</f>
        <v>1</v>
      </c>
      <c r="D132" s="676" t="str">
        <f>Swords!$A$55</f>
        <v>Black Talon (x2 Heavy)</v>
      </c>
      <c r="E132" s="487">
        <f>Swords!$D$56</f>
        <v>1379.508197</v>
      </c>
      <c r="F132" s="683">
        <f>Swords!$D$56</f>
        <v>1379.508197</v>
      </c>
      <c r="G132" s="508">
        <f>Swords!$G$56</f>
        <v>21318</v>
      </c>
      <c r="H132" s="473" t="s">
        <v>60</v>
      </c>
      <c r="I132" s="455" t="s">
        <v>60</v>
      </c>
      <c r="J132" s="456">
        <f>Swords!$H$56</f>
        <v>69</v>
      </c>
      <c r="K132" s="456">
        <f>Swords!$I$56</f>
        <v>127.6595745</v>
      </c>
      <c r="L132" s="457">
        <f>Swords!$K$56</f>
        <v>1.2</v>
      </c>
      <c r="M132" s="458">
        <f>Swords!$L$56</f>
        <v>13.79</v>
      </c>
      <c r="N132" s="582">
        <f>Swords!$R$56</f>
        <v>374</v>
      </c>
      <c r="O132" s="460">
        <f>Swords!$S$56</f>
        <v>2244</v>
      </c>
      <c r="P132" s="467" t="s">
        <v>662</v>
      </c>
    </row>
    <row r="133">
      <c r="A133" s="449" t="s">
        <v>612</v>
      </c>
      <c r="B133" s="449" t="s">
        <v>659</v>
      </c>
      <c r="C133" s="648">
        <f>Swords!$B$57</f>
        <v>2</v>
      </c>
      <c r="D133" s="676" t="str">
        <f>Swords!$A$55</f>
        <v>Black Talon (x2 Heavy)</v>
      </c>
      <c r="E133" s="487">
        <f>Swords!$D$57</f>
        <v>1379.508197</v>
      </c>
      <c r="F133" s="683">
        <f>Swords!$D$57</f>
        <v>1379.508197</v>
      </c>
      <c r="G133" s="508">
        <f>Swords!$G$57</f>
        <v>21318</v>
      </c>
      <c r="H133" s="473" t="s">
        <v>60</v>
      </c>
      <c r="I133" s="455" t="s">
        <v>60</v>
      </c>
      <c r="J133" s="456">
        <f>Swords!$H$57</f>
        <v>69</v>
      </c>
      <c r="K133" s="456">
        <f>Swords!$I$57</f>
        <v>127.6595745</v>
      </c>
      <c r="L133" s="457">
        <f>Swords!$K$57</f>
        <v>1.09</v>
      </c>
      <c r="M133" s="458">
        <f>Swords!$L$57</f>
        <v>13.79</v>
      </c>
      <c r="N133" s="582">
        <f>Swords!$R$57</f>
        <v>374</v>
      </c>
      <c r="O133" s="460">
        <f>Swords!$S$57</f>
        <v>2244</v>
      </c>
      <c r="P133" s="467" t="s">
        <v>662</v>
      </c>
    </row>
    <row r="134">
      <c r="A134" s="449" t="s">
        <v>612</v>
      </c>
      <c r="B134" s="449" t="s">
        <v>659</v>
      </c>
      <c r="C134" s="648">
        <f>Swords!$B$57</f>
        <v>2</v>
      </c>
      <c r="D134" s="676" t="str">
        <f>Swords!$A$55</f>
        <v>Black Talon (x2 Heavy)</v>
      </c>
      <c r="E134" s="508">
        <f>Swords!$C$57</f>
        <v>1411.320755</v>
      </c>
      <c r="F134" s="684">
        <f>Swords!$C$57</f>
        <v>1411.320755</v>
      </c>
      <c r="G134" s="462">
        <f>Swords!$F$57</f>
        <v>20944</v>
      </c>
      <c r="H134" s="473" t="s">
        <v>60</v>
      </c>
      <c r="I134" s="455" t="s">
        <v>60</v>
      </c>
      <c r="J134" s="456">
        <f>Swords!$H$57</f>
        <v>69</v>
      </c>
      <c r="K134" s="456">
        <f>Swords!$I$57</f>
        <v>127.6595745</v>
      </c>
      <c r="L134" s="457">
        <f>Swords!$K$57</f>
        <v>1.09</v>
      </c>
      <c r="M134" s="458">
        <f>Swords!$L$57</f>
        <v>13.79</v>
      </c>
      <c r="N134" s="582">
        <f>Swords!$R$57</f>
        <v>374</v>
      </c>
      <c r="O134" s="460">
        <f>Swords!$S$57</f>
        <v>2244</v>
      </c>
      <c r="P134" s="467" t="s">
        <v>661</v>
      </c>
    </row>
    <row r="135">
      <c r="A135" s="449" t="s">
        <v>612</v>
      </c>
      <c r="B135" s="449" t="s">
        <v>659</v>
      </c>
      <c r="C135" s="648">
        <f>Swords!$B$58</f>
        <v>3</v>
      </c>
      <c r="D135" s="676" t="str">
        <f>Swords!$A$55</f>
        <v>Black Talon (x2 Heavy)</v>
      </c>
      <c r="E135" s="487">
        <f>Swords!$D$58</f>
        <v>1379.508197</v>
      </c>
      <c r="F135" s="683">
        <f>Swords!$D$58</f>
        <v>1379.508197</v>
      </c>
      <c r="G135" s="508">
        <f>Swords!$G$58</f>
        <v>21318</v>
      </c>
      <c r="H135" s="473" t="s">
        <v>60</v>
      </c>
      <c r="I135" s="455" t="s">
        <v>60</v>
      </c>
      <c r="J135" s="456">
        <f>Swords!$H$58</f>
        <v>69</v>
      </c>
      <c r="K135" s="456">
        <f>Swords!$I$58</f>
        <v>127.6595745</v>
      </c>
      <c r="L135" s="457">
        <f>Swords!$K$58</f>
        <v>1.09</v>
      </c>
      <c r="M135" s="458">
        <f>Swords!$L$58</f>
        <v>13.79</v>
      </c>
      <c r="N135" s="582">
        <f>Swords!$R$58</f>
        <v>374</v>
      </c>
      <c r="O135" s="460">
        <f>Swords!$S$58</f>
        <v>2244</v>
      </c>
      <c r="P135" s="467" t="s">
        <v>662</v>
      </c>
    </row>
    <row r="136">
      <c r="A136" s="449" t="s">
        <v>612</v>
      </c>
      <c r="B136" s="449" t="s">
        <v>659</v>
      </c>
      <c r="C136" s="648">
        <f>Swords!$B$58</f>
        <v>3</v>
      </c>
      <c r="D136" s="676" t="str">
        <f>Swords!$A$55</f>
        <v>Black Talon (x2 Heavy)</v>
      </c>
      <c r="E136" s="508">
        <f>Swords!$C$58</f>
        <v>1411.320755</v>
      </c>
      <c r="F136" s="684">
        <f>Swords!$C$58</f>
        <v>1411.320755</v>
      </c>
      <c r="G136" s="462">
        <f>Swords!$F$58</f>
        <v>20944</v>
      </c>
      <c r="H136" s="473" t="s">
        <v>60</v>
      </c>
      <c r="I136" s="455" t="s">
        <v>60</v>
      </c>
      <c r="J136" s="456">
        <f>Swords!$H$58</f>
        <v>69</v>
      </c>
      <c r="K136" s="456">
        <f>Swords!$I$58</f>
        <v>127.6595745</v>
      </c>
      <c r="L136" s="457">
        <f>Swords!$K$58</f>
        <v>1.09</v>
      </c>
      <c r="M136" s="458">
        <f>Swords!$L$58</f>
        <v>13.79</v>
      </c>
      <c r="N136" s="582">
        <f>Swords!$R$58</f>
        <v>374</v>
      </c>
      <c r="O136" s="460">
        <f>Swords!$S$58</f>
        <v>2244</v>
      </c>
      <c r="P136" s="467" t="s">
        <v>661</v>
      </c>
    </row>
    <row r="137">
      <c r="A137" s="449" t="s">
        <v>612</v>
      </c>
      <c r="B137" s="449" t="s">
        <v>659</v>
      </c>
      <c r="C137" s="648">
        <f>Swords!$B$25</f>
        <v>0</v>
      </c>
      <c r="D137" s="649" t="str">
        <f>Swords!$A$21</f>
        <v>Caster</v>
      </c>
      <c r="E137" s="496">
        <f>Swords!$C$25</f>
        <v>540.4580153</v>
      </c>
      <c r="F137" s="685">
        <f>Swords!$C$25</f>
        <v>540.4580153</v>
      </c>
      <c r="G137" s="570">
        <f>Swords!$F$25</f>
        <v>22281</v>
      </c>
      <c r="H137" s="473" t="s">
        <v>60</v>
      </c>
      <c r="I137" s="455" t="s">
        <v>60</v>
      </c>
      <c r="J137" s="456">
        <f>Swords!$H$25</f>
        <v>63</v>
      </c>
      <c r="K137" s="456">
        <f>Swords!$I$25</f>
        <v>139.5348837</v>
      </c>
      <c r="L137" s="457" t="str">
        <f>Swords!$K$25</f>
        <v>N/A</v>
      </c>
      <c r="M137" s="458">
        <f>Swords!$L$25</f>
        <v>27.09</v>
      </c>
      <c r="N137" s="476">
        <f>Swords!$R$25</f>
        <v>333</v>
      </c>
      <c r="O137" s="686">
        <f>Swords!$S$25</f>
        <v>375</v>
      </c>
      <c r="P137" s="467" t="s">
        <v>660</v>
      </c>
    </row>
    <row r="138">
      <c r="A138" s="449" t="s">
        <v>612</v>
      </c>
      <c r="B138" s="449" t="s">
        <v>659</v>
      </c>
      <c r="C138" s="648">
        <f>Swords!$B$21</f>
        <v>0</v>
      </c>
      <c r="D138" s="649" t="str">
        <f>Swords!$A$21</f>
        <v>Caster</v>
      </c>
      <c r="E138" s="653">
        <f>Swords!$C$21</f>
        <v>938.6281588</v>
      </c>
      <c r="F138" s="687">
        <f>Swords!$C$21</f>
        <v>938.6281588</v>
      </c>
      <c r="G138" s="510">
        <f>Swords!$F$21</f>
        <v>23400</v>
      </c>
      <c r="H138" s="473" t="s">
        <v>60</v>
      </c>
      <c r="I138" s="455" t="s">
        <v>60</v>
      </c>
      <c r="J138" s="456">
        <f>Swords!$H$21</f>
        <v>63</v>
      </c>
      <c r="K138" s="456">
        <f>Swords!$I$21</f>
        <v>127.6595745</v>
      </c>
      <c r="L138" s="457">
        <f>Swords!$K$21</f>
        <v>1.62</v>
      </c>
      <c r="M138" s="458">
        <f>Swords!$L$21</f>
        <v>23.04</v>
      </c>
      <c r="N138" s="688">
        <f>Swords!$R$21</f>
        <v>400</v>
      </c>
      <c r="O138" s="545">
        <f>Swords!$S$21</f>
        <v>1400</v>
      </c>
      <c r="P138" s="467" t="s">
        <v>661</v>
      </c>
    </row>
    <row r="139">
      <c r="A139" s="449" t="s">
        <v>612</v>
      </c>
      <c r="B139" s="449" t="s">
        <v>659</v>
      </c>
      <c r="C139" s="648">
        <f>Swords!$B$21</f>
        <v>0</v>
      </c>
      <c r="D139" s="649" t="str">
        <f>Swords!$A$21</f>
        <v>Caster</v>
      </c>
      <c r="E139" s="613">
        <f>Swords!$D$21</f>
        <v>990.0990099</v>
      </c>
      <c r="F139" s="689">
        <f>Swords!$D$21</f>
        <v>990.0990099</v>
      </c>
      <c r="G139" s="485">
        <f>Swords!$G$21</f>
        <v>24000</v>
      </c>
      <c r="H139" s="473" t="s">
        <v>60</v>
      </c>
      <c r="I139" s="566" t="s">
        <v>60</v>
      </c>
      <c r="J139" s="456">
        <f>Swords!$H$21</f>
        <v>63</v>
      </c>
      <c r="K139" s="456">
        <f>Swords!$I$21</f>
        <v>127.6595745</v>
      </c>
      <c r="L139" s="457">
        <f>Swords!$K$21</f>
        <v>1.62</v>
      </c>
      <c r="M139" s="458">
        <f>Swords!$L$21</f>
        <v>23.04</v>
      </c>
      <c r="N139" s="688">
        <f>Swords!$R$21</f>
        <v>400</v>
      </c>
      <c r="O139" s="545">
        <f>Swords!$S$21</f>
        <v>1400</v>
      </c>
      <c r="P139" s="467" t="s">
        <v>662</v>
      </c>
    </row>
    <row r="140">
      <c r="A140" s="449" t="s">
        <v>612</v>
      </c>
      <c r="B140" s="449" t="s">
        <v>659</v>
      </c>
      <c r="C140" s="648">
        <f>Swords!$B$22</f>
        <v>1</v>
      </c>
      <c r="D140" s="649" t="str">
        <f>Swords!$A$21</f>
        <v>Caster</v>
      </c>
      <c r="E140" s="534">
        <f>Swords!$C$22</f>
        <v>1000</v>
      </c>
      <c r="F140" s="690">
        <f>Swords!$C$22</f>
        <v>1000</v>
      </c>
      <c r="G140" s="658">
        <f>Swords!$F$22</f>
        <v>24200</v>
      </c>
      <c r="H140" s="473" t="s">
        <v>60</v>
      </c>
      <c r="I140" s="455" t="s">
        <v>60</v>
      </c>
      <c r="J140" s="456">
        <f>Swords!$H$22</f>
        <v>63</v>
      </c>
      <c r="K140" s="456">
        <f>Swords!$I$22</f>
        <v>127.6595745</v>
      </c>
      <c r="L140" s="457">
        <f>Swords!$K$22</f>
        <v>1.05</v>
      </c>
      <c r="M140" s="458">
        <f>Swords!$L$22</f>
        <v>22.99</v>
      </c>
      <c r="N140" s="688">
        <f>Swords!$R$22</f>
        <v>400</v>
      </c>
      <c r="O140" s="545">
        <f>Swords!$S$22</f>
        <v>1400</v>
      </c>
      <c r="P140" s="467" t="s">
        <v>661</v>
      </c>
    </row>
    <row r="141">
      <c r="A141" s="449" t="s">
        <v>612</v>
      </c>
      <c r="B141" s="449" t="s">
        <v>659</v>
      </c>
      <c r="C141" s="648">
        <f>Swords!$B$22</f>
        <v>1</v>
      </c>
      <c r="D141" s="649" t="str">
        <f>Swords!$A$21</f>
        <v>Caster</v>
      </c>
      <c r="E141" s="548">
        <f>Swords!$D$22</f>
        <v>1015.625</v>
      </c>
      <c r="F141" s="691">
        <f>Swords!$D$22</f>
        <v>1015.625</v>
      </c>
      <c r="G141" s="510">
        <f>Swords!$G$22</f>
        <v>23400</v>
      </c>
      <c r="H141" s="473" t="s">
        <v>60</v>
      </c>
      <c r="I141" s="455" t="s">
        <v>60</v>
      </c>
      <c r="J141" s="456">
        <f>Swords!$H$22</f>
        <v>63</v>
      </c>
      <c r="K141" s="456">
        <f>Swords!$I$22</f>
        <v>127.6595745</v>
      </c>
      <c r="L141" s="457">
        <f>Swords!$K$22</f>
        <v>1.05</v>
      </c>
      <c r="M141" s="458">
        <f>Swords!$L$22</f>
        <v>22.99</v>
      </c>
      <c r="N141" s="688">
        <f>Swords!$R$22</f>
        <v>400</v>
      </c>
      <c r="O141" s="545">
        <f>Swords!$S$22</f>
        <v>1400</v>
      </c>
      <c r="P141" s="117" t="s">
        <v>662</v>
      </c>
    </row>
    <row r="142">
      <c r="A142" s="449" t="s">
        <v>612</v>
      </c>
      <c r="B142" s="449" t="s">
        <v>659</v>
      </c>
      <c r="C142" s="648">
        <f>Swords!$B$23</f>
        <v>2</v>
      </c>
      <c r="D142" s="649" t="str">
        <f>Swords!$A$21</f>
        <v>Caster</v>
      </c>
      <c r="E142" s="528">
        <f>Swords!$C$23</f>
        <v>913.7055838</v>
      </c>
      <c r="F142" s="692">
        <f>Swords!$C$23</f>
        <v>913.7055838</v>
      </c>
      <c r="G142" s="500">
        <f>Swords!$F$23</f>
        <v>23400</v>
      </c>
      <c r="H142" s="473" t="s">
        <v>60</v>
      </c>
      <c r="I142" s="455" t="s">
        <v>60</v>
      </c>
      <c r="J142" s="456">
        <f>Swords!$H$23</f>
        <v>63</v>
      </c>
      <c r="K142" s="456">
        <f>Swords!$I$23</f>
        <v>127.6595745</v>
      </c>
      <c r="L142" s="457">
        <f>Swords!$K$23</f>
        <v>0.82</v>
      </c>
      <c r="M142" s="458">
        <f>Swords!$L$23</f>
        <v>21.06</v>
      </c>
      <c r="N142" s="688">
        <f>Swords!$R$23</f>
        <v>400</v>
      </c>
      <c r="O142" s="545">
        <f>Swords!$S$23</f>
        <v>1400</v>
      </c>
      <c r="P142" s="467" t="s">
        <v>661</v>
      </c>
    </row>
    <row r="143">
      <c r="A143" s="449" t="s">
        <v>612</v>
      </c>
      <c r="B143" s="449" t="s">
        <v>659</v>
      </c>
      <c r="C143" s="648">
        <f>Swords!$B$23</f>
        <v>2</v>
      </c>
      <c r="D143" s="649" t="str">
        <f>Swords!$A$21</f>
        <v>Caster</v>
      </c>
      <c r="E143" s="548">
        <f>Swords!$D$23</f>
        <v>1052.631579</v>
      </c>
      <c r="F143" s="693">
        <f>Swords!$D$23</f>
        <v>1052.631579</v>
      </c>
      <c r="G143" s="658">
        <f>Swords!$G$23</f>
        <v>24200</v>
      </c>
      <c r="H143" s="473" t="s">
        <v>60</v>
      </c>
      <c r="I143" s="455" t="s">
        <v>60</v>
      </c>
      <c r="J143" s="456">
        <f>Swords!$H$23</f>
        <v>63</v>
      </c>
      <c r="K143" s="456">
        <f>Swords!$I$23</f>
        <v>127.6595745</v>
      </c>
      <c r="L143" s="457">
        <f>Swords!$K$23</f>
        <v>0.82</v>
      </c>
      <c r="M143" s="458">
        <f>Swords!$L$23</f>
        <v>21.06</v>
      </c>
      <c r="N143" s="688">
        <f>Swords!$R$23</f>
        <v>400</v>
      </c>
      <c r="O143" s="545">
        <f>Swords!$S$23</f>
        <v>1400</v>
      </c>
      <c r="P143" s="467" t="s">
        <v>662</v>
      </c>
    </row>
    <row r="144">
      <c r="A144" s="449" t="s">
        <v>612</v>
      </c>
      <c r="B144" s="449" t="s">
        <v>659</v>
      </c>
      <c r="C144" s="648">
        <f>Swords!$B$24</f>
        <v>3</v>
      </c>
      <c r="D144" s="649" t="str">
        <f>Swords!$A$21</f>
        <v>Caster</v>
      </c>
      <c r="E144" s="528">
        <f>Swords!$C$24</f>
        <v>913.7055838</v>
      </c>
      <c r="F144" s="692">
        <f>Swords!$C$24</f>
        <v>913.7055838</v>
      </c>
      <c r="G144" s="500">
        <f>Swords!$F$24</f>
        <v>23400</v>
      </c>
      <c r="H144" s="473" t="s">
        <v>60</v>
      </c>
      <c r="I144" s="455" t="s">
        <v>60</v>
      </c>
      <c r="J144" s="456">
        <f>Swords!$H$24</f>
        <v>63</v>
      </c>
      <c r="K144" s="456">
        <f>Swords!$I$24</f>
        <v>127.6595745</v>
      </c>
      <c r="L144" s="457">
        <f>Swords!$K$24</f>
        <v>0.82</v>
      </c>
      <c r="M144" s="458">
        <f>Swords!$L$24</f>
        <v>21.06</v>
      </c>
      <c r="N144" s="688">
        <f>Swords!$R$24</f>
        <v>400</v>
      </c>
      <c r="O144" s="545">
        <f>Swords!$S$24</f>
        <v>1400</v>
      </c>
      <c r="P144" s="467" t="s">
        <v>661</v>
      </c>
    </row>
    <row r="145">
      <c r="A145" s="449" t="s">
        <v>612</v>
      </c>
      <c r="B145" s="449" t="s">
        <v>659</v>
      </c>
      <c r="C145" s="648">
        <f>Swords!$B$24</f>
        <v>3</v>
      </c>
      <c r="D145" s="649" t="str">
        <f>Swords!$A$21</f>
        <v>Caster</v>
      </c>
      <c r="E145" s="548">
        <f>Swords!$D$24</f>
        <v>1052.631579</v>
      </c>
      <c r="F145" s="693">
        <f>Swords!$D$24</f>
        <v>1052.631579</v>
      </c>
      <c r="G145" s="658">
        <f>Swords!$G$24</f>
        <v>24200</v>
      </c>
      <c r="H145" s="473" t="s">
        <v>60</v>
      </c>
      <c r="I145" s="455" t="s">
        <v>60</v>
      </c>
      <c r="J145" s="456">
        <f>Swords!$H$24</f>
        <v>63</v>
      </c>
      <c r="K145" s="456">
        <f>Swords!$I$24</f>
        <v>127.6595745</v>
      </c>
      <c r="L145" s="457">
        <f>Swords!$K$24</f>
        <v>0.82</v>
      </c>
      <c r="M145" s="458">
        <f>Swords!$L$24</f>
        <v>21.06</v>
      </c>
      <c r="N145" s="688">
        <f>Swords!$R$24</f>
        <v>400</v>
      </c>
      <c r="O145" s="545">
        <f>Swords!$S$24</f>
        <v>1400</v>
      </c>
      <c r="P145" s="467" t="s">
        <v>662</v>
      </c>
    </row>
    <row r="146">
      <c r="A146" s="449" t="s">
        <v>612</v>
      </c>
      <c r="B146" s="449" t="s">
        <v>659</v>
      </c>
      <c r="C146" s="648" t="str">
        <f>Swords!$B$26</f>
        <v>N/A</v>
      </c>
      <c r="D146" s="649" t="str">
        <f>Swords!$A$21</f>
        <v>Caster</v>
      </c>
      <c r="E146" s="582">
        <f>Swords!$C$26</f>
        <v>851.0638298</v>
      </c>
      <c r="F146" s="694">
        <f>Swords!$C$26</f>
        <v>851.0638298</v>
      </c>
      <c r="G146" s="487">
        <f>Swords!$F$26</f>
        <v>25200</v>
      </c>
      <c r="H146" s="473" t="s">
        <v>60</v>
      </c>
      <c r="I146" s="455" t="s">
        <v>60</v>
      </c>
      <c r="J146" s="456">
        <f>Swords!$H$26</f>
        <v>63</v>
      </c>
      <c r="K146" s="456">
        <f>Swords!$I$26</f>
        <v>127.6595745</v>
      </c>
      <c r="L146" s="457" t="str">
        <f>Swords!$K$26</f>
        <v>N/A</v>
      </c>
      <c r="M146" s="458" t="str">
        <f>Swords!$L$26</f>
        <v>N/A</v>
      </c>
      <c r="N146" s="688">
        <f>Swords!$R$26</f>
        <v>400</v>
      </c>
      <c r="O146" s="545" t="str">
        <f>Swords!$S$26</f>
        <v>N/A</v>
      </c>
      <c r="P146" s="467" t="s">
        <v>663</v>
      </c>
    </row>
    <row r="147">
      <c r="A147" s="449" t="s">
        <v>612</v>
      </c>
      <c r="B147" s="449" t="s">
        <v>659</v>
      </c>
      <c r="C147" s="648">
        <f>Swords!$B$68</f>
        <v>0</v>
      </c>
      <c r="D147" s="676" t="str">
        <f>Swords!$A$68</f>
        <v>Heartshadow (cata)</v>
      </c>
      <c r="E147" s="473">
        <f>Swords!$D$68</f>
        <v>1150.285714</v>
      </c>
      <c r="F147" s="466">
        <f>Swords!$D$68</f>
        <v>1150.285714</v>
      </c>
      <c r="G147" s="473">
        <f>Swords!$G$68</f>
        <v>32208</v>
      </c>
      <c r="H147" s="473" t="s">
        <v>60</v>
      </c>
      <c r="I147" s="455" t="s">
        <v>60</v>
      </c>
      <c r="J147" s="456">
        <f>Swords!$H$68</f>
        <v>63</v>
      </c>
      <c r="K147" s="456">
        <f>Swords!$I$68</f>
        <v>127.6595745</v>
      </c>
      <c r="L147" s="457">
        <f>Swords!$K$68</f>
        <v>1.94</v>
      </c>
      <c r="M147" s="458">
        <f>Swords!$L$68</f>
        <v>27.27</v>
      </c>
      <c r="N147" s="582">
        <f>Swords!$R$68</f>
        <v>385</v>
      </c>
      <c r="O147" s="695">
        <f>Swords!$S$68</f>
        <v>2101</v>
      </c>
      <c r="P147" s="127" t="s">
        <v>665</v>
      </c>
    </row>
    <row r="148">
      <c r="A148" s="449" t="s">
        <v>612</v>
      </c>
      <c r="B148" s="449" t="s">
        <v>659</v>
      </c>
      <c r="C148" s="648">
        <f>Swords!$B$68</f>
        <v>0</v>
      </c>
      <c r="D148" s="676" t="str">
        <f>Swords!$A$68</f>
        <v>Heartshadow (cata)</v>
      </c>
      <c r="E148" s="473">
        <f>Swords!$C$68</f>
        <v>1178.317152</v>
      </c>
      <c r="F148" s="466">
        <f>Swords!$C$68</f>
        <v>1178.317152</v>
      </c>
      <c r="G148" s="473">
        <f>Swords!$F$68</f>
        <v>32769</v>
      </c>
      <c r="H148" s="473" t="s">
        <v>60</v>
      </c>
      <c r="I148" s="455" t="s">
        <v>60</v>
      </c>
      <c r="J148" s="456">
        <f>Swords!$H$68</f>
        <v>63</v>
      </c>
      <c r="K148" s="456">
        <f>Swords!$I$68</f>
        <v>127.6595745</v>
      </c>
      <c r="L148" s="457">
        <f>Swords!$K$68</f>
        <v>1.94</v>
      </c>
      <c r="M148" s="458">
        <f>Swords!$L$68</f>
        <v>27.27</v>
      </c>
      <c r="N148" s="582">
        <f>Swords!$R$68</f>
        <v>385</v>
      </c>
      <c r="O148" s="695">
        <f>Swords!$S$68</f>
        <v>2101</v>
      </c>
      <c r="P148" s="127" t="s">
        <v>666</v>
      </c>
    </row>
    <row r="149">
      <c r="A149" s="449" t="s">
        <v>612</v>
      </c>
      <c r="B149" s="449" t="s">
        <v>659</v>
      </c>
      <c r="C149" s="648">
        <f>Swords!$B$72</f>
        <v>0</v>
      </c>
      <c r="D149" s="676" t="str">
        <f>Swords!$A$68</f>
        <v>Heartshadow (cata)</v>
      </c>
      <c r="E149" s="473">
        <f>Swords!$D$72</f>
        <v>1653.535714</v>
      </c>
      <c r="F149" s="466">
        <f>Swords!$D$72</f>
        <v>1653.535714</v>
      </c>
      <c r="G149" s="473">
        <f>Swords!$G$72</f>
        <v>46299</v>
      </c>
      <c r="H149" s="473" t="s">
        <v>60</v>
      </c>
      <c r="I149" s="455" t="s">
        <v>60</v>
      </c>
      <c r="J149" s="456">
        <f>Swords!$H$72</f>
        <v>63</v>
      </c>
      <c r="K149" s="456">
        <f>Swords!$I$72</f>
        <v>127.6595745</v>
      </c>
      <c r="L149" s="457">
        <f>Swords!$K$72</f>
        <v>1.94</v>
      </c>
      <c r="M149" s="458">
        <f>Swords!$L$72</f>
        <v>27.27</v>
      </c>
      <c r="N149" s="582">
        <f>Swords!$R$72</f>
        <v>553.4375</v>
      </c>
      <c r="O149" s="695">
        <f>Swords!$S$72</f>
        <v>3020.1875</v>
      </c>
      <c r="P149" s="127" t="s">
        <v>667</v>
      </c>
    </row>
    <row r="150">
      <c r="A150" s="449" t="s">
        <v>612</v>
      </c>
      <c r="B150" s="449" t="s">
        <v>659</v>
      </c>
      <c r="C150" s="648">
        <f>Swords!$B$72</f>
        <v>0</v>
      </c>
      <c r="D150" s="676" t="str">
        <f>Swords!$A$68</f>
        <v>Heartshadow (cata)</v>
      </c>
      <c r="E150" s="473">
        <f>Swords!$C$72</f>
        <v>1693.830906</v>
      </c>
      <c r="F150" s="466">
        <f>Swords!$C$72</f>
        <v>1693.830906</v>
      </c>
      <c r="G150" s="473">
        <f>Swords!$F$72</f>
        <v>47105.4375</v>
      </c>
      <c r="H150" s="473" t="s">
        <v>60</v>
      </c>
      <c r="I150" s="455" t="s">
        <v>60</v>
      </c>
      <c r="J150" s="456">
        <f>Swords!$H$72</f>
        <v>63</v>
      </c>
      <c r="K150" s="456">
        <f>Swords!$I$72</f>
        <v>127.6595745</v>
      </c>
      <c r="L150" s="457">
        <f>Swords!$K$72</f>
        <v>1.94</v>
      </c>
      <c r="M150" s="458">
        <f>Swords!$L$72</f>
        <v>27.27</v>
      </c>
      <c r="N150" s="582">
        <f>Swords!$R$72</f>
        <v>553.4375</v>
      </c>
      <c r="O150" s="695">
        <f>Swords!$S$72</f>
        <v>3020.1875</v>
      </c>
      <c r="P150" s="127" t="s">
        <v>668</v>
      </c>
    </row>
    <row r="151">
      <c r="A151" s="449" t="s">
        <v>612</v>
      </c>
      <c r="B151" s="449" t="s">
        <v>659</v>
      </c>
      <c r="C151" s="648">
        <f>Swords!$B$69</f>
        <v>1</v>
      </c>
      <c r="D151" s="676" t="str">
        <f>Swords!$A$68</f>
        <v>Heartshadow (cata)</v>
      </c>
      <c r="E151" s="473">
        <f>Swords!$D$69</f>
        <v>1201.650165</v>
      </c>
      <c r="F151" s="466">
        <f>Swords!$D$69</f>
        <v>1201.650165</v>
      </c>
      <c r="G151" s="473">
        <f>Swords!$G$69</f>
        <v>32769</v>
      </c>
      <c r="H151" s="473" t="s">
        <v>60</v>
      </c>
      <c r="I151" s="455" t="s">
        <v>60</v>
      </c>
      <c r="J151" s="456">
        <f>Swords!$H$69</f>
        <v>63</v>
      </c>
      <c r="K151" s="456">
        <f>Swords!$I$69</f>
        <v>127.6595745</v>
      </c>
      <c r="L151" s="457">
        <f>Swords!$K$69</f>
        <v>1.43</v>
      </c>
      <c r="M151" s="458">
        <f>Swords!$L$69</f>
        <v>27.01</v>
      </c>
      <c r="N151" s="582">
        <f>Swords!$R$69</f>
        <v>385</v>
      </c>
      <c r="O151" s="695">
        <f>Swords!$S$69</f>
        <v>2101</v>
      </c>
      <c r="P151" s="127" t="s">
        <v>665</v>
      </c>
    </row>
    <row r="152">
      <c r="A152" s="449" t="s">
        <v>612</v>
      </c>
      <c r="B152" s="449" t="s">
        <v>659</v>
      </c>
      <c r="C152" s="648">
        <f>Swords!$B$69</f>
        <v>1</v>
      </c>
      <c r="D152" s="676" t="str">
        <f>Swords!$A$68</f>
        <v>Heartshadow (cata)</v>
      </c>
      <c r="E152" s="473">
        <f>Swords!$C$69</f>
        <v>1262.015504</v>
      </c>
      <c r="F152" s="466">
        <f>Swords!$C$69</f>
        <v>1262.015504</v>
      </c>
      <c r="G152" s="473">
        <f>Swords!$F$69</f>
        <v>33715</v>
      </c>
      <c r="H152" s="473" t="s">
        <v>60</v>
      </c>
      <c r="I152" s="455" t="s">
        <v>60</v>
      </c>
      <c r="J152" s="456">
        <f>Swords!$H$69</f>
        <v>63</v>
      </c>
      <c r="K152" s="456">
        <f>Swords!$I$69</f>
        <v>127.6595745</v>
      </c>
      <c r="L152" s="457">
        <f>Swords!$K$69</f>
        <v>1.43</v>
      </c>
      <c r="M152" s="458">
        <f>Swords!$L$69</f>
        <v>27.01</v>
      </c>
      <c r="N152" s="582">
        <f>Swords!$R$69</f>
        <v>385</v>
      </c>
      <c r="O152" s="695">
        <f>Swords!$S$69</f>
        <v>2101</v>
      </c>
      <c r="P152" s="127" t="s">
        <v>666</v>
      </c>
    </row>
    <row r="153">
      <c r="A153" s="449" t="s">
        <v>612</v>
      </c>
      <c r="B153" s="449" t="s">
        <v>659</v>
      </c>
      <c r="C153" s="648">
        <f>Swords!$B$73</f>
        <v>1</v>
      </c>
      <c r="D153" s="676" t="str">
        <f>Swords!$A$68</f>
        <v>Heartshadow (cata)</v>
      </c>
      <c r="E153" s="473">
        <f>Swords!$D$73</f>
        <v>1727.372112</v>
      </c>
      <c r="F153" s="466">
        <f>Swords!$D$73</f>
        <v>1727.372112</v>
      </c>
      <c r="G153" s="473">
        <f>Swords!$G$73</f>
        <v>47105.4375</v>
      </c>
      <c r="H153" s="473" t="s">
        <v>60</v>
      </c>
      <c r="I153" s="455" t="s">
        <v>60</v>
      </c>
      <c r="J153" s="456">
        <f>Swords!$H$73</f>
        <v>63</v>
      </c>
      <c r="K153" s="456">
        <f>Swords!$I$73</f>
        <v>127.6595745</v>
      </c>
      <c r="L153" s="457">
        <f>Swords!$K$73</f>
        <v>1.43</v>
      </c>
      <c r="M153" s="458">
        <f>Swords!$L$73</f>
        <v>27.01</v>
      </c>
      <c r="N153" s="582">
        <f>Swords!$R$73</f>
        <v>553.4375</v>
      </c>
      <c r="O153" s="695">
        <f>Swords!$S$73</f>
        <v>3020.1875</v>
      </c>
      <c r="P153" s="127" t="s">
        <v>667</v>
      </c>
    </row>
    <row r="154">
      <c r="A154" s="449" t="s">
        <v>612</v>
      </c>
      <c r="B154" s="449" t="s">
        <v>659</v>
      </c>
      <c r="C154" s="648">
        <f>Swords!$B$73</f>
        <v>1</v>
      </c>
      <c r="D154" s="676" t="str">
        <f>Swords!$A$68</f>
        <v>Heartshadow (cata)</v>
      </c>
      <c r="E154" s="473">
        <f>Swords!$C$73</f>
        <v>1814.147287</v>
      </c>
      <c r="F154" s="466">
        <f>Swords!$C$73</f>
        <v>1814.147287</v>
      </c>
      <c r="G154" s="473">
        <f>Swords!$F$73</f>
        <v>48465.3125</v>
      </c>
      <c r="H154" s="473" t="s">
        <v>60</v>
      </c>
      <c r="I154" s="455" t="s">
        <v>60</v>
      </c>
      <c r="J154" s="456">
        <f>Swords!$H$73</f>
        <v>63</v>
      </c>
      <c r="K154" s="456">
        <f>Swords!$I$73</f>
        <v>127.6595745</v>
      </c>
      <c r="L154" s="457">
        <f>Swords!$K$73</f>
        <v>1.43</v>
      </c>
      <c r="M154" s="458">
        <f>Swords!$L$73</f>
        <v>27.01</v>
      </c>
      <c r="N154" s="582">
        <f>Swords!$R$73</f>
        <v>553.4375</v>
      </c>
      <c r="O154" s="695">
        <f>Swords!$S$73</f>
        <v>3020.1875</v>
      </c>
      <c r="P154" s="127" t="s">
        <v>668</v>
      </c>
    </row>
    <row r="155">
      <c r="A155" s="449" t="s">
        <v>612</v>
      </c>
      <c r="B155" s="449" t="s">
        <v>659</v>
      </c>
      <c r="C155" s="648">
        <f>Swords!$B$70</f>
        <v>2</v>
      </c>
      <c r="D155" s="676" t="str">
        <f>Swords!$A$68</f>
        <v>Heartshadow (cata)</v>
      </c>
      <c r="E155" s="473">
        <f>Swords!$D$70</f>
        <v>1271.875</v>
      </c>
      <c r="F155" s="466">
        <f>Swords!$D$70</f>
        <v>1271.875</v>
      </c>
      <c r="G155" s="473">
        <f>Swords!$G$70</f>
        <v>33715</v>
      </c>
      <c r="H155" s="473" t="s">
        <v>60</v>
      </c>
      <c r="I155" s="455" t="s">
        <v>60</v>
      </c>
      <c r="J155" s="456">
        <f>Swords!$H$70</f>
        <v>63</v>
      </c>
      <c r="K155" s="456">
        <f>Swords!$I$70</f>
        <v>127.6595745</v>
      </c>
      <c r="L155" s="457">
        <f>Swords!$K$70</f>
        <v>1</v>
      </c>
      <c r="M155" s="458">
        <f>Swords!$L$70</f>
        <v>27.17</v>
      </c>
      <c r="N155" s="582">
        <f>Swords!$R$70</f>
        <v>385</v>
      </c>
      <c r="O155" s="695">
        <f>Swords!$S$70</f>
        <v>2101</v>
      </c>
      <c r="P155" s="127" t="s">
        <v>665</v>
      </c>
    </row>
    <row r="156">
      <c r="A156" s="449" t="s">
        <v>612</v>
      </c>
      <c r="B156" s="449" t="s">
        <v>659</v>
      </c>
      <c r="C156" s="648">
        <f>Swords!$B$70</f>
        <v>2</v>
      </c>
      <c r="D156" s="676" t="str">
        <f>Swords!$A$68</f>
        <v>Heartshadow (cata)</v>
      </c>
      <c r="E156" s="473">
        <f>Swords!$C$70</f>
        <v>1335.348837</v>
      </c>
      <c r="F156" s="466">
        <f>Swords!$C$70</f>
        <v>1335.348837</v>
      </c>
      <c r="G156" s="473">
        <f>Swords!$F$70</f>
        <v>37323</v>
      </c>
      <c r="H156" s="473" t="s">
        <v>60</v>
      </c>
      <c r="I156" s="455" t="s">
        <v>60</v>
      </c>
      <c r="J156" s="456">
        <f>Swords!$H$70</f>
        <v>63</v>
      </c>
      <c r="K156" s="456">
        <f>Swords!$I$70</f>
        <v>127.6595745</v>
      </c>
      <c r="L156" s="457">
        <f>Swords!$K$70</f>
        <v>1</v>
      </c>
      <c r="M156" s="458">
        <f>Swords!$L$70</f>
        <v>27.17</v>
      </c>
      <c r="N156" s="582">
        <f>Swords!$R$70</f>
        <v>385</v>
      </c>
      <c r="O156" s="695">
        <f>Swords!$S$70</f>
        <v>2101</v>
      </c>
      <c r="P156" s="127" t="s">
        <v>666</v>
      </c>
    </row>
    <row r="157">
      <c r="A157" s="449" t="s">
        <v>612</v>
      </c>
      <c r="B157" s="449" t="s">
        <v>659</v>
      </c>
      <c r="C157" s="648">
        <f>Swords!$B$74</f>
        <v>2</v>
      </c>
      <c r="D157" s="676" t="str">
        <f>Swords!$A$68</f>
        <v>Heartshadow (cata)</v>
      </c>
      <c r="E157" s="548">
        <f>Swords!$D$74</f>
        <v>1828.320313</v>
      </c>
      <c r="F157" s="598">
        <f>Swords!$D$74</f>
        <v>1828.320313</v>
      </c>
      <c r="G157" s="480">
        <f>Swords!$G$74</f>
        <v>48465.3125</v>
      </c>
      <c r="H157" s="473" t="s">
        <v>60</v>
      </c>
      <c r="I157" s="455" t="s">
        <v>60</v>
      </c>
      <c r="J157" s="456">
        <f>Swords!$H$74</f>
        <v>63</v>
      </c>
      <c r="K157" s="456">
        <f>Swords!$I$74</f>
        <v>127.6595745</v>
      </c>
      <c r="L157" s="457">
        <f>Swords!$K$74</f>
        <v>1</v>
      </c>
      <c r="M157" s="458">
        <f>Swords!$L$74</f>
        <v>27.17</v>
      </c>
      <c r="N157" s="582">
        <f>Swords!$R$74</f>
        <v>553.4375</v>
      </c>
      <c r="O157" s="695">
        <f>Swords!$S$74</f>
        <v>3020.1875</v>
      </c>
      <c r="P157" s="127" t="s">
        <v>667</v>
      </c>
    </row>
    <row r="158">
      <c r="A158" s="449" t="s">
        <v>612</v>
      </c>
      <c r="B158" s="449" t="s">
        <v>659</v>
      </c>
      <c r="C158" s="648">
        <f>Swords!$B$74</f>
        <v>2</v>
      </c>
      <c r="D158" s="676" t="str">
        <f>Swords!$A$68</f>
        <v>Heartshadow (cata)</v>
      </c>
      <c r="E158" s="548">
        <f>Swords!$C$74</f>
        <v>1919.563953</v>
      </c>
      <c r="F158" s="598">
        <f>Swords!$C$74</f>
        <v>1919.563953</v>
      </c>
      <c r="G158" s="480">
        <f>Swords!$F$74</f>
        <v>53651.8125</v>
      </c>
      <c r="H158" s="473" t="s">
        <v>60</v>
      </c>
      <c r="I158" s="455" t="s">
        <v>60</v>
      </c>
      <c r="J158" s="456">
        <f>Swords!$H$74</f>
        <v>63</v>
      </c>
      <c r="K158" s="456">
        <f>Swords!$I$74</f>
        <v>127.6595745</v>
      </c>
      <c r="L158" s="457">
        <f>Swords!$K$74</f>
        <v>1</v>
      </c>
      <c r="M158" s="458">
        <f>Swords!$L$74</f>
        <v>27.17</v>
      </c>
      <c r="N158" s="582">
        <f>Swords!$R$74</f>
        <v>553.4375</v>
      </c>
      <c r="O158" s="695">
        <f>Swords!$S$74</f>
        <v>3020.1875</v>
      </c>
      <c r="P158" s="127" t="s">
        <v>668</v>
      </c>
    </row>
    <row r="159">
      <c r="A159" s="449" t="s">
        <v>612</v>
      </c>
      <c r="B159" s="449" t="s">
        <v>659</v>
      </c>
      <c r="C159" s="648">
        <f>Swords!$B$71</f>
        <v>3</v>
      </c>
      <c r="D159" s="676" t="str">
        <f>Swords!$A$68</f>
        <v>Heartshadow (cata)</v>
      </c>
      <c r="E159" s="473">
        <f>Swords!$C$71</f>
        <v>1249.246231</v>
      </c>
      <c r="F159" s="466">
        <f>Swords!$C$71</f>
        <v>1249.246231</v>
      </c>
      <c r="G159" s="473">
        <f>Swords!$F$71</f>
        <v>39776</v>
      </c>
      <c r="H159" s="473" t="s">
        <v>60</v>
      </c>
      <c r="I159" s="455" t="s">
        <v>60</v>
      </c>
      <c r="J159" s="456">
        <f>Swords!$H$71</f>
        <v>63</v>
      </c>
      <c r="K159" s="456">
        <f>Swords!$I$71</f>
        <v>127.6595745</v>
      </c>
      <c r="L159" s="457">
        <f>Swords!$K$71</f>
        <v>0.84</v>
      </c>
      <c r="M159" s="458">
        <f>Swords!$L$71</f>
        <v>25.92</v>
      </c>
      <c r="N159" s="582">
        <f>Swords!$R$71</f>
        <v>385</v>
      </c>
      <c r="O159" s="695">
        <f>Swords!$S$71</f>
        <v>2101</v>
      </c>
      <c r="P159" s="127" t="s">
        <v>666</v>
      </c>
    </row>
    <row r="160">
      <c r="A160" s="449" t="s">
        <v>612</v>
      </c>
      <c r="B160" s="449" t="s">
        <v>659</v>
      </c>
      <c r="C160" s="648">
        <f>Swords!$B$71</f>
        <v>3</v>
      </c>
      <c r="D160" s="676" t="str">
        <f>Swords!$A$68</f>
        <v>Heartshadow (cata)</v>
      </c>
      <c r="E160" s="473">
        <f>Swords!$D$71</f>
        <v>1373.684211</v>
      </c>
      <c r="F160" s="466">
        <f>Swords!$D$71</f>
        <v>1373.684211</v>
      </c>
      <c r="G160" s="473">
        <f>Swords!$G$71</f>
        <v>37323</v>
      </c>
      <c r="H160" s="473" t="s">
        <v>60</v>
      </c>
      <c r="I160" s="455" t="s">
        <v>60</v>
      </c>
      <c r="J160" s="456">
        <f>Swords!$H$71</f>
        <v>63</v>
      </c>
      <c r="K160" s="456">
        <f>Swords!$I$71</f>
        <v>127.6595745</v>
      </c>
      <c r="L160" s="457">
        <f>Swords!$K$71</f>
        <v>0.84</v>
      </c>
      <c r="M160" s="458">
        <f>Swords!$L$71</f>
        <v>25.92</v>
      </c>
      <c r="N160" s="582">
        <f>Swords!$R$71</f>
        <v>385</v>
      </c>
      <c r="O160" s="695">
        <f>Swords!$S$71</f>
        <v>2101</v>
      </c>
      <c r="P160" s="127" t="s">
        <v>665</v>
      </c>
    </row>
    <row r="161">
      <c r="A161" s="449" t="s">
        <v>612</v>
      </c>
      <c r="B161" s="449" t="s">
        <v>659</v>
      </c>
      <c r="C161" s="648">
        <f>Swords!$B$75</f>
        <v>3</v>
      </c>
      <c r="D161" s="676" t="str">
        <f>Swords!$A$68</f>
        <v>Heartshadow (cata)</v>
      </c>
      <c r="E161" s="548">
        <f>Swords!$C$75</f>
        <v>1795.791457</v>
      </c>
      <c r="F161" s="598">
        <f>Swords!$C$75</f>
        <v>1795.791457</v>
      </c>
      <c r="G161" s="480">
        <f>Swords!$F$75</f>
        <v>57178</v>
      </c>
      <c r="H161" s="473" t="s">
        <v>60</v>
      </c>
      <c r="I161" s="455" t="s">
        <v>60</v>
      </c>
      <c r="J161" s="456">
        <f>Swords!$H$75</f>
        <v>63</v>
      </c>
      <c r="K161" s="456">
        <f>Swords!$I$75</f>
        <v>127.6595745</v>
      </c>
      <c r="L161" s="457">
        <f>Swords!$K$75</f>
        <v>0.84</v>
      </c>
      <c r="M161" s="458">
        <f>Swords!$L$75</f>
        <v>25.92</v>
      </c>
      <c r="N161" s="582">
        <f>Swords!$R$75</f>
        <v>553.4375</v>
      </c>
      <c r="O161" s="695">
        <f>Swords!$S$75</f>
        <v>3020.1875</v>
      </c>
      <c r="P161" s="127" t="s">
        <v>668</v>
      </c>
    </row>
    <row r="162">
      <c r="A162" s="449" t="s">
        <v>612</v>
      </c>
      <c r="B162" s="449" t="s">
        <v>659</v>
      </c>
      <c r="C162" s="648">
        <f>Swords!$B$75</f>
        <v>3</v>
      </c>
      <c r="D162" s="676" t="str">
        <f>Swords!$A$68</f>
        <v>Heartshadow (cata)</v>
      </c>
      <c r="E162" s="548">
        <f>Swords!$D$75</f>
        <v>1974.671053</v>
      </c>
      <c r="F162" s="598">
        <f>Swords!$D$75</f>
        <v>1974.671053</v>
      </c>
      <c r="G162" s="480">
        <f>Swords!$G$75</f>
        <v>53651.8125</v>
      </c>
      <c r="H162" s="473" t="s">
        <v>60</v>
      </c>
      <c r="I162" s="455" t="s">
        <v>60</v>
      </c>
      <c r="J162" s="456">
        <f>Swords!$H$75</f>
        <v>63</v>
      </c>
      <c r="K162" s="456">
        <f>Swords!$I$75</f>
        <v>127.6595745</v>
      </c>
      <c r="L162" s="457">
        <f>Swords!$K$75</f>
        <v>0.84</v>
      </c>
      <c r="M162" s="458">
        <f>Swords!$L$75</f>
        <v>25.92</v>
      </c>
      <c r="N162" s="582">
        <f>Swords!$R$75</f>
        <v>553.4375</v>
      </c>
      <c r="O162" s="695">
        <f>Swords!$S$75</f>
        <v>3020.1875</v>
      </c>
      <c r="P162" s="127" t="s">
        <v>667</v>
      </c>
    </row>
    <row r="163">
      <c r="A163" s="449" t="s">
        <v>612</v>
      </c>
      <c r="B163" s="449" t="s">
        <v>659</v>
      </c>
      <c r="C163" s="648" t="str">
        <f>Swords!$B$76</f>
        <v>N/A</v>
      </c>
      <c r="D163" s="676" t="str">
        <f>Swords!$A$68</f>
        <v>Heartshadow (cata)</v>
      </c>
      <c r="E163" s="548">
        <f>Swords!$C$76</f>
        <v>470.3448276</v>
      </c>
      <c r="F163" s="598">
        <f>Swords!$C$76</f>
        <v>470.3448276</v>
      </c>
      <c r="G163" s="480">
        <f>Swords!$F$76</f>
        <v>21463</v>
      </c>
      <c r="H163" s="473" t="s">
        <v>60</v>
      </c>
      <c r="I163" s="455" t="s">
        <v>60</v>
      </c>
      <c r="J163" s="456">
        <f>Swords!$H$76</f>
        <v>63</v>
      </c>
      <c r="K163" s="456">
        <f>Swords!$I$76</f>
        <v>120</v>
      </c>
      <c r="L163" s="457" t="str">
        <f>Swords!$K$76</f>
        <v>N/A</v>
      </c>
      <c r="M163" s="458">
        <f>Swords!$L$76</f>
        <v>31.5</v>
      </c>
      <c r="N163" s="582">
        <f>Swords!$R$76</f>
        <v>321</v>
      </c>
      <c r="O163" s="695">
        <f>Swords!$S$76</f>
        <v>361</v>
      </c>
      <c r="P163" s="127" t="s">
        <v>660</v>
      </c>
    </row>
    <row r="164">
      <c r="A164" s="449" t="s">
        <v>612</v>
      </c>
      <c r="B164" s="449" t="s">
        <v>659</v>
      </c>
      <c r="C164" s="648" t="str">
        <f>Swords!$B$77</f>
        <v>N/A</v>
      </c>
      <c r="D164" s="676" t="str">
        <f>Swords!$A$68</f>
        <v>Heartshadow (cata)</v>
      </c>
      <c r="E164" s="548">
        <f>Swords!$C$77</f>
        <v>819.1489362</v>
      </c>
      <c r="F164" s="598">
        <f>Swords!$C$77</f>
        <v>819.1489362</v>
      </c>
      <c r="G164" s="480">
        <f>Swords!$F$77</f>
        <v>24255</v>
      </c>
      <c r="H164" s="473" t="s">
        <v>60</v>
      </c>
      <c r="I164" s="455" t="s">
        <v>60</v>
      </c>
      <c r="J164" s="456">
        <f>Swords!$H$77</f>
        <v>63</v>
      </c>
      <c r="K164" s="456">
        <f>Swords!$I$77</f>
        <v>127.6595745</v>
      </c>
      <c r="L164" s="457" t="str">
        <f>Swords!$K$77</f>
        <v>N/A</v>
      </c>
      <c r="M164" s="458" t="str">
        <f>Swords!$L$77</f>
        <v>N/A</v>
      </c>
      <c r="N164" s="582">
        <f>Swords!$R$77</f>
        <v>385</v>
      </c>
      <c r="O164" s="695" t="str">
        <f>Swords!$S$77</f>
        <v>N/A</v>
      </c>
      <c r="P164" s="467" t="s">
        <v>663</v>
      </c>
    </row>
    <row r="165">
      <c r="A165" s="449" t="s">
        <v>612</v>
      </c>
      <c r="B165" s="449" t="s">
        <v>659</v>
      </c>
      <c r="C165" s="449">
        <f>Swords!$B$89</f>
        <v>0</v>
      </c>
      <c r="D165" s="450" t="s">
        <v>669</v>
      </c>
      <c r="E165" s="556">
        <f>Swords!$C$89</f>
        <v>910.5691057</v>
      </c>
      <c r="F165" s="696">
        <f>Swords!$C$89</f>
        <v>910.5691057</v>
      </c>
      <c r="G165" s="483">
        <f>Swords!$F$89</f>
        <v>36960</v>
      </c>
      <c r="H165" s="473" t="s">
        <v>60</v>
      </c>
      <c r="I165" s="455" t="s">
        <v>60</v>
      </c>
      <c r="J165" s="456">
        <f>Swords!$H$89</f>
        <v>65</v>
      </c>
      <c r="K165" s="456">
        <f>Swords!$E$85</f>
        <v>127.6595745</v>
      </c>
      <c r="L165" s="457" t="s">
        <v>60</v>
      </c>
      <c r="M165" s="458">
        <f>Swords!$M$89</f>
        <v>40.59</v>
      </c>
      <c r="N165" s="613">
        <f>Swords!$M$81</f>
        <v>436</v>
      </c>
      <c r="O165" s="300">
        <f>Swords!$M$82</f>
        <v>1492</v>
      </c>
      <c r="P165" s="467" t="str">
        <f>Swords!$A$89</f>
        <v>Revved Heavy Spam</v>
      </c>
    </row>
    <row r="166">
      <c r="A166" s="449" t="s">
        <v>612</v>
      </c>
      <c r="B166" s="449" t="s">
        <v>659</v>
      </c>
      <c r="C166" s="449">
        <f>Swords!$B$88</f>
        <v>0</v>
      </c>
      <c r="D166" s="450" t="s">
        <v>669</v>
      </c>
      <c r="E166" s="579">
        <f>Swords!$C$88</f>
        <v>927.6595745</v>
      </c>
      <c r="F166" s="595">
        <f>Swords!$C$88</f>
        <v>927.6595745</v>
      </c>
      <c r="G166" s="661">
        <f>Swords!$F$88</f>
        <v>28340</v>
      </c>
      <c r="H166" s="473" t="s">
        <v>60</v>
      </c>
      <c r="I166" s="455" t="s">
        <v>60</v>
      </c>
      <c r="J166" s="456">
        <f>Swords!$H$88</f>
        <v>65</v>
      </c>
      <c r="K166" s="456">
        <f>Swords!$E$85</f>
        <v>127.6595745</v>
      </c>
      <c r="L166" s="457" t="s">
        <v>60</v>
      </c>
      <c r="M166" s="458">
        <f>Swords!$M$88</f>
        <v>30.55</v>
      </c>
      <c r="N166" s="613">
        <f>Swords!$M$81</f>
        <v>436</v>
      </c>
      <c r="O166" s="300">
        <f>Swords!$M$82</f>
        <v>1492</v>
      </c>
      <c r="P166" s="467" t="str">
        <f>Swords!$A$88</f>
        <v>Light Spam</v>
      </c>
    </row>
    <row r="167">
      <c r="A167" s="449" t="s">
        <v>612</v>
      </c>
      <c r="B167" s="449" t="s">
        <v>659</v>
      </c>
      <c r="C167" s="449">
        <f>Swords!$B$98</f>
        <v>0</v>
      </c>
      <c r="D167" s="450" t="s">
        <v>669</v>
      </c>
      <c r="E167" s="510">
        <f>Swords!$C$98</f>
        <v>1029.190751</v>
      </c>
      <c r="F167" s="604">
        <f>Swords!$C$98</f>
        <v>1029.190751</v>
      </c>
      <c r="G167" s="506">
        <f>Swords!$F$98</f>
        <v>37820</v>
      </c>
      <c r="H167" s="473" t="s">
        <v>60</v>
      </c>
      <c r="I167" s="455" t="s">
        <v>60</v>
      </c>
      <c r="J167" s="456">
        <f>Swords!$H$98</f>
        <v>65</v>
      </c>
      <c r="K167" s="456">
        <f>Swords!$E$85</f>
        <v>127.6595745</v>
      </c>
      <c r="L167" s="457" t="s">
        <v>60</v>
      </c>
      <c r="M167" s="458">
        <f>Swords!$M$98</f>
        <v>36.56</v>
      </c>
      <c r="N167" s="613">
        <f>Swords!$M$81</f>
        <v>436</v>
      </c>
      <c r="O167" s="300">
        <f>Swords!$M$82</f>
        <v>1492</v>
      </c>
      <c r="P167" s="467" t="str">
        <f>Swords!$A$98</f>
        <v>1x1x3</v>
      </c>
    </row>
    <row r="168">
      <c r="A168" s="449" t="s">
        <v>612</v>
      </c>
      <c r="B168" s="449" t="s">
        <v>659</v>
      </c>
      <c r="C168" s="449">
        <f>Swords!$B$91</f>
        <v>0</v>
      </c>
      <c r="D168" s="450" t="s">
        <v>669</v>
      </c>
      <c r="E168" s="504">
        <f>Swords!$C$91</f>
        <v>1088.663968</v>
      </c>
      <c r="F168" s="509">
        <f>Swords!$C$91</f>
        <v>1088.663968</v>
      </c>
      <c r="G168" s="488">
        <f>Swords!$F$91</f>
        <v>44798</v>
      </c>
      <c r="H168" s="473" t="s">
        <v>60</v>
      </c>
      <c r="I168" s="455" t="s">
        <v>60</v>
      </c>
      <c r="J168" s="456">
        <f>Swords!$H$91</f>
        <v>65</v>
      </c>
      <c r="K168" s="456">
        <f>Swords!$E$85</f>
        <v>127.6595745</v>
      </c>
      <c r="L168" s="457" t="s">
        <v>60</v>
      </c>
      <c r="M168" s="458">
        <f>Swords!$M$91</f>
        <v>40.99</v>
      </c>
      <c r="N168" s="613">
        <f>Swords!$M$81</f>
        <v>436</v>
      </c>
      <c r="O168" s="300">
        <f>Swords!$M$82</f>
        <v>1492</v>
      </c>
      <c r="P168" s="467" t="str">
        <f>Swords!$A$91</f>
        <v>1x1x1</v>
      </c>
    </row>
    <row r="169">
      <c r="A169" s="449" t="s">
        <v>612</v>
      </c>
      <c r="B169" s="449" t="s">
        <v>659</v>
      </c>
      <c r="C169" s="449">
        <f>Swords!$B$94</f>
        <v>0</v>
      </c>
      <c r="D169" s="450" t="s">
        <v>669</v>
      </c>
      <c r="E169" s="697">
        <f>Swords!$C$94</f>
        <v>1161.710037</v>
      </c>
      <c r="F169" s="698">
        <f>Swords!$C$94</f>
        <v>1161.710037</v>
      </c>
      <c r="G169" s="464">
        <f>Swords!$F$94</f>
        <v>42399</v>
      </c>
      <c r="H169" s="473" t="s">
        <v>60</v>
      </c>
      <c r="I169" s="455" t="s">
        <v>60</v>
      </c>
      <c r="J169" s="456">
        <f>Swords!$H$94</f>
        <v>65</v>
      </c>
      <c r="K169" s="456">
        <f>Swords!$E$85</f>
        <v>127.6595745</v>
      </c>
      <c r="L169" s="457" t="s">
        <v>60</v>
      </c>
      <c r="M169" s="458">
        <f>Swords!$M$94</f>
        <v>36.44</v>
      </c>
      <c r="N169" s="613">
        <f>Swords!$M$81</f>
        <v>436</v>
      </c>
      <c r="O169" s="300">
        <f>Swords!$M$82</f>
        <v>1492</v>
      </c>
      <c r="P169" s="467" t="str">
        <f>Swords!$A$94</f>
        <v>1x1x2</v>
      </c>
    </row>
    <row r="170">
      <c r="A170" s="449" t="s">
        <v>612</v>
      </c>
      <c r="B170" s="449" t="s">
        <v>659</v>
      </c>
      <c r="C170" s="449">
        <f>Swords!$B$90</f>
        <v>0</v>
      </c>
      <c r="D170" s="450" t="s">
        <v>669</v>
      </c>
      <c r="E170" s="634">
        <f>Swords!$C$90</f>
        <v>1264.40678</v>
      </c>
      <c r="F170" s="699">
        <f>Swords!$C$90</f>
        <v>1264.40678</v>
      </c>
      <c r="G170" s="468">
        <f>Swords!$F$90</f>
        <v>25364</v>
      </c>
      <c r="H170" s="473" t="s">
        <v>60</v>
      </c>
      <c r="I170" s="455" t="s">
        <v>60</v>
      </c>
      <c r="J170" s="456">
        <f>Swords!$H$90</f>
        <v>65</v>
      </c>
      <c r="K170" s="456">
        <f>Swords!$E$85</f>
        <v>127.6595745</v>
      </c>
      <c r="L170" s="457" t="s">
        <v>60</v>
      </c>
      <c r="M170" s="458">
        <f>Swords!$M$90</f>
        <v>20.06</v>
      </c>
      <c r="N170" s="613">
        <f>Swords!$M$81</f>
        <v>436</v>
      </c>
      <c r="O170" s="300">
        <f>Swords!$M$82</f>
        <v>1492</v>
      </c>
      <c r="P170" s="467" t="str">
        <f>Swords!$A$90</f>
        <v>Normal Heavy Spam</v>
      </c>
    </row>
    <row r="171">
      <c r="A171" s="449" t="s">
        <v>612</v>
      </c>
      <c r="B171" s="449" t="s">
        <v>659</v>
      </c>
      <c r="C171" s="449">
        <f>Swords!$B$99</f>
        <v>0</v>
      </c>
      <c r="D171" s="450" t="s">
        <v>669</v>
      </c>
      <c r="E171" s="570">
        <f>Swords!$C$99</f>
        <v>1326.575342</v>
      </c>
      <c r="F171" s="700">
        <f>Swords!$C$99</f>
        <v>1326.575342</v>
      </c>
      <c r="G171" s="701">
        <f>Swords!$F$99</f>
        <v>45032</v>
      </c>
      <c r="H171" s="473" t="s">
        <v>60</v>
      </c>
      <c r="I171" s="455" t="s">
        <v>60</v>
      </c>
      <c r="J171" s="456">
        <f>Swords!$H$99</f>
        <v>65</v>
      </c>
      <c r="K171" s="456">
        <f>Swords!$E$85</f>
        <v>127.6595745</v>
      </c>
      <c r="L171" s="457" t="s">
        <v>60</v>
      </c>
      <c r="M171" s="458">
        <f>Swords!$M$99</f>
        <v>33.84</v>
      </c>
      <c r="N171" s="613">
        <f>Swords!$M$81</f>
        <v>436</v>
      </c>
      <c r="O171" s="300">
        <f>Swords!$M$82</f>
        <v>1492</v>
      </c>
      <c r="P171" s="117" t="str">
        <f>Swords!$A$99</f>
        <v>2x1x3</v>
      </c>
    </row>
    <row r="172">
      <c r="A172" s="449" t="s">
        <v>612</v>
      </c>
      <c r="B172" s="449" t="s">
        <v>659</v>
      </c>
      <c r="C172" s="449">
        <f>Swords!$B$100</f>
        <v>1</v>
      </c>
      <c r="D172" s="450" t="s">
        <v>669</v>
      </c>
      <c r="E172" s="487">
        <f>Swords!$C$100</f>
        <v>1237.782805</v>
      </c>
      <c r="F172" s="702">
        <f>Swords!$C$100</f>
        <v>1237.782805</v>
      </c>
      <c r="G172" s="703">
        <f>Swords!$F$100</f>
        <v>45222</v>
      </c>
      <c r="H172" s="473" t="s">
        <v>60</v>
      </c>
      <c r="I172" s="455" t="s">
        <v>60</v>
      </c>
      <c r="J172" s="456">
        <f>Swords!$H$100</f>
        <v>65</v>
      </c>
      <c r="K172" s="456">
        <f>Swords!$E$85</f>
        <v>127.6595745</v>
      </c>
      <c r="L172" s="457" t="s">
        <v>60</v>
      </c>
      <c r="M172" s="458">
        <f>Swords!$M$100</f>
        <v>36.35</v>
      </c>
      <c r="N172" s="613">
        <f>Swords!$M$81</f>
        <v>436</v>
      </c>
      <c r="O172" s="300">
        <f>Swords!$M$82</f>
        <v>1492</v>
      </c>
      <c r="P172" s="117" t="str">
        <f>Swords!$A$100</f>
        <v>3x1x3</v>
      </c>
    </row>
    <row r="173">
      <c r="A173" s="449" t="s">
        <v>612</v>
      </c>
      <c r="B173" s="449" t="s">
        <v>659</v>
      </c>
      <c r="C173" s="449">
        <f>Swords!$B$95</f>
        <v>1</v>
      </c>
      <c r="D173" s="450" t="s">
        <v>669</v>
      </c>
      <c r="E173" s="487">
        <f>Swords!$C$95</f>
        <v>1381.191223</v>
      </c>
      <c r="F173" s="704">
        <f>Swords!$C$95</f>
        <v>1381.191223</v>
      </c>
      <c r="G173" s="705">
        <f>Swords!$F$95</f>
        <v>47113</v>
      </c>
      <c r="H173" s="473" t="s">
        <v>60</v>
      </c>
      <c r="I173" s="455" t="s">
        <v>60</v>
      </c>
      <c r="J173" s="456">
        <f>Swords!$H$95</f>
        <v>65</v>
      </c>
      <c r="K173" s="456">
        <f>Swords!$E$85</f>
        <v>127.6595745</v>
      </c>
      <c r="L173" s="457" t="s">
        <v>60</v>
      </c>
      <c r="M173" s="458">
        <f>Swords!$M$95</f>
        <v>33.87</v>
      </c>
      <c r="N173" s="613">
        <f>Swords!$M$81</f>
        <v>436</v>
      </c>
      <c r="O173" s="300">
        <f>Swords!$M$82</f>
        <v>1492</v>
      </c>
      <c r="P173" s="117" t="str">
        <f>Swords!$A$95</f>
        <v>2x1x2</v>
      </c>
    </row>
    <row r="174">
      <c r="A174" s="449" t="s">
        <v>612</v>
      </c>
      <c r="B174" s="449" t="s">
        <v>659</v>
      </c>
      <c r="C174" s="449">
        <f>Swords!$B$92</f>
        <v>2</v>
      </c>
      <c r="D174" s="450" t="s">
        <v>669</v>
      </c>
      <c r="E174" s="681">
        <f>Swords!$C$92</f>
        <v>1336.700337</v>
      </c>
      <c r="F174" s="706">
        <f>Swords!$C$92</f>
        <v>1336.700337</v>
      </c>
      <c r="G174" s="506">
        <f>Swords!$F$92</f>
        <v>54663</v>
      </c>
      <c r="H174" s="473" t="s">
        <v>60</v>
      </c>
      <c r="I174" s="455" t="s">
        <v>60</v>
      </c>
      <c r="J174" s="456">
        <f>Swords!$H$92</f>
        <v>65</v>
      </c>
      <c r="K174" s="456">
        <f>Swords!$E$85</f>
        <v>127.6595745</v>
      </c>
      <c r="L174" s="457" t="s">
        <v>60</v>
      </c>
      <c r="M174" s="458">
        <f>Swords!$M$92</f>
        <v>40.58</v>
      </c>
      <c r="N174" s="613">
        <f>Swords!$M$81</f>
        <v>436</v>
      </c>
      <c r="O174" s="300">
        <f>Swords!$M$82</f>
        <v>1492</v>
      </c>
      <c r="P174" s="467" t="str">
        <f>Swords!$A$92</f>
        <v>2x1x1</v>
      </c>
    </row>
    <row r="175">
      <c r="A175" s="449" t="s">
        <v>612</v>
      </c>
      <c r="B175" s="449" t="s">
        <v>659</v>
      </c>
      <c r="C175" s="449">
        <f>Swords!$B$101</f>
        <v>2</v>
      </c>
      <c r="D175" s="450" t="s">
        <v>669</v>
      </c>
      <c r="E175" s="487">
        <f>Swords!$C$101</f>
        <v>1264.314516</v>
      </c>
      <c r="F175" s="707">
        <f>Swords!$C$101</f>
        <v>1264.314516</v>
      </c>
      <c r="G175" s="572">
        <f>Swords!$F$101</f>
        <v>46951</v>
      </c>
      <c r="H175" s="473" t="s">
        <v>60</v>
      </c>
      <c r="I175" s="455" t="s">
        <v>60</v>
      </c>
      <c r="J175" s="456">
        <f>Swords!$H$101</f>
        <v>65</v>
      </c>
      <c r="K175" s="456">
        <f>Swords!$E$85</f>
        <v>127.6595745</v>
      </c>
      <c r="L175" s="457" t="s">
        <v>60</v>
      </c>
      <c r="M175" s="458">
        <f>Swords!$M$101</f>
        <v>36.71</v>
      </c>
      <c r="N175" s="613">
        <f>Swords!$M$81</f>
        <v>436</v>
      </c>
      <c r="O175" s="300">
        <f>Swords!$M$82</f>
        <v>1492</v>
      </c>
      <c r="P175" s="467" t="str">
        <f>Swords!$A$101</f>
        <v>4x1x3</v>
      </c>
    </row>
    <row r="176">
      <c r="A176" s="449" t="s">
        <v>612</v>
      </c>
      <c r="B176" s="449" t="s">
        <v>659</v>
      </c>
      <c r="C176" s="449">
        <f>Swords!$B$96</f>
        <v>2</v>
      </c>
      <c r="D176" s="450" t="s">
        <v>669</v>
      </c>
      <c r="E176" s="514">
        <f>Swords!$C$96</f>
        <v>1364.498645</v>
      </c>
      <c r="F176" s="708">
        <f>Swords!$C$96</f>
        <v>1364.498645</v>
      </c>
      <c r="G176" s="559">
        <f>Swords!$F$96</f>
        <v>46769</v>
      </c>
      <c r="H176" s="473" t="s">
        <v>60</v>
      </c>
      <c r="I176" s="455" t="s">
        <v>60</v>
      </c>
      <c r="J176" s="456">
        <f>Swords!$H$96</f>
        <v>65</v>
      </c>
      <c r="K176" s="456">
        <f>Swords!$E$85</f>
        <v>127.6595745</v>
      </c>
      <c r="L176" s="457" t="s">
        <v>60</v>
      </c>
      <c r="M176" s="458">
        <f>Swords!$M$96</f>
        <v>34.2</v>
      </c>
      <c r="N176" s="613">
        <f>Swords!$M$81</f>
        <v>436</v>
      </c>
      <c r="O176" s="300">
        <f>Swords!$M$82</f>
        <v>1492</v>
      </c>
      <c r="P176" s="467" t="str">
        <f>Swords!$A$96</f>
        <v>3x1x2</v>
      </c>
    </row>
    <row r="177">
      <c r="A177" s="449" t="s">
        <v>612</v>
      </c>
      <c r="B177" s="449" t="s">
        <v>659</v>
      </c>
      <c r="C177" s="449">
        <f>Swords!$B$102</f>
        <v>3</v>
      </c>
      <c r="D177" s="450" t="s">
        <v>669</v>
      </c>
      <c r="E177" s="508">
        <f>Swords!$C$102</f>
        <v>1295.054945</v>
      </c>
      <c r="F177" s="709">
        <f>Swords!$C$102</f>
        <v>1295.054945</v>
      </c>
      <c r="G177" s="558">
        <f>Swords!$F$102</f>
        <v>48625</v>
      </c>
      <c r="H177" s="473" t="s">
        <v>60</v>
      </c>
      <c r="I177" s="455" t="s">
        <v>60</v>
      </c>
      <c r="J177" s="456">
        <f>Swords!$H$102</f>
        <v>65</v>
      </c>
      <c r="K177" s="456">
        <f>Swords!$E$85</f>
        <v>127.6595745</v>
      </c>
      <c r="L177" s="457" t="s">
        <v>60</v>
      </c>
      <c r="M177" s="458">
        <f>Swords!$M$102</f>
        <v>36.72</v>
      </c>
      <c r="N177" s="613">
        <f>Swords!$M$81</f>
        <v>436</v>
      </c>
      <c r="O177" s="300">
        <f>Swords!$M$82</f>
        <v>1492</v>
      </c>
      <c r="P177" s="467" t="str">
        <f>Swords!$A$102</f>
        <v>5x1x3</v>
      </c>
    </row>
    <row r="178">
      <c r="A178" s="449" t="s">
        <v>612</v>
      </c>
      <c r="B178" s="449" t="s">
        <v>659</v>
      </c>
      <c r="C178" s="449">
        <f>Swords!$B$93</f>
        <v>3</v>
      </c>
      <c r="D178" s="450" t="s">
        <v>669</v>
      </c>
      <c r="E178" s="498">
        <f>Swords!$C$93</f>
        <v>1288.235294</v>
      </c>
      <c r="F178" s="710">
        <f>Swords!$C$93</f>
        <v>1288.235294</v>
      </c>
      <c r="G178" s="711">
        <f>Swords!$F$93</f>
        <v>50324</v>
      </c>
      <c r="H178" s="473" t="s">
        <v>60</v>
      </c>
      <c r="I178" s="455" t="s">
        <v>60</v>
      </c>
      <c r="J178" s="456">
        <f>Swords!$H$93</f>
        <v>65</v>
      </c>
      <c r="K178" s="456">
        <f>Swords!$E$85</f>
        <v>127.6595745</v>
      </c>
      <c r="L178" s="457" t="s">
        <v>60</v>
      </c>
      <c r="M178" s="458">
        <f>Swords!$M$93</f>
        <v>38.17</v>
      </c>
      <c r="N178" s="613">
        <f>Swords!$M$81</f>
        <v>436</v>
      </c>
      <c r="O178" s="300">
        <f>Swords!$M$82</f>
        <v>1492</v>
      </c>
      <c r="P178" s="467" t="str">
        <f>Swords!$A$93</f>
        <v>3x1x1</v>
      </c>
    </row>
    <row r="179">
      <c r="A179" s="449" t="s">
        <v>612</v>
      </c>
      <c r="B179" s="449" t="s">
        <v>659</v>
      </c>
      <c r="C179" s="449">
        <f>Swords!$B$97</f>
        <v>3</v>
      </c>
      <c r="D179" s="450" t="s">
        <v>669</v>
      </c>
      <c r="E179" s="585">
        <f>Swords!$C$97</f>
        <v>1360.13986</v>
      </c>
      <c r="F179" s="712">
        <f>Swords!$C$97</f>
        <v>1360.13986</v>
      </c>
      <c r="G179" s="536">
        <f>Swords!$F$97</f>
        <v>48134</v>
      </c>
      <c r="H179" s="473" t="s">
        <v>60</v>
      </c>
      <c r="I179" s="455" t="s">
        <v>60</v>
      </c>
      <c r="J179" s="456">
        <f>Swords!$H$97</f>
        <v>65</v>
      </c>
      <c r="K179" s="456">
        <f>Swords!$E$85</f>
        <v>127.6595745</v>
      </c>
      <c r="L179" s="457" t="s">
        <v>60</v>
      </c>
      <c r="M179" s="458">
        <f>Swords!$M$97</f>
        <v>35.31</v>
      </c>
      <c r="N179" s="613">
        <f>Swords!$M$81</f>
        <v>436</v>
      </c>
      <c r="O179" s="300">
        <f>Swords!$M$82</f>
        <v>1492</v>
      </c>
      <c r="P179" s="117" t="str">
        <f>Swords!$A$97</f>
        <v>4x1x2</v>
      </c>
    </row>
    <row r="180">
      <c r="A180" s="449" t="s">
        <v>612</v>
      </c>
      <c r="B180" s="449" t="s">
        <v>659</v>
      </c>
      <c r="C180" s="648">
        <f>Swords!$B$37</f>
        <v>0</v>
      </c>
      <c r="D180" s="649" t="str">
        <f>Swords!$A$33</f>
        <v>Wave Sword (60 Charge Rate)</v>
      </c>
      <c r="E180" s="475">
        <f>Swords!$C$37</f>
        <v>577.8625954</v>
      </c>
      <c r="F180" s="475">
        <f>Swords!$C$37</f>
        <v>577.8625954</v>
      </c>
      <c r="G180" s="480">
        <f>Swords!$F$37</f>
        <v>26094</v>
      </c>
      <c r="H180" s="473" t="s">
        <v>60</v>
      </c>
      <c r="I180" s="455" t="s">
        <v>60</v>
      </c>
      <c r="J180" s="456">
        <f>Swords!$H$37</f>
        <v>69</v>
      </c>
      <c r="K180" s="456">
        <f>Swords!$I$37</f>
        <v>139.5348837</v>
      </c>
      <c r="L180" s="457" t="str">
        <f>Swords!$K$37</f>
        <v>N/A</v>
      </c>
      <c r="M180" s="458">
        <f>Swords!$L$37</f>
        <v>29.67</v>
      </c>
      <c r="N180" s="593">
        <f>Swords!$R$37</f>
        <v>356</v>
      </c>
      <c r="O180" s="641">
        <f>Swords!$S$37</f>
        <v>401</v>
      </c>
      <c r="P180" s="467" t="s">
        <v>660</v>
      </c>
    </row>
    <row r="181">
      <c r="A181" s="449" t="s">
        <v>612</v>
      </c>
      <c r="B181" s="449" t="s">
        <v>659</v>
      </c>
      <c r="C181" s="648">
        <f>Swords!$B$33</f>
        <v>0</v>
      </c>
      <c r="D181" s="649" t="str">
        <f>Swords!$A$33</f>
        <v>Wave Sword (60 Charge Rate)</v>
      </c>
      <c r="E181" s="658">
        <f>Swords!$C$33</f>
        <v>700.7168459</v>
      </c>
      <c r="F181" s="713">
        <f>Swords!$C$33</f>
        <v>700.7168459</v>
      </c>
      <c r="G181" s="588">
        <f>Swords!$F$33</f>
        <v>23460</v>
      </c>
      <c r="H181" s="473" t="s">
        <v>60</v>
      </c>
      <c r="I181" s="455" t="s">
        <v>60</v>
      </c>
      <c r="J181" s="456">
        <f>Swords!$H$33</f>
        <v>69</v>
      </c>
      <c r="K181" s="456">
        <f>Swords!$I$33</f>
        <v>127.6595745</v>
      </c>
      <c r="L181" s="457">
        <f>Swords!$K$33</f>
        <v>1.14</v>
      </c>
      <c r="M181" s="458">
        <f>Swords!$L$33</f>
        <v>31.08</v>
      </c>
      <c r="N181" s="653">
        <f>Swords!$R$33</f>
        <v>427</v>
      </c>
      <c r="O181" s="597">
        <f>Swords!$S$33</f>
        <v>1101</v>
      </c>
      <c r="P181" s="467" t="s">
        <v>661</v>
      </c>
    </row>
    <row r="182">
      <c r="A182" s="449" t="s">
        <v>612</v>
      </c>
      <c r="B182" s="449" t="s">
        <v>659</v>
      </c>
      <c r="C182" s="648">
        <f>Swords!$B$33</f>
        <v>0</v>
      </c>
      <c r="D182" s="649" t="str">
        <f>Swords!$A$33</f>
        <v>Wave Sword (60 Charge Rate)</v>
      </c>
      <c r="E182" s="659">
        <f>Swords!$D$33</f>
        <v>778.4313725</v>
      </c>
      <c r="F182" s="714">
        <f>Swords!$D$33</f>
        <v>778.4313725</v>
      </c>
      <c r="G182" s="588">
        <f>Swords!$G$33</f>
        <v>23820</v>
      </c>
      <c r="H182" s="473" t="s">
        <v>60</v>
      </c>
      <c r="I182" s="455" t="s">
        <v>60</v>
      </c>
      <c r="J182" s="456">
        <f>Swords!$H$33</f>
        <v>69</v>
      </c>
      <c r="K182" s="456">
        <f>Swords!$I$33</f>
        <v>127.6595745</v>
      </c>
      <c r="L182" s="457">
        <f>Swords!$K$33</f>
        <v>1.14</v>
      </c>
      <c r="M182" s="458">
        <f>Swords!$L$33</f>
        <v>31.08</v>
      </c>
      <c r="N182" s="653">
        <f>Swords!$R$33</f>
        <v>427</v>
      </c>
      <c r="O182" s="597">
        <f>Swords!$S$33</f>
        <v>1101</v>
      </c>
      <c r="P182" s="467" t="s">
        <v>662</v>
      </c>
    </row>
    <row r="183">
      <c r="A183" s="449" t="s">
        <v>612</v>
      </c>
      <c r="B183" s="449" t="s">
        <v>659</v>
      </c>
      <c r="C183" s="648">
        <f>Swords!$B$34</f>
        <v>1</v>
      </c>
      <c r="D183" s="649" t="str">
        <f>Swords!$A$33</f>
        <v>Wave Sword (60 Charge Rate)</v>
      </c>
      <c r="E183" s="477">
        <f>Swords!$D$34</f>
        <v>754.8262548</v>
      </c>
      <c r="F183" s="671">
        <f>Swords!$D$34</f>
        <v>754.8262548</v>
      </c>
      <c r="G183" s="588">
        <f>Swords!$G$34</f>
        <v>23460</v>
      </c>
      <c r="H183" s="473" t="s">
        <v>60</v>
      </c>
      <c r="I183" s="455" t="s">
        <v>60</v>
      </c>
      <c r="J183" s="456">
        <f>Swords!$H$34</f>
        <v>69</v>
      </c>
      <c r="K183" s="456">
        <f>Swords!$I$34</f>
        <v>127.6595745</v>
      </c>
      <c r="L183" s="457">
        <f>Swords!$K$34</f>
        <v>0.66</v>
      </c>
      <c r="M183" s="458">
        <f>Swords!$L$34</f>
        <v>29.68</v>
      </c>
      <c r="N183" s="653">
        <f>Swords!$R$34</f>
        <v>427</v>
      </c>
      <c r="O183" s="597">
        <f>Swords!$S$34</f>
        <v>1101</v>
      </c>
      <c r="P183" s="467" t="s">
        <v>662</v>
      </c>
    </row>
    <row r="184">
      <c r="A184" s="449" t="s">
        <v>612</v>
      </c>
      <c r="B184" s="449" t="s">
        <v>659</v>
      </c>
      <c r="C184" s="648">
        <f>Swords!$B$34</f>
        <v>1</v>
      </c>
      <c r="D184" s="649" t="str">
        <f>Swords!$A$33</f>
        <v>Wave Sword (60 Charge Rate)</v>
      </c>
      <c r="E184" s="510">
        <f>Swords!$C$34</f>
        <v>661.4718615</v>
      </c>
      <c r="F184" s="715">
        <f>Swords!$C$34</f>
        <v>661.4718615</v>
      </c>
      <c r="G184" s="581">
        <f>Swords!$F$34</f>
        <v>21392</v>
      </c>
      <c r="H184" s="473" t="s">
        <v>60</v>
      </c>
      <c r="I184" s="455" t="s">
        <v>60</v>
      </c>
      <c r="J184" s="456">
        <f>Swords!$H$34</f>
        <v>69</v>
      </c>
      <c r="K184" s="456">
        <f>Swords!$I$34</f>
        <v>127.6595745</v>
      </c>
      <c r="L184" s="457">
        <f>Swords!$K$34</f>
        <v>0.66</v>
      </c>
      <c r="M184" s="458">
        <f>Swords!$L$34</f>
        <v>29.68</v>
      </c>
      <c r="N184" s="653">
        <f>Swords!$R$34</f>
        <v>427</v>
      </c>
      <c r="O184" s="597">
        <f>Swords!$S$34</f>
        <v>1101</v>
      </c>
      <c r="P184" s="467" t="s">
        <v>661</v>
      </c>
    </row>
    <row r="185">
      <c r="A185" s="449" t="s">
        <v>612</v>
      </c>
      <c r="B185" s="449" t="s">
        <v>659</v>
      </c>
      <c r="C185" s="648">
        <f>Swords!$B$35</f>
        <v>2</v>
      </c>
      <c r="D185" s="649" t="str">
        <f>Swords!$A$33</f>
        <v>Wave Sword (60 Charge Rate)</v>
      </c>
      <c r="E185" s="510">
        <f>Swords!$D$35</f>
        <v>720.754717</v>
      </c>
      <c r="F185" s="631">
        <f>Swords!$D$35</f>
        <v>720.754717</v>
      </c>
      <c r="G185" s="581">
        <f>Swords!$G$35</f>
        <v>21392</v>
      </c>
      <c r="H185" s="473" t="s">
        <v>60</v>
      </c>
      <c r="I185" s="455" t="s">
        <v>60</v>
      </c>
      <c r="J185" s="456">
        <f>Swords!$H$35</f>
        <v>69</v>
      </c>
      <c r="K185" s="456">
        <f>Swords!$I$35</f>
        <v>127.6595745</v>
      </c>
      <c r="L185" s="457">
        <f>Swords!$K$35</f>
        <v>0.24</v>
      </c>
      <c r="M185" s="458">
        <f>Swords!$L$35</f>
        <v>29.7</v>
      </c>
      <c r="N185" s="653">
        <f>Swords!$R$35</f>
        <v>427</v>
      </c>
      <c r="O185" s="597">
        <f>Swords!$S$35</f>
        <v>1101</v>
      </c>
      <c r="P185" s="467" t="s">
        <v>662</v>
      </c>
    </row>
    <row r="186">
      <c r="A186" s="449" t="s">
        <v>612</v>
      </c>
      <c r="B186" s="449" t="s">
        <v>659</v>
      </c>
      <c r="C186" s="648">
        <f>Swords!$B$35</f>
        <v>2</v>
      </c>
      <c r="D186" s="649" t="str">
        <f>Swords!$A$33</f>
        <v>Wave Sword (60 Charge Rate)</v>
      </c>
      <c r="E186" s="510">
        <f>Swords!$C$35</f>
        <v>582.5396825</v>
      </c>
      <c r="F186" s="604">
        <f>Swords!$C$35</f>
        <v>582.5396825</v>
      </c>
      <c r="G186" s="526">
        <f>Swords!$F$35</f>
        <v>19818</v>
      </c>
      <c r="H186" s="473" t="s">
        <v>60</v>
      </c>
      <c r="I186" s="455" t="s">
        <v>60</v>
      </c>
      <c r="J186" s="456">
        <f>Swords!$H$35</f>
        <v>69</v>
      </c>
      <c r="K186" s="456">
        <f>Swords!$I$35</f>
        <v>127.6595745</v>
      </c>
      <c r="L186" s="457">
        <f>Swords!$K$35</f>
        <v>0.24</v>
      </c>
      <c r="M186" s="458">
        <f>Swords!$L$35</f>
        <v>29.7</v>
      </c>
      <c r="N186" s="653">
        <f>Swords!$R$35</f>
        <v>427</v>
      </c>
      <c r="O186" s="597">
        <f>Swords!$S$35</f>
        <v>1101</v>
      </c>
      <c r="P186" s="467" t="s">
        <v>661</v>
      </c>
    </row>
    <row r="187">
      <c r="A187" s="449" t="s">
        <v>612</v>
      </c>
      <c r="B187" s="449" t="s">
        <v>659</v>
      </c>
      <c r="C187" s="648">
        <f>Swords!$B$36</f>
        <v>3</v>
      </c>
      <c r="D187" s="649" t="str">
        <f>Swords!$A$33</f>
        <v>Wave Sword (60 Charge Rate)</v>
      </c>
      <c r="E187" s="579">
        <f>Swords!$C$36</f>
        <v>625.5681818</v>
      </c>
      <c r="F187" s="574">
        <f>Swords!$C$36</f>
        <v>625.5681818</v>
      </c>
      <c r="G187" s="588">
        <f>Swords!$F$36</f>
        <v>19818</v>
      </c>
      <c r="H187" s="473" t="s">
        <v>60</v>
      </c>
      <c r="I187" s="455" t="s">
        <v>60</v>
      </c>
      <c r="J187" s="456">
        <f>Swords!$H$36</f>
        <v>69</v>
      </c>
      <c r="K187" s="456">
        <f>Swords!$I$36</f>
        <v>127.6595745</v>
      </c>
      <c r="L187" s="457">
        <f>Swords!$K$36</f>
        <v>0.11</v>
      </c>
      <c r="M187" s="458">
        <f>Swords!$L$36</f>
        <v>29.7</v>
      </c>
      <c r="N187" s="653">
        <f>Swords!$R$36</f>
        <v>427</v>
      </c>
      <c r="O187" s="597">
        <f>Swords!$S$36</f>
        <v>1101</v>
      </c>
      <c r="P187" s="467" t="s">
        <v>661</v>
      </c>
    </row>
    <row r="188">
      <c r="A188" s="449" t="s">
        <v>612</v>
      </c>
      <c r="B188" s="449" t="s">
        <v>659</v>
      </c>
      <c r="C188" s="648">
        <f>Swords!$B$36</f>
        <v>3</v>
      </c>
      <c r="D188" s="649" t="str">
        <f>Swords!$A$33</f>
        <v>Wave Sword (60 Charge Rate)</v>
      </c>
      <c r="E188" s="485">
        <f>Swords!$D$36</f>
        <v>720.754717</v>
      </c>
      <c r="F188" s="664">
        <f>Swords!$D$36</f>
        <v>720.754717</v>
      </c>
      <c r="G188" s="526">
        <f>Swords!$G$36</f>
        <v>21392</v>
      </c>
      <c r="H188" s="473" t="s">
        <v>60</v>
      </c>
      <c r="I188" s="455" t="s">
        <v>60</v>
      </c>
      <c r="J188" s="456">
        <f>Swords!$H$36</f>
        <v>69</v>
      </c>
      <c r="K188" s="456">
        <f>Swords!$I$36</f>
        <v>127.6595745</v>
      </c>
      <c r="L188" s="457">
        <f>Swords!$K$36</f>
        <v>0.11</v>
      </c>
      <c r="M188" s="458">
        <f>Swords!$L$36</f>
        <v>29.7</v>
      </c>
      <c r="N188" s="653">
        <f>Swords!$R$36</f>
        <v>427</v>
      </c>
      <c r="O188" s="597">
        <f>Swords!$S$36</f>
        <v>1101</v>
      </c>
      <c r="P188" s="467" t="s">
        <v>662</v>
      </c>
    </row>
    <row r="189">
      <c r="A189" s="449" t="s">
        <v>612</v>
      </c>
      <c r="B189" s="449" t="s">
        <v>659</v>
      </c>
      <c r="C189" s="648" t="str">
        <f>Swords!$B$38</f>
        <v>N/A</v>
      </c>
      <c r="D189" s="649" t="str">
        <f>Swords!$A$33</f>
        <v>Wave Sword (60 Charge Rate)</v>
      </c>
      <c r="E189" s="673">
        <f>Swords!$C$38</f>
        <v>908.5106383</v>
      </c>
      <c r="F189" s="592">
        <f>Swords!$C$38</f>
        <v>908.5106383</v>
      </c>
      <c r="G189" s="588">
        <f>Swords!$F$38</f>
        <v>29463</v>
      </c>
      <c r="H189" s="473" t="s">
        <v>60</v>
      </c>
      <c r="I189" s="455" t="s">
        <v>60</v>
      </c>
      <c r="J189" s="456">
        <f>Swords!$H$38</f>
        <v>69</v>
      </c>
      <c r="K189" s="456">
        <f>Swords!$I$38</f>
        <v>127.6595745</v>
      </c>
      <c r="L189" s="457" t="str">
        <f>Swords!$K$38</f>
        <v>N/A</v>
      </c>
      <c r="M189" s="458" t="str">
        <f>Swords!$L$38</f>
        <v>N/A</v>
      </c>
      <c r="N189" s="653">
        <f>Swords!$R$38</f>
        <v>427</v>
      </c>
      <c r="O189" s="597" t="str">
        <f>Swords!$S$38</f>
        <v>N/A</v>
      </c>
      <c r="P189" s="467" t="s">
        <v>663</v>
      </c>
    </row>
    <row r="190">
      <c r="A190" s="449" t="s">
        <v>612</v>
      </c>
      <c r="B190" s="449" t="s">
        <v>659</v>
      </c>
      <c r="C190" s="648">
        <f>Swords!$B$43</f>
        <v>0</v>
      </c>
      <c r="D190" s="649" t="str">
        <f>Swords!$A$27</f>
        <v>Wave Sword (30 Charge Rate)</v>
      </c>
      <c r="E190" s="475">
        <f>Swords!$C$43</f>
        <v>715.1724138</v>
      </c>
      <c r="F190" s="567">
        <f>Swords!$C$43</f>
        <v>715.1724138</v>
      </c>
      <c r="G190" s="480">
        <f>Swords!$F$43</f>
        <v>29324</v>
      </c>
      <c r="H190" s="473" t="s">
        <v>60</v>
      </c>
      <c r="I190" s="455" t="s">
        <v>60</v>
      </c>
      <c r="J190" s="456">
        <f>Swords!$H$43</f>
        <v>86</v>
      </c>
      <c r="K190" s="456">
        <f>Swords!$I$43</f>
        <v>120</v>
      </c>
      <c r="L190" s="457" t="str">
        <f>Swords!$K$43</f>
        <v>N/A</v>
      </c>
      <c r="M190" s="458">
        <f>Swords!$L$43</f>
        <v>43</v>
      </c>
      <c r="N190" s="593">
        <f>Swords!$R$43</f>
        <v>288</v>
      </c>
      <c r="O190" s="641">
        <f>Swords!$S$43</f>
        <v>749</v>
      </c>
      <c r="P190" s="467" t="s">
        <v>660</v>
      </c>
    </row>
    <row r="191">
      <c r="A191" s="449" t="s">
        <v>612</v>
      </c>
      <c r="B191" s="449" t="s">
        <v>659</v>
      </c>
      <c r="C191" s="648">
        <f>Swords!$B$27</f>
        <v>0</v>
      </c>
      <c r="D191" s="649" t="str">
        <f>Swords!$A$27</f>
        <v>Wave Sword (30 Charge Rate)</v>
      </c>
      <c r="E191" s="658" t="str">
        <f>Swords!$C$27</f>
        <v>#VALUE!</v>
      </c>
      <c r="F191" s="713" t="str">
        <f>Swords!$C$27</f>
        <v>#VALUE!</v>
      </c>
      <c r="G191" s="588" t="str">
        <f>Swords!$F$27</f>
        <v>#VALUE!</v>
      </c>
      <c r="H191" s="473" t="s">
        <v>60</v>
      </c>
      <c r="I191" s="455" t="s">
        <v>60</v>
      </c>
      <c r="J191" s="456">
        <f>Swords!$H$27</f>
        <v>69</v>
      </c>
      <c r="K191" s="456">
        <f>Swords!$I$27</f>
        <v>127.6595745</v>
      </c>
      <c r="L191" s="457" t="str">
        <f>Swords!$K$27</f>
        <v>???</v>
      </c>
      <c r="M191" s="458" t="str">
        <f>Swords!$L$27</f>
        <v>#VALUE!</v>
      </c>
      <c r="N191" s="653" t="str">
        <f>Swords!$R$27</f>
        <v>???</v>
      </c>
      <c r="O191" s="597" t="str">
        <f>Swords!$S$27</f>
        <v>???</v>
      </c>
      <c r="P191" s="467" t="s">
        <v>661</v>
      </c>
    </row>
    <row r="192">
      <c r="A192" s="449" t="s">
        <v>612</v>
      </c>
      <c r="B192" s="449" t="s">
        <v>659</v>
      </c>
      <c r="C192" s="648">
        <f>Swords!$B$27</f>
        <v>0</v>
      </c>
      <c r="D192" s="649" t="str">
        <f>Swords!$A$27</f>
        <v>Wave Sword (30 Charge Rate)</v>
      </c>
      <c r="E192" s="659" t="str">
        <f>Swords!$D$27</f>
        <v>#VALUE!</v>
      </c>
      <c r="F192" s="714" t="str">
        <f>Swords!$D$27</f>
        <v>#VALUE!</v>
      </c>
      <c r="G192" s="588" t="str">
        <f>Swords!$G$27</f>
        <v>#VALUE!</v>
      </c>
      <c r="H192" s="473" t="s">
        <v>60</v>
      </c>
      <c r="I192" s="455" t="s">
        <v>60</v>
      </c>
      <c r="J192" s="456">
        <f>Swords!$H$27</f>
        <v>69</v>
      </c>
      <c r="K192" s="456">
        <f>Swords!$I$27</f>
        <v>127.6595745</v>
      </c>
      <c r="L192" s="457" t="str">
        <f>Swords!$K$27</f>
        <v>???</v>
      </c>
      <c r="M192" s="458" t="str">
        <f>Swords!$L$27</f>
        <v>#VALUE!</v>
      </c>
      <c r="N192" s="653" t="str">
        <f>Swords!$R$27</f>
        <v>???</v>
      </c>
      <c r="O192" s="597" t="str">
        <f>Swords!$S$27</f>
        <v>???</v>
      </c>
      <c r="P192" s="467" t="s">
        <v>662</v>
      </c>
    </row>
    <row r="193">
      <c r="A193" s="449" t="s">
        <v>612</v>
      </c>
      <c r="B193" s="449" t="s">
        <v>659</v>
      </c>
      <c r="C193" s="648">
        <f>Swords!$B$28</f>
        <v>1</v>
      </c>
      <c r="D193" s="649" t="str">
        <f>Swords!$A$27</f>
        <v>Wave Sword (30 Charge Rate)</v>
      </c>
      <c r="E193" s="477" t="str">
        <f>Swords!$D$28</f>
        <v>#VALUE!</v>
      </c>
      <c r="F193" s="671" t="str">
        <f>Swords!$D$28</f>
        <v>#VALUE!</v>
      </c>
      <c r="G193" s="588" t="str">
        <f>Swords!$G$28</f>
        <v>#VALUE!</v>
      </c>
      <c r="H193" s="473" t="s">
        <v>60</v>
      </c>
      <c r="I193" s="455" t="s">
        <v>60</v>
      </c>
      <c r="J193" s="456">
        <f>Swords!$H$28</f>
        <v>69</v>
      </c>
      <c r="K193" s="456">
        <f>Swords!$I$28</f>
        <v>127.6595745</v>
      </c>
      <c r="L193" s="457" t="str">
        <f>Swords!$K$28</f>
        <v>???</v>
      </c>
      <c r="M193" s="458" t="str">
        <f>Swords!$L$28</f>
        <v>#VALUE!</v>
      </c>
      <c r="N193" s="653" t="str">
        <f>Swords!$R$28</f>
        <v>???</v>
      </c>
      <c r="O193" s="597" t="str">
        <f>Swords!$S$28</f>
        <v>???</v>
      </c>
      <c r="P193" s="467" t="s">
        <v>662</v>
      </c>
    </row>
    <row r="194">
      <c r="A194" s="449" t="s">
        <v>612</v>
      </c>
      <c r="B194" s="449" t="s">
        <v>659</v>
      </c>
      <c r="C194" s="648">
        <f>Swords!$B$28</f>
        <v>1</v>
      </c>
      <c r="D194" s="649" t="str">
        <f>Swords!$A$27</f>
        <v>Wave Sword (30 Charge Rate)</v>
      </c>
      <c r="E194" s="510" t="str">
        <f>Swords!$C$28</f>
        <v>#VALUE!</v>
      </c>
      <c r="F194" s="715" t="str">
        <f>Swords!$C$28</f>
        <v>#VALUE!</v>
      </c>
      <c r="G194" s="581" t="str">
        <f>Swords!$F$28</f>
        <v>#VALUE!</v>
      </c>
      <c r="H194" s="473" t="s">
        <v>60</v>
      </c>
      <c r="I194" s="455" t="s">
        <v>60</v>
      </c>
      <c r="J194" s="456">
        <f>Swords!$H$28</f>
        <v>69</v>
      </c>
      <c r="K194" s="456">
        <f>Swords!$I$28</f>
        <v>127.6595745</v>
      </c>
      <c r="L194" s="457" t="str">
        <f>Swords!$K$28</f>
        <v>???</v>
      </c>
      <c r="M194" s="458" t="str">
        <f>Swords!$L$28</f>
        <v>#VALUE!</v>
      </c>
      <c r="N194" s="653" t="str">
        <f>Swords!$R$28</f>
        <v>???</v>
      </c>
      <c r="O194" s="597" t="str">
        <f>Swords!$S$28</f>
        <v>???</v>
      </c>
      <c r="P194" s="467" t="s">
        <v>661</v>
      </c>
    </row>
    <row r="195">
      <c r="A195" s="449" t="s">
        <v>612</v>
      </c>
      <c r="B195" s="449" t="s">
        <v>659</v>
      </c>
      <c r="C195" s="648">
        <f>Swords!$B$29</f>
        <v>2</v>
      </c>
      <c r="D195" s="649" t="str">
        <f>Swords!$A$27</f>
        <v>Wave Sword (30 Charge Rate)</v>
      </c>
      <c r="E195" s="510" t="str">
        <f>Swords!$D$29</f>
        <v>#VALUE!</v>
      </c>
      <c r="F195" s="631" t="str">
        <f>Swords!$D$29</f>
        <v>#VALUE!</v>
      </c>
      <c r="G195" s="581" t="str">
        <f>Swords!$G$29</f>
        <v>#VALUE!</v>
      </c>
      <c r="H195" s="473" t="s">
        <v>60</v>
      </c>
      <c r="I195" s="455" t="s">
        <v>60</v>
      </c>
      <c r="J195" s="456">
        <f>Swords!$H$29</f>
        <v>69</v>
      </c>
      <c r="K195" s="456">
        <f>Swords!$I$29</f>
        <v>127.6595745</v>
      </c>
      <c r="L195" s="457" t="str">
        <f>Swords!$K$29</f>
        <v>???</v>
      </c>
      <c r="M195" s="458" t="str">
        <f>Swords!$L$29</f>
        <v>#VALUE!</v>
      </c>
      <c r="N195" s="653" t="str">
        <f>Swords!$R$29</f>
        <v>???</v>
      </c>
      <c r="O195" s="597" t="str">
        <f>Swords!$S$29</f>
        <v>???</v>
      </c>
      <c r="P195" s="467" t="s">
        <v>662</v>
      </c>
    </row>
    <row r="196">
      <c r="A196" s="449" t="s">
        <v>612</v>
      </c>
      <c r="B196" s="449" t="s">
        <v>659</v>
      </c>
      <c r="C196" s="648">
        <f>Swords!$B$29</f>
        <v>2</v>
      </c>
      <c r="D196" s="649" t="str">
        <f>Swords!$A$27</f>
        <v>Wave Sword (30 Charge Rate)</v>
      </c>
      <c r="E196" s="510" t="str">
        <f>Swords!$C$29</f>
        <v>#VALUE!</v>
      </c>
      <c r="F196" s="604" t="str">
        <f>Swords!$C$29</f>
        <v>#VALUE!</v>
      </c>
      <c r="G196" s="526" t="str">
        <f>Swords!$F$29</f>
        <v>#VALUE!</v>
      </c>
      <c r="H196" s="473" t="s">
        <v>60</v>
      </c>
      <c r="I196" s="455" t="s">
        <v>60</v>
      </c>
      <c r="J196" s="456">
        <f>Swords!$H$29</f>
        <v>69</v>
      </c>
      <c r="K196" s="456">
        <f>Swords!$I$29</f>
        <v>127.6595745</v>
      </c>
      <c r="L196" s="457" t="str">
        <f>Swords!$K$29</f>
        <v>???</v>
      </c>
      <c r="M196" s="458" t="str">
        <f>Swords!$L$29</f>
        <v>#VALUE!</v>
      </c>
      <c r="N196" s="653" t="str">
        <f>Swords!$R$29</f>
        <v>???</v>
      </c>
      <c r="O196" s="597" t="str">
        <f>Swords!$S$29</f>
        <v>???</v>
      </c>
      <c r="P196" s="467" t="s">
        <v>661</v>
      </c>
    </row>
    <row r="197">
      <c r="A197" s="449" t="s">
        <v>612</v>
      </c>
      <c r="B197" s="449" t="s">
        <v>659</v>
      </c>
      <c r="C197" s="648">
        <f>Swords!$B$30</f>
        <v>3</v>
      </c>
      <c r="D197" s="649" t="str">
        <f>Swords!$A$27</f>
        <v>Wave Sword (30 Charge Rate)</v>
      </c>
      <c r="E197" s="579" t="str">
        <f>Swords!$C$30</f>
        <v>#VALUE!</v>
      </c>
      <c r="F197" s="574" t="str">
        <f>Swords!$C$30</f>
        <v>#VALUE!</v>
      </c>
      <c r="G197" s="588" t="str">
        <f>Swords!$F$30</f>
        <v>#VALUE!</v>
      </c>
      <c r="H197" s="473" t="s">
        <v>60</v>
      </c>
      <c r="I197" s="455" t="s">
        <v>60</v>
      </c>
      <c r="J197" s="456">
        <f>Swords!$H$30</f>
        <v>69</v>
      </c>
      <c r="K197" s="456">
        <f>Swords!$I$30</f>
        <v>127.6595745</v>
      </c>
      <c r="L197" s="457" t="str">
        <f>Swords!$K$30</f>
        <v>???</v>
      </c>
      <c r="M197" s="458" t="str">
        <f>Swords!$L$30</f>
        <v>#VALUE!</v>
      </c>
      <c r="N197" s="653" t="str">
        <f>Swords!$R$30</f>
        <v>???</v>
      </c>
      <c r="O197" s="597" t="str">
        <f>Swords!$S$30</f>
        <v>???</v>
      </c>
      <c r="P197" s="467" t="s">
        <v>661</v>
      </c>
    </row>
    <row r="198">
      <c r="A198" s="449" t="s">
        <v>612</v>
      </c>
      <c r="B198" s="449" t="s">
        <v>659</v>
      </c>
      <c r="C198" s="648">
        <f>Swords!$B$30</f>
        <v>3</v>
      </c>
      <c r="D198" s="649" t="str">
        <f>Swords!$A$27</f>
        <v>Wave Sword (30 Charge Rate)</v>
      </c>
      <c r="E198" s="485" t="str">
        <f>Swords!$D$30</f>
        <v>#VALUE!</v>
      </c>
      <c r="F198" s="664" t="str">
        <f>Swords!$D$30</f>
        <v>#VALUE!</v>
      </c>
      <c r="G198" s="526" t="str">
        <f>Swords!$G$30</f>
        <v>#VALUE!</v>
      </c>
      <c r="H198" s="473" t="s">
        <v>60</v>
      </c>
      <c r="I198" s="455" t="s">
        <v>60</v>
      </c>
      <c r="J198" s="456">
        <f>Swords!$H$30</f>
        <v>69</v>
      </c>
      <c r="K198" s="456">
        <f>Swords!$I$30</f>
        <v>127.6595745</v>
      </c>
      <c r="L198" s="457" t="str">
        <f>Swords!$K$30</f>
        <v>???</v>
      </c>
      <c r="M198" s="458" t="str">
        <f>Swords!$L$30</f>
        <v>#VALUE!</v>
      </c>
      <c r="N198" s="653" t="str">
        <f>Swords!$R$30</f>
        <v>???</v>
      </c>
      <c r="O198" s="597" t="str">
        <f>Swords!$S$30</f>
        <v>???</v>
      </c>
      <c r="P198" s="467" t="s">
        <v>662</v>
      </c>
    </row>
    <row r="199">
      <c r="A199" s="449" t="s">
        <v>612</v>
      </c>
      <c r="B199" s="449" t="s">
        <v>659</v>
      </c>
      <c r="C199" s="648" t="str">
        <f>Swords!$B$32</f>
        <v>N/A</v>
      </c>
      <c r="D199" s="649" t="str">
        <f>Swords!$A$27</f>
        <v>Wave Sword (30 Charge Rate)</v>
      </c>
      <c r="E199" s="673" t="str">
        <f>Swords!$C$32</f>
        <v>#VALUE!</v>
      </c>
      <c r="F199" s="592" t="str">
        <f>Swords!$C$32</f>
        <v>#VALUE!</v>
      </c>
      <c r="G199" s="588" t="str">
        <f>Swords!$F$32</f>
        <v>#VALUE!</v>
      </c>
      <c r="H199" s="473" t="s">
        <v>60</v>
      </c>
      <c r="I199" s="455" t="s">
        <v>60</v>
      </c>
      <c r="J199" s="456">
        <f>Swords!$H$32</f>
        <v>69</v>
      </c>
      <c r="K199" s="456">
        <f>Swords!$I$32</f>
        <v>127.6595745</v>
      </c>
      <c r="L199" s="457" t="str">
        <f>Swords!$K$32</f>
        <v>N/A</v>
      </c>
      <c r="M199" s="458" t="str">
        <f>Swords!$L$32</f>
        <v>N/A</v>
      </c>
      <c r="N199" s="653" t="str">
        <f>Swords!$R$32</f>
        <v>???</v>
      </c>
      <c r="O199" s="597" t="str">
        <f>Swords!$S$32</f>
        <v>N/A</v>
      </c>
      <c r="P199" s="467" t="s">
        <v>663</v>
      </c>
    </row>
    <row r="200">
      <c r="A200" s="449" t="s">
        <v>612</v>
      </c>
      <c r="B200" s="449" t="s">
        <v>659</v>
      </c>
      <c r="C200" s="648">
        <f>Swords!$B$43</f>
        <v>0</v>
      </c>
      <c r="D200" s="649" t="str">
        <f>Swords!$A$39</f>
        <v>Lightweight</v>
      </c>
      <c r="E200" s="475">
        <f>Swords!$C$43</f>
        <v>715.1724138</v>
      </c>
      <c r="F200" s="567">
        <f>Swords!$C$43</f>
        <v>715.1724138</v>
      </c>
      <c r="G200" s="480">
        <f>Swords!$F$43</f>
        <v>29324</v>
      </c>
      <c r="H200" s="473" t="s">
        <v>60</v>
      </c>
      <c r="I200" s="455" t="s">
        <v>60</v>
      </c>
      <c r="J200" s="456">
        <f>Swords!$H$43</f>
        <v>86</v>
      </c>
      <c r="K200" s="456">
        <f>Swords!$I$43</f>
        <v>120</v>
      </c>
      <c r="L200" s="457" t="str">
        <f>Swords!$K$43</f>
        <v>N/A</v>
      </c>
      <c r="M200" s="458">
        <f>Swords!$L$43</f>
        <v>43</v>
      </c>
      <c r="N200" s="593">
        <f>Swords!$R$43</f>
        <v>288</v>
      </c>
      <c r="O200" s="641">
        <f>Swords!$S$43</f>
        <v>749</v>
      </c>
      <c r="P200" s="467" t="s">
        <v>660</v>
      </c>
    </row>
    <row r="201">
      <c r="A201" s="449" t="s">
        <v>612</v>
      </c>
      <c r="B201" s="449" t="s">
        <v>659</v>
      </c>
      <c r="C201" s="648">
        <f>Swords!$B$39</f>
        <v>0</v>
      </c>
      <c r="D201" s="649" t="str">
        <f>Swords!$A$39</f>
        <v>Lightweight</v>
      </c>
      <c r="E201" s="658">
        <f>Swords!$C$39</f>
        <v>993.4782609</v>
      </c>
      <c r="F201" s="713">
        <f>Swords!$C$39</f>
        <v>993.4782609</v>
      </c>
      <c r="G201" s="588">
        <f>Swords!$F$39</f>
        <v>35189</v>
      </c>
      <c r="H201" s="473" t="s">
        <v>60</v>
      </c>
      <c r="I201" s="455" t="s">
        <v>60</v>
      </c>
      <c r="J201" s="456">
        <f>Swords!$H$39</f>
        <v>86</v>
      </c>
      <c r="K201" s="456">
        <f>Swords!$I$39</f>
        <v>135.5932203</v>
      </c>
      <c r="L201" s="457">
        <f>Swords!$K$39</f>
        <v>2.27</v>
      </c>
      <c r="M201" s="458">
        <f>Swords!$L$39</f>
        <v>34.7875</v>
      </c>
      <c r="N201" s="653">
        <f>Swords!$R$39</f>
        <v>400</v>
      </c>
      <c r="O201" s="597">
        <f>Swords!$S$39</f>
        <v>1199</v>
      </c>
      <c r="P201" s="467" t="s">
        <v>661</v>
      </c>
    </row>
    <row r="202">
      <c r="A202" s="449" t="s">
        <v>612</v>
      </c>
      <c r="B202" s="449" t="s">
        <v>659</v>
      </c>
      <c r="C202" s="648">
        <f>Swords!$B$39</f>
        <v>0</v>
      </c>
      <c r="D202" s="649" t="str">
        <f>Swords!$A$39</f>
        <v>Lightweight</v>
      </c>
      <c r="E202" s="659">
        <f>Swords!$D$39</f>
        <v>998.3356449</v>
      </c>
      <c r="F202" s="714">
        <f>Swords!$D$39</f>
        <v>998.3356449</v>
      </c>
      <c r="G202" s="588">
        <f>Swords!$G$39</f>
        <v>34391</v>
      </c>
      <c r="H202" s="473" t="s">
        <v>60</v>
      </c>
      <c r="I202" s="455" t="s">
        <v>60</v>
      </c>
      <c r="J202" s="456">
        <f>Swords!$H$39</f>
        <v>86</v>
      </c>
      <c r="K202" s="456">
        <f>Swords!$I$39</f>
        <v>135.5932203</v>
      </c>
      <c r="L202" s="457">
        <f>Swords!$K$39</f>
        <v>2.27</v>
      </c>
      <c r="M202" s="458">
        <f>Swords!$L$39</f>
        <v>34.7875</v>
      </c>
      <c r="N202" s="653">
        <f>Swords!$R$39</f>
        <v>400</v>
      </c>
      <c r="O202" s="597">
        <f>Swords!$S$39</f>
        <v>1199</v>
      </c>
      <c r="P202" s="467" t="s">
        <v>662</v>
      </c>
    </row>
    <row r="203">
      <c r="A203" s="449" t="s">
        <v>612</v>
      </c>
      <c r="B203" s="449" t="s">
        <v>659</v>
      </c>
      <c r="C203" s="648">
        <f>Swords!$B$40</f>
        <v>1</v>
      </c>
      <c r="D203" s="649" t="str">
        <f>Swords!$A$39</f>
        <v>Lightweight</v>
      </c>
      <c r="E203" s="477">
        <f>Swords!$D$40</f>
        <v>1011.541502</v>
      </c>
      <c r="F203" s="671">
        <f>Swords!$D$40</f>
        <v>1011.541502</v>
      </c>
      <c r="G203" s="588">
        <f>Swords!$G$40</f>
        <v>35189</v>
      </c>
      <c r="H203" s="473" t="s">
        <v>60</v>
      </c>
      <c r="I203" s="455" t="s">
        <v>60</v>
      </c>
      <c r="J203" s="456">
        <f>Swords!$H$40</f>
        <v>86</v>
      </c>
      <c r="K203" s="456">
        <f>Swords!$I$40</f>
        <v>135.5932203</v>
      </c>
      <c r="L203" s="457">
        <f>Swords!$K$40</f>
        <v>1.79</v>
      </c>
      <c r="M203" s="458">
        <f>Swords!$L$40</f>
        <v>33.525</v>
      </c>
      <c r="N203" s="653">
        <f>Swords!$R$40</f>
        <v>400</v>
      </c>
      <c r="O203" s="597">
        <f>Swords!$S$40</f>
        <v>1199</v>
      </c>
      <c r="P203" s="467" t="s">
        <v>662</v>
      </c>
    </row>
    <row r="204">
      <c r="A204" s="449" t="s">
        <v>612</v>
      </c>
      <c r="B204" s="449" t="s">
        <v>659</v>
      </c>
      <c r="C204" s="648">
        <f>Swords!$B$40</f>
        <v>1</v>
      </c>
      <c r="D204" s="649" t="str">
        <f>Swords!$A$39</f>
        <v>Lightweight</v>
      </c>
      <c r="E204" s="510">
        <f>Swords!$C$40</f>
        <v>1021.532847</v>
      </c>
      <c r="F204" s="715">
        <f>Swords!$C$40</f>
        <v>1021.532847</v>
      </c>
      <c r="G204" s="581">
        <f>Swords!$F$40</f>
        <v>34388</v>
      </c>
      <c r="H204" s="473" t="s">
        <v>60</v>
      </c>
      <c r="I204" s="455" t="s">
        <v>60</v>
      </c>
      <c r="J204" s="456">
        <f>Swords!$H$40</f>
        <v>86</v>
      </c>
      <c r="K204" s="456">
        <f>Swords!$I$40</f>
        <v>135.5932203</v>
      </c>
      <c r="L204" s="457">
        <f>Swords!$K$40</f>
        <v>1.79</v>
      </c>
      <c r="M204" s="458">
        <f>Swords!$L$40</f>
        <v>33.525</v>
      </c>
      <c r="N204" s="653">
        <f>Swords!$R$40</f>
        <v>400</v>
      </c>
      <c r="O204" s="597">
        <f>Swords!$S$40</f>
        <v>1199</v>
      </c>
      <c r="P204" s="467" t="s">
        <v>661</v>
      </c>
    </row>
    <row r="205">
      <c r="A205" s="449" t="s">
        <v>612</v>
      </c>
      <c r="B205" s="449" t="s">
        <v>659</v>
      </c>
      <c r="C205" s="648">
        <f>Swords!$B$41</f>
        <v>2</v>
      </c>
      <c r="D205" s="649" t="str">
        <f>Swords!$A$39</f>
        <v>Lightweight</v>
      </c>
      <c r="E205" s="510">
        <f>Swords!$D$41</f>
        <v>1029.044118</v>
      </c>
      <c r="F205" s="631">
        <f>Swords!$D$41</f>
        <v>1029.044118</v>
      </c>
      <c r="G205" s="581">
        <f>Swords!$G$41</f>
        <v>34388</v>
      </c>
      <c r="H205" s="473" t="s">
        <v>60</v>
      </c>
      <c r="I205" s="455" t="s">
        <v>60</v>
      </c>
      <c r="J205" s="456">
        <f>Swords!$H$41</f>
        <v>86</v>
      </c>
      <c r="K205" s="456">
        <f>Swords!$I$41</f>
        <v>135.5932203</v>
      </c>
      <c r="L205" s="457">
        <f>Swords!$K$41</f>
        <v>1.36</v>
      </c>
      <c r="M205" s="458">
        <f>Swords!$L$41</f>
        <v>32.77</v>
      </c>
      <c r="N205" s="653">
        <f>Swords!$R$41</f>
        <v>400</v>
      </c>
      <c r="O205" s="597">
        <f>Swords!$S$41</f>
        <v>1199</v>
      </c>
      <c r="P205" s="467" t="s">
        <v>662</v>
      </c>
    </row>
    <row r="206">
      <c r="A206" s="449" t="s">
        <v>612</v>
      </c>
      <c r="B206" s="449" t="s">
        <v>659</v>
      </c>
      <c r="C206" s="648">
        <f>Swords!$B$41</f>
        <v>2</v>
      </c>
      <c r="D206" s="649" t="str">
        <f>Swords!$A$39</f>
        <v>Lightweight</v>
      </c>
      <c r="E206" s="510">
        <f>Swords!$C$41</f>
        <v>1038.528139</v>
      </c>
      <c r="F206" s="604">
        <f>Swords!$C$41</f>
        <v>1038.528139</v>
      </c>
      <c r="G206" s="526">
        <f>Swords!$F$41</f>
        <v>34386</v>
      </c>
      <c r="H206" s="473" t="s">
        <v>60</v>
      </c>
      <c r="I206" s="455" t="s">
        <v>60</v>
      </c>
      <c r="J206" s="456">
        <f>Swords!$H$41</f>
        <v>86</v>
      </c>
      <c r="K206" s="456">
        <f>Swords!$I$41</f>
        <v>135.5932203</v>
      </c>
      <c r="L206" s="457">
        <f>Swords!$K$41</f>
        <v>1.36</v>
      </c>
      <c r="M206" s="458">
        <f>Swords!$L$41</f>
        <v>32.77</v>
      </c>
      <c r="N206" s="653">
        <f>Swords!$R$41</f>
        <v>400</v>
      </c>
      <c r="O206" s="597">
        <f>Swords!$S$41</f>
        <v>1199</v>
      </c>
      <c r="P206" s="467" t="s">
        <v>661</v>
      </c>
    </row>
    <row r="207">
      <c r="A207" s="449" t="s">
        <v>612</v>
      </c>
      <c r="B207" s="449" t="s">
        <v>659</v>
      </c>
      <c r="C207" s="648">
        <f>Swords!$B$42</f>
        <v>3</v>
      </c>
      <c r="D207" s="649" t="str">
        <f>Swords!$A$39</f>
        <v>Lightweight</v>
      </c>
      <c r="E207" s="579">
        <f>Swords!$C$42</f>
        <v>925.462963</v>
      </c>
      <c r="F207" s="574">
        <f>Swords!$C$42</f>
        <v>925.462963</v>
      </c>
      <c r="G207" s="588">
        <f>Swords!$F$42</f>
        <v>34383</v>
      </c>
      <c r="H207" s="473" t="s">
        <v>60</v>
      </c>
      <c r="I207" s="455" t="s">
        <v>60</v>
      </c>
      <c r="J207" s="456">
        <f>Swords!$H$42</f>
        <v>86</v>
      </c>
      <c r="K207" s="456">
        <f>Swords!$I$42</f>
        <v>135.5932203</v>
      </c>
      <c r="L207" s="457">
        <f>Swords!$K$42</f>
        <v>1.21</v>
      </c>
      <c r="M207" s="458">
        <f>Swords!$L$42</f>
        <v>31.6375</v>
      </c>
      <c r="N207" s="653">
        <f>Swords!$R$42</f>
        <v>400</v>
      </c>
      <c r="O207" s="597">
        <f>Swords!$S$42</f>
        <v>1199</v>
      </c>
      <c r="P207" s="467" t="s">
        <v>661</v>
      </c>
    </row>
    <row r="208">
      <c r="A208" s="449" t="s">
        <v>612</v>
      </c>
      <c r="B208" s="449" t="s">
        <v>659</v>
      </c>
      <c r="C208" s="648">
        <f>Swords!$B$42</f>
        <v>3</v>
      </c>
      <c r="D208" s="649" t="str">
        <f>Swords!$A$39</f>
        <v>Lightweight</v>
      </c>
      <c r="E208" s="485">
        <f>Swords!$D$42</f>
        <v>1053.347969</v>
      </c>
      <c r="F208" s="664">
        <f>Swords!$D$42</f>
        <v>1053.347969</v>
      </c>
      <c r="G208" s="526">
        <f>Swords!$G$42</f>
        <v>34386</v>
      </c>
      <c r="H208" s="473" t="s">
        <v>60</v>
      </c>
      <c r="I208" s="455" t="s">
        <v>60</v>
      </c>
      <c r="J208" s="456">
        <f>Swords!$H$42</f>
        <v>86</v>
      </c>
      <c r="K208" s="456">
        <f>Swords!$I$42</f>
        <v>135.5932203</v>
      </c>
      <c r="L208" s="457">
        <f>Swords!$K$42</f>
        <v>1.21</v>
      </c>
      <c r="M208" s="458">
        <f>Swords!$L$42</f>
        <v>31.6375</v>
      </c>
      <c r="N208" s="653">
        <f>Swords!$R$42</f>
        <v>400</v>
      </c>
      <c r="O208" s="597">
        <f>Swords!$S$42</f>
        <v>1199</v>
      </c>
      <c r="P208" s="467" t="s">
        <v>662</v>
      </c>
    </row>
    <row r="209">
      <c r="A209" s="449" t="s">
        <v>612</v>
      </c>
      <c r="B209" s="449" t="s">
        <v>659</v>
      </c>
      <c r="C209" s="648" t="str">
        <f>Swords!$B$44</f>
        <v>N/A</v>
      </c>
      <c r="D209" s="649" t="str">
        <f>Swords!$A$39</f>
        <v>Lightweight</v>
      </c>
      <c r="E209" s="673">
        <f>Swords!$C$44</f>
        <v>903.9548023</v>
      </c>
      <c r="F209" s="592">
        <f>Swords!$C$44</f>
        <v>903.9548023</v>
      </c>
      <c r="G209" s="588">
        <f>Swords!$F$44</f>
        <v>34400</v>
      </c>
      <c r="H209" s="473" t="s">
        <v>60</v>
      </c>
      <c r="I209" s="455" t="s">
        <v>60</v>
      </c>
      <c r="J209" s="456">
        <f>Swords!$H$44</f>
        <v>86</v>
      </c>
      <c r="K209" s="456">
        <f>Swords!$I$44</f>
        <v>135.5932203</v>
      </c>
      <c r="L209" s="457" t="str">
        <f>Swords!$K$44</f>
        <v>N/A</v>
      </c>
      <c r="M209" s="458" t="str">
        <f>Swords!$L$44</f>
        <v>N/A</v>
      </c>
      <c r="N209" s="653">
        <f>Swords!$R$44</f>
        <v>400</v>
      </c>
      <c r="O209" s="597" t="str">
        <f>Swords!$S$44</f>
        <v>N/A</v>
      </c>
      <c r="P209" s="467" t="s">
        <v>663</v>
      </c>
    </row>
    <row r="210">
      <c r="A210" s="449" t="s">
        <v>612</v>
      </c>
      <c r="B210" s="449" t="s">
        <v>659</v>
      </c>
      <c r="C210" s="648">
        <f>Swords!$B$19</f>
        <v>0</v>
      </c>
      <c r="D210" s="649" t="str">
        <f>Swords!$A$15</f>
        <v>Vortex</v>
      </c>
      <c r="E210" s="519">
        <f>Swords!$C$19</f>
        <v>548.8549618</v>
      </c>
      <c r="F210" s="650">
        <f>Swords!$C$19</f>
        <v>548.8549618</v>
      </c>
      <c r="G210" s="651">
        <f>Swords!$F$19</f>
        <v>24446</v>
      </c>
      <c r="H210" s="473" t="s">
        <v>60</v>
      </c>
      <c r="I210" s="455" t="s">
        <v>60</v>
      </c>
      <c r="J210" s="456">
        <f>Swords!$H$19</f>
        <v>68</v>
      </c>
      <c r="K210" s="456">
        <f>Swords!$I$19</f>
        <v>139.5348837</v>
      </c>
      <c r="L210" s="457" t="str">
        <f>Swords!$K$19</f>
        <v>N/A</v>
      </c>
      <c r="M210" s="458">
        <f>Swords!$L$19</f>
        <v>29.24</v>
      </c>
      <c r="N210" s="556">
        <f>Swords!$R$19</f>
        <v>333</v>
      </c>
      <c r="O210" s="652">
        <f>Swords!$S$19</f>
        <v>386</v>
      </c>
      <c r="P210" s="467" t="s">
        <v>660</v>
      </c>
    </row>
    <row r="211">
      <c r="A211" s="449" t="s">
        <v>612</v>
      </c>
      <c r="B211" s="449" t="s">
        <v>659</v>
      </c>
      <c r="C211" s="648">
        <f>Swords!$B$15</f>
        <v>0</v>
      </c>
      <c r="D211" s="649" t="str">
        <f>Swords!$A$15</f>
        <v>Vortex</v>
      </c>
      <c r="E211" s="673">
        <f>Swords!$C$15</f>
        <v>906.0402685</v>
      </c>
      <c r="F211" s="592">
        <f>Swords!$C$15</f>
        <v>906.0402685</v>
      </c>
      <c r="G211" s="462">
        <f>Swords!$F$15</f>
        <v>21600</v>
      </c>
      <c r="H211" s="473" t="s">
        <v>60</v>
      </c>
      <c r="I211" s="455" t="s">
        <v>60</v>
      </c>
      <c r="J211" s="456">
        <f>Swords!$H$15</f>
        <v>68</v>
      </c>
      <c r="K211" s="456">
        <f>Swords!$I$15</f>
        <v>127.6595745</v>
      </c>
      <c r="L211" s="457">
        <f>Swords!$K$15</f>
        <v>1.66</v>
      </c>
      <c r="M211" s="458">
        <f>Swords!$L$15</f>
        <v>21.84</v>
      </c>
      <c r="N211" s="653">
        <f>Swords!$R$15</f>
        <v>400</v>
      </c>
      <c r="O211" s="687">
        <f>Swords!$S$15</f>
        <v>1500</v>
      </c>
      <c r="P211" s="467" t="s">
        <v>661</v>
      </c>
    </row>
    <row r="212">
      <c r="A212" s="449" t="s">
        <v>612</v>
      </c>
      <c r="B212" s="449" t="s">
        <v>659</v>
      </c>
      <c r="C212" s="648">
        <f>Swords!$B$15</f>
        <v>0</v>
      </c>
      <c r="D212" s="649" t="str">
        <f>Swords!$A$15</f>
        <v>Vortex</v>
      </c>
      <c r="E212" s="500">
        <f>Swords!$D$15</f>
        <v>968.75</v>
      </c>
      <c r="F212" s="577">
        <f>Swords!$D$15</f>
        <v>968.75</v>
      </c>
      <c r="G212" s="462">
        <f>Swords!$G$15</f>
        <v>21700</v>
      </c>
      <c r="H212" s="473" t="s">
        <v>60</v>
      </c>
      <c r="I212" s="455" t="s">
        <v>60</v>
      </c>
      <c r="J212" s="456">
        <f>Swords!$H$15</f>
        <v>68</v>
      </c>
      <c r="K212" s="456">
        <f>Swords!$I$15</f>
        <v>127.6595745</v>
      </c>
      <c r="L212" s="457" t="str">
        <f>Swords!$K$19</f>
        <v>N/A</v>
      </c>
      <c r="M212" s="458">
        <f>Swords!$L$15</f>
        <v>21.84</v>
      </c>
      <c r="N212" s="653">
        <f>Swords!$R$15</f>
        <v>400</v>
      </c>
      <c r="O212" s="687">
        <f>Swords!$S$15</f>
        <v>1500</v>
      </c>
      <c r="P212" s="467" t="s">
        <v>662</v>
      </c>
    </row>
    <row r="213">
      <c r="A213" s="449" t="s">
        <v>612</v>
      </c>
      <c r="B213" s="449" t="s">
        <v>659</v>
      </c>
      <c r="C213" s="648">
        <f>Swords!$B$16</f>
        <v>1</v>
      </c>
      <c r="D213" s="649" t="str">
        <f>Swords!$A$15</f>
        <v>Vortex</v>
      </c>
      <c r="E213" s="579">
        <f>Swords!$C$16</f>
        <v>934.9593496</v>
      </c>
      <c r="F213" s="660">
        <f>Swords!$C$16</f>
        <v>934.9593496</v>
      </c>
      <c r="G213" s="634">
        <f>Swords!$F$16</f>
        <v>20700</v>
      </c>
      <c r="H213" s="473" t="s">
        <v>60</v>
      </c>
      <c r="I213" s="455" t="s">
        <v>60</v>
      </c>
      <c r="J213" s="456">
        <f>Swords!$H$16</f>
        <v>68</v>
      </c>
      <c r="K213" s="456">
        <f>Swords!$I$16</f>
        <v>127.6595745</v>
      </c>
      <c r="L213" s="457">
        <f>Swords!$K$16</f>
        <v>1.14</v>
      </c>
      <c r="M213" s="458">
        <f>Swords!$L$16</f>
        <v>20.34</v>
      </c>
      <c r="N213" s="653">
        <f>Swords!$R$16</f>
        <v>400</v>
      </c>
      <c r="O213" s="687">
        <f>Swords!$S$16</f>
        <v>1500</v>
      </c>
      <c r="P213" s="467" t="s">
        <v>661</v>
      </c>
    </row>
    <row r="214">
      <c r="A214" s="449" t="s">
        <v>612</v>
      </c>
      <c r="B214" s="449" t="s">
        <v>659</v>
      </c>
      <c r="C214" s="648">
        <f>Swords!$B$16</f>
        <v>1</v>
      </c>
      <c r="D214" s="649" t="str">
        <f>Swords!$A$15</f>
        <v>Vortex</v>
      </c>
      <c r="E214" s="658">
        <f>Swords!$D$16</f>
        <v>989.010989</v>
      </c>
      <c r="F214" s="657">
        <f>Swords!$D$16</f>
        <v>989.010989</v>
      </c>
      <c r="G214" s="462">
        <f>Swords!$G$16</f>
        <v>21600</v>
      </c>
      <c r="H214" s="473" t="s">
        <v>60</v>
      </c>
      <c r="I214" s="455" t="s">
        <v>60</v>
      </c>
      <c r="J214" s="456">
        <f>Swords!$H$16</f>
        <v>68</v>
      </c>
      <c r="K214" s="456">
        <f>Swords!$I$16</f>
        <v>127.6595745</v>
      </c>
      <c r="L214" s="457" t="str">
        <f>Swords!$K$20</f>
        <v>N/A</v>
      </c>
      <c r="M214" s="458">
        <f>Swords!$L$16</f>
        <v>20.34</v>
      </c>
      <c r="N214" s="653">
        <f>Swords!$R$16</f>
        <v>400</v>
      </c>
      <c r="O214" s="687">
        <f>Swords!$S$16</f>
        <v>1500</v>
      </c>
      <c r="P214" s="467" t="s">
        <v>662</v>
      </c>
    </row>
    <row r="215">
      <c r="A215" s="449" t="s">
        <v>612</v>
      </c>
      <c r="B215" s="449" t="s">
        <v>659</v>
      </c>
      <c r="C215" s="648">
        <f>Swords!$B$17</f>
        <v>2</v>
      </c>
      <c r="D215" s="649" t="str">
        <f>Swords!$A$15</f>
        <v>Vortex</v>
      </c>
      <c r="E215" s="579">
        <f>Swords!$C$17</f>
        <v>931.372549</v>
      </c>
      <c r="F215" s="660">
        <f>Swords!$C$17</f>
        <v>931.372549</v>
      </c>
      <c r="G215" s="716">
        <f>Swords!$F$17</f>
        <v>19000</v>
      </c>
      <c r="H215" s="473" t="s">
        <v>60</v>
      </c>
      <c r="I215" s="455" t="s">
        <v>60</v>
      </c>
      <c r="J215" s="456">
        <f>Swords!$H$17</f>
        <v>68</v>
      </c>
      <c r="K215" s="456">
        <f>Swords!$I$17</f>
        <v>127.6595745</v>
      </c>
      <c r="L215" s="457">
        <f>Swords!$K$17</f>
        <v>0.72</v>
      </c>
      <c r="M215" s="458">
        <f>Swords!$L$17</f>
        <v>17.9</v>
      </c>
      <c r="N215" s="653">
        <f>Swords!$R$17</f>
        <v>400</v>
      </c>
      <c r="O215" s="687">
        <f>Swords!$S$17</f>
        <v>1500</v>
      </c>
      <c r="P215" s="467" t="s">
        <v>661</v>
      </c>
    </row>
    <row r="216">
      <c r="A216" s="449" t="s">
        <v>612</v>
      </c>
      <c r="B216" s="449" t="s">
        <v>659</v>
      </c>
      <c r="C216" s="648">
        <f>Swords!$B$17</f>
        <v>2</v>
      </c>
      <c r="D216" s="649" t="str">
        <f>Swords!$A$15</f>
        <v>Vortex</v>
      </c>
      <c r="E216" s="510">
        <f>Swords!$D$17</f>
        <v>1017.699115</v>
      </c>
      <c r="F216" s="717">
        <f>Swords!$D$17</f>
        <v>1017.699115</v>
      </c>
      <c r="G216" s="634">
        <f>Swords!$G$17</f>
        <v>20700</v>
      </c>
      <c r="H216" s="473" t="s">
        <v>60</v>
      </c>
      <c r="I216" s="566" t="s">
        <v>60</v>
      </c>
      <c r="J216" s="456">
        <f>Swords!$H$17</f>
        <v>68</v>
      </c>
      <c r="K216" s="456">
        <f>Swords!$I$17</f>
        <v>127.6595745</v>
      </c>
      <c r="L216" s="457">
        <f>Swords!$K$21</f>
        <v>1.62</v>
      </c>
      <c r="M216" s="458">
        <f>Swords!$L$17</f>
        <v>17.9</v>
      </c>
      <c r="N216" s="653">
        <f>Swords!$R$17</f>
        <v>400</v>
      </c>
      <c r="O216" s="687">
        <f>Swords!$S$17</f>
        <v>1500</v>
      </c>
      <c r="P216" s="467" t="s">
        <v>662</v>
      </c>
    </row>
    <row r="217">
      <c r="A217" s="449" t="s">
        <v>612</v>
      </c>
      <c r="B217" s="449" t="s">
        <v>659</v>
      </c>
      <c r="C217" s="648">
        <f>Swords!$B$18</f>
        <v>3</v>
      </c>
      <c r="D217" s="649" t="str">
        <f>Swords!$A$15</f>
        <v>Vortex</v>
      </c>
      <c r="E217" s="477">
        <f>Swords!$C$18</f>
        <v>1010.638298</v>
      </c>
      <c r="F217" s="671">
        <f>Swords!$C$18</f>
        <v>1010.638298</v>
      </c>
      <c r="G217" s="716">
        <f>Swords!$F$18</f>
        <v>19000</v>
      </c>
      <c r="H217" s="473" t="s">
        <v>60</v>
      </c>
      <c r="I217" s="455" t="s">
        <v>60</v>
      </c>
      <c r="J217" s="456">
        <f>Swords!$H$18</f>
        <v>68</v>
      </c>
      <c r="K217" s="456">
        <f>Swords!$I$18</f>
        <v>127.6595745</v>
      </c>
      <c r="L217" s="457">
        <f>Swords!$K$18</f>
        <v>0.56</v>
      </c>
      <c r="M217" s="458">
        <f>Swords!$L$18</f>
        <v>17.9</v>
      </c>
      <c r="N217" s="653">
        <f>Swords!$R$18</f>
        <v>400</v>
      </c>
      <c r="O217" s="687">
        <f>Swords!$S$18</f>
        <v>1500</v>
      </c>
      <c r="P217" s="467" t="s">
        <v>661</v>
      </c>
    </row>
    <row r="218">
      <c r="A218" s="449" t="s">
        <v>612</v>
      </c>
      <c r="B218" s="449" t="s">
        <v>659</v>
      </c>
      <c r="C218" s="648">
        <f>Swords!$B$18</f>
        <v>3</v>
      </c>
      <c r="D218" s="649" t="str">
        <f>Swords!$A$15</f>
        <v>Vortex</v>
      </c>
      <c r="E218" s="510">
        <f>Swords!$D$18</f>
        <v>1017.699115</v>
      </c>
      <c r="F218" s="717">
        <f>Swords!$D$18</f>
        <v>1017.699115</v>
      </c>
      <c r="G218" s="634">
        <f>Swords!$G$18</f>
        <v>20700</v>
      </c>
      <c r="H218" s="473" t="s">
        <v>60</v>
      </c>
      <c r="I218" s="455" t="s">
        <v>60</v>
      </c>
      <c r="J218" s="456">
        <f>Swords!$H$18</f>
        <v>68</v>
      </c>
      <c r="K218" s="456">
        <f>Swords!$I$18</f>
        <v>127.6595745</v>
      </c>
      <c r="L218" s="457">
        <f>Swords!$K$22</f>
        <v>1.05</v>
      </c>
      <c r="M218" s="458">
        <f>Swords!$L$18</f>
        <v>17.9</v>
      </c>
      <c r="N218" s="653">
        <f>Swords!$R$18</f>
        <v>400</v>
      </c>
      <c r="O218" s="687">
        <f>Swords!$S$18</f>
        <v>1500</v>
      </c>
      <c r="P218" s="467" t="s">
        <v>662</v>
      </c>
    </row>
    <row r="219">
      <c r="A219" s="449" t="s">
        <v>612</v>
      </c>
      <c r="B219" s="449" t="s">
        <v>659</v>
      </c>
      <c r="C219" s="648" t="str">
        <f>Swords!$B$20</f>
        <v>N/A</v>
      </c>
      <c r="D219" s="649" t="str">
        <f>Swords!$A$15</f>
        <v>Vortex</v>
      </c>
      <c r="E219" s="454">
        <f>Swords!$C$20</f>
        <v>851.0638298</v>
      </c>
      <c r="F219" s="298">
        <f>Swords!$C$20</f>
        <v>851.0638298</v>
      </c>
      <c r="G219" s="451">
        <f>Swords!$F$20</f>
        <v>27200</v>
      </c>
      <c r="H219" s="473" t="s">
        <v>60</v>
      </c>
      <c r="I219" s="455" t="s">
        <v>60</v>
      </c>
      <c r="J219" s="456">
        <f>Swords!$H$20</f>
        <v>68</v>
      </c>
      <c r="K219" s="456">
        <f>Swords!$I$20</f>
        <v>127.6595745</v>
      </c>
      <c r="L219" s="457" t="str">
        <f>Swords!$K$20</f>
        <v>N/A</v>
      </c>
      <c r="M219" s="458" t="str">
        <f>Swords!$L$20</f>
        <v>N/A</v>
      </c>
      <c r="N219" s="653">
        <f>Swords!$R$20</f>
        <v>400</v>
      </c>
      <c r="O219" s="687" t="str">
        <f>Swords!$S$20</f>
        <v>N/A</v>
      </c>
      <c r="P219" s="467" t="s">
        <v>663</v>
      </c>
    </row>
    <row r="220">
      <c r="A220" s="449" t="s">
        <v>612</v>
      </c>
      <c r="B220" s="449" t="s">
        <v>659</v>
      </c>
      <c r="C220" s="648">
        <f>Swords!$B$64</f>
        <v>0</v>
      </c>
      <c r="D220" s="676" t="str">
        <f>Swords!$A$64</f>
        <v>Worldline Zero (1x T, cata)</v>
      </c>
      <c r="E220" s="534">
        <f>Swords!$C$64</f>
        <v>477.8456837</v>
      </c>
      <c r="F220" s="718">
        <f>Swords!$C$64</f>
        <v>477.8456837</v>
      </c>
      <c r="G220" s="633">
        <f>Swords!$F$64</f>
        <v>20066.36364</v>
      </c>
      <c r="H220" s="473" t="s">
        <v>60</v>
      </c>
      <c r="I220" s="455" t="s">
        <v>60</v>
      </c>
      <c r="J220" s="456">
        <f>Swords!$H$64</f>
        <v>69</v>
      </c>
      <c r="K220" s="456">
        <f>Swords!$I$64</f>
        <v>127.6595745</v>
      </c>
      <c r="L220" s="457">
        <f>Swords!$K$64</f>
        <v>2.75</v>
      </c>
      <c r="M220" s="458">
        <f>Swords!$L$64</f>
        <v>37.23</v>
      </c>
      <c r="N220" s="582">
        <f>Swords!$R$64</f>
        <v>374</v>
      </c>
      <c r="O220" s="592">
        <f>Swords!$S$64</f>
        <v>404.5454545</v>
      </c>
      <c r="P220" s="467" t="s">
        <v>670</v>
      </c>
    </row>
    <row r="221">
      <c r="A221" s="449" t="s">
        <v>612</v>
      </c>
      <c r="B221" s="449" t="s">
        <v>659</v>
      </c>
      <c r="C221" s="648">
        <f>Swords!$B$64</f>
        <v>0</v>
      </c>
      <c r="D221" s="676" t="str">
        <f>Swords!$A$64</f>
        <v>Worldline Zero (1x T, cata)</v>
      </c>
      <c r="E221" s="454">
        <f>Swords!$D$64</f>
        <v>548.3530962</v>
      </c>
      <c r="F221" s="298">
        <f>Swords!$D$64</f>
        <v>548.3530962</v>
      </c>
      <c r="G221" s="596">
        <f>Swords!$G$64</f>
        <v>20783.81818</v>
      </c>
      <c r="H221" s="473" t="s">
        <v>60</v>
      </c>
      <c r="I221" s="455" t="s">
        <v>60</v>
      </c>
      <c r="J221" s="456">
        <f>Swords!$H$64</f>
        <v>69</v>
      </c>
      <c r="K221" s="456">
        <f>Swords!$I$64</f>
        <v>127.6595745</v>
      </c>
      <c r="L221" s="457">
        <f>Swords!$K$64</f>
        <v>2.75</v>
      </c>
      <c r="M221" s="458">
        <f>Swords!$L$64</f>
        <v>37.23</v>
      </c>
      <c r="N221" s="582">
        <f>Swords!$R$64</f>
        <v>374</v>
      </c>
      <c r="O221" s="592">
        <f>Swords!$S$64</f>
        <v>404.5454545</v>
      </c>
      <c r="P221" s="467" t="s">
        <v>671</v>
      </c>
    </row>
    <row r="222">
      <c r="A222" s="449" t="s">
        <v>612</v>
      </c>
      <c r="B222" s="449" t="s">
        <v>659</v>
      </c>
      <c r="C222" s="648">
        <f>Swords!$B$65</f>
        <v>1</v>
      </c>
      <c r="D222" s="676" t="str">
        <f>Swords!$A$64</f>
        <v>Worldline Zero (1x T, cata)</v>
      </c>
      <c r="E222" s="613">
        <f>Swords!$C$65</f>
        <v>456.8618881</v>
      </c>
      <c r="F222" s="551">
        <f>Swords!$C$65</f>
        <v>456.8618881</v>
      </c>
      <c r="G222" s="588">
        <f>Swords!$F$65</f>
        <v>19005.45455</v>
      </c>
      <c r="H222" s="473" t="s">
        <v>60</v>
      </c>
      <c r="I222" s="455" t="s">
        <v>60</v>
      </c>
      <c r="J222" s="456">
        <f>Swords!$H$65</f>
        <v>69</v>
      </c>
      <c r="K222" s="456">
        <f>Swords!$I$65</f>
        <v>127.6595745</v>
      </c>
      <c r="L222" s="457">
        <f>Swords!$K$65</f>
        <v>2.15</v>
      </c>
      <c r="M222" s="458">
        <f>Swords!$L$65</f>
        <v>38.9</v>
      </c>
      <c r="N222" s="582">
        <f>Swords!$R$65</f>
        <v>374</v>
      </c>
      <c r="O222" s="592">
        <f>Swords!$S$65</f>
        <v>404.5454545</v>
      </c>
      <c r="P222" s="467" t="s">
        <v>670</v>
      </c>
    </row>
    <row r="223">
      <c r="A223" s="449" t="s">
        <v>612</v>
      </c>
      <c r="B223" s="449" t="s">
        <v>659</v>
      </c>
      <c r="C223" s="648">
        <f>Swords!$B$65</f>
        <v>1</v>
      </c>
      <c r="D223" s="676" t="str">
        <f>Swords!$A$64</f>
        <v>Worldline Zero (1x T, cata)</v>
      </c>
      <c r="E223" s="454">
        <f>Swords!$D$65</f>
        <v>521.6847373</v>
      </c>
      <c r="F223" s="580">
        <f>Swords!$D$65</f>
        <v>521.6847373</v>
      </c>
      <c r="G223" s="633">
        <f>Swords!$G$65</f>
        <v>20066.36364</v>
      </c>
      <c r="H223" s="473" t="s">
        <v>60</v>
      </c>
      <c r="I223" s="455" t="s">
        <v>60</v>
      </c>
      <c r="J223" s="456">
        <f>Swords!$H$65</f>
        <v>69</v>
      </c>
      <c r="K223" s="456">
        <f>Swords!$I$65</f>
        <v>127.6595745</v>
      </c>
      <c r="L223" s="457">
        <f>Swords!$K$65</f>
        <v>2.15</v>
      </c>
      <c r="M223" s="458">
        <f>Swords!$L$65</f>
        <v>38.9</v>
      </c>
      <c r="N223" s="582">
        <f>Swords!$R$65</f>
        <v>374</v>
      </c>
      <c r="O223" s="592">
        <f>Swords!$S$65</f>
        <v>404.5454545</v>
      </c>
      <c r="P223" s="467" t="s">
        <v>671</v>
      </c>
    </row>
    <row r="224">
      <c r="A224" s="449" t="s">
        <v>612</v>
      </c>
      <c r="B224" s="449" t="s">
        <v>659</v>
      </c>
      <c r="C224" s="648">
        <f>Swords!$B$66</f>
        <v>2</v>
      </c>
      <c r="D224" s="676" t="str">
        <f>Swords!$A$64</f>
        <v>Worldline Zero (1x T, cata)</v>
      </c>
      <c r="E224" s="548">
        <f>Swords!$C$66</f>
        <v>419.3806194</v>
      </c>
      <c r="F224" s="598">
        <f>Swords!$C$66</f>
        <v>419.3806194</v>
      </c>
      <c r="G224" s="581">
        <f>Swords!$F$66</f>
        <v>17914</v>
      </c>
      <c r="H224" s="473" t="s">
        <v>60</v>
      </c>
      <c r="I224" s="455" t="s">
        <v>60</v>
      </c>
      <c r="J224" s="456">
        <f>Swords!$H$66</f>
        <v>69</v>
      </c>
      <c r="K224" s="456">
        <f>Swords!$I$66</f>
        <v>127.6595745</v>
      </c>
      <c r="L224" s="457">
        <f>Swords!$K$66</f>
        <v>1.63</v>
      </c>
      <c r="M224" s="458">
        <f>Swords!$L$66</f>
        <v>39.03</v>
      </c>
      <c r="N224" s="582">
        <f>Swords!$R$66</f>
        <v>374</v>
      </c>
      <c r="O224" s="592">
        <f>Swords!$S$66</f>
        <v>404.5454545</v>
      </c>
      <c r="P224" s="467" t="s">
        <v>670</v>
      </c>
    </row>
    <row r="225">
      <c r="A225" s="449" t="s">
        <v>612</v>
      </c>
      <c r="B225" s="449" t="s">
        <v>659</v>
      </c>
      <c r="C225" s="648">
        <f>Swords!$B$66</f>
        <v>2</v>
      </c>
      <c r="D225" s="676" t="str">
        <f>Swords!$A$64</f>
        <v>Worldline Zero (1x T, cata)</v>
      </c>
      <c r="E225" s="454">
        <f>Swords!$D$66</f>
        <v>488.5720963</v>
      </c>
      <c r="F225" s="618">
        <f>Swords!$D$66</f>
        <v>488.5720963</v>
      </c>
      <c r="G225" s="588">
        <f>Swords!$G$66</f>
        <v>19005.45455</v>
      </c>
      <c r="H225" s="473" t="s">
        <v>60</v>
      </c>
      <c r="I225" s="455" t="s">
        <v>60</v>
      </c>
      <c r="J225" s="456">
        <f>Swords!$H$66</f>
        <v>69</v>
      </c>
      <c r="K225" s="456">
        <f>Swords!$I$66</f>
        <v>127.6595745</v>
      </c>
      <c r="L225" s="457">
        <f>Swords!$K$66</f>
        <v>1.63</v>
      </c>
      <c r="M225" s="458">
        <f>Swords!$L$66</f>
        <v>39.03</v>
      </c>
      <c r="N225" s="582">
        <f>Swords!$R$66</f>
        <v>374</v>
      </c>
      <c r="O225" s="592">
        <f>Swords!$S$66</f>
        <v>404.5454545</v>
      </c>
      <c r="P225" s="467" t="s">
        <v>671</v>
      </c>
    </row>
    <row r="226">
      <c r="A226" s="449" t="s">
        <v>612</v>
      </c>
      <c r="B226" s="449" t="s">
        <v>659</v>
      </c>
      <c r="C226" s="648">
        <f>Swords!$B$67</f>
        <v>3</v>
      </c>
      <c r="D226" s="676" t="str">
        <f>Swords!$A$64</f>
        <v>Worldline Zero (1x T, cata)</v>
      </c>
      <c r="E226" s="454">
        <f>Swords!$D$67</f>
        <v>488.5720963</v>
      </c>
      <c r="F226" s="618">
        <f>Swords!$D$67</f>
        <v>488.5720963</v>
      </c>
      <c r="G226" s="588">
        <f>Swords!$G$67</f>
        <v>19005.45455</v>
      </c>
      <c r="H226" s="473" t="s">
        <v>60</v>
      </c>
      <c r="I226" s="455" t="s">
        <v>60</v>
      </c>
      <c r="J226" s="456">
        <f>Swords!$H$67</f>
        <v>69</v>
      </c>
      <c r="K226" s="456">
        <f>Swords!$I$67</f>
        <v>127.6595745</v>
      </c>
      <c r="L226" s="457">
        <f>Swords!$K$67</f>
        <v>1.45</v>
      </c>
      <c r="M226" s="458">
        <f>Swords!$L$67</f>
        <v>39.03</v>
      </c>
      <c r="N226" s="582">
        <f>Swords!$R$67</f>
        <v>374</v>
      </c>
      <c r="O226" s="592">
        <f>Swords!$S$67</f>
        <v>404.5454545</v>
      </c>
      <c r="P226" s="467" t="s">
        <v>671</v>
      </c>
    </row>
    <row r="227">
      <c r="A227" s="449" t="s">
        <v>612</v>
      </c>
      <c r="B227" s="449" t="s">
        <v>659</v>
      </c>
      <c r="C227" s="648">
        <f>Swords!$B$67</f>
        <v>3</v>
      </c>
      <c r="D227" s="676" t="str">
        <f>Swords!$A$64</f>
        <v>Worldline Zero (1x T, cata)</v>
      </c>
      <c r="E227" s="454">
        <f>Swords!$C$67</f>
        <v>441.1981083</v>
      </c>
      <c r="F227" s="618">
        <f>Swords!$C$67</f>
        <v>441.1981083</v>
      </c>
      <c r="G227" s="581">
        <f>Swords!$F$67</f>
        <v>17914</v>
      </c>
      <c r="H227" s="473" t="s">
        <v>60</v>
      </c>
      <c r="I227" s="455" t="s">
        <v>60</v>
      </c>
      <c r="J227" s="456">
        <f>Swords!$H$67</f>
        <v>69</v>
      </c>
      <c r="K227" s="456">
        <f>Swords!$I$67</f>
        <v>127.6595745</v>
      </c>
      <c r="L227" s="457">
        <f>Swords!$K$67</f>
        <v>1.45</v>
      </c>
      <c r="M227" s="458">
        <f>Swords!$L$67</f>
        <v>39.03</v>
      </c>
      <c r="N227" s="582">
        <f>Swords!$R$67</f>
        <v>374</v>
      </c>
      <c r="O227" s="592">
        <f>Swords!$S$67</f>
        <v>404.5454545</v>
      </c>
      <c r="P227" s="467" t="s">
        <v>670</v>
      </c>
    </row>
    <row r="228">
      <c r="A228" s="449" t="s">
        <v>612</v>
      </c>
      <c r="B228" s="449" t="s">
        <v>659</v>
      </c>
      <c r="C228" s="648">
        <f>Swords!$B$59</f>
        <v>0</v>
      </c>
      <c r="D228" s="676" t="str">
        <f>Swords!$A$59</f>
        <v>Worldline Zero (Normal)</v>
      </c>
      <c r="E228" s="454">
        <f>Swords!$C$59</f>
        <v>862.864259</v>
      </c>
      <c r="F228" s="618">
        <f>Swords!$C$59</f>
        <v>862.864259</v>
      </c>
      <c r="G228" s="514">
        <f>Swords!$F$59</f>
        <v>25195.63636</v>
      </c>
      <c r="H228" s="473" t="s">
        <v>60</v>
      </c>
      <c r="I228" s="455" t="s">
        <v>60</v>
      </c>
      <c r="J228" s="456">
        <f>Swords!$H$59</f>
        <v>69</v>
      </c>
      <c r="K228" s="456">
        <f>Swords!$I$59</f>
        <v>127.6595745</v>
      </c>
      <c r="L228" s="457">
        <f>Swords!$K$59</f>
        <v>2.57</v>
      </c>
      <c r="M228" s="458">
        <f>Swords!$L$59</f>
        <v>27.44</v>
      </c>
      <c r="N228" s="582">
        <f>Swords!$R$59</f>
        <v>374</v>
      </c>
      <c r="O228" s="719">
        <f>Swords!$S$59</f>
        <v>1279.454545</v>
      </c>
      <c r="P228" s="467" t="s">
        <v>661</v>
      </c>
    </row>
    <row r="229">
      <c r="A229" s="449" t="s">
        <v>612</v>
      </c>
      <c r="B229" s="449" t="s">
        <v>659</v>
      </c>
      <c r="C229" s="648">
        <f>Swords!$B$59</f>
        <v>0</v>
      </c>
      <c r="D229" s="676" t="str">
        <f>Swords!$A$59</f>
        <v>Worldline Zero (Normal)</v>
      </c>
      <c r="E229" s="673">
        <f>Swords!$D$59</f>
        <v>903.4498834</v>
      </c>
      <c r="F229" s="592">
        <f>Swords!$D$59</f>
        <v>903.4498834</v>
      </c>
      <c r="G229" s="642">
        <f>Swords!$G$59</f>
        <v>24664.18182</v>
      </c>
      <c r="H229" s="473" t="s">
        <v>60</v>
      </c>
      <c r="I229" s="455" t="s">
        <v>60</v>
      </c>
      <c r="J229" s="456">
        <f>Swords!$H$59</f>
        <v>69</v>
      </c>
      <c r="K229" s="456">
        <f>Swords!$I$59</f>
        <v>127.6595745</v>
      </c>
      <c r="L229" s="457">
        <f>Swords!$K$59</f>
        <v>2.57</v>
      </c>
      <c r="M229" s="458">
        <f>Swords!$L$59</f>
        <v>27.44</v>
      </c>
      <c r="N229" s="582">
        <f>Swords!$R$59</f>
        <v>374</v>
      </c>
      <c r="O229" s="719">
        <f>Swords!$S$59</f>
        <v>1279.454545</v>
      </c>
      <c r="P229" s="467" t="s">
        <v>662</v>
      </c>
    </row>
    <row r="230">
      <c r="A230" s="449" t="s">
        <v>612</v>
      </c>
      <c r="B230" s="449" t="s">
        <v>659</v>
      </c>
      <c r="C230" s="648">
        <f>Swords!$B$60</f>
        <v>1</v>
      </c>
      <c r="D230" s="676" t="str">
        <f>Swords!$A$59</f>
        <v>Worldline Zero (Normal)</v>
      </c>
      <c r="E230" s="454">
        <f>Swords!$C$60</f>
        <v>867.3295455</v>
      </c>
      <c r="F230" s="618">
        <f>Swords!$C$60</f>
        <v>867.3295455</v>
      </c>
      <c r="G230" s="651">
        <f>Swords!$F$60</f>
        <v>24979.09091</v>
      </c>
      <c r="H230" s="473" t="s">
        <v>60</v>
      </c>
      <c r="I230" s="455" t="s">
        <v>60</v>
      </c>
      <c r="J230" s="456">
        <f>Swords!$H$60</f>
        <v>69</v>
      </c>
      <c r="K230" s="456">
        <f>Swords!$I$60</f>
        <v>127.6595745</v>
      </c>
      <c r="L230" s="457">
        <f>Swords!$K$60</f>
        <v>2.12</v>
      </c>
      <c r="M230" s="458">
        <f>Swords!$L$60</f>
        <v>26.64</v>
      </c>
      <c r="N230" s="582">
        <f>Swords!$R$60</f>
        <v>374</v>
      </c>
      <c r="O230" s="719">
        <f>Swords!$S$60</f>
        <v>1279.454545</v>
      </c>
      <c r="P230" s="467" t="s">
        <v>661</v>
      </c>
    </row>
    <row r="231">
      <c r="A231" s="449" t="s">
        <v>612</v>
      </c>
      <c r="B231" s="449" t="s">
        <v>659</v>
      </c>
      <c r="C231" s="648">
        <f>Swords!$B$60</f>
        <v>1</v>
      </c>
      <c r="D231" s="676" t="str">
        <f>Swords!$A$59</f>
        <v>Worldline Zero (Normal)</v>
      </c>
      <c r="E231" s="605">
        <f>Swords!$D$60</f>
        <v>918.2083223</v>
      </c>
      <c r="F231" s="574">
        <f>Swords!$D$60</f>
        <v>918.2083223</v>
      </c>
      <c r="G231" s="514">
        <f>Swords!$G$60</f>
        <v>25195.63636</v>
      </c>
      <c r="H231" s="473" t="s">
        <v>60</v>
      </c>
      <c r="I231" s="455" t="s">
        <v>60</v>
      </c>
      <c r="J231" s="456">
        <f>Swords!$H$60</f>
        <v>69</v>
      </c>
      <c r="K231" s="456">
        <f>Swords!$I$60</f>
        <v>127.6595745</v>
      </c>
      <c r="L231" s="457">
        <f>Swords!$K$60</f>
        <v>2.12</v>
      </c>
      <c r="M231" s="458">
        <f>Swords!$L$60</f>
        <v>26.64</v>
      </c>
      <c r="N231" s="582">
        <f>Swords!$R$60</f>
        <v>374</v>
      </c>
      <c r="O231" s="719">
        <f>Swords!$S$60</f>
        <v>1279.454545</v>
      </c>
      <c r="P231" s="467" t="s">
        <v>662</v>
      </c>
    </row>
    <row r="232">
      <c r="A232" s="449" t="s">
        <v>612</v>
      </c>
      <c r="B232" s="449" t="s">
        <v>659</v>
      </c>
      <c r="C232" s="648">
        <f>Swords!$B$61</f>
        <v>2</v>
      </c>
      <c r="D232" s="676" t="str">
        <f>Swords!$A$59</f>
        <v>Worldline Zero (Normal)</v>
      </c>
      <c r="E232" s="673">
        <f>Swords!$C$61</f>
        <v>906.2092624</v>
      </c>
      <c r="F232" s="592">
        <f>Swords!$C$61</f>
        <v>906.2092624</v>
      </c>
      <c r="G232" s="585">
        <f>Swords!$F$61</f>
        <v>24014.54545</v>
      </c>
      <c r="H232" s="473" t="s">
        <v>60</v>
      </c>
      <c r="I232" s="455" t="s">
        <v>60</v>
      </c>
      <c r="J232" s="456">
        <f>Swords!$H$61</f>
        <v>69</v>
      </c>
      <c r="K232" s="456">
        <f>Swords!$I$61</f>
        <v>127.6595745</v>
      </c>
      <c r="L232" s="457">
        <f>Swords!$K$61</f>
        <v>1.57</v>
      </c>
      <c r="M232" s="458">
        <f>Swords!$L$61</f>
        <v>24.9</v>
      </c>
      <c r="N232" s="582">
        <f>Swords!$R$61</f>
        <v>374</v>
      </c>
      <c r="O232" s="719">
        <f>Swords!$S$61</f>
        <v>1279.454545</v>
      </c>
      <c r="P232" s="467" t="s">
        <v>661</v>
      </c>
    </row>
    <row r="233">
      <c r="A233" s="449" t="s">
        <v>612</v>
      </c>
      <c r="B233" s="449" t="s">
        <v>659</v>
      </c>
      <c r="C233" s="648">
        <f>Swords!$B$61</f>
        <v>2</v>
      </c>
      <c r="D233" s="676" t="str">
        <f>Swords!$A$59</f>
        <v>Worldline Zero (Normal)</v>
      </c>
      <c r="E233" s="579">
        <f>Swords!$D$61</f>
        <v>937.6535627</v>
      </c>
      <c r="F233" s="628">
        <f>Swords!$D$61</f>
        <v>937.6535627</v>
      </c>
      <c r="G233" s="651">
        <f>Swords!$G$61</f>
        <v>24979.09091</v>
      </c>
      <c r="H233" s="473" t="s">
        <v>60</v>
      </c>
      <c r="I233" s="455" t="s">
        <v>60</v>
      </c>
      <c r="J233" s="456">
        <f>Swords!$H$61</f>
        <v>69</v>
      </c>
      <c r="K233" s="456">
        <f>Swords!$I$61</f>
        <v>127.6595745</v>
      </c>
      <c r="L233" s="457">
        <f>Swords!$K$61</f>
        <v>1.57</v>
      </c>
      <c r="M233" s="458">
        <f>Swords!$L$61</f>
        <v>24.9</v>
      </c>
      <c r="N233" s="582">
        <f>Swords!$R$61</f>
        <v>374</v>
      </c>
      <c r="O233" s="719">
        <f>Swords!$S$61</f>
        <v>1279.454545</v>
      </c>
      <c r="P233" s="467" t="s">
        <v>662</v>
      </c>
    </row>
    <row r="234">
      <c r="A234" s="449" t="s">
        <v>612</v>
      </c>
      <c r="B234" s="449" t="s">
        <v>659</v>
      </c>
      <c r="C234" s="648">
        <f>Swords!$B$62</f>
        <v>3</v>
      </c>
      <c r="D234" s="676" t="str">
        <f>Swords!$A$59</f>
        <v>Worldline Zero (Normal)</v>
      </c>
      <c r="E234" s="605">
        <f>Swords!$C$62</f>
        <v>921.5702479</v>
      </c>
      <c r="F234" s="574">
        <f>Swords!$C$62</f>
        <v>921.5702479</v>
      </c>
      <c r="G234" s="498">
        <f>Swords!$F$62</f>
        <v>24329.45455</v>
      </c>
      <c r="H234" s="473" t="s">
        <v>60</v>
      </c>
      <c r="I234" s="455" t="s">
        <v>60</v>
      </c>
      <c r="J234" s="456">
        <f>Swords!$H$62</f>
        <v>69</v>
      </c>
      <c r="K234" s="456">
        <f>Swords!$I$62</f>
        <v>127.6595745</v>
      </c>
      <c r="L234" s="457">
        <f>Swords!$K$62</f>
        <v>1.12</v>
      </c>
      <c r="M234" s="458">
        <f>Swords!$L$62</f>
        <v>24.24</v>
      </c>
      <c r="N234" s="582">
        <f>Swords!$R$62</f>
        <v>374</v>
      </c>
      <c r="O234" s="719">
        <f>Swords!$S$62</f>
        <v>1279.454545</v>
      </c>
      <c r="P234" s="467" t="s">
        <v>661</v>
      </c>
    </row>
    <row r="235">
      <c r="A235" s="449" t="s">
        <v>612</v>
      </c>
      <c r="B235" s="449" t="s">
        <v>659</v>
      </c>
      <c r="C235" s="648">
        <f>Swords!$B$62</f>
        <v>3</v>
      </c>
      <c r="D235" s="676" t="str">
        <f>Swords!$A$59</f>
        <v>Worldline Zero (Normal)</v>
      </c>
      <c r="E235" s="500">
        <f>Swords!$D$62</f>
        <v>964.4395765</v>
      </c>
      <c r="F235" s="655">
        <f>Swords!$D$62</f>
        <v>964.4395765</v>
      </c>
      <c r="G235" s="585">
        <f>Swords!$G$62</f>
        <v>24014.54545</v>
      </c>
      <c r="H235" s="473" t="s">
        <v>60</v>
      </c>
      <c r="I235" s="455" t="s">
        <v>60</v>
      </c>
      <c r="J235" s="456">
        <f>Swords!$H$62</f>
        <v>69</v>
      </c>
      <c r="K235" s="456">
        <f>Swords!$I$62</f>
        <v>127.6595745</v>
      </c>
      <c r="L235" s="457">
        <f>Swords!$K$62</f>
        <v>1.12</v>
      </c>
      <c r="M235" s="458">
        <f>Swords!$L$62</f>
        <v>24.24</v>
      </c>
      <c r="N235" s="582">
        <f>Swords!$R$62</f>
        <v>374</v>
      </c>
      <c r="O235" s="719">
        <f>Swords!$S$62</f>
        <v>1279.454545</v>
      </c>
      <c r="P235" s="467" t="s">
        <v>662</v>
      </c>
    </row>
    <row r="236">
      <c r="A236" s="449" t="s">
        <v>612</v>
      </c>
      <c r="B236" s="449" t="s">
        <v>659</v>
      </c>
      <c r="C236" s="648" t="str">
        <f>Swords!$B$63</f>
        <v>N/A</v>
      </c>
      <c r="D236" s="676" t="str">
        <f>Swords!$A$59</f>
        <v>Worldline Zero (Normal)</v>
      </c>
      <c r="E236" s="534">
        <f>Swords!$C$63</f>
        <v>795.7446809</v>
      </c>
      <c r="F236" s="675">
        <f>Swords!$C$63</f>
        <v>795.7446809</v>
      </c>
      <c r="G236" s="483">
        <f>Swords!$F$63</f>
        <v>25806</v>
      </c>
      <c r="H236" s="473" t="s">
        <v>60</v>
      </c>
      <c r="I236" s="455" t="s">
        <v>60</v>
      </c>
      <c r="J236" s="456">
        <f>Swords!$H$63</f>
        <v>69</v>
      </c>
      <c r="K236" s="456">
        <f>Swords!$I$63</f>
        <v>127.6595745</v>
      </c>
      <c r="L236" s="457" t="str">
        <f>Swords!$K$63</f>
        <v>N/A</v>
      </c>
      <c r="M236" s="458" t="str">
        <f>Swords!$L$63</f>
        <v>N/A</v>
      </c>
      <c r="N236" s="582">
        <f>Swords!$R$63</f>
        <v>374</v>
      </c>
      <c r="O236" s="719" t="str">
        <f>Swords!$S$63</f>
        <v>N/A</v>
      </c>
      <c r="P236" s="467" t="s">
        <v>660</v>
      </c>
    </row>
    <row r="237">
      <c r="A237" s="449" t="s">
        <v>672</v>
      </c>
      <c r="B237" s="449" t="s">
        <v>673</v>
      </c>
      <c r="C237" s="449" t="s">
        <v>60</v>
      </c>
      <c r="D237" s="482" t="str">
        <f>Primaries!$B$4</f>
        <v>Adaptive</v>
      </c>
      <c r="E237" s="532">
        <f>Primaries!$C$4</f>
        <v>260</v>
      </c>
      <c r="F237" s="720">
        <f>Primaries!$D$4</f>
        <v>220.5357143</v>
      </c>
      <c r="G237" s="473" t="str">
        <f>Primaries!$F$4</f>
        <v>inf</v>
      </c>
      <c r="H237" s="721">
        <f>Primaries!$G$4</f>
        <v>1482</v>
      </c>
      <c r="I237" s="455">
        <f>Primaries!$H$4</f>
        <v>57</v>
      </c>
      <c r="J237" s="566" t="str">
        <f>Primaries!$I$4</f>
        <v>inf</v>
      </c>
      <c r="K237" s="456">
        <f>Primaries!$J$4</f>
        <v>600</v>
      </c>
      <c r="L237" s="457">
        <f>Primaries!$K$4</f>
        <v>1.12</v>
      </c>
      <c r="M237" s="458" t="str">
        <f>Primaries!$L$4</f>
        <v>inf</v>
      </c>
      <c r="N237" s="494">
        <f>Primaries!$M$4</f>
        <v>15</v>
      </c>
      <c r="O237" s="518">
        <f>Primaries!$N$4</f>
        <v>26</v>
      </c>
      <c r="P237" s="467"/>
    </row>
    <row r="238">
      <c r="A238" s="449" t="s">
        <v>672</v>
      </c>
      <c r="B238" s="449" t="s">
        <v>673</v>
      </c>
      <c r="C238" s="449" t="s">
        <v>60</v>
      </c>
      <c r="D238" s="450" t="str">
        <f>Primaries!$B$20</f>
        <v>Centrifuse</v>
      </c>
      <c r="E238" s="532">
        <f>Primaries!$C$20</f>
        <v>262.5</v>
      </c>
      <c r="F238" s="722">
        <f>Primaries!$D$20</f>
        <v>247.382199</v>
      </c>
      <c r="G238" s="473" t="str">
        <f>Primaries!$F$20</f>
        <v>inf</v>
      </c>
      <c r="H238" s="519">
        <f>Primaries!$G$20</f>
        <v>1575</v>
      </c>
      <c r="I238" s="455">
        <f>Primaries!$H$20</f>
        <v>45</v>
      </c>
      <c r="J238" s="566" t="str">
        <f>Primaries!$I$20</f>
        <v>inf</v>
      </c>
      <c r="K238" s="456">
        <f>Primaries!$J$20</f>
        <v>450</v>
      </c>
      <c r="L238" s="457">
        <f>Primaries!$K$20</f>
        <v>0.5</v>
      </c>
      <c r="M238" s="458" t="str">
        <f>Primaries!$L$20</f>
        <v>inf</v>
      </c>
      <c r="N238" s="494">
        <f>Primaries!$M$20</f>
        <v>21</v>
      </c>
      <c r="O238" s="518">
        <f>Primaries!$N$20</f>
        <v>35</v>
      </c>
      <c r="P238" s="467"/>
    </row>
    <row r="239">
      <c r="A239" s="449" t="s">
        <v>672</v>
      </c>
      <c r="B239" s="449" t="s">
        <v>673</v>
      </c>
      <c r="C239" s="449" t="s">
        <v>60</v>
      </c>
      <c r="D239" s="450" t="str">
        <f>Primaries!$B$21</f>
        <v>Cerberus+1</v>
      </c>
      <c r="E239" s="645">
        <f>Primaries!$C$21</f>
        <v>312</v>
      </c>
      <c r="F239" s="723">
        <f>Primaries!$D$21</f>
        <v>263.3986928</v>
      </c>
      <c r="G239" s="473" t="str">
        <f>Primaries!$F$21</f>
        <v>inf</v>
      </c>
      <c r="H239" s="475">
        <f>Primaries!$G$21</f>
        <v>1612</v>
      </c>
      <c r="I239" s="455">
        <f>Primaries!$H$21</f>
        <v>31</v>
      </c>
      <c r="J239" s="566" t="str">
        <f>Primaries!$I$21</f>
        <v>inf</v>
      </c>
      <c r="K239" s="456">
        <f>Primaries!$J$21</f>
        <v>360</v>
      </c>
      <c r="L239" s="457">
        <f>Primaries!$K$21</f>
        <v>1.12</v>
      </c>
      <c r="M239" s="458" t="str">
        <f>Primaries!$L$21</f>
        <v>inf</v>
      </c>
      <c r="N239" s="554">
        <f>Primaries!$M$21</f>
        <v>52</v>
      </c>
      <c r="O239" s="533">
        <f>Primaries!$N$21</f>
        <v>93</v>
      </c>
      <c r="P239" s="117" t="s">
        <v>674</v>
      </c>
    </row>
    <row r="240">
      <c r="A240" s="449" t="s">
        <v>672</v>
      </c>
      <c r="B240" s="449" t="s">
        <v>673</v>
      </c>
      <c r="C240" s="449" t="s">
        <v>60</v>
      </c>
      <c r="D240" s="450" t="str">
        <f>Primaries!$B$23</f>
        <v>Cerberus+1</v>
      </c>
      <c r="E240" s="724">
        <f>Primaries!$C$23</f>
        <v>384</v>
      </c>
      <c r="F240" s="725">
        <f>Primaries!$D$23</f>
        <v>324.1830065</v>
      </c>
      <c r="G240" s="473" t="str">
        <f>Primaries!$F$23</f>
        <v>inf</v>
      </c>
      <c r="H240" s="548">
        <f>Primaries!$G$23</f>
        <v>1984</v>
      </c>
      <c r="I240" s="455">
        <f>Primaries!$H$23</f>
        <v>31</v>
      </c>
      <c r="J240" s="566" t="str">
        <f>Primaries!$I$23</f>
        <v>inf</v>
      </c>
      <c r="K240" s="456">
        <f>Primaries!$J$23</f>
        <v>360</v>
      </c>
      <c r="L240" s="457">
        <f>Primaries!$K$23</f>
        <v>1.12</v>
      </c>
      <c r="M240" s="458" t="str">
        <f>Primaries!$L$23</f>
        <v>inf</v>
      </c>
      <c r="N240" s="532">
        <f>Primaries!$M$23</f>
        <v>64</v>
      </c>
      <c r="O240" s="538">
        <f>Primaries!$N$23</f>
        <v>112</v>
      </c>
      <c r="P240" s="517" t="s">
        <v>675</v>
      </c>
    </row>
    <row r="241">
      <c r="A241" s="449" t="s">
        <v>672</v>
      </c>
      <c r="B241" s="449" t="s">
        <v>673</v>
      </c>
      <c r="C241" s="449" t="s">
        <v>60</v>
      </c>
      <c r="D241" s="450" t="str">
        <f>Primaries!$B$25</f>
        <v>Cerberus+1</v>
      </c>
      <c r="E241" s="726">
        <f>Primaries!$C$25</f>
        <v>468</v>
      </c>
      <c r="F241" s="727" t="str">
        <f>Primaries!$D$25</f>
        <v>N/A</v>
      </c>
      <c r="G241" s="473" t="str">
        <f>Primaries!$F$25</f>
        <v>inf</v>
      </c>
      <c r="H241" s="480">
        <f>Primaries!$G$25</f>
        <v>2418</v>
      </c>
      <c r="I241" s="455">
        <f>Primaries!$H$25</f>
        <v>31</v>
      </c>
      <c r="J241" s="566" t="str">
        <f>Primaries!$I$25</f>
        <v>inf</v>
      </c>
      <c r="K241" s="456">
        <f>Primaries!$J$25</f>
        <v>360</v>
      </c>
      <c r="L241" s="457">
        <f>Primaries!$K$25</f>
        <v>1.12</v>
      </c>
      <c r="M241" s="458" t="str">
        <f>Primaries!$L$25</f>
        <v>inf</v>
      </c>
      <c r="N241" s="645">
        <f>Primaries!$M$25</f>
        <v>78</v>
      </c>
      <c r="O241" s="728">
        <f>Primaries!$N$25</f>
        <v>139.5</v>
      </c>
      <c r="P241" s="127" t="s">
        <v>676</v>
      </c>
    </row>
    <row r="242">
      <c r="A242" s="449" t="s">
        <v>672</v>
      </c>
      <c r="B242" s="449" t="s">
        <v>673</v>
      </c>
      <c r="C242" s="449" t="s">
        <v>60</v>
      </c>
      <c r="D242" s="450" t="str">
        <f>Primaries!$B$26</f>
        <v>Cerberus+1</v>
      </c>
      <c r="E242" s="647">
        <f>Primaries!$C$26</f>
        <v>837</v>
      </c>
      <c r="F242" s="729" t="str">
        <f>Primaries!$D$26</f>
        <v>N/A</v>
      </c>
      <c r="G242" s="473" t="str">
        <f>Primaries!$F$26</f>
        <v>inf</v>
      </c>
      <c r="H242" s="661">
        <f>Primaries!$G$26</f>
        <v>4324.5</v>
      </c>
      <c r="I242" s="455">
        <f>Primaries!$H$26</f>
        <v>31</v>
      </c>
      <c r="J242" s="566" t="str">
        <f>Primaries!$I$26</f>
        <v>inf</v>
      </c>
      <c r="K242" s="456">
        <f>Primaries!$J$26</f>
        <v>360</v>
      </c>
      <c r="L242" s="457">
        <f>Primaries!$K$26</f>
        <v>1.12</v>
      </c>
      <c r="M242" s="458" t="str">
        <f>Primaries!$L$26</f>
        <v>inf</v>
      </c>
      <c r="N242" s="645">
        <f>Primaries!$M$26</f>
        <v>78</v>
      </c>
      <c r="O242" s="728">
        <f>Primaries!$N$26</f>
        <v>139.5</v>
      </c>
      <c r="P242" s="127" t="s">
        <v>677</v>
      </c>
    </row>
    <row r="243">
      <c r="A243" s="449" t="s">
        <v>672</v>
      </c>
      <c r="B243" s="449" t="s">
        <v>673</v>
      </c>
      <c r="C243" s="449" t="s">
        <v>60</v>
      </c>
      <c r="D243" s="450" t="str">
        <f>Primaries!$B$27</f>
        <v>Cerberus+1</v>
      </c>
      <c r="E243" s="726">
        <f>Primaries!$C$27</f>
        <v>576</v>
      </c>
      <c r="F243" s="727" t="str">
        <f>Primaries!$D$27</f>
        <v>N/A</v>
      </c>
      <c r="G243" s="473" t="str">
        <f>Primaries!$F$27</f>
        <v>inf</v>
      </c>
      <c r="H243" s="480">
        <f>Primaries!$G$27</f>
        <v>2976</v>
      </c>
      <c r="I243" s="455">
        <f>Primaries!$H$27</f>
        <v>31</v>
      </c>
      <c r="J243" s="566" t="str">
        <f>Primaries!$I$27</f>
        <v>inf</v>
      </c>
      <c r="K243" s="456">
        <f>Primaries!$J$27</f>
        <v>360</v>
      </c>
      <c r="L243" s="457">
        <f>Primaries!$K$27</f>
        <v>1.12</v>
      </c>
      <c r="M243" s="458" t="str">
        <f>Primaries!$L$27</f>
        <v>inf</v>
      </c>
      <c r="N243" s="645">
        <f>Primaries!$M$27</f>
        <v>96</v>
      </c>
      <c r="O243" s="728">
        <f>Primaries!$N$27</f>
        <v>168</v>
      </c>
      <c r="P243" s="127" t="s">
        <v>678</v>
      </c>
    </row>
    <row r="244">
      <c r="A244" s="449" t="s">
        <v>672</v>
      </c>
      <c r="B244" s="449" t="s">
        <v>673</v>
      </c>
      <c r="C244" s="449" t="s">
        <v>60</v>
      </c>
      <c r="D244" s="450" t="str">
        <f>Primaries!$B$28</f>
        <v>Cerberus+1</v>
      </c>
      <c r="E244" s="647">
        <f>Primaries!$C$28</f>
        <v>1008</v>
      </c>
      <c r="F244" s="729" t="str">
        <f>Primaries!$D$28</f>
        <v>N/A</v>
      </c>
      <c r="G244" s="473" t="str">
        <f>Primaries!$F$28</f>
        <v>inf</v>
      </c>
      <c r="H244" s="661">
        <f>Primaries!$G$28</f>
        <v>5208</v>
      </c>
      <c r="I244" s="455">
        <f>Primaries!$H$28</f>
        <v>31</v>
      </c>
      <c r="J244" s="566" t="str">
        <f>Primaries!$I$28</f>
        <v>inf</v>
      </c>
      <c r="K244" s="456">
        <f>Primaries!$J$28</f>
        <v>360</v>
      </c>
      <c r="L244" s="457">
        <f>Primaries!$K$28</f>
        <v>1.12</v>
      </c>
      <c r="M244" s="458" t="str">
        <f>Primaries!$L$28</f>
        <v>inf</v>
      </c>
      <c r="N244" s="645">
        <f>Primaries!$M$28</f>
        <v>96</v>
      </c>
      <c r="O244" s="728">
        <f>Primaries!$N$28</f>
        <v>168</v>
      </c>
      <c r="P244" s="127" t="s">
        <v>679</v>
      </c>
    </row>
    <row r="245">
      <c r="A245" s="449" t="s">
        <v>672</v>
      </c>
      <c r="B245" s="449" t="s">
        <v>673</v>
      </c>
      <c r="C245" s="449" t="s">
        <v>60</v>
      </c>
      <c r="D245" s="450" t="str">
        <f>Primaries!$B$22</f>
        <v>Cerberus+1</v>
      </c>
      <c r="E245" s="519">
        <f>Primaries!$C$22</f>
        <v>558</v>
      </c>
      <c r="F245" s="730">
        <f>Primaries!$D$22</f>
        <v>471.0784314</v>
      </c>
      <c r="G245" s="473" t="str">
        <f>Primaries!$F$22</f>
        <v>inf</v>
      </c>
      <c r="H245" s="731">
        <f>Primaries!$G$22</f>
        <v>2883</v>
      </c>
      <c r="I245" s="455">
        <f>Primaries!$H$22</f>
        <v>31</v>
      </c>
      <c r="J245" s="566" t="str">
        <f>Primaries!$I$22</f>
        <v>inf</v>
      </c>
      <c r="K245" s="456">
        <f>Primaries!$J$22</f>
        <v>360</v>
      </c>
      <c r="L245" s="457">
        <f>Primaries!$K$22</f>
        <v>1.12</v>
      </c>
      <c r="M245" s="458" t="str">
        <f>Primaries!$L$22</f>
        <v>inf</v>
      </c>
      <c r="N245" s="554">
        <f>Primaries!$M$22</f>
        <v>52</v>
      </c>
      <c r="O245" s="533">
        <f>Primaries!$N$22</f>
        <v>93</v>
      </c>
      <c r="P245" s="467" t="s">
        <v>680</v>
      </c>
    </row>
    <row r="246">
      <c r="A246" s="449" t="s">
        <v>672</v>
      </c>
      <c r="B246" s="449" t="s">
        <v>673</v>
      </c>
      <c r="C246" s="449" t="s">
        <v>60</v>
      </c>
      <c r="D246" s="450" t="str">
        <f>Primaries!$B$24</f>
        <v>Cerberus+1</v>
      </c>
      <c r="E246" s="620">
        <f>Primaries!$C$24</f>
        <v>672</v>
      </c>
      <c r="F246" s="539">
        <f>Primaries!$D$24</f>
        <v>567.3202614</v>
      </c>
      <c r="G246" s="473" t="str">
        <f>Primaries!$F$24</f>
        <v>inf</v>
      </c>
      <c r="H246" s="502">
        <f>Primaries!$G$24</f>
        <v>3472</v>
      </c>
      <c r="I246" s="455">
        <f>Primaries!$H$24</f>
        <v>31</v>
      </c>
      <c r="J246" s="566" t="str">
        <f>Primaries!$I$24</f>
        <v>inf</v>
      </c>
      <c r="K246" s="456">
        <f>Primaries!$J$24</f>
        <v>360</v>
      </c>
      <c r="L246" s="457">
        <f>Primaries!$K$24</f>
        <v>1.12</v>
      </c>
      <c r="M246" s="458" t="str">
        <f>Primaries!$L$24</f>
        <v>inf</v>
      </c>
      <c r="N246" s="532">
        <f>Primaries!$M$24</f>
        <v>64</v>
      </c>
      <c r="O246" s="538">
        <f>Primaries!$N$24</f>
        <v>112</v>
      </c>
      <c r="P246" s="517" t="s">
        <v>681</v>
      </c>
    </row>
    <row r="247">
      <c r="A247" s="449" t="s">
        <v>672</v>
      </c>
      <c r="B247" s="449" t="s">
        <v>673</v>
      </c>
      <c r="C247" s="449" t="s">
        <v>60</v>
      </c>
      <c r="D247" s="450" t="str">
        <f>Primaries!$B$17</f>
        <v>Hard Light</v>
      </c>
      <c r="E247" s="532">
        <f>Primaries!$C$17</f>
        <v>270</v>
      </c>
      <c r="F247" s="728">
        <f>Primaries!$D$17</f>
        <v>223.4797297</v>
      </c>
      <c r="G247" s="473" t="str">
        <f>Primaries!$F$17</f>
        <v>inf</v>
      </c>
      <c r="H247" s="593">
        <f>Primaries!$G$17</f>
        <v>1323</v>
      </c>
      <c r="I247" s="455">
        <f>Primaries!$H$17</f>
        <v>49</v>
      </c>
      <c r="J247" s="566" t="str">
        <f>Primaries!$I$17</f>
        <v>inf</v>
      </c>
      <c r="K247" s="456">
        <f>Primaries!$J$17</f>
        <v>600</v>
      </c>
      <c r="L247" s="457">
        <f>Primaries!$K$17</f>
        <v>1.12</v>
      </c>
      <c r="M247" s="458" t="str">
        <f>Primaries!$L$17</f>
        <v>inf</v>
      </c>
      <c r="N247" s="494">
        <f>Primaries!$M$17</f>
        <v>16</v>
      </c>
      <c r="O247" s="518">
        <f>Primaries!$N$17</f>
        <v>27</v>
      </c>
      <c r="P247" s="117"/>
    </row>
    <row r="248">
      <c r="A248" s="449" t="s">
        <v>672</v>
      </c>
      <c r="B248" s="449" t="s">
        <v>673</v>
      </c>
      <c r="C248" s="449" t="s">
        <v>60</v>
      </c>
      <c r="D248" s="482" t="str">
        <f>Primaries!$B$7</f>
        <v>High-Impact</v>
      </c>
      <c r="E248" s="554">
        <f>Primaries!$C$7</f>
        <v>252</v>
      </c>
      <c r="F248" s="728">
        <f>Primaries!$D$7</f>
        <v>223.5804416</v>
      </c>
      <c r="G248" s="473" t="str">
        <f>Primaries!$F$7</f>
        <v>inf</v>
      </c>
      <c r="H248" s="475">
        <f>Primaries!$G$7</f>
        <v>1890</v>
      </c>
      <c r="I248" s="455">
        <f>Primaries!$H$7</f>
        <v>45</v>
      </c>
      <c r="J248" s="566" t="str">
        <f>Primaries!$I$7</f>
        <v>inf</v>
      </c>
      <c r="K248" s="456">
        <f>Primaries!$J$7</f>
        <v>360</v>
      </c>
      <c r="L248" s="457">
        <f>Primaries!$K$7</f>
        <v>1.12</v>
      </c>
      <c r="M248" s="458" t="str">
        <f>Primaries!$L$7</f>
        <v>inf</v>
      </c>
      <c r="N248" s="494">
        <f>Primaries!$M$7</f>
        <v>24</v>
      </c>
      <c r="O248" s="732">
        <f>Primaries!$N$7</f>
        <v>42</v>
      </c>
      <c r="P248" s="467"/>
    </row>
    <row r="249">
      <c r="A249" s="449" t="s">
        <v>672</v>
      </c>
      <c r="B249" s="449" t="s">
        <v>673</v>
      </c>
      <c r="C249" s="449" t="s">
        <v>60</v>
      </c>
      <c r="D249" s="450" t="str">
        <f>Primaries!$B$18</f>
        <v>Khvostov 7G-0X</v>
      </c>
      <c r="E249" s="537">
        <f>Primaries!$C$18</f>
        <v>304.2857143</v>
      </c>
      <c r="F249" s="733">
        <f>Primaries!$D$18</f>
        <v>249.8120301</v>
      </c>
      <c r="G249" s="473" t="str">
        <f>Primaries!$F$18</f>
        <v>inf</v>
      </c>
      <c r="H249" s="647">
        <f>Primaries!$G$18</f>
        <v>1569.24</v>
      </c>
      <c r="I249" s="455">
        <f>Primaries!$H$18</f>
        <v>43</v>
      </c>
      <c r="J249" s="566" t="str">
        <f>Primaries!$I$18</f>
        <v>inf</v>
      </c>
      <c r="K249" s="456">
        <f>Primaries!$J$18</f>
        <v>600</v>
      </c>
      <c r="L249" s="457">
        <f>Primaries!$K$18</f>
        <v>1.12</v>
      </c>
      <c r="M249" s="458" t="str">
        <f>Primaries!$L$18</f>
        <v>inf</v>
      </c>
      <c r="N249" s="494">
        <f>Primaries!$M$18</f>
        <v>16</v>
      </c>
      <c r="O249" s="518">
        <f>Primaries!$N$18</f>
        <v>27</v>
      </c>
      <c r="P249" s="95" t="str">
        <f>Primaries!O18</f>
        <v>with ricochet rounds</v>
      </c>
    </row>
    <row r="250">
      <c r="A250" s="449" t="s">
        <v>672</v>
      </c>
      <c r="B250" s="449" t="s">
        <v>673</v>
      </c>
      <c r="C250" s="449" t="s">
        <v>60</v>
      </c>
      <c r="D250" s="450" t="str">
        <f>Primaries!$B$19</f>
        <v>Monte Carlo</v>
      </c>
      <c r="E250" s="537">
        <f>Primaries!$C$19</f>
        <v>270</v>
      </c>
      <c r="F250" s="733">
        <f>Primaries!$D$19</f>
        <v>219.1881919</v>
      </c>
      <c r="G250" s="473" t="str">
        <f>Primaries!$F$19</f>
        <v>inf</v>
      </c>
      <c r="H250" s="647">
        <f>Primaries!$G$19</f>
        <v>1188</v>
      </c>
      <c r="I250" s="455">
        <f>Primaries!$H$19</f>
        <v>44</v>
      </c>
      <c r="J250" s="566" t="str">
        <f>Primaries!$I$19</f>
        <v>inf</v>
      </c>
      <c r="K250" s="456">
        <f>Primaries!$J$19</f>
        <v>600</v>
      </c>
      <c r="L250" s="457">
        <f>Primaries!$K$19</f>
        <v>1.12</v>
      </c>
      <c r="M250" s="458" t="str">
        <f>Primaries!$L$19</f>
        <v>inf</v>
      </c>
      <c r="N250" s="494">
        <f>Primaries!$M$19</f>
        <v>16</v>
      </c>
      <c r="O250" s="518">
        <f>Primaries!$N$19</f>
        <v>27</v>
      </c>
      <c r="P250" s="95" t="str">
        <f>Primaries!O19</f>
        <v>Bayonet does 2913</v>
      </c>
    </row>
    <row r="251">
      <c r="A251" s="449" t="s">
        <v>672</v>
      </c>
      <c r="B251" s="449" t="s">
        <v>673</v>
      </c>
      <c r="C251" s="449" t="s">
        <v>60</v>
      </c>
      <c r="D251" s="450" t="str">
        <f>Primaries!$B$15</f>
        <v>Necrochasm</v>
      </c>
      <c r="E251" s="542">
        <f>Primaries!$C$15</f>
        <v>288</v>
      </c>
      <c r="F251" s="491">
        <f>Primaries!$D$15</f>
        <v>228.862047</v>
      </c>
      <c r="G251" s="473" t="str">
        <f>Primaries!$F$15</f>
        <v>inf</v>
      </c>
      <c r="H251" s="593">
        <f>Primaries!$G$15</f>
        <v>1200</v>
      </c>
      <c r="I251" s="455">
        <f>Primaries!$H$15</f>
        <v>50</v>
      </c>
      <c r="J251" s="566" t="str">
        <f>Primaries!$I$15</f>
        <v>inf</v>
      </c>
      <c r="K251" s="456">
        <f>Primaries!$J$15</f>
        <v>720</v>
      </c>
      <c r="L251" s="457">
        <f>Primaries!$K$15</f>
        <v>1.16</v>
      </c>
      <c r="M251" s="458" t="str">
        <f>Primaries!$L$15</f>
        <v>inf</v>
      </c>
      <c r="N251" s="494">
        <f>Primaries!$M$15</f>
        <v>14</v>
      </c>
      <c r="O251" s="518">
        <f>Primaries!$N$15</f>
        <v>24</v>
      </c>
      <c r="P251" s="467"/>
    </row>
    <row r="252">
      <c r="A252" s="449" t="s">
        <v>672</v>
      </c>
      <c r="B252" s="449" t="s">
        <v>673</v>
      </c>
      <c r="C252" s="449" t="s">
        <v>60</v>
      </c>
      <c r="D252" s="482" t="str">
        <f>Primaries!$B$6</f>
        <v>Precision</v>
      </c>
      <c r="E252" s="532">
        <f>Primaries!$C$6</f>
        <v>247.5</v>
      </c>
      <c r="F252" s="734">
        <f>Primaries!$D$6</f>
        <v>212.5477099</v>
      </c>
      <c r="G252" s="473" t="str">
        <f>Primaries!$F$6</f>
        <v>inf</v>
      </c>
      <c r="H252" s="735">
        <f>Primaries!$G$6</f>
        <v>1485</v>
      </c>
      <c r="I252" s="455">
        <f>Primaries!$H$6</f>
        <v>45</v>
      </c>
      <c r="J252" s="566" t="str">
        <f>Primaries!$I$6</f>
        <v>inf</v>
      </c>
      <c r="K252" s="456">
        <f>Primaries!$J$6</f>
        <v>450</v>
      </c>
      <c r="L252" s="457">
        <f>Primaries!$K$6</f>
        <v>1.12</v>
      </c>
      <c r="M252" s="458" t="str">
        <f>Primaries!$L$6</f>
        <v>inf</v>
      </c>
      <c r="N252" s="494">
        <f>Primaries!$M$6</f>
        <v>20</v>
      </c>
      <c r="O252" s="518">
        <f>Primaries!$N$6</f>
        <v>33</v>
      </c>
      <c r="P252" s="467"/>
    </row>
    <row r="253">
      <c r="A253" s="449" t="s">
        <v>672</v>
      </c>
      <c r="B253" s="449" t="s">
        <v>673</v>
      </c>
      <c r="C253" s="449" t="s">
        <v>60</v>
      </c>
      <c r="D253" s="450" t="str">
        <f>Primaries!$B$13</f>
        <v>Quicksilver Storm</v>
      </c>
      <c r="E253" s="726">
        <f>Primaries!$C$13</f>
        <v>367.0588235</v>
      </c>
      <c r="F253" s="663">
        <f>Primaries!$D$13</f>
        <v>296.2025316</v>
      </c>
      <c r="G253" s="473" t="str">
        <f>Primaries!$F$13</f>
        <v>inf</v>
      </c>
      <c r="H253" s="556">
        <f>Primaries!$G$13</f>
        <v>1560</v>
      </c>
      <c r="I253" s="455">
        <f>Primaries!$H$13</f>
        <v>51</v>
      </c>
      <c r="J253" s="566" t="str">
        <f>Primaries!$I$13</f>
        <v>inf</v>
      </c>
      <c r="K253" s="456">
        <f>Primaries!$J$13</f>
        <v>720</v>
      </c>
      <c r="L253" s="457">
        <f>Primaries!$K$13</f>
        <v>1.1</v>
      </c>
      <c r="M253" s="458" t="str">
        <f>Primaries!$L$13</f>
        <v>inf</v>
      </c>
      <c r="N253" s="494">
        <f>Primaries!$M$13</f>
        <v>14</v>
      </c>
      <c r="O253" s="518">
        <f>Primaries!$N$13</f>
        <v>24</v>
      </c>
      <c r="P253" s="467" t="s">
        <v>682</v>
      </c>
    </row>
    <row r="254">
      <c r="A254" s="449" t="s">
        <v>672</v>
      </c>
      <c r="B254" s="449" t="s">
        <v>673</v>
      </c>
      <c r="C254" s="449" t="s">
        <v>60</v>
      </c>
      <c r="D254" s="450" t="str">
        <f>Primaries!$B$14</f>
        <v>Quicksilver Storm</v>
      </c>
      <c r="E254" s="475">
        <f>Primaries!$C$14</f>
        <v>445.4676259</v>
      </c>
      <c r="F254" s="567">
        <f>Primaries!$D$14</f>
        <v>445.4676259</v>
      </c>
      <c r="G254" s="473" t="str">
        <f>Primaries!$F$14</f>
        <v>inf</v>
      </c>
      <c r="H254" s="473" t="str">
        <f>Primaries!$G$14</f>
        <v>N/A</v>
      </c>
      <c r="I254" s="455">
        <f>Primaries!$H$14</f>
        <v>51</v>
      </c>
      <c r="J254" s="566" t="str">
        <f>Primaries!$I$14</f>
        <v>inf</v>
      </c>
      <c r="K254" s="456">
        <f>Primaries!$J$14</f>
        <v>720</v>
      </c>
      <c r="L254" s="457">
        <f>Primaries!$K$14</f>
        <v>1.1</v>
      </c>
      <c r="M254" s="458" t="str">
        <f>Primaries!$L$14</f>
        <v>inf</v>
      </c>
      <c r="N254" s="494">
        <f>Primaries!$M$14</f>
        <v>14</v>
      </c>
      <c r="O254" s="518">
        <f>Primaries!$N$14</f>
        <v>24</v>
      </c>
      <c r="P254" s="495" t="s">
        <v>683</v>
      </c>
    </row>
    <row r="255">
      <c r="A255" s="449" t="s">
        <v>672</v>
      </c>
      <c r="B255" s="449" t="s">
        <v>673</v>
      </c>
      <c r="C255" s="449" t="s">
        <v>60</v>
      </c>
      <c r="D255" s="482" t="str">
        <f>Primaries!$B$3</f>
        <v>Rapid-Fire</v>
      </c>
      <c r="E255" s="542">
        <f>Primaries!$C$3</f>
        <v>276</v>
      </c>
      <c r="F255" s="491">
        <f>Primaries!$D$3</f>
        <v>242.250978</v>
      </c>
      <c r="G255" s="473" t="str">
        <f>Primaries!$F$3</f>
        <v>inf</v>
      </c>
      <c r="H255" s="735">
        <f>Primaries!$G$3</f>
        <v>1610</v>
      </c>
      <c r="I255" s="455">
        <f>Primaries!$H$3</f>
        <v>70</v>
      </c>
      <c r="J255" s="566" t="str">
        <f>Primaries!$I$3</f>
        <v>inf</v>
      </c>
      <c r="K255" s="456">
        <f>Primaries!$J$3</f>
        <v>720</v>
      </c>
      <c r="L255" s="457">
        <f>Primaries!$K$3</f>
        <v>0.896</v>
      </c>
      <c r="M255" s="458" t="str">
        <f>Primaries!$L$3</f>
        <v>inf</v>
      </c>
      <c r="N255" s="494">
        <f>Primaries!$M$3</f>
        <v>14</v>
      </c>
      <c r="O255" s="518">
        <f>Primaries!$N$3</f>
        <v>23</v>
      </c>
      <c r="P255" s="467"/>
    </row>
    <row r="256">
      <c r="A256" s="449" t="s">
        <v>672</v>
      </c>
      <c r="B256" s="449" t="s">
        <v>673</v>
      </c>
      <c r="C256" s="449" t="s">
        <v>60</v>
      </c>
      <c r="D256" s="482" t="str">
        <f>Primaries!$B$5</f>
        <v>Support</v>
      </c>
      <c r="E256" s="532">
        <f>Primaries!$C$5</f>
        <v>260</v>
      </c>
      <c r="F256" s="720">
        <f>Primaries!$D$5</f>
        <v>222.2222222</v>
      </c>
      <c r="G256" s="473" t="str">
        <f>Primaries!$F$5</f>
        <v>inf</v>
      </c>
      <c r="H256" s="721">
        <f>Primaries!$G$5</f>
        <v>1560</v>
      </c>
      <c r="I256" s="455">
        <f>Primaries!$H$5</f>
        <v>60</v>
      </c>
      <c r="J256" s="566" t="str">
        <f>Primaries!$I$5</f>
        <v>inf</v>
      </c>
      <c r="K256" s="456">
        <f>Primaries!$J$5</f>
        <v>600</v>
      </c>
      <c r="L256" s="457">
        <f>Primaries!$K$5</f>
        <v>1.12</v>
      </c>
      <c r="M256" s="458" t="str">
        <f>Primaries!$L$5</f>
        <v>inf</v>
      </c>
      <c r="N256" s="494">
        <f>Primaries!$M$5</f>
        <v>19</v>
      </c>
      <c r="O256" s="518">
        <f>Primaries!$N$5</f>
        <v>26</v>
      </c>
      <c r="P256" s="467"/>
    </row>
    <row r="257">
      <c r="A257" s="449" t="s">
        <v>672</v>
      </c>
      <c r="B257" s="449" t="s">
        <v>673</v>
      </c>
      <c r="C257" s="449" t="s">
        <v>60</v>
      </c>
      <c r="D257" s="450" t="str">
        <f>Primaries!$B$10</f>
        <v>Suros Regime</v>
      </c>
      <c r="E257" s="532">
        <f>Primaries!$C$10</f>
        <v>273.9</v>
      </c>
      <c r="F257" s="734">
        <f>Primaries!$D$10</f>
        <v>234.4561934</v>
      </c>
      <c r="G257" s="473" t="str">
        <f>Primaries!$F$10</f>
        <v>inf</v>
      </c>
      <c r="H257" s="476">
        <f>Primaries!$G$10</f>
        <v>1552.1</v>
      </c>
      <c r="I257" s="455">
        <f>Primaries!$H$10</f>
        <v>34</v>
      </c>
      <c r="J257" s="566" t="str">
        <f>Primaries!$I$10</f>
        <v>inf</v>
      </c>
      <c r="K257" s="456">
        <f>Primaries!$J$10</f>
        <v>360</v>
      </c>
      <c r="L257" s="457">
        <f>Primaries!$K$10</f>
        <v>1.12</v>
      </c>
      <c r="M257" s="458" t="str">
        <f>Primaries!$L$10</f>
        <v>inf</v>
      </c>
      <c r="N257" s="494">
        <f>Primaries!$M$10</f>
        <v>25</v>
      </c>
      <c r="O257" s="732">
        <f>Primaries!$N$10</f>
        <v>44</v>
      </c>
      <c r="P257" s="467" t="s">
        <v>52</v>
      </c>
    </row>
    <row r="258">
      <c r="A258" s="449" t="s">
        <v>672</v>
      </c>
      <c r="B258" s="449" t="s">
        <v>673</v>
      </c>
      <c r="C258" s="449" t="s">
        <v>60</v>
      </c>
      <c r="D258" s="450" t="str">
        <f>Primaries!$B$9</f>
        <v>Suros Regime</v>
      </c>
      <c r="E258" s="736">
        <f>Primaries!$C$9</f>
        <v>332.2412791</v>
      </c>
      <c r="F258" s="491">
        <f>Primaries!$D$9</f>
        <v>244.06429</v>
      </c>
      <c r="G258" s="473" t="str">
        <f>Primaries!$F$9</f>
        <v>inf</v>
      </c>
      <c r="H258" s="726">
        <f>Primaries!$G$9</f>
        <v>952.425</v>
      </c>
      <c r="I258" s="455">
        <f>Primaries!$H$9</f>
        <v>34</v>
      </c>
      <c r="J258" s="566" t="str">
        <f>Primaries!$I$9</f>
        <v>inf</v>
      </c>
      <c r="K258" s="456">
        <f>Primaries!$J$9</f>
        <v>711.627907</v>
      </c>
      <c r="L258" s="457">
        <f>Primaries!$K$9</f>
        <v>1.12</v>
      </c>
      <c r="M258" s="458" t="str">
        <f>Primaries!$L$9</f>
        <v>inf</v>
      </c>
      <c r="N258" s="494">
        <f>Primaries!$M$9</f>
        <v>16</v>
      </c>
      <c r="O258" s="518">
        <f>Primaries!$N$9</f>
        <v>27</v>
      </c>
      <c r="P258" s="467" t="s">
        <v>684</v>
      </c>
    </row>
    <row r="259">
      <c r="A259" s="449" t="s">
        <v>672</v>
      </c>
      <c r="B259" s="449" t="s">
        <v>673</v>
      </c>
      <c r="C259" s="449" t="s">
        <v>60</v>
      </c>
      <c r="D259" s="450" t="str">
        <f>Primaries!$B$8</f>
        <v>Sweet Business</v>
      </c>
      <c r="E259" s="647">
        <f>Primaries!$C$8</f>
        <v>471.686747</v>
      </c>
      <c r="F259" s="737">
        <f>Primaries!$D$8</f>
        <v>398.5295011</v>
      </c>
      <c r="G259" s="473" t="str">
        <f>Primaries!$F$8</f>
        <v>inf</v>
      </c>
      <c r="H259" s="738">
        <f>Primaries!$G$8</f>
        <v>4959</v>
      </c>
      <c r="I259" s="455">
        <f>Primaries!$H$8</f>
        <v>150</v>
      </c>
      <c r="J259" s="566" t="str">
        <f>Primaries!$I$8</f>
        <v>inf</v>
      </c>
      <c r="K259" s="456">
        <f>Primaries!$J$8</f>
        <v>856.0558022</v>
      </c>
      <c r="L259" s="457">
        <f>Primaries!$K$8</f>
        <v>2</v>
      </c>
      <c r="M259" s="458" t="str">
        <f>Primaries!$L$8</f>
        <v>inf</v>
      </c>
      <c r="N259" s="494">
        <f>Primaries!$M$8</f>
        <v>20</v>
      </c>
      <c r="O259" s="518">
        <f>Primaries!$N$8</f>
        <v>30</v>
      </c>
      <c r="P259" s="467" t="s">
        <v>685</v>
      </c>
    </row>
    <row r="260">
      <c r="A260" s="449" t="s">
        <v>672</v>
      </c>
      <c r="B260" s="449" t="s">
        <v>673</v>
      </c>
      <c r="C260" s="449" t="s">
        <v>60</v>
      </c>
      <c r="D260" s="450" t="str">
        <f>Primaries!$B$11</f>
        <v>Tommy's Matchbook</v>
      </c>
      <c r="E260" s="534">
        <f>Primaries!$C$11</f>
        <v>711.8414286</v>
      </c>
      <c r="F260" s="739">
        <f>Primaries!$D$11</f>
        <v>648.2473545</v>
      </c>
      <c r="G260" s="473" t="str">
        <f>Primaries!$F$11</f>
        <v>inf</v>
      </c>
      <c r="H260" s="656">
        <f>Primaries!$G$11</f>
        <v>5746</v>
      </c>
      <c r="I260" s="455">
        <f>Primaries!$H$11</f>
        <v>100</v>
      </c>
      <c r="J260" s="566" t="str">
        <f>Primaries!$I$11</f>
        <v>inf</v>
      </c>
      <c r="K260" s="456">
        <f>Primaries!$J$11</f>
        <v>720</v>
      </c>
      <c r="L260" s="457">
        <f>Primaries!$K$11</f>
        <v>0.93</v>
      </c>
      <c r="M260" s="458" t="str">
        <f>Primaries!$L$11</f>
        <v>inf</v>
      </c>
      <c r="N260" s="494">
        <f>Primaries!$M$11</f>
        <v>28</v>
      </c>
      <c r="O260" s="732">
        <f>Primaries!$N$11</f>
        <v>47</v>
      </c>
      <c r="P260" s="495" t="s">
        <v>55</v>
      </c>
    </row>
    <row r="261">
      <c r="A261" s="449" t="s">
        <v>672</v>
      </c>
      <c r="B261" s="449" t="s">
        <v>673</v>
      </c>
      <c r="C261" s="449" t="s">
        <v>60</v>
      </c>
      <c r="D261" s="450" t="str">
        <f>Primaries!$B$12</f>
        <v>Tommy's Matchbook</v>
      </c>
      <c r="E261" s="454">
        <f>Primaries!$C$12</f>
        <v>801.0014286</v>
      </c>
      <c r="F261" s="690">
        <f>Primaries!$D$12</f>
        <v>729.1841737</v>
      </c>
      <c r="G261" s="473" t="str">
        <f>Primaries!$F$12</f>
        <v>inf</v>
      </c>
      <c r="H261" s="661">
        <f>Primaries!$G$12</f>
        <v>6489</v>
      </c>
      <c r="I261" s="455">
        <f>Primaries!$H$12</f>
        <v>100</v>
      </c>
      <c r="J261" s="566" t="str">
        <f>Primaries!$I$12</f>
        <v>inf</v>
      </c>
      <c r="K261" s="456">
        <f>Primaries!$J$12</f>
        <v>720</v>
      </c>
      <c r="L261" s="457">
        <f>Primaries!$K$12</f>
        <v>0.93</v>
      </c>
      <c r="M261" s="458" t="str">
        <f>Primaries!$L$12</f>
        <v>inf</v>
      </c>
      <c r="N261" s="494">
        <f>Primaries!$M$12</f>
        <v>28</v>
      </c>
      <c r="O261" s="732">
        <f>Primaries!$N$12</f>
        <v>47</v>
      </c>
      <c r="P261" s="495" t="s">
        <v>686</v>
      </c>
    </row>
    <row r="262">
      <c r="A262" s="449" t="s">
        <v>672</v>
      </c>
      <c r="B262" s="449" t="s">
        <v>673</v>
      </c>
      <c r="C262" s="449" t="s">
        <v>60</v>
      </c>
      <c r="D262" s="450" t="str">
        <f>Primaries!$B$16</f>
        <v>Vex Mythoclast</v>
      </c>
      <c r="E262" s="520">
        <f>Primaries!$C$16</f>
        <v>612</v>
      </c>
      <c r="F262" s="740">
        <f>Primaries!$D$16</f>
        <v>498.046875</v>
      </c>
      <c r="G262" s="473" t="str">
        <f>Primaries!$F$16</f>
        <v>inf</v>
      </c>
      <c r="H262" s="620">
        <f>Primaries!$G$16</f>
        <v>2550</v>
      </c>
      <c r="I262" s="455">
        <f>Primaries!$H$16</f>
        <v>25</v>
      </c>
      <c r="J262" s="566" t="str">
        <f>Primaries!$I$16</f>
        <v>inf</v>
      </c>
      <c r="K262" s="456">
        <f>Primaries!$J$16</f>
        <v>360</v>
      </c>
      <c r="L262" s="457">
        <f>Primaries!$K$16</f>
        <v>1.12</v>
      </c>
      <c r="M262" s="458" t="str">
        <f>Primaries!$L$16</f>
        <v>inf</v>
      </c>
      <c r="N262" s="561">
        <f>Primaries!$M$16</f>
        <v>57</v>
      </c>
      <c r="O262" s="555">
        <f>Primaries!$N$16</f>
        <v>102</v>
      </c>
      <c r="P262" s="467" t="s">
        <v>64</v>
      </c>
    </row>
    <row r="263">
      <c r="A263" s="449" t="s">
        <v>672</v>
      </c>
      <c r="B263" s="449" t="s">
        <v>220</v>
      </c>
      <c r="C263" s="449" t="s">
        <v>60</v>
      </c>
      <c r="D263" s="450" t="str">
        <f>Primaries!$B$159</f>
        <v>Hierarchy of Needs</v>
      </c>
      <c r="E263" s="494">
        <f>Primaries!$C$159</f>
        <v>164.4542773</v>
      </c>
      <c r="F263" s="562">
        <f>Primaries!$D$159</f>
        <v>164.4542773</v>
      </c>
      <c r="G263" s="473" t="str">
        <f>Primaries!$F$159</f>
        <v>inf</v>
      </c>
      <c r="H263" s="494">
        <f>Primaries!$G$159</f>
        <v>223</v>
      </c>
      <c r="I263" s="455">
        <f>Primaries!$H$159</f>
        <v>1</v>
      </c>
      <c r="J263" s="566" t="str">
        <f>Primaries!$I$159</f>
        <v>inf</v>
      </c>
      <c r="K263" s="456">
        <f>Primaries!$J$159</f>
        <v>44.24778761</v>
      </c>
      <c r="L263" s="457">
        <f>Primaries!$K$159</f>
        <v>0.6</v>
      </c>
      <c r="M263" s="458" t="str">
        <f>Primaries!$L$159</f>
        <v>inf</v>
      </c>
      <c r="N263" s="645">
        <f>Primaries!$M$159</f>
        <v>139</v>
      </c>
      <c r="O263" s="491">
        <f>Primaries!$N$159</f>
        <v>223</v>
      </c>
      <c r="P263" s="467" t="s">
        <v>229</v>
      </c>
    </row>
    <row r="264">
      <c r="A264" s="449" t="s">
        <v>672</v>
      </c>
      <c r="B264" s="449" t="s">
        <v>220</v>
      </c>
      <c r="C264" s="449" t="s">
        <v>60</v>
      </c>
      <c r="D264" s="450" t="str">
        <f>Primaries!$B$160</f>
        <v>Hierarchy of Needs</v>
      </c>
      <c r="E264" s="647">
        <f>Primaries!$C$160</f>
        <v>379.0560472</v>
      </c>
      <c r="F264" s="695">
        <f>Primaries!$D$160</f>
        <v>379.0560472</v>
      </c>
      <c r="G264" s="473" t="str">
        <f>Primaries!$F$160</f>
        <v>inf</v>
      </c>
      <c r="H264" s="736">
        <f>Primaries!$G$160</f>
        <v>514</v>
      </c>
      <c r="I264" s="455">
        <f>Primaries!$H$160</f>
        <v>1</v>
      </c>
      <c r="J264" s="566" t="str">
        <f>Primaries!$I$160</f>
        <v>inf</v>
      </c>
      <c r="K264" s="456">
        <f>Primaries!$J$160</f>
        <v>44.24778761</v>
      </c>
      <c r="L264" s="457">
        <f>Primaries!$K$160</f>
        <v>0.6</v>
      </c>
      <c r="M264" s="458" t="str">
        <f>Primaries!$L$160</f>
        <v>inf</v>
      </c>
      <c r="N264" s="510">
        <f>Primaries!$M$160</f>
        <v>430</v>
      </c>
      <c r="O264" s="741">
        <f>Primaries!$N$160</f>
        <v>514</v>
      </c>
      <c r="P264" s="515" t="s">
        <v>687</v>
      </c>
    </row>
    <row r="265">
      <c r="A265" s="449" t="s">
        <v>672</v>
      </c>
      <c r="B265" s="449" t="s">
        <v>220</v>
      </c>
      <c r="C265" s="449" t="s">
        <v>60</v>
      </c>
      <c r="D265" s="450" t="str">
        <f>Primaries!$B$161</f>
        <v>Hierarchy of Needs</v>
      </c>
      <c r="E265" s="475">
        <f>Primaries!$C$161</f>
        <v>525.5623722</v>
      </c>
      <c r="F265" s="742">
        <f>Primaries!$D$161</f>
        <v>525.5623722</v>
      </c>
      <c r="G265" s="473" t="str">
        <f>Primaries!$F$161</f>
        <v>inf</v>
      </c>
      <c r="H265" s="736">
        <f>Primaries!$G$161</f>
        <v>514</v>
      </c>
      <c r="I265" s="455">
        <f>Primaries!$H$161</f>
        <v>1</v>
      </c>
      <c r="J265" s="566" t="str">
        <f>Primaries!$I$161</f>
        <v>inf</v>
      </c>
      <c r="K265" s="456">
        <f>Primaries!$J$161</f>
        <v>61.34969325</v>
      </c>
      <c r="L265" s="457">
        <f>Primaries!$K$161</f>
        <v>0.6</v>
      </c>
      <c r="M265" s="458" t="str">
        <f>Primaries!$L$161</f>
        <v>inf</v>
      </c>
      <c r="N265" s="510">
        <f>Primaries!$M$161</f>
        <v>430</v>
      </c>
      <c r="O265" s="741">
        <f>Primaries!$N$161</f>
        <v>514</v>
      </c>
      <c r="P265" s="515" t="s">
        <v>688</v>
      </c>
    </row>
    <row r="266">
      <c r="A266" s="449" t="s">
        <v>672</v>
      </c>
      <c r="B266" s="449" t="s">
        <v>220</v>
      </c>
      <c r="C266" s="449" t="s">
        <v>60</v>
      </c>
      <c r="D266" s="450" t="str">
        <f>Primaries!$B$167</f>
        <v>Le Monarque</v>
      </c>
      <c r="E266" s="542">
        <f>Primaries!$C$167</f>
        <v>325.0825083</v>
      </c>
      <c r="F266" s="686">
        <f>Primaries!$D$167</f>
        <v>325.0825083</v>
      </c>
      <c r="G266" s="473" t="str">
        <f>Primaries!$F$167</f>
        <v>inf</v>
      </c>
      <c r="H266" s="494">
        <f>Primaries!$G$167</f>
        <v>202</v>
      </c>
      <c r="I266" s="455">
        <f>Primaries!$H$167</f>
        <v>1</v>
      </c>
      <c r="J266" s="566" t="str">
        <f>Primaries!$I$167</f>
        <v>inf</v>
      </c>
      <c r="K266" s="456">
        <f>Primaries!$J$167</f>
        <v>49.5049505</v>
      </c>
      <c r="L266" s="457">
        <f>Primaries!$K$167</f>
        <v>0.6</v>
      </c>
      <c r="M266" s="458" t="str">
        <f>Primaries!$L$167</f>
        <v>inf</v>
      </c>
      <c r="N266" s="645">
        <f>Primaries!$M$167</f>
        <v>127</v>
      </c>
      <c r="O266" s="734">
        <f>Primaries!$N$167</f>
        <v>202</v>
      </c>
      <c r="P266" s="117"/>
    </row>
    <row r="267">
      <c r="A267" s="449" t="s">
        <v>672</v>
      </c>
      <c r="B267" s="449" t="s">
        <v>220</v>
      </c>
      <c r="C267" s="449" t="s">
        <v>60</v>
      </c>
      <c r="D267" s="482" t="str">
        <f>Primaries!$B$152</f>
        <v>Lightweight (500 ms)</v>
      </c>
      <c r="E267" s="494">
        <f>Primaries!$C$152</f>
        <v>180.9090909</v>
      </c>
      <c r="F267" s="533">
        <f>Primaries!$D$152</f>
        <v>180.9090909</v>
      </c>
      <c r="G267" s="473" t="str">
        <f>Primaries!$F$152</f>
        <v>inf</v>
      </c>
      <c r="H267" s="494">
        <f>Primaries!$G$152</f>
        <v>199</v>
      </c>
      <c r="I267" s="455">
        <f>Primaries!$H$152</f>
        <v>1</v>
      </c>
      <c r="J267" s="566" t="str">
        <f>Primaries!$I$152</f>
        <v>inf</v>
      </c>
      <c r="K267" s="456">
        <f>Primaries!$J$152</f>
        <v>54.54545455</v>
      </c>
      <c r="L267" s="457">
        <f>Primaries!$K$152</f>
        <v>0.6</v>
      </c>
      <c r="M267" s="458" t="str">
        <f>Primaries!$L$152</f>
        <v>inf</v>
      </c>
      <c r="N267" s="736">
        <f>Primaries!$M$152</f>
        <v>125</v>
      </c>
      <c r="O267" s="734">
        <f>Primaries!$N$152</f>
        <v>199</v>
      </c>
      <c r="P267" s="117"/>
    </row>
    <row r="268">
      <c r="A268" s="449" t="s">
        <v>672</v>
      </c>
      <c r="B268" s="449" t="s">
        <v>220</v>
      </c>
      <c r="C268" s="449" t="s">
        <v>60</v>
      </c>
      <c r="D268" s="482" t="str">
        <f>Primaries!$B$153</f>
        <v>Lightweight (500 ms)</v>
      </c>
      <c r="E268" s="561">
        <f>Primaries!$C$153</f>
        <v>204.1025641</v>
      </c>
      <c r="F268" s="728">
        <f>Primaries!$D$153</f>
        <v>204.1025641</v>
      </c>
      <c r="G268" s="473" t="str">
        <f>Primaries!$F$153</f>
        <v>inf</v>
      </c>
      <c r="H268" s="494">
        <f>Primaries!$G$153</f>
        <v>199</v>
      </c>
      <c r="I268" s="455">
        <f>Primaries!$H$153</f>
        <v>1</v>
      </c>
      <c r="J268" s="566" t="str">
        <f>Primaries!$I$153</f>
        <v>inf</v>
      </c>
      <c r="K268" s="456">
        <f>Primaries!$J$153</f>
        <v>61.53846154</v>
      </c>
      <c r="L268" s="457">
        <f>Primaries!$K$153</f>
        <v>0.6</v>
      </c>
      <c r="M268" s="458" t="str">
        <f>Primaries!$L$153</f>
        <v>inf</v>
      </c>
      <c r="N268" s="736">
        <f>Primaries!$M$153</f>
        <v>125</v>
      </c>
      <c r="O268" s="734">
        <f>Primaries!$N$153</f>
        <v>199</v>
      </c>
      <c r="P268" s="117" t="s">
        <v>222</v>
      </c>
    </row>
    <row r="269">
      <c r="A269" s="449" t="s">
        <v>672</v>
      </c>
      <c r="B269" s="449" t="s">
        <v>220</v>
      </c>
      <c r="C269" s="449" t="s">
        <v>60</v>
      </c>
      <c r="D269" s="482" t="str">
        <f>Primaries!$B$154</f>
        <v>Precision (576 ms)</v>
      </c>
      <c r="E269" s="494">
        <f>Primaries!$C$154</f>
        <v>173.4693878</v>
      </c>
      <c r="F269" s="743">
        <f>Primaries!$D$154</f>
        <v>173.4693878</v>
      </c>
      <c r="G269" s="473" t="str">
        <f>Primaries!$F$154</f>
        <v>inf</v>
      </c>
      <c r="H269" s="494">
        <f>Primaries!$G$154</f>
        <v>204</v>
      </c>
      <c r="I269" s="455">
        <f>Primaries!$H$154</f>
        <v>1</v>
      </c>
      <c r="J269" s="566" t="str">
        <f>Primaries!$I$154</f>
        <v>inf</v>
      </c>
      <c r="K269" s="456">
        <f>Primaries!$J$154</f>
        <v>51.02040816</v>
      </c>
      <c r="L269" s="457">
        <f>Primaries!$K$154</f>
        <v>0.6</v>
      </c>
      <c r="M269" s="458" t="str">
        <f>Primaries!$L$154</f>
        <v>inf</v>
      </c>
      <c r="N269" s="645">
        <f>Primaries!$M$154</f>
        <v>157</v>
      </c>
      <c r="O269" s="491">
        <f>Primaries!$N$154</f>
        <v>204</v>
      </c>
      <c r="P269" s="117"/>
    </row>
    <row r="270">
      <c r="A270" s="449" t="s">
        <v>672</v>
      </c>
      <c r="B270" s="449" t="s">
        <v>220</v>
      </c>
      <c r="C270" s="449" t="s">
        <v>60</v>
      </c>
      <c r="D270" s="482" t="str">
        <f>Primaries!$B$155</f>
        <v>Precision (576 ms)</v>
      </c>
      <c r="E270" s="561">
        <f>Primaries!$C$155</f>
        <v>197.6744186</v>
      </c>
      <c r="F270" s="733">
        <f>Primaries!$D$155</f>
        <v>197.6744186</v>
      </c>
      <c r="G270" s="473" t="str">
        <f>Primaries!$F$155</f>
        <v>inf</v>
      </c>
      <c r="H270" s="494">
        <f>Primaries!$G$155</f>
        <v>204</v>
      </c>
      <c r="I270" s="455">
        <f>Primaries!$H$155</f>
        <v>1</v>
      </c>
      <c r="J270" s="566" t="str">
        <f>Primaries!$I$155</f>
        <v>inf</v>
      </c>
      <c r="K270" s="456">
        <f>Primaries!$J$155</f>
        <v>58.13953488</v>
      </c>
      <c r="L270" s="457">
        <f>Primaries!$K$155</f>
        <v>0.6</v>
      </c>
      <c r="M270" s="458" t="str">
        <f>Primaries!$L$155</f>
        <v>inf</v>
      </c>
      <c r="N270" s="645">
        <f>Primaries!$M$155</f>
        <v>157</v>
      </c>
      <c r="O270" s="491">
        <f>Primaries!$N$155</f>
        <v>204</v>
      </c>
      <c r="P270" s="117" t="s">
        <v>222</v>
      </c>
    </row>
    <row r="271">
      <c r="A271" s="449" t="s">
        <v>672</v>
      </c>
      <c r="B271" s="449" t="s">
        <v>220</v>
      </c>
      <c r="C271" s="449" t="s">
        <v>60</v>
      </c>
      <c r="D271" s="482" t="str">
        <f>Primaries!$B$156</f>
        <v>Precision (576 ms)</v>
      </c>
      <c r="E271" s="561">
        <f>Primaries!$C$156</f>
        <v>245.6647399</v>
      </c>
      <c r="F271" s="733">
        <f>Primaries!$D$156</f>
        <v>245.6647399</v>
      </c>
      <c r="G271" s="473" t="str">
        <f>Primaries!$F$156</f>
        <v>inf</v>
      </c>
      <c r="H271" s="494">
        <f>Primaries!$G$156</f>
        <v>204</v>
      </c>
      <c r="I271" s="455">
        <f>Primaries!$H$156</f>
        <v>1</v>
      </c>
      <c r="J271" s="566" t="str">
        <f>Primaries!$I$156</f>
        <v>inf</v>
      </c>
      <c r="K271" s="456">
        <f>Primaries!$J$156</f>
        <v>72.25433526</v>
      </c>
      <c r="L271" s="457">
        <f>Primaries!$K$156</f>
        <v>0.6</v>
      </c>
      <c r="M271" s="458" t="str">
        <f>Primaries!$L$156</f>
        <v>inf</v>
      </c>
      <c r="N271" s="645">
        <f>Primaries!$M$156</f>
        <v>157</v>
      </c>
      <c r="O271" s="491">
        <f>Primaries!$N$156</f>
        <v>204</v>
      </c>
      <c r="P271" s="127" t="s">
        <v>224</v>
      </c>
    </row>
    <row r="272">
      <c r="A272" s="449" t="s">
        <v>672</v>
      </c>
      <c r="B272" s="449" t="s">
        <v>220</v>
      </c>
      <c r="C272" s="449" t="s">
        <v>60</v>
      </c>
      <c r="D272" s="482" t="str">
        <f>Primaries!$B$157</f>
        <v>Precision (576 ms)</v>
      </c>
      <c r="E272" s="561">
        <f>Primaries!$C$157</f>
        <v>263.9751553</v>
      </c>
      <c r="F272" s="733">
        <f>Primaries!$D$157</f>
        <v>263.9751553</v>
      </c>
      <c r="G272" s="473" t="str">
        <f>Primaries!$F$157</f>
        <v>inf</v>
      </c>
      <c r="H272" s="494">
        <f>Primaries!$G$157</f>
        <v>204</v>
      </c>
      <c r="I272" s="455">
        <f>Primaries!$H$157</f>
        <v>1</v>
      </c>
      <c r="J272" s="566" t="str">
        <f>Primaries!$I$157</f>
        <v>inf</v>
      </c>
      <c r="K272" s="456">
        <f>Primaries!$J$157</f>
        <v>77.63975155</v>
      </c>
      <c r="L272" s="457">
        <f>Primaries!$K$157</f>
        <v>0.6</v>
      </c>
      <c r="M272" s="458" t="str">
        <f>Primaries!$L$157</f>
        <v>inf</v>
      </c>
      <c r="N272" s="645">
        <f>Primaries!$M$157</f>
        <v>157</v>
      </c>
      <c r="O272" s="491">
        <f>Primaries!$N$157</f>
        <v>204</v>
      </c>
      <c r="P272" s="127" t="s">
        <v>689</v>
      </c>
    </row>
    <row r="273">
      <c r="A273" s="449" t="s">
        <v>672</v>
      </c>
      <c r="B273" s="449" t="s">
        <v>220</v>
      </c>
      <c r="C273" s="449" t="s">
        <v>60</v>
      </c>
      <c r="D273" s="482" t="str">
        <f>Primaries!$B$158</f>
        <v>High-Impact Longbow</v>
      </c>
      <c r="E273" s="561">
        <f>Primaries!$C$158</f>
        <v>190.6245364</v>
      </c>
      <c r="F273" s="733">
        <f>Primaries!$D$158</f>
        <v>190.6245364</v>
      </c>
      <c r="G273" s="473" t="str">
        <f>Primaries!$F$158</f>
        <v>inf</v>
      </c>
      <c r="H273" s="494">
        <f>Primaries!$G$158</f>
        <v>244.7619048</v>
      </c>
      <c r="I273" s="455">
        <f>Primaries!$H$158</f>
        <v>1</v>
      </c>
      <c r="J273" s="566" t="str">
        <f>Primaries!$I$158</f>
        <v>inf</v>
      </c>
      <c r="K273" s="456">
        <f>Primaries!$J$158</f>
        <v>46.72897196</v>
      </c>
      <c r="L273" s="457">
        <f>Primaries!$K$158</f>
        <v>0.6</v>
      </c>
      <c r="M273" s="458" t="str">
        <f>Primaries!$L$158</f>
        <v>inf</v>
      </c>
      <c r="N273" s="645">
        <f>Primaries!$M$158</f>
        <v>187.6190476</v>
      </c>
      <c r="O273" s="491">
        <f>Primaries!$N$158</f>
        <v>244.7619048</v>
      </c>
      <c r="P273" s="127"/>
    </row>
    <row r="274">
      <c r="A274" s="449" t="s">
        <v>672</v>
      </c>
      <c r="B274" s="449" t="s">
        <v>220</v>
      </c>
      <c r="C274" s="449" t="s">
        <v>60</v>
      </c>
      <c r="D274" s="450" t="str">
        <f>Primaries!$B$162</f>
        <v>Ticuu's Divination</v>
      </c>
      <c r="E274" s="494">
        <f>Primaries!$C$162</f>
        <v>177.1186441</v>
      </c>
      <c r="F274" s="555">
        <f>Primaries!$D$162</f>
        <v>177.1186441</v>
      </c>
      <c r="G274" s="473" t="str">
        <f>Primaries!$F$162</f>
        <v>inf</v>
      </c>
      <c r="H274" s="494">
        <f>Primaries!$G$162</f>
        <v>209</v>
      </c>
      <c r="I274" s="455">
        <f>Primaries!$H$162</f>
        <v>1</v>
      </c>
      <c r="J274" s="566" t="str">
        <f>Primaries!$I$162</f>
        <v>inf</v>
      </c>
      <c r="K274" s="456">
        <f>Primaries!$J$162</f>
        <v>50.84745763</v>
      </c>
      <c r="L274" s="457">
        <f>Primaries!$K$162</f>
        <v>0.6</v>
      </c>
      <c r="M274" s="458" t="str">
        <f>Primaries!$L$162</f>
        <v>inf</v>
      </c>
      <c r="N274" s="645">
        <f>Primaries!$M$162</f>
        <v>131</v>
      </c>
      <c r="O274" s="734">
        <f>Primaries!$N$162</f>
        <v>209</v>
      </c>
      <c r="P274" s="467"/>
    </row>
    <row r="275">
      <c r="A275" s="449" t="s">
        <v>672</v>
      </c>
      <c r="B275" s="449" t="s">
        <v>220</v>
      </c>
      <c r="C275" s="449" t="s">
        <v>60</v>
      </c>
      <c r="D275" s="450" t="str">
        <f>Primaries!$B$163</f>
        <v>Ticuu's Divination</v>
      </c>
      <c r="E275" s="520">
        <f>Primaries!$C$163</f>
        <v>334.8314607</v>
      </c>
      <c r="F275" s="737">
        <f>Primaries!$D$163</f>
        <v>334.8314607</v>
      </c>
      <c r="G275" s="473" t="str">
        <f>Primaries!$F$163</f>
        <v>inf</v>
      </c>
      <c r="H275" s="736">
        <f>Primaries!$G$163</f>
        <v>391</v>
      </c>
      <c r="I275" s="455">
        <f>Primaries!$H$163</f>
        <v>1</v>
      </c>
      <c r="J275" s="566" t="str">
        <f>Primaries!$I$163</f>
        <v>inf</v>
      </c>
      <c r="K275" s="456">
        <f>Primaries!$J$163</f>
        <v>50.84745763</v>
      </c>
      <c r="L275" s="457">
        <f>Primaries!$K$163</f>
        <v>0.6</v>
      </c>
      <c r="M275" s="458" t="str">
        <f>Primaries!$L$163</f>
        <v>inf</v>
      </c>
      <c r="N275" s="544">
        <f>Primaries!$M$163</f>
        <v>245</v>
      </c>
      <c r="O275" s="744">
        <f>Primaries!$N$163</f>
        <v>391</v>
      </c>
      <c r="P275" s="467" t="s">
        <v>690</v>
      </c>
    </row>
    <row r="276">
      <c r="A276" s="449" t="s">
        <v>672</v>
      </c>
      <c r="B276" s="449" t="s">
        <v>220</v>
      </c>
      <c r="C276" s="449" t="s">
        <v>60</v>
      </c>
      <c r="D276" s="450" t="str">
        <f>Primaries!$B$164</f>
        <v>Ticuu's Divination</v>
      </c>
      <c r="E276" s="721">
        <f>Primaries!$C$164</f>
        <v>446.6101695</v>
      </c>
      <c r="F276" s="745">
        <f>Primaries!$D$164</f>
        <v>446.6101695</v>
      </c>
      <c r="G276" s="473" t="str">
        <f>Primaries!$F$164</f>
        <v>inf</v>
      </c>
      <c r="H276" s="736">
        <f>Primaries!$G$164</f>
        <v>391</v>
      </c>
      <c r="I276" s="455">
        <f>Primaries!$H$164</f>
        <v>1</v>
      </c>
      <c r="J276" s="566" t="str">
        <f>Primaries!$I$164</f>
        <v>inf</v>
      </c>
      <c r="K276" s="456">
        <f>Primaries!$J$164</f>
        <v>50.84745763</v>
      </c>
      <c r="L276" s="457">
        <f>Primaries!$K$164</f>
        <v>0.6</v>
      </c>
      <c r="M276" s="458" t="str">
        <f>Primaries!$L$164</f>
        <v>inf</v>
      </c>
      <c r="N276" s="544">
        <f>Primaries!$M$164</f>
        <v>245</v>
      </c>
      <c r="O276" s="744">
        <f>Primaries!$N$164</f>
        <v>391</v>
      </c>
      <c r="P276" s="495" t="s">
        <v>691</v>
      </c>
    </row>
    <row r="277">
      <c r="A277" s="449" t="s">
        <v>672</v>
      </c>
      <c r="B277" s="449" t="s">
        <v>220</v>
      </c>
      <c r="C277" s="449" t="s">
        <v>60</v>
      </c>
      <c r="D277" s="450" t="str">
        <f>Primaries!$B$166</f>
        <v>Trinity Ghoul</v>
      </c>
      <c r="E277" s="494">
        <f>Primaries!$C$166</f>
        <v>58.49358974</v>
      </c>
      <c r="F277" s="533">
        <f>Primaries!$D$166</f>
        <v>58.49358974</v>
      </c>
      <c r="G277" s="473" t="str">
        <f>Primaries!$F$166</f>
        <v>inf</v>
      </c>
      <c r="H277" s="494">
        <f>Primaries!$G$166</f>
        <v>73</v>
      </c>
      <c r="I277" s="455">
        <f>Primaries!$H$166</f>
        <v>1</v>
      </c>
      <c r="J277" s="566" t="str">
        <f>Primaries!$I$166</f>
        <v>inf</v>
      </c>
      <c r="K277" s="456">
        <f>Primaries!$J$166</f>
        <v>48.07692308</v>
      </c>
      <c r="L277" s="457">
        <f>Primaries!$K$166</f>
        <v>0.6</v>
      </c>
      <c r="M277" s="458" t="str">
        <f>Primaries!$L$166</f>
        <v>inf</v>
      </c>
      <c r="N277" s="726">
        <f>Primaries!$M$166</f>
        <v>56</v>
      </c>
      <c r="O277" s="491">
        <f>Primaries!$N$166</f>
        <v>73</v>
      </c>
      <c r="P277" s="467" t="s">
        <v>637</v>
      </c>
    </row>
    <row r="278">
      <c r="A278" s="449" t="s">
        <v>672</v>
      </c>
      <c r="B278" s="449" t="s">
        <v>220</v>
      </c>
      <c r="C278" s="449" t="s">
        <v>60</v>
      </c>
      <c r="D278" s="450" t="str">
        <f>Primaries!$B$165</f>
        <v>Verglass Curve</v>
      </c>
      <c r="E278" s="494">
        <f>Primaries!$C$165</f>
        <v>177.1186441</v>
      </c>
      <c r="F278" s="555">
        <f>Primaries!$D$165</f>
        <v>177.1186441</v>
      </c>
      <c r="G278" s="473" t="str">
        <f>Primaries!$F$165</f>
        <v>inf</v>
      </c>
      <c r="H278" s="494">
        <f>Primaries!$G$165</f>
        <v>209</v>
      </c>
      <c r="I278" s="455">
        <f>Primaries!$H$165</f>
        <v>1</v>
      </c>
      <c r="J278" s="566" t="str">
        <f>Primaries!$I$165</f>
        <v>inf</v>
      </c>
      <c r="K278" s="456">
        <f>Primaries!$J$165</f>
        <v>50.84745763</v>
      </c>
      <c r="L278" s="457">
        <f>Primaries!$K$165</f>
        <v>0.6</v>
      </c>
      <c r="M278" s="458" t="str">
        <f>Primaries!$L$165</f>
        <v>inf</v>
      </c>
      <c r="N278" s="645">
        <f>Primaries!$M$165</f>
        <v>131</v>
      </c>
      <c r="O278" s="734">
        <f>Primaries!$N$165</f>
        <v>209</v>
      </c>
      <c r="P278" s="467"/>
    </row>
    <row r="279">
      <c r="A279" s="449" t="s">
        <v>672</v>
      </c>
      <c r="B279" s="449" t="s">
        <v>220</v>
      </c>
      <c r="C279" s="449" t="s">
        <v>60</v>
      </c>
      <c r="D279" s="450" t="str">
        <f>Primaries!$B$171</f>
        <v>Wish-Ender</v>
      </c>
      <c r="E279" s="496">
        <f>Primaries!$C$171</f>
        <v>378.9855072</v>
      </c>
      <c r="F279" s="730">
        <f>Primaries!$D$171</f>
        <v>378.9855072</v>
      </c>
      <c r="G279" s="473" t="str">
        <f>Primaries!$F$171</f>
        <v>inf</v>
      </c>
      <c r="H279" s="736">
        <f>Primaries!$G$171</f>
        <v>523</v>
      </c>
      <c r="I279" s="455">
        <f>Primaries!$H$171</f>
        <v>1</v>
      </c>
      <c r="J279" s="566" t="str">
        <f>Primaries!$I$171</f>
        <v>inf</v>
      </c>
      <c r="K279" s="456">
        <f>Primaries!$J$171</f>
        <v>43.47826087</v>
      </c>
      <c r="L279" s="457">
        <f>Primaries!$K$171</f>
        <v>0.6</v>
      </c>
      <c r="M279" s="458" t="str">
        <f>Primaries!$L$171</f>
        <v>inf</v>
      </c>
      <c r="N279" s="500">
        <f>Primaries!$M$171</f>
        <v>441</v>
      </c>
      <c r="O279" s="737">
        <f>Primaries!$N$171</f>
        <v>523</v>
      </c>
      <c r="P279" s="467"/>
    </row>
    <row r="280">
      <c r="A280" s="449" t="s">
        <v>672</v>
      </c>
      <c r="B280" s="449" t="s">
        <v>220</v>
      </c>
      <c r="C280" s="449" t="s">
        <v>60</v>
      </c>
      <c r="D280" s="450" t="str">
        <f>Primaries!$B$168</f>
        <v>Wish-Keeper</v>
      </c>
      <c r="E280" s="473">
        <f>Primaries!$C$168</f>
        <v>176.5676568</v>
      </c>
      <c r="F280" s="466">
        <f>Primaries!$D$168</f>
        <v>176.5676568</v>
      </c>
      <c r="G280" s="473" t="str">
        <f>Primaries!$F$168</f>
        <v>inf</v>
      </c>
      <c r="H280" s="473">
        <f>Primaries!$G$168</f>
        <v>214</v>
      </c>
      <c r="I280" s="455">
        <f>Primaries!$H$168</f>
        <v>1</v>
      </c>
      <c r="J280" s="566" t="str">
        <f>Primaries!$I$168</f>
        <v>inf</v>
      </c>
      <c r="K280" s="456">
        <f>Primaries!$J$168</f>
        <v>49.5049505</v>
      </c>
      <c r="L280" s="457">
        <f>Primaries!$K$168</f>
        <v>0.6</v>
      </c>
      <c r="M280" s="458" t="str">
        <f>Primaries!$L$168</f>
        <v>inf</v>
      </c>
      <c r="N280" s="473">
        <f>Primaries!$M$168</f>
        <v>164</v>
      </c>
      <c r="O280" s="466">
        <f>Primaries!$N$168</f>
        <v>214</v>
      </c>
      <c r="P280" s="127" t="s">
        <v>150</v>
      </c>
    </row>
    <row r="281">
      <c r="A281" s="449" t="s">
        <v>672</v>
      </c>
      <c r="B281" s="449" t="s">
        <v>220</v>
      </c>
      <c r="C281" s="449" t="s">
        <v>60</v>
      </c>
      <c r="D281" s="450" t="str">
        <f>Primaries!$B$170</f>
        <v>Wish-Keeper</v>
      </c>
      <c r="E281" s="473">
        <f>Primaries!$C$170</f>
        <v>195.718256</v>
      </c>
      <c r="F281" s="466">
        <f>Primaries!$D$170</f>
        <v>195.718256</v>
      </c>
      <c r="G281" s="473" t="str">
        <f>Primaries!$F$170</f>
        <v>inf</v>
      </c>
      <c r="H281" s="473">
        <f>Primaries!$G$170</f>
        <v>214</v>
      </c>
      <c r="I281" s="455">
        <f>Primaries!$H$170</f>
        <v>1</v>
      </c>
      <c r="J281" s="566" t="str">
        <f>Primaries!$I$170</f>
        <v>inf</v>
      </c>
      <c r="K281" s="456">
        <f>Primaries!$J$170</f>
        <v>49.5049505</v>
      </c>
      <c r="L281" s="457">
        <f>Primaries!$K$170</f>
        <v>0.6</v>
      </c>
      <c r="M281" s="458" t="str">
        <f>Primaries!$L$170</f>
        <v>inf</v>
      </c>
      <c r="N281" s="473">
        <f>Primaries!$M$170</f>
        <v>164</v>
      </c>
      <c r="O281" s="466">
        <f>Primaries!$N$170</f>
        <v>214</v>
      </c>
      <c r="P281" s="95" t="s">
        <v>241</v>
      </c>
    </row>
    <row r="282">
      <c r="A282" s="449" t="s">
        <v>672</v>
      </c>
      <c r="B282" s="449" t="s">
        <v>220</v>
      </c>
      <c r="C282" s="449" t="s">
        <v>60</v>
      </c>
      <c r="D282" s="450" t="str">
        <f>Primaries!$B$169</f>
        <v>Wish-Keeper</v>
      </c>
      <c r="E282" s="473">
        <f>Primaries!$C$169</f>
        <v>264.8514851</v>
      </c>
      <c r="F282" s="466">
        <f>Primaries!$D$169</f>
        <v>264.8514851</v>
      </c>
      <c r="G282" s="473" t="str">
        <f>Primaries!$F$169</f>
        <v>inf</v>
      </c>
      <c r="H282" s="473">
        <f>Primaries!$G$169</f>
        <v>321</v>
      </c>
      <c r="I282" s="455">
        <f>Primaries!$H$169</f>
        <v>1</v>
      </c>
      <c r="J282" s="566" t="str">
        <f>Primaries!$I$169</f>
        <v>inf</v>
      </c>
      <c r="K282" s="456">
        <f>Primaries!$J$169</f>
        <v>49.5049505</v>
      </c>
      <c r="L282" s="457">
        <f>Primaries!$K$169</f>
        <v>0.6</v>
      </c>
      <c r="M282" s="458" t="str">
        <f>Primaries!$L$169</f>
        <v>inf</v>
      </c>
      <c r="N282" s="473">
        <f>Primaries!$M$169</f>
        <v>246</v>
      </c>
      <c r="O282" s="466">
        <f>Primaries!$N$169</f>
        <v>321</v>
      </c>
      <c r="P282" s="127" t="s">
        <v>692</v>
      </c>
    </row>
    <row r="283">
      <c r="A283" s="449" t="s">
        <v>672</v>
      </c>
      <c r="B283" s="461" t="s">
        <v>693</v>
      </c>
      <c r="C283" s="449" t="s">
        <v>60</v>
      </c>
      <c r="D283" s="450" t="str">
        <f>Primaries!$B$172</f>
        <v>Fighting Lion</v>
      </c>
      <c r="E283" s="736">
        <f>Primaries!$C$172</f>
        <v>871.5</v>
      </c>
      <c r="F283" s="746">
        <f>Primaries!$D$172</f>
        <v>358.6419753</v>
      </c>
      <c r="G283" s="473" t="str">
        <f>Primaries!$F$172</f>
        <v>inf</v>
      </c>
      <c r="H283" s="542">
        <f>Primaries!$G$172</f>
        <v>581</v>
      </c>
      <c r="I283" s="455">
        <f>Primaries!$H$172</f>
        <v>1</v>
      </c>
      <c r="J283" s="566" t="str">
        <f>Primaries!$I$172</f>
        <v>inf</v>
      </c>
      <c r="K283" s="456">
        <f>Primaries!$J$172</f>
        <v>90</v>
      </c>
      <c r="L283" s="457">
        <f>Primaries!$K$172</f>
        <v>1.62</v>
      </c>
      <c r="M283" s="458" t="str">
        <f>Primaries!$L$172</f>
        <v>inf</v>
      </c>
      <c r="N283" s="579">
        <f>Primaries!$M$172</f>
        <v>581</v>
      </c>
      <c r="O283" s="747" t="str">
        <f>Primaries!$N$172</f>
        <v>N/A</v>
      </c>
      <c r="P283" s="127" t="str">
        <f>Primaries!O172</f>
        <v>Without Volatile</v>
      </c>
    </row>
    <row r="284">
      <c r="A284" s="449" t="s">
        <v>672</v>
      </c>
      <c r="B284" s="461" t="s">
        <v>693</v>
      </c>
      <c r="C284" s="449" t="s">
        <v>60</v>
      </c>
      <c r="D284" s="450" t="str">
        <f>Primaries!$B$173</f>
        <v>Fighting Lion</v>
      </c>
      <c r="E284" s="736">
        <f>Primaries!$C$173</f>
        <v>942.75</v>
      </c>
      <c r="F284" s="746">
        <f>Primaries!$D$173</f>
        <v>387.962963</v>
      </c>
      <c r="G284" s="473" t="str">
        <f>Primaries!$F$173</f>
        <v>inf</v>
      </c>
      <c r="H284" s="542">
        <f>Primaries!$G$173</f>
        <v>581</v>
      </c>
      <c r="I284" s="455">
        <f>Primaries!$H$173</f>
        <v>1</v>
      </c>
      <c r="J284" s="566" t="str">
        <f>Primaries!$I$173</f>
        <v>inf</v>
      </c>
      <c r="K284" s="456">
        <f>Primaries!$J$173</f>
        <v>90</v>
      </c>
      <c r="L284" s="457">
        <f>Primaries!$K$173</f>
        <v>1.62</v>
      </c>
      <c r="M284" s="458" t="str">
        <f>Primaries!$L$173</f>
        <v>inf</v>
      </c>
      <c r="N284" s="579">
        <f>Primaries!$M$173</f>
        <v>581</v>
      </c>
      <c r="O284" s="747" t="str">
        <f>Primaries!$N$173</f>
        <v>N/A</v>
      </c>
      <c r="P284" s="127" t="str">
        <f>Primaries!O173</f>
        <v>Volatile explosion every other hit</v>
      </c>
    </row>
    <row r="285">
      <c r="A285" s="449" t="s">
        <v>672</v>
      </c>
      <c r="B285" s="461" t="s">
        <v>693</v>
      </c>
      <c r="C285" s="449" t="s">
        <v>60</v>
      </c>
      <c r="D285" s="450" t="str">
        <f>Primaries!$B$174</f>
        <v>Fighting Lion</v>
      </c>
      <c r="E285" s="736">
        <f>Primaries!$C$174</f>
        <v>1014</v>
      </c>
      <c r="F285" s="746">
        <f>Primaries!$D$174</f>
        <v>417.2839506</v>
      </c>
      <c r="G285" s="473" t="str">
        <f>Primaries!$F$174</f>
        <v>inf</v>
      </c>
      <c r="H285" s="542">
        <f>Primaries!$G$174</f>
        <v>581</v>
      </c>
      <c r="I285" s="455">
        <f>Primaries!$H$174</f>
        <v>1</v>
      </c>
      <c r="J285" s="566" t="str">
        <f>Primaries!$I$174</f>
        <v>inf</v>
      </c>
      <c r="K285" s="456">
        <f>Primaries!$J$174</f>
        <v>90</v>
      </c>
      <c r="L285" s="457">
        <f>Primaries!$K$174</f>
        <v>1.62</v>
      </c>
      <c r="M285" s="458" t="str">
        <f>Primaries!$L$174</f>
        <v>inf</v>
      </c>
      <c r="N285" s="579">
        <f>Primaries!$M$174</f>
        <v>581</v>
      </c>
      <c r="O285" s="747" t="str">
        <f>Primaries!$N$174</f>
        <v>N/A</v>
      </c>
      <c r="P285" s="127" t="str">
        <f>Primaries!O174</f>
        <v>Volatile explosion every hit</v>
      </c>
    </row>
    <row r="286">
      <c r="A286" s="449" t="s">
        <v>672</v>
      </c>
      <c r="B286" s="461" t="s">
        <v>693</v>
      </c>
      <c r="C286" s="449" t="s">
        <v>60</v>
      </c>
      <c r="D286" s="450" t="str">
        <f>Primaries!$B$175</f>
        <v>Alethonym</v>
      </c>
      <c r="E286" s="736">
        <f>Primaries!$C$175</f>
        <v>235.75</v>
      </c>
      <c r="F286" s="746">
        <f>Primaries!$D$175</f>
        <v>235.75</v>
      </c>
      <c r="G286" s="473" t="str">
        <f>Primaries!$F$175</f>
        <v>inf</v>
      </c>
      <c r="H286" s="542">
        <f>Primaries!$G$175</f>
        <v>102</v>
      </c>
      <c r="I286" s="455">
        <f>Primaries!$H$175</f>
        <v>1</v>
      </c>
      <c r="J286" s="566" t="str">
        <f>Primaries!$I$175</f>
        <v>inf</v>
      </c>
      <c r="K286" s="456">
        <f>Primaries!$J$175</f>
        <v>90</v>
      </c>
      <c r="L286" s="457">
        <f>Primaries!$K$175</f>
        <v>1.62</v>
      </c>
      <c r="M286" s="458" t="str">
        <f>Primaries!$L$175</f>
        <v>inf</v>
      </c>
      <c r="N286" s="579">
        <f>Primaries!$M$175</f>
        <v>102</v>
      </c>
      <c r="O286" s="747" t="str">
        <f>Primaries!$N$175</f>
        <v>N/A</v>
      </c>
      <c r="P286" s="127" t="str">
        <f>Primaries!O175</f>
        <v>Impale on explosion</v>
      </c>
    </row>
    <row r="287">
      <c r="A287" s="449" t="s">
        <v>672</v>
      </c>
      <c r="B287" s="461" t="s">
        <v>693</v>
      </c>
      <c r="C287" s="449" t="s">
        <v>60</v>
      </c>
      <c r="D287" s="450" t="str">
        <f>Primaries!$B$176</f>
        <v>Alethonym</v>
      </c>
      <c r="E287" s="736">
        <f>Primaries!$C$176</f>
        <v>1414.5</v>
      </c>
      <c r="F287" s="746">
        <f>Primaries!$D$176</f>
        <v>582.0987654</v>
      </c>
      <c r="G287" s="473" t="str">
        <f>Primaries!$F$176</f>
        <v>inf</v>
      </c>
      <c r="H287" s="542">
        <f>Primaries!$G$176</f>
        <v>102</v>
      </c>
      <c r="I287" s="455">
        <f>Primaries!$H$176</f>
        <v>1</v>
      </c>
      <c r="J287" s="566" t="str">
        <f>Primaries!$I$176</f>
        <v>inf</v>
      </c>
      <c r="K287" s="456">
        <f>Primaries!$J$176</f>
        <v>90</v>
      </c>
      <c r="L287" s="457">
        <f>Primaries!$K$176</f>
        <v>1.62</v>
      </c>
      <c r="M287" s="458" t="str">
        <f>Primaries!$L$176</f>
        <v>inf</v>
      </c>
      <c r="N287" s="579">
        <f>Primaries!$M$176</f>
        <v>102</v>
      </c>
      <c r="O287" s="747" t="str">
        <f>Primaries!$N$176</f>
        <v>N/A</v>
      </c>
      <c r="P287" s="127" t="str">
        <f>Primaries!O176</f>
        <v/>
      </c>
    </row>
    <row r="288">
      <c r="A288" s="449" t="s">
        <v>672</v>
      </c>
      <c r="B288" s="461" t="s">
        <v>693</v>
      </c>
      <c r="C288" s="449" t="s">
        <v>60</v>
      </c>
      <c r="D288" s="450" t="str">
        <f>Primaries!$B$177</f>
        <v>Lodestar</v>
      </c>
      <c r="E288" s="736">
        <f>Primaries!$C$177</f>
        <v>375</v>
      </c>
      <c r="F288" s="746">
        <f>Primaries!$D$177</f>
        <v>307.7133479</v>
      </c>
      <c r="G288" s="473" t="str">
        <f>Primaries!$F$177</f>
        <v>inf</v>
      </c>
      <c r="H288" s="542">
        <f>Primaries!$G$177</f>
        <v>1875</v>
      </c>
      <c r="I288" s="455">
        <f>Primaries!$H$177</f>
        <v>75</v>
      </c>
      <c r="J288" s="566" t="str">
        <f>Primaries!$I$177</f>
        <v>inf</v>
      </c>
      <c r="K288" s="456">
        <f>Primaries!$J$177</f>
        <v>900</v>
      </c>
      <c r="L288" s="457">
        <f>Primaries!$K$177</f>
        <v>1.16</v>
      </c>
      <c r="M288" s="458" t="str">
        <f>Primaries!$L$177</f>
        <v>inf</v>
      </c>
      <c r="N288" s="579">
        <f>Primaries!$M$177</f>
        <v>19</v>
      </c>
      <c r="O288" s="747">
        <f>Primaries!$N$177</f>
        <v>25</v>
      </c>
      <c r="P288" s="127" t="str">
        <f>Primaries!O177</f>
        <v>Hip-Fire</v>
      </c>
    </row>
    <row r="289">
      <c r="A289" s="449" t="s">
        <v>672</v>
      </c>
      <c r="B289" s="461" t="s">
        <v>693</v>
      </c>
      <c r="C289" s="449" t="s">
        <v>60</v>
      </c>
      <c r="D289" s="450" t="str">
        <f>Primaries!$B$178</f>
        <v>Lodestar</v>
      </c>
      <c r="E289" s="736">
        <f>Primaries!$C$178</f>
        <v>432</v>
      </c>
      <c r="F289" s="746">
        <f>Primaries!$D$178</f>
        <v>383.7044055</v>
      </c>
      <c r="G289" s="473" t="str">
        <f>Primaries!$F$178</f>
        <v>inf</v>
      </c>
      <c r="H289" s="542">
        <f>Primaries!$G$178</f>
        <v>3600</v>
      </c>
      <c r="I289" s="455">
        <f>Primaries!$H$178</f>
        <v>75</v>
      </c>
      <c r="J289" s="566" t="str">
        <f>Primaries!$I$178</f>
        <v>inf</v>
      </c>
      <c r="K289" s="456">
        <f>Primaries!$J$178</f>
        <v>540</v>
      </c>
      <c r="L289" s="457">
        <f>Primaries!$K$178</f>
        <v>1.16</v>
      </c>
      <c r="M289" s="458" t="str">
        <f>Primaries!$L$178</f>
        <v>inf</v>
      </c>
      <c r="N289" s="579">
        <f>Primaries!$M$178</f>
        <v>26</v>
      </c>
      <c r="O289" s="747">
        <f>Primaries!$N$178</f>
        <v>48</v>
      </c>
      <c r="P289" s="127" t="str">
        <f>Primaries!O178</f>
        <v>ADS</v>
      </c>
    </row>
    <row r="290">
      <c r="A290" s="449" t="s">
        <v>672</v>
      </c>
      <c r="B290" s="449" t="s">
        <v>694</v>
      </c>
      <c r="C290" s="449" t="s">
        <v>60</v>
      </c>
      <c r="D290" s="450" t="str">
        <f>Primaries!$B$121</f>
        <v>Ace of Spades</v>
      </c>
      <c r="E290" s="490">
        <f>Primaries!$C$121</f>
        <v>226.3333333</v>
      </c>
      <c r="F290" s="748">
        <f>Primaries!$D$121</f>
        <v>174.8613312</v>
      </c>
      <c r="G290" s="473" t="str">
        <f>Primaries!$F$121</f>
        <v>inf</v>
      </c>
      <c r="H290" s="593">
        <f>Primaries!$G$121</f>
        <v>1261</v>
      </c>
      <c r="I290" s="455">
        <f>Primaries!$H$121</f>
        <v>13</v>
      </c>
      <c r="J290" s="566" t="str">
        <f>Primaries!$I$121</f>
        <v>inf</v>
      </c>
      <c r="K290" s="456">
        <f>Primaries!$J$121</f>
        <v>140</v>
      </c>
      <c r="L290" s="457">
        <f>Primaries!$K$121</f>
        <v>1.64</v>
      </c>
      <c r="M290" s="458" t="str">
        <f>Primaries!$L$121</f>
        <v>inf</v>
      </c>
      <c r="N290" s="554">
        <f>Primaries!$M$121</f>
        <v>54</v>
      </c>
      <c r="O290" s="533">
        <f>Primaries!$N$121</f>
        <v>97</v>
      </c>
      <c r="P290" s="467"/>
    </row>
    <row r="291">
      <c r="A291" s="449" t="s">
        <v>672</v>
      </c>
      <c r="B291" s="449" t="s">
        <v>694</v>
      </c>
      <c r="C291" s="449" t="s">
        <v>60</v>
      </c>
      <c r="D291" s="450" t="str">
        <f>Primaries!$B$122</f>
        <v>Ace of Spades</v>
      </c>
      <c r="E291" s="542">
        <f>Primaries!$C$122</f>
        <v>278.5641026</v>
      </c>
      <c r="F291" s="749">
        <f>Primaries!$D$122</f>
        <v>201.7630745</v>
      </c>
      <c r="G291" s="473" t="str">
        <f>Primaries!$F$122</f>
        <v>inf</v>
      </c>
      <c r="H291" s="735">
        <f>Primaries!$G$122</f>
        <v>1552</v>
      </c>
      <c r="I291" s="455">
        <f>Primaries!$H$122</f>
        <v>13</v>
      </c>
      <c r="J291" s="566" t="str">
        <f>Primaries!$I$122</f>
        <v>inf</v>
      </c>
      <c r="K291" s="456">
        <f>Primaries!$J$122</f>
        <v>140</v>
      </c>
      <c r="L291" s="457">
        <f>Primaries!$K$122</f>
        <v>1.64</v>
      </c>
      <c r="M291" s="458" t="str">
        <f>Primaries!$L$122</f>
        <v>inf</v>
      </c>
      <c r="N291" s="554">
        <f>Primaries!$M$122</f>
        <v>54</v>
      </c>
      <c r="O291" s="533">
        <f>Primaries!$N$122</f>
        <v>97</v>
      </c>
      <c r="P291" s="467" t="s">
        <v>188</v>
      </c>
    </row>
    <row r="292">
      <c r="A292" s="449" t="s">
        <v>672</v>
      </c>
      <c r="B292" s="449" t="s">
        <v>694</v>
      </c>
      <c r="C292" s="449" t="s">
        <v>60</v>
      </c>
      <c r="D292" s="482" t="str">
        <f>Primaries!$B$109</f>
        <v>Adaptive</v>
      </c>
      <c r="E292" s="561">
        <f>Primaries!$C$109</f>
        <v>214.6666667</v>
      </c>
      <c r="F292" s="750">
        <f>Primaries!$D$109</f>
        <v>178.6053883</v>
      </c>
      <c r="G292" s="473" t="str">
        <f>Primaries!$F$109</f>
        <v>inf</v>
      </c>
      <c r="H292" s="593">
        <f>Primaries!$G$109</f>
        <v>1288</v>
      </c>
      <c r="I292" s="455">
        <f>Primaries!$H$109</f>
        <v>14</v>
      </c>
      <c r="J292" s="566" t="str">
        <f>Primaries!$I$109</f>
        <v>inf</v>
      </c>
      <c r="K292" s="456">
        <f>Primaries!$J$109</f>
        <v>140</v>
      </c>
      <c r="L292" s="457">
        <f>Primaries!$K$109</f>
        <v>1.64</v>
      </c>
      <c r="M292" s="458" t="str">
        <f>Primaries!$L$109</f>
        <v>inf</v>
      </c>
      <c r="N292" s="554">
        <f>Primaries!$M$109</f>
        <v>52</v>
      </c>
      <c r="O292" s="533">
        <f>Primaries!$N$109</f>
        <v>92</v>
      </c>
      <c r="P292" s="467"/>
    </row>
    <row r="293">
      <c r="A293" s="449" t="s">
        <v>672</v>
      </c>
      <c r="B293" s="449" t="s">
        <v>694</v>
      </c>
      <c r="C293" s="449" t="s">
        <v>60</v>
      </c>
      <c r="D293" s="482" t="str">
        <f>Primaries!$B$110</f>
        <v>Spread Shot</v>
      </c>
      <c r="E293" s="561">
        <f>Primaries!$C$110</f>
        <v>319.047619</v>
      </c>
      <c r="F293" s="750">
        <f>Primaries!$D$110</f>
        <v>279.7981556</v>
      </c>
      <c r="G293" s="473" t="str">
        <f>Primaries!$F$110</f>
        <v>inf</v>
      </c>
      <c r="H293" s="593">
        <f>Primaries!$G$110</f>
        <v>2297.142857</v>
      </c>
      <c r="I293" s="455">
        <f>Primaries!$H$110</f>
        <v>12</v>
      </c>
      <c r="J293" s="566" t="str">
        <f>Primaries!$I$110</f>
        <v>inf</v>
      </c>
      <c r="K293" s="456">
        <f>Primaries!$J$110</f>
        <v>100</v>
      </c>
      <c r="L293" s="457">
        <f>Primaries!$K$110</f>
        <v>1.61</v>
      </c>
      <c r="M293" s="458" t="str">
        <f>Primaries!$L$110</f>
        <v>inf</v>
      </c>
      <c r="N293" s="554">
        <f>Primaries!$M$110</f>
        <v>160</v>
      </c>
      <c r="O293" s="533">
        <f>Primaries!$N$110</f>
        <v>191.4285714</v>
      </c>
      <c r="P293" s="467"/>
    </row>
    <row r="294">
      <c r="A294" s="449" t="s">
        <v>672</v>
      </c>
      <c r="B294" s="449" t="s">
        <v>694</v>
      </c>
      <c r="C294" s="449" t="s">
        <v>60</v>
      </c>
      <c r="D294" s="482" t="str">
        <f>Primaries!$B$105</f>
        <v>Aggressive</v>
      </c>
      <c r="E294" s="561">
        <f>Primaries!$C$105</f>
        <v>210</v>
      </c>
      <c r="F294" s="750">
        <f>Primaries!$D$105</f>
        <v>180.5896806</v>
      </c>
      <c r="G294" s="473" t="str">
        <f>Primaries!$F$105</f>
        <v>inf</v>
      </c>
      <c r="H294" s="586">
        <f>Primaries!$G$105</f>
        <v>1470</v>
      </c>
      <c r="I294" s="455">
        <f>Primaries!$H$105</f>
        <v>14</v>
      </c>
      <c r="J294" s="566" t="str">
        <f>Primaries!$I$105</f>
        <v>inf</v>
      </c>
      <c r="K294" s="456">
        <f>Primaries!$J$105</f>
        <v>120</v>
      </c>
      <c r="L294" s="457">
        <f>Primaries!$K$105</f>
        <v>1.64</v>
      </c>
      <c r="M294" s="458" t="str">
        <f>Primaries!$L$105</f>
        <v>inf</v>
      </c>
      <c r="N294" s="554">
        <f>Primaries!$M$105</f>
        <v>57</v>
      </c>
      <c r="O294" s="533">
        <f>Primaries!$N$105</f>
        <v>105</v>
      </c>
      <c r="P294" s="467"/>
    </row>
    <row r="295">
      <c r="A295" s="449" t="s">
        <v>672</v>
      </c>
      <c r="B295" s="449" t="s">
        <v>694</v>
      </c>
      <c r="C295" s="449" t="s">
        <v>60</v>
      </c>
      <c r="D295" s="450" t="str">
        <f>Primaries!$B$111</f>
        <v>Crimson</v>
      </c>
      <c r="E295" s="542">
        <f>Primaries!$C$111</f>
        <v>283.5833333</v>
      </c>
      <c r="F295" s="751">
        <f>Primaries!$D$111</f>
        <v>192.5681411</v>
      </c>
      <c r="G295" s="473" t="str">
        <f>Primaries!$F$111</f>
        <v>inf</v>
      </c>
      <c r="H295" s="472">
        <f>Primaries!$G$111</f>
        <v>984</v>
      </c>
      <c r="I295" s="455">
        <f>Primaries!$H$111</f>
        <v>24</v>
      </c>
      <c r="J295" s="566" t="str">
        <f>Primaries!$I$111</f>
        <v>inf</v>
      </c>
      <c r="K295" s="456">
        <f>Primaries!$J$111</f>
        <v>415</v>
      </c>
      <c r="L295" s="457">
        <f>Primaries!$K$111</f>
        <v>1.64</v>
      </c>
      <c r="M295" s="458" t="str">
        <f>Primaries!$L$111</f>
        <v>inf</v>
      </c>
      <c r="N295" s="494">
        <f>Primaries!$M$111</f>
        <v>22</v>
      </c>
      <c r="O295" s="732">
        <f>Primaries!$N$111</f>
        <v>41</v>
      </c>
      <c r="P295" s="467"/>
    </row>
    <row r="296">
      <c r="A296" s="449" t="s">
        <v>672</v>
      </c>
      <c r="B296" s="449" t="s">
        <v>694</v>
      </c>
      <c r="C296" s="449" t="s">
        <v>60</v>
      </c>
      <c r="D296" s="450" t="str">
        <f>Primaries!$B$123</f>
        <v>Hawkmoon</v>
      </c>
      <c r="E296" s="620">
        <f>Primaries!$C$123</f>
        <v>659.2962963</v>
      </c>
      <c r="F296" s="730">
        <f>Primaries!$D$123</f>
        <v>462.6039501</v>
      </c>
      <c r="G296" s="473" t="str">
        <f>Primaries!$F$123</f>
        <v>inf</v>
      </c>
      <c r="H296" s="500">
        <f>Primaries!$G$123</f>
        <v>2543</v>
      </c>
      <c r="I296" s="455">
        <f>Primaries!$H$123</f>
        <v>9</v>
      </c>
      <c r="J296" s="566" t="str">
        <f>Primaries!$I$123</f>
        <v>inf</v>
      </c>
      <c r="K296" s="456">
        <f>Primaries!$J$123</f>
        <v>140</v>
      </c>
      <c r="L296" s="457">
        <f>Primaries!$K$123</f>
        <v>1.64</v>
      </c>
      <c r="M296" s="458" t="str">
        <f>Primaries!$L$123</f>
        <v>inf</v>
      </c>
      <c r="N296" s="554">
        <f>Primaries!$M$123</f>
        <v>54</v>
      </c>
      <c r="O296" s="533">
        <f>Primaries!$N$123</f>
        <v>97</v>
      </c>
      <c r="P296" s="127" t="s">
        <v>695</v>
      </c>
    </row>
    <row r="297">
      <c r="A297" s="449" t="s">
        <v>672</v>
      </c>
      <c r="B297" s="449" t="s">
        <v>694</v>
      </c>
      <c r="C297" s="449" t="s">
        <v>60</v>
      </c>
      <c r="D297" s="482" t="str">
        <f>Primaries!$B$107</f>
        <v>Heavy Burst</v>
      </c>
      <c r="E297" s="561">
        <f>Primaries!$C$107</f>
        <v>261.2833333</v>
      </c>
      <c r="F297" s="555">
        <f>Primaries!$D$107</f>
        <v>198.0464892</v>
      </c>
      <c r="G297" s="473" t="str">
        <f>Primaries!$F$107</f>
        <v>inf</v>
      </c>
      <c r="H297" s="519">
        <f>Primaries!$G$107</f>
        <v>1342</v>
      </c>
      <c r="I297" s="455">
        <f>Primaries!$H$107</f>
        <v>22</v>
      </c>
      <c r="J297" s="566" t="str">
        <f>Primaries!$I$107</f>
        <v>inf</v>
      </c>
      <c r="K297" s="456">
        <f>Primaries!$J$107</f>
        <v>257</v>
      </c>
      <c r="L297" s="457">
        <f>Primaries!$K$107</f>
        <v>1.64</v>
      </c>
      <c r="M297" s="458" t="str">
        <f>Primaries!$L$107</f>
        <v>inf</v>
      </c>
      <c r="N297" s="645">
        <f>Primaries!$M$107</f>
        <v>28</v>
      </c>
      <c r="O297" s="750">
        <f>Primaries!$N$107</f>
        <v>61</v>
      </c>
      <c r="P297" s="515" t="s">
        <v>696</v>
      </c>
    </row>
    <row r="298">
      <c r="A298" s="449" t="s">
        <v>672</v>
      </c>
      <c r="B298" s="449" t="s">
        <v>694</v>
      </c>
      <c r="C298" s="449" t="s">
        <v>60</v>
      </c>
      <c r="D298" s="482" t="str">
        <f>Primaries!$B$108</f>
        <v>Lightweight</v>
      </c>
      <c r="E298" s="490">
        <f>Primaries!$C$108</f>
        <v>214.6666667</v>
      </c>
      <c r="F298" s="743">
        <f>Primaries!$D$108</f>
        <v>178.6053883</v>
      </c>
      <c r="G298" s="473" t="str">
        <f>Primaries!$F$108</f>
        <v>inf</v>
      </c>
      <c r="H298" s="519">
        <f>Primaries!$G$108</f>
        <v>1288</v>
      </c>
      <c r="I298" s="455">
        <f>Primaries!$H$108</f>
        <v>14</v>
      </c>
      <c r="J298" s="566" t="str">
        <f>Primaries!$I$108</f>
        <v>inf</v>
      </c>
      <c r="K298" s="456">
        <f>Primaries!$J$108</f>
        <v>140</v>
      </c>
      <c r="L298" s="457">
        <f>Primaries!$K$108</f>
        <v>1.64</v>
      </c>
      <c r="M298" s="458" t="str">
        <f>Primaries!$L$108</f>
        <v>inf</v>
      </c>
      <c r="N298" s="554">
        <f>Primaries!$M$108</f>
        <v>52</v>
      </c>
      <c r="O298" s="533">
        <f>Primaries!$N$108</f>
        <v>92</v>
      </c>
      <c r="P298" s="467" t="s">
        <v>697</v>
      </c>
    </row>
    <row r="299">
      <c r="A299" s="449" t="s">
        <v>672</v>
      </c>
      <c r="B299" s="449" t="s">
        <v>694</v>
      </c>
      <c r="C299" s="449" t="s">
        <v>60</v>
      </c>
      <c r="D299" s="450" t="str">
        <f>Primaries!$B$124</f>
        <v>Lumina</v>
      </c>
      <c r="E299" s="490">
        <f>Primaries!$C$124</f>
        <v>226.3333333</v>
      </c>
      <c r="F299" s="748">
        <f>Primaries!$D$124</f>
        <v>174.8613312</v>
      </c>
      <c r="G299" s="473" t="str">
        <f>Primaries!$F$124</f>
        <v>inf</v>
      </c>
      <c r="H299" s="593">
        <f>Primaries!$G$124</f>
        <v>1261</v>
      </c>
      <c r="I299" s="455">
        <f>Primaries!$H$124</f>
        <v>13</v>
      </c>
      <c r="J299" s="566" t="str">
        <f>Primaries!$I$124</f>
        <v>inf</v>
      </c>
      <c r="K299" s="456">
        <f>Primaries!$J$124</f>
        <v>140</v>
      </c>
      <c r="L299" s="457">
        <f>Primaries!$K$124</f>
        <v>1.64</v>
      </c>
      <c r="M299" s="458" t="str">
        <f>Primaries!$L$124</f>
        <v>inf</v>
      </c>
      <c r="N299" s="554">
        <f>Primaries!$M$124</f>
        <v>54</v>
      </c>
      <c r="O299" s="533">
        <f>Primaries!$N$124</f>
        <v>97</v>
      </c>
      <c r="P299" s="467"/>
    </row>
    <row r="300">
      <c r="A300" s="449" t="s">
        <v>672</v>
      </c>
      <c r="B300" s="449" t="s">
        <v>694</v>
      </c>
      <c r="C300" s="449" t="s">
        <v>60</v>
      </c>
      <c r="D300" s="450" t="str">
        <f>Primaries!$B$113</f>
        <v>Malfeasance</v>
      </c>
      <c r="E300" s="752">
        <f>Primaries!$C$113</f>
        <v>471</v>
      </c>
      <c r="F300" s="737">
        <f>Primaries!$D$113</f>
        <v>378.0096308</v>
      </c>
      <c r="G300" s="473" t="str">
        <f>Primaries!$F$113</f>
        <v>inf</v>
      </c>
      <c r="H300" s="599">
        <f>Primaries!$G$113</f>
        <v>3140</v>
      </c>
      <c r="I300" s="455">
        <f>Primaries!$H$113</f>
        <v>20</v>
      </c>
      <c r="J300" s="566" t="str">
        <f>Primaries!$I$113</f>
        <v>inf</v>
      </c>
      <c r="K300" s="456">
        <f>Primaries!$J$113</f>
        <v>180</v>
      </c>
      <c r="L300" s="457">
        <f>Primaries!$K$113</f>
        <v>1.64</v>
      </c>
      <c r="M300" s="458" t="str">
        <f>Primaries!$L$113</f>
        <v>inf</v>
      </c>
      <c r="N300" s="490">
        <f>Primaries!$M$113</f>
        <v>55</v>
      </c>
      <c r="O300" s="533">
        <f>Primaries!$N$113</f>
        <v>86</v>
      </c>
      <c r="P300" s="467"/>
    </row>
    <row r="301">
      <c r="A301" s="449" t="s">
        <v>672</v>
      </c>
      <c r="B301" s="449" t="s">
        <v>694</v>
      </c>
      <c r="C301" s="449" t="s">
        <v>60</v>
      </c>
      <c r="D301" s="450" t="str">
        <f>Primaries!$B$114</f>
        <v>Malfeasance</v>
      </c>
      <c r="E301" s="476">
        <f>Primaries!$C$114</f>
        <v>565.2</v>
      </c>
      <c r="F301" s="753">
        <f>Primaries!$D$114</f>
        <v>453.611557</v>
      </c>
      <c r="G301" s="473" t="str">
        <f>Primaries!$F$114</f>
        <v>inf</v>
      </c>
      <c r="H301" s="508">
        <f>Primaries!$G$114</f>
        <v>3768</v>
      </c>
      <c r="I301" s="455">
        <f>Primaries!$H$114</f>
        <v>20</v>
      </c>
      <c r="J301" s="566" t="str">
        <f>Primaries!$I$114</f>
        <v>inf</v>
      </c>
      <c r="K301" s="456">
        <f>Primaries!$J$114</f>
        <v>180</v>
      </c>
      <c r="L301" s="457">
        <f>Primaries!$K$114</f>
        <v>1.64</v>
      </c>
      <c r="M301" s="458" t="str">
        <f>Primaries!$L$114</f>
        <v>inf</v>
      </c>
      <c r="N301" s="554">
        <f>Primaries!$M$114</f>
        <v>66</v>
      </c>
      <c r="O301" s="533">
        <f>Primaries!$N$114</f>
        <v>103.2</v>
      </c>
      <c r="P301" s="127" t="s">
        <v>637</v>
      </c>
    </row>
    <row r="302">
      <c r="A302" s="449" t="s">
        <v>672</v>
      </c>
      <c r="B302" s="449" t="s">
        <v>694</v>
      </c>
      <c r="C302" s="449" t="s">
        <v>60</v>
      </c>
      <c r="D302" s="450" t="str">
        <f>Primaries!$B$115</f>
        <v>Malfeasance</v>
      </c>
      <c r="E302" s="510">
        <f>Primaries!$C$115</f>
        <v>883.17</v>
      </c>
      <c r="F302" s="754">
        <f>Primaries!$D$115</f>
        <v>506.4428571</v>
      </c>
      <c r="G302" s="473" t="str">
        <f>Primaries!$F$115</f>
        <v>inf</v>
      </c>
      <c r="H302" s="573">
        <f>Primaries!$G$115</f>
        <v>5887.8</v>
      </c>
      <c r="I302" s="455">
        <f>Primaries!$H$115</f>
        <v>20</v>
      </c>
      <c r="J302" s="566" t="str">
        <f>Primaries!$I$115</f>
        <v>inf</v>
      </c>
      <c r="K302" s="456">
        <f>Primaries!$J$115</f>
        <v>180</v>
      </c>
      <c r="L302" s="457">
        <f>Primaries!$K$115</f>
        <v>1.64</v>
      </c>
      <c r="M302" s="458" t="str">
        <f>Primaries!$L$115</f>
        <v>inf</v>
      </c>
      <c r="N302" s="554">
        <f>Primaries!$M$115</f>
        <v>66</v>
      </c>
      <c r="O302" s="533">
        <f>Primaries!$N$115</f>
        <v>103.2</v>
      </c>
      <c r="P302" s="127" t="s">
        <v>698</v>
      </c>
    </row>
    <row r="303">
      <c r="A303" s="449" t="s">
        <v>672</v>
      </c>
      <c r="B303" s="449" t="s">
        <v>694</v>
      </c>
      <c r="C303" s="449" t="s">
        <v>60</v>
      </c>
      <c r="D303" s="482" t="str">
        <f>Primaries!$B$106</f>
        <v>Precision</v>
      </c>
      <c r="E303" s="490">
        <f>Primaries!$C$106</f>
        <v>246</v>
      </c>
      <c r="F303" s="743">
        <f>Primaries!$D$106</f>
        <v>203.9267016</v>
      </c>
      <c r="G303" s="473" t="str">
        <f>Primaries!$F$106</f>
        <v>inf</v>
      </c>
      <c r="H303" s="721">
        <f>Primaries!$G$106</f>
        <v>1558</v>
      </c>
      <c r="I303" s="455">
        <f>Primaries!$H$106</f>
        <v>19</v>
      </c>
      <c r="J303" s="566" t="str">
        <f>Primaries!$I$106</f>
        <v>inf</v>
      </c>
      <c r="K303" s="456">
        <f>Primaries!$J$106</f>
        <v>180</v>
      </c>
      <c r="L303" s="457">
        <f>Primaries!$K$106</f>
        <v>1.64</v>
      </c>
      <c r="M303" s="458" t="str">
        <f>Primaries!$L$106</f>
        <v>inf</v>
      </c>
      <c r="N303" s="490">
        <f>Primaries!$M$106</f>
        <v>52</v>
      </c>
      <c r="O303" s="750">
        <f>Primaries!$N$106</f>
        <v>82</v>
      </c>
      <c r="P303" s="467"/>
    </row>
    <row r="304">
      <c r="A304" s="449" t="s">
        <v>672</v>
      </c>
      <c r="B304" s="449" t="s">
        <v>694</v>
      </c>
      <c r="C304" s="449" t="s">
        <v>60</v>
      </c>
      <c r="D304" s="450" t="str">
        <f>Primaries!$B$127</f>
        <v>Sturm </v>
      </c>
      <c r="E304" s="490">
        <f>Primaries!$C$127</f>
        <v>220</v>
      </c>
      <c r="F304" s="533">
        <f>Primaries!$D$127</f>
        <v>176.7857143</v>
      </c>
      <c r="G304" s="473" t="str">
        <f>Primaries!$F$127</f>
        <v>inf</v>
      </c>
      <c r="H304" s="472">
        <f>Primaries!$G$127</f>
        <v>990</v>
      </c>
      <c r="I304" s="455">
        <f>Primaries!$H$127</f>
        <v>9</v>
      </c>
      <c r="J304" s="566" t="str">
        <f>Primaries!$I$127</f>
        <v>inf</v>
      </c>
      <c r="K304" s="456">
        <f>Primaries!$J$127</f>
        <v>120</v>
      </c>
      <c r="L304" s="457">
        <f>Primaries!$K$127</f>
        <v>1.6</v>
      </c>
      <c r="M304" s="458" t="str">
        <f>Primaries!$L$127</f>
        <v>inf</v>
      </c>
      <c r="N304" s="532">
        <f>Primaries!$M$127</f>
        <v>60</v>
      </c>
      <c r="O304" s="743">
        <f>Primaries!$N$127</f>
        <v>110</v>
      </c>
      <c r="P304" s="117"/>
    </row>
    <row r="305">
      <c r="A305" s="449" t="s">
        <v>672</v>
      </c>
      <c r="B305" s="449" t="s">
        <v>694</v>
      </c>
      <c r="C305" s="449" t="s">
        <v>60</v>
      </c>
      <c r="D305" s="450" t="str">
        <f>Primaries!$B$128</f>
        <v>Sturm </v>
      </c>
      <c r="E305" s="534">
        <f>Primaries!$C$128</f>
        <v>788</v>
      </c>
      <c r="F305" s="466" t="str">
        <f>Primaries!$D$128</f>
        <v>N/A</v>
      </c>
      <c r="G305" s="473" t="str">
        <f>Primaries!$F$128</f>
        <v>inf</v>
      </c>
      <c r="H305" s="462">
        <f>Primaries!$G$128</f>
        <v>3546</v>
      </c>
      <c r="I305" s="455">
        <f>Primaries!$H$128</f>
        <v>9</v>
      </c>
      <c r="J305" s="566" t="str">
        <f>Primaries!$I$128</f>
        <v>inf</v>
      </c>
      <c r="K305" s="456">
        <f>Primaries!$J$128</f>
        <v>120</v>
      </c>
      <c r="L305" s="457">
        <f>Primaries!$K$128</f>
        <v>1.6</v>
      </c>
      <c r="M305" s="458" t="str">
        <f>Primaries!$L$128</f>
        <v>inf</v>
      </c>
      <c r="N305" s="593">
        <f>Primaries!$M$128</f>
        <v>213</v>
      </c>
      <c r="O305" s="663">
        <f>Primaries!$N$128</f>
        <v>394</v>
      </c>
      <c r="P305" s="467" t="s">
        <v>699</v>
      </c>
    </row>
    <row r="306">
      <c r="A306" s="449" t="s">
        <v>672</v>
      </c>
      <c r="B306" s="449" t="s">
        <v>694</v>
      </c>
      <c r="C306" s="449" t="s">
        <v>60</v>
      </c>
      <c r="D306" s="450" t="str">
        <f>Primaries!$B$116</f>
        <v>Sunshot</v>
      </c>
      <c r="E306" s="490">
        <f>Primaries!$C$116</f>
        <v>255</v>
      </c>
      <c r="F306" s="750">
        <f>Primaries!$D$116</f>
        <v>190.0621118</v>
      </c>
      <c r="G306" s="473" t="str">
        <f>Primaries!$F$116</f>
        <v>inf</v>
      </c>
      <c r="H306" s="496">
        <f>Primaries!$G$116</f>
        <v>1224</v>
      </c>
      <c r="I306" s="455">
        <f>Primaries!$H$116</f>
        <v>12</v>
      </c>
      <c r="J306" s="566" t="str">
        <f>Primaries!$I$116</f>
        <v>inf</v>
      </c>
      <c r="K306" s="456">
        <f>Primaries!$J$116</f>
        <v>150</v>
      </c>
      <c r="L306" s="457">
        <f>Primaries!$K$116</f>
        <v>1.64</v>
      </c>
      <c r="M306" s="458" t="str">
        <f>Primaries!$L$116</f>
        <v>inf</v>
      </c>
      <c r="N306" s="554">
        <f>Primaries!$M$116</f>
        <v>59</v>
      </c>
      <c r="O306" s="533">
        <f>Primaries!$N$116</f>
        <v>102</v>
      </c>
      <c r="P306" s="467"/>
    </row>
    <row r="307">
      <c r="A307" s="449" t="s">
        <v>672</v>
      </c>
      <c r="B307" s="449" t="s">
        <v>694</v>
      </c>
      <c r="C307" s="449" t="s">
        <v>60</v>
      </c>
      <c r="D307" s="450" t="str">
        <f>Primaries!$B$117</f>
        <v>Graviton Spike</v>
      </c>
      <c r="E307" s="490">
        <f>Primaries!$C$117</f>
        <v>235</v>
      </c>
      <c r="F307" s="750">
        <f>Primaries!$D$117</f>
        <v>179.4419971</v>
      </c>
      <c r="G307" s="473" t="str">
        <f>Primaries!$F$117</f>
        <v>inf</v>
      </c>
      <c r="H307" s="496">
        <f>Primaries!$G$117</f>
        <v>1222</v>
      </c>
      <c r="I307" s="455">
        <f>Primaries!$H$117</f>
        <v>13</v>
      </c>
      <c r="J307" s="566" t="str">
        <f>Primaries!$I$117</f>
        <v>inf</v>
      </c>
      <c r="K307" s="456">
        <f>Primaries!$J$117</f>
        <v>150</v>
      </c>
      <c r="L307" s="457">
        <f>Primaries!$K$117</f>
        <v>1.61</v>
      </c>
      <c r="M307" s="458" t="str">
        <f>Primaries!$L$117</f>
        <v>inf</v>
      </c>
      <c r="N307" s="554">
        <f>Primaries!$M$117</f>
        <v>51</v>
      </c>
      <c r="O307" s="533">
        <f>Primaries!$N$117</f>
        <v>94</v>
      </c>
      <c r="P307" s="127" t="s">
        <v>182</v>
      </c>
    </row>
    <row r="308">
      <c r="A308" s="449" t="s">
        <v>672</v>
      </c>
      <c r="B308" s="449" t="s">
        <v>694</v>
      </c>
      <c r="C308" s="449" t="s">
        <v>60</v>
      </c>
      <c r="D308" s="450" t="str">
        <f>Primaries!$B$118</f>
        <v>Graviton Spike</v>
      </c>
      <c r="E308" s="490">
        <f>Primaries!$C$118</f>
        <v>281.8333333</v>
      </c>
      <c r="F308" s="750">
        <f>Primaries!$D$118</f>
        <v>235.628919</v>
      </c>
      <c r="G308" s="473" t="str">
        <f>Primaries!$F$118</f>
        <v>inf</v>
      </c>
      <c r="H308" s="496">
        <f>Primaries!$G$118</f>
        <v>2314</v>
      </c>
      <c r="I308" s="455">
        <f>Primaries!$H$118</f>
        <v>13</v>
      </c>
      <c r="J308" s="566" t="str">
        <f>Primaries!$I$118</f>
        <v>inf</v>
      </c>
      <c r="K308" s="456">
        <f>Primaries!$J$118</f>
        <v>95</v>
      </c>
      <c r="L308" s="457">
        <f>Primaries!$K$118</f>
        <v>1.61</v>
      </c>
      <c r="M308" s="458" t="str">
        <f>Primaries!$L$118</f>
        <v>inf</v>
      </c>
      <c r="N308" s="554">
        <f>Primaries!$M$118</f>
        <v>121</v>
      </c>
      <c r="O308" s="533">
        <f>Primaries!$N$118</f>
        <v>178</v>
      </c>
      <c r="P308" s="127" t="s">
        <v>184</v>
      </c>
    </row>
    <row r="309">
      <c r="A309" s="449" t="s">
        <v>672</v>
      </c>
      <c r="B309" s="449" t="s">
        <v>694</v>
      </c>
      <c r="C309" s="449" t="s">
        <v>60</v>
      </c>
      <c r="D309" s="450" t="str">
        <f>Primaries!$B$119</f>
        <v>Graviton Spike</v>
      </c>
      <c r="E309" s="490">
        <f>Primaries!$C$119</f>
        <v>495.4671502</v>
      </c>
      <c r="F309" s="750">
        <f>Primaries!$D$119</f>
        <v>495.4671502</v>
      </c>
      <c r="G309" s="473" t="str">
        <f>Primaries!$F$119</f>
        <v>inf</v>
      </c>
      <c r="H309" s="496" t="str">
        <f>Primaries!$G$119</f>
        <v>N/A</v>
      </c>
      <c r="I309" s="455">
        <f>Primaries!$H$119</f>
        <v>13</v>
      </c>
      <c r="J309" s="566" t="str">
        <f>Primaries!$I$119</f>
        <v>inf</v>
      </c>
      <c r="K309" s="456" t="str">
        <f>Primaries!$J$119</f>
        <v>N/A</v>
      </c>
      <c r="L309" s="457">
        <f>Primaries!$K$119</f>
        <v>1.61</v>
      </c>
      <c r="M309" s="458" t="str">
        <f>Primaries!$L$119</f>
        <v>inf</v>
      </c>
      <c r="N309" s="554" t="str">
        <f>Primaries!$M$119</f>
        <v>N/A</v>
      </c>
      <c r="O309" s="533" t="str">
        <f>Primaries!$N$119</f>
        <v>N/A</v>
      </c>
      <c r="P309" s="127" t="s">
        <v>185</v>
      </c>
    </row>
    <row r="310">
      <c r="A310" s="449" t="s">
        <v>672</v>
      </c>
      <c r="B310" s="449" t="s">
        <v>694</v>
      </c>
      <c r="C310" s="449" t="s">
        <v>60</v>
      </c>
      <c r="D310" s="450" t="str">
        <f>Primaries!$B$120</f>
        <v>Graviton Spike</v>
      </c>
      <c r="E310" s="490">
        <f>Primaries!$C$120</f>
        <v>523.4321672</v>
      </c>
      <c r="F310" s="750">
        <f>Primaries!$D$120</f>
        <v>523.4321672</v>
      </c>
      <c r="G310" s="473" t="str">
        <f>Primaries!$F$120</f>
        <v>inf</v>
      </c>
      <c r="H310" s="496" t="str">
        <f>Primaries!$G$120</f>
        <v>N/A</v>
      </c>
      <c r="I310" s="455">
        <f>Primaries!$H$120</f>
        <v>13</v>
      </c>
      <c r="J310" s="566" t="str">
        <f>Primaries!$I$120</f>
        <v>inf</v>
      </c>
      <c r="K310" s="456" t="str">
        <f>Primaries!$J$120</f>
        <v>N/A</v>
      </c>
      <c r="L310" s="457">
        <f>Primaries!$K$120</f>
        <v>1.61</v>
      </c>
      <c r="M310" s="458" t="str">
        <f>Primaries!$L$120</f>
        <v>inf</v>
      </c>
      <c r="N310" s="554" t="str">
        <f>Primaries!$M$120</f>
        <v>N/A</v>
      </c>
      <c r="O310" s="533" t="str">
        <f>Primaries!$N$120</f>
        <v>N/A</v>
      </c>
      <c r="P310" s="127" t="s">
        <v>700</v>
      </c>
    </row>
    <row r="311">
      <c r="A311" s="449" t="s">
        <v>672</v>
      </c>
      <c r="B311" s="449" t="s">
        <v>694</v>
      </c>
      <c r="C311" s="449" t="s">
        <v>60</v>
      </c>
      <c r="D311" s="450" t="str">
        <f>Primaries!$B$112</f>
        <v>The Last Word</v>
      </c>
      <c r="E311" s="472">
        <f>Primaries!$C$112</f>
        <v>660</v>
      </c>
      <c r="F311" s="755">
        <f>Primaries!$D$112</f>
        <v>373.1448763</v>
      </c>
      <c r="G311" s="473" t="str">
        <f>Primaries!$F$112</f>
        <v>inf</v>
      </c>
      <c r="H311" s="726">
        <f>Primaries!$G$112</f>
        <v>1408</v>
      </c>
      <c r="I311" s="455">
        <f>Primaries!$H$112</f>
        <v>8</v>
      </c>
      <c r="J311" s="566" t="str">
        <f>Primaries!$I$112</f>
        <v>inf</v>
      </c>
      <c r="K311" s="456">
        <f>Primaries!$J$112</f>
        <v>225</v>
      </c>
      <c r="L311" s="457">
        <f>Primaries!$K$112</f>
        <v>1.64</v>
      </c>
      <c r="M311" s="458" t="str">
        <f>Primaries!$L$112</f>
        <v>inf</v>
      </c>
      <c r="N311" s="490">
        <f>Primaries!$M$112</f>
        <v>52</v>
      </c>
      <c r="O311" s="743">
        <f>Primaries!$N$112</f>
        <v>176</v>
      </c>
      <c r="P311" s="517" t="s">
        <v>177</v>
      </c>
    </row>
    <row r="312">
      <c r="A312" s="449" t="s">
        <v>672</v>
      </c>
      <c r="B312" s="449" t="s">
        <v>694</v>
      </c>
      <c r="C312" s="449" t="s">
        <v>60</v>
      </c>
      <c r="D312" s="450" t="str">
        <f>Primaries!$B$125</f>
        <v>Thorn</v>
      </c>
      <c r="E312" s="532">
        <f>Primaries!$C$125</f>
        <v>366.3333333</v>
      </c>
      <c r="F312" s="533">
        <f>Primaries!$D$125</f>
        <v>312.2378805</v>
      </c>
      <c r="G312" s="473" t="str">
        <f>Primaries!$F$125</f>
        <v>inf</v>
      </c>
      <c r="H312" s="726">
        <f>Primaries!$G$125</f>
        <v>873</v>
      </c>
      <c r="I312" s="455">
        <f>Primaries!$H$125</f>
        <v>9</v>
      </c>
      <c r="J312" s="566" t="str">
        <f>Primaries!$I$125</f>
        <v>inf</v>
      </c>
      <c r="K312" s="456">
        <f>Primaries!$J$125</f>
        <v>140</v>
      </c>
      <c r="L312" s="457">
        <f>Primaries!$K$125</f>
        <v>1.64</v>
      </c>
      <c r="M312" s="458" t="str">
        <f>Primaries!$L$125</f>
        <v>inf</v>
      </c>
      <c r="N312" s="554">
        <f>Primaries!$M$125</f>
        <v>54</v>
      </c>
      <c r="O312" s="533">
        <f>Primaries!$N$125</f>
        <v>97</v>
      </c>
      <c r="P312" s="467"/>
    </row>
    <row r="313">
      <c r="A313" s="449" t="s">
        <v>672</v>
      </c>
      <c r="B313" s="449" t="s">
        <v>694</v>
      </c>
      <c r="C313" s="449" t="s">
        <v>60</v>
      </c>
      <c r="D313" s="450" t="str">
        <f>Primaries!$B$126</f>
        <v>Thorn</v>
      </c>
      <c r="E313" s="756">
        <f>Primaries!$C$126</f>
        <v>921.3333333</v>
      </c>
      <c r="F313" s="757">
        <f>Primaries!$D$126</f>
        <v>867.2378805</v>
      </c>
      <c r="G313" s="473" t="str">
        <f>Primaries!$F$126</f>
        <v>inf</v>
      </c>
      <c r="H313" s="726">
        <f>Primaries!$G$126</f>
        <v>873</v>
      </c>
      <c r="I313" s="455">
        <f>Primaries!$H$126</f>
        <v>9</v>
      </c>
      <c r="J313" s="566" t="str">
        <f>Primaries!$I$126</f>
        <v>inf</v>
      </c>
      <c r="K313" s="456">
        <f>Primaries!$J$126</f>
        <v>140</v>
      </c>
      <c r="L313" s="457">
        <f>Primaries!$K$126</f>
        <v>1.64</v>
      </c>
      <c r="M313" s="458" t="str">
        <f>Primaries!$L$126</f>
        <v>inf</v>
      </c>
      <c r="N313" s="554">
        <f>Primaries!$M$126</f>
        <v>54</v>
      </c>
      <c r="O313" s="533">
        <f>Primaries!$N$126</f>
        <v>97</v>
      </c>
      <c r="P313" s="467" t="s">
        <v>194</v>
      </c>
    </row>
    <row r="314">
      <c r="A314" s="449" t="s">
        <v>672</v>
      </c>
      <c r="B314" s="449" t="s">
        <v>701</v>
      </c>
      <c r="C314" s="449" t="s">
        <v>60</v>
      </c>
      <c r="D314" s="482" t="str">
        <f>Primaries!$B$48</f>
        <v>Adaptive</v>
      </c>
      <c r="E314" s="561">
        <f>Primaries!$C$48</f>
        <v>240.5</v>
      </c>
      <c r="F314" s="748">
        <f>Primaries!$D$48</f>
        <v>211.6611661</v>
      </c>
      <c r="G314" s="473" t="str">
        <f>Primaries!$F$48</f>
        <v>inf</v>
      </c>
      <c r="H314" s="476">
        <f>Primaries!$G$48</f>
        <v>1776</v>
      </c>
      <c r="I314" s="455">
        <f>Primaries!$H$48</f>
        <v>48</v>
      </c>
      <c r="J314" s="566" t="str">
        <f>Primaries!$I$48</f>
        <v>inf</v>
      </c>
      <c r="K314" s="456">
        <f>Primaries!$J$48</f>
        <v>390</v>
      </c>
      <c r="L314" s="457">
        <f>Primaries!$K$48</f>
        <v>1.16</v>
      </c>
      <c r="M314" s="458" t="str">
        <f>Primaries!$L$48</f>
        <v>inf</v>
      </c>
      <c r="N314" s="494">
        <f>Primaries!$M$48</f>
        <v>23</v>
      </c>
      <c r="O314" s="518">
        <f>Primaries!$N$48</f>
        <v>37</v>
      </c>
      <c r="P314" s="467"/>
    </row>
    <row r="315">
      <c r="A315" s="449" t="s">
        <v>672</v>
      </c>
      <c r="B315" s="449" t="s">
        <v>701</v>
      </c>
      <c r="C315" s="449" t="s">
        <v>60</v>
      </c>
      <c r="D315" s="482" t="str">
        <f>Primaries!$B$50</f>
        <v>Aggressive Burst</v>
      </c>
      <c r="E315" s="494">
        <f>Primaries!$C$50</f>
        <v>232.5</v>
      </c>
      <c r="F315" s="750">
        <f>Primaries!$D$50</f>
        <v>207.5313808</v>
      </c>
      <c r="G315" s="473" t="str">
        <f>Primaries!$F$50</f>
        <v>inf</v>
      </c>
      <c r="H315" s="556">
        <f>Primaries!$G$50</f>
        <v>1984</v>
      </c>
      <c r="I315" s="455">
        <f>Primaries!$H$50</f>
        <v>64</v>
      </c>
      <c r="J315" s="566" t="str">
        <f>Primaries!$I$50</f>
        <v>inf</v>
      </c>
      <c r="K315" s="456">
        <f>Primaries!$J$50</f>
        <v>450</v>
      </c>
      <c r="L315" s="457">
        <f>Primaries!$K$50</f>
        <v>1.16</v>
      </c>
      <c r="M315" s="458" t="str">
        <f>Primaries!$L$50</f>
        <v>inf</v>
      </c>
      <c r="N315" s="494">
        <f>Primaries!$M$50</f>
        <v>16</v>
      </c>
      <c r="O315" s="518">
        <f>Primaries!$N$50</f>
        <v>31</v>
      </c>
      <c r="P315" s="467"/>
    </row>
    <row r="316">
      <c r="A316" s="449" t="s">
        <v>672</v>
      </c>
      <c r="B316" s="449" t="s">
        <v>701</v>
      </c>
      <c r="C316" s="449" t="s">
        <v>60</v>
      </c>
      <c r="D316" s="482" t="str">
        <f>Primaries!$B$51</f>
        <v>Heavy Burst</v>
      </c>
      <c r="E316" s="494">
        <f>Primaries!$C$51</f>
        <v>270</v>
      </c>
      <c r="F316" s="750">
        <f>Primaries!$D$51</f>
        <v>229.6960073</v>
      </c>
      <c r="G316" s="473" t="str">
        <f>Primaries!$F$51</f>
        <v>inf</v>
      </c>
      <c r="H316" s="556">
        <f>Primaries!$G$51</f>
        <v>1500</v>
      </c>
      <c r="I316" s="455">
        <f>Primaries!$H$51</f>
        <v>30</v>
      </c>
      <c r="J316" s="566" t="str">
        <f>Primaries!$I$51</f>
        <v>inf</v>
      </c>
      <c r="K316" s="456">
        <f>Primaries!$J$51</f>
        <v>324</v>
      </c>
      <c r="L316" s="457">
        <f>Primaries!$K$51</f>
        <v>1.16</v>
      </c>
      <c r="M316" s="458" t="str">
        <f>Primaries!$L$51</f>
        <v>inf</v>
      </c>
      <c r="N316" s="494">
        <f>Primaries!$M$51</f>
        <v>27</v>
      </c>
      <c r="O316" s="518">
        <f>Primaries!$N$51</f>
        <v>50</v>
      </c>
      <c r="P316" s="467"/>
    </row>
    <row r="317">
      <c r="A317" s="449" t="s">
        <v>672</v>
      </c>
      <c r="B317" s="449" t="s">
        <v>701</v>
      </c>
      <c r="C317" s="449" t="s">
        <v>60</v>
      </c>
      <c r="D317" s="450" t="str">
        <f>Primaries!$B$53</f>
        <v>Bad Juju</v>
      </c>
      <c r="E317" s="561">
        <f>Primaries!$C$53</f>
        <v>255</v>
      </c>
      <c r="F317" s="750">
        <f>Primaries!$D$53</f>
        <v>204.2635659</v>
      </c>
      <c r="G317" s="473" t="str">
        <f>Primaries!$F$53</f>
        <v>inf</v>
      </c>
      <c r="H317" s="726">
        <f>Primaries!$G$53</f>
        <v>1054</v>
      </c>
      <c r="I317" s="455">
        <f>Primaries!$H$53</f>
        <v>31</v>
      </c>
      <c r="J317" s="566" t="str">
        <f>Primaries!$I$53</f>
        <v>inf</v>
      </c>
      <c r="K317" s="456">
        <f>Primaries!$J$53</f>
        <v>450</v>
      </c>
      <c r="L317" s="457">
        <f>Primaries!$K$53</f>
        <v>1.16</v>
      </c>
      <c r="M317" s="458" t="str">
        <f>Primaries!$L$53</f>
        <v>inf</v>
      </c>
      <c r="N317" s="494">
        <f>Primaries!$M$53</f>
        <v>21</v>
      </c>
      <c r="O317" s="518">
        <f>Primaries!$N$53</f>
        <v>34</v>
      </c>
      <c r="P317" s="117"/>
    </row>
    <row r="318">
      <c r="A318" s="449" t="s">
        <v>672</v>
      </c>
      <c r="B318" s="449" t="s">
        <v>701</v>
      </c>
      <c r="C318" s="449" t="s">
        <v>60</v>
      </c>
      <c r="D318" s="450" t="str">
        <f>Primaries!$B$54</f>
        <v>Bad Juju</v>
      </c>
      <c r="E318" s="472">
        <f>Primaries!$C$54</f>
        <v>510</v>
      </c>
      <c r="F318" s="466" t="str">
        <f>Primaries!$D$54</f>
        <v>N/A</v>
      </c>
      <c r="G318" s="473" t="str">
        <f>Primaries!$F$54</f>
        <v>inf</v>
      </c>
      <c r="H318" s="475">
        <f>Primaries!$G$54</f>
        <v>2108</v>
      </c>
      <c r="I318" s="455">
        <f>Primaries!$H$54</f>
        <v>31</v>
      </c>
      <c r="J318" s="566" t="str">
        <f>Primaries!$I$54</f>
        <v>inf</v>
      </c>
      <c r="K318" s="456">
        <f>Primaries!$J$54</f>
        <v>450</v>
      </c>
      <c r="L318" s="457">
        <f>Primaries!$K$54</f>
        <v>1.16</v>
      </c>
      <c r="M318" s="458" t="str">
        <f>Primaries!$L$54</f>
        <v>inf</v>
      </c>
      <c r="N318" s="561">
        <f>Primaries!$M$54</f>
        <v>42</v>
      </c>
      <c r="O318" s="562">
        <f>Primaries!$N$54</f>
        <v>68</v>
      </c>
      <c r="P318" s="467" t="s">
        <v>702</v>
      </c>
    </row>
    <row r="319">
      <c r="A319" s="449" t="s">
        <v>672</v>
      </c>
      <c r="B319" s="449" t="s">
        <v>701</v>
      </c>
      <c r="C319" s="449" t="s">
        <v>60</v>
      </c>
      <c r="D319" s="450" t="str">
        <f>Primaries!$B$64</f>
        <v>Collective Obligation</v>
      </c>
      <c r="E319" s="561">
        <f>Primaries!$C$64</f>
        <v>253.5</v>
      </c>
      <c r="F319" s="555">
        <f>Primaries!$D$64</f>
        <v>214.5275035</v>
      </c>
      <c r="G319" s="473" t="str">
        <f>Primaries!$F$64</f>
        <v>inf</v>
      </c>
      <c r="H319" s="496">
        <f>Primaries!$G$64</f>
        <v>1404</v>
      </c>
      <c r="I319" s="455">
        <f>Primaries!$H$64</f>
        <v>36</v>
      </c>
      <c r="J319" s="566" t="str">
        <f>Primaries!$I$64</f>
        <v>inf</v>
      </c>
      <c r="K319" s="456">
        <f>Primaries!$J$64</f>
        <v>390</v>
      </c>
      <c r="L319" s="457">
        <f>Primaries!$K$64</f>
        <v>1.16</v>
      </c>
      <c r="M319" s="458" t="str">
        <f>Primaries!$L$64</f>
        <v>inf</v>
      </c>
      <c r="N319" s="494">
        <f>Primaries!$M$64</f>
        <v>24</v>
      </c>
      <c r="O319" s="518">
        <f>Primaries!$N$64</f>
        <v>39</v>
      </c>
      <c r="P319" s="117"/>
    </row>
    <row r="320">
      <c r="A320" s="449" t="s">
        <v>672</v>
      </c>
      <c r="B320" s="449" t="s">
        <v>701</v>
      </c>
      <c r="C320" s="449" t="s">
        <v>60</v>
      </c>
      <c r="D320" s="450" t="str">
        <f>Primaries!$B$71</f>
        <v>Graviton Lance</v>
      </c>
      <c r="E320" s="756">
        <f>Primaries!$C$71</f>
        <v>352.5</v>
      </c>
      <c r="F320" s="758">
        <f>Primaries!$D$71</f>
        <v>303.8793103</v>
      </c>
      <c r="G320" s="473" t="str">
        <f>Primaries!$F$71</f>
        <v>inf</v>
      </c>
      <c r="H320" s="548">
        <f>Primaries!$G$71</f>
        <v>2115</v>
      </c>
      <c r="I320" s="455">
        <f>Primaries!$H$71</f>
        <v>30</v>
      </c>
      <c r="J320" s="566" t="str">
        <f>Primaries!$I$71</f>
        <v>inf</v>
      </c>
      <c r="K320" s="456">
        <f>Primaries!$J$71</f>
        <v>300</v>
      </c>
      <c r="L320" s="457">
        <f>Primaries!$K$71</f>
        <v>1.16</v>
      </c>
      <c r="M320" s="458" t="str">
        <f>Primaries!$L$71</f>
        <v>inf</v>
      </c>
      <c r="N320" s="542">
        <f>Primaries!$M$71</f>
        <v>38</v>
      </c>
      <c r="O320" s="749">
        <f>Primaries!$N$71</f>
        <v>70.5</v>
      </c>
      <c r="P320" s="117"/>
    </row>
    <row r="321">
      <c r="A321" s="449" t="s">
        <v>672</v>
      </c>
      <c r="B321" s="449" t="s">
        <v>701</v>
      </c>
      <c r="C321" s="449" t="s">
        <v>60</v>
      </c>
      <c r="D321" s="482" t="str">
        <f>Primaries!$B$49</f>
        <v>High-Impact</v>
      </c>
      <c r="E321" s="494">
        <f>Primaries!$C$49</f>
        <v>221</v>
      </c>
      <c r="F321" s="750">
        <f>Primaries!$D$49</f>
        <v>197.1173733</v>
      </c>
      <c r="G321" s="473" t="str">
        <f>Primaries!$F$49</f>
        <v>inf</v>
      </c>
      <c r="H321" s="735">
        <f>Primaries!$G$49</f>
        <v>1794</v>
      </c>
      <c r="I321" s="455">
        <f>Primaries!$H$49</f>
        <v>46</v>
      </c>
      <c r="J321" s="566" t="str">
        <f>Primaries!$I$49</f>
        <v>inf</v>
      </c>
      <c r="K321" s="456">
        <f>Primaries!$J$49</f>
        <v>340</v>
      </c>
      <c r="L321" s="457">
        <f>Primaries!$K$49</f>
        <v>1.16</v>
      </c>
      <c r="M321" s="458" t="str">
        <f>Primaries!$L$49</f>
        <v>inf</v>
      </c>
      <c r="N321" s="494">
        <f>Primaries!$M$49</f>
        <v>22</v>
      </c>
      <c r="O321" s="518">
        <f>Primaries!$N$49</f>
        <v>39</v>
      </c>
      <c r="P321" s="467"/>
    </row>
    <row r="322">
      <c r="A322" s="449" t="s">
        <v>672</v>
      </c>
      <c r="B322" s="449" t="s">
        <v>701</v>
      </c>
      <c r="C322" s="449" t="s">
        <v>60</v>
      </c>
      <c r="D322" s="482" t="str">
        <f>Primaries!$B$47</f>
        <v>Legacy PR-55</v>
      </c>
      <c r="E322" s="494">
        <f>Primaries!$C$47</f>
        <v>240</v>
      </c>
      <c r="F322" s="562">
        <f>Primaries!$D$47</f>
        <v>204.9335863</v>
      </c>
      <c r="G322" s="473" t="str">
        <f>Primaries!$F$47</f>
        <v>inf</v>
      </c>
      <c r="H322" s="647">
        <f>Primaries!$G$47</f>
        <v>1440</v>
      </c>
      <c r="I322" s="455">
        <f>Primaries!$H$47</f>
        <v>45</v>
      </c>
      <c r="J322" s="566" t="str">
        <f>Primaries!$I$47</f>
        <v>inf</v>
      </c>
      <c r="K322" s="456">
        <f>Primaries!$J$47</f>
        <v>450</v>
      </c>
      <c r="L322" s="457">
        <f>Primaries!$K$47</f>
        <v>1.16</v>
      </c>
      <c r="M322" s="458" t="str">
        <f>Primaries!$L$47</f>
        <v>inf</v>
      </c>
      <c r="N322" s="494">
        <f>Primaries!$M$47</f>
        <v>20</v>
      </c>
      <c r="O322" s="518">
        <f>Primaries!$N$47</f>
        <v>32</v>
      </c>
      <c r="P322" s="467" t="s">
        <v>104</v>
      </c>
    </row>
    <row r="323">
      <c r="A323" s="449" t="s">
        <v>672</v>
      </c>
      <c r="B323" s="449" t="s">
        <v>701</v>
      </c>
      <c r="C323" s="449" t="s">
        <v>60</v>
      </c>
      <c r="D323" s="482" t="str">
        <f>Primaries!$B$46</f>
        <v>Lightweight</v>
      </c>
      <c r="E323" s="494">
        <f>Primaries!$C$46</f>
        <v>240</v>
      </c>
      <c r="F323" s="555">
        <f>Primaries!$D$46</f>
        <v>206.8222621</v>
      </c>
      <c r="G323" s="473" t="str">
        <f>Primaries!$F$46</f>
        <v>inf</v>
      </c>
      <c r="H323" s="593">
        <f>Primaries!$G$46</f>
        <v>1536</v>
      </c>
      <c r="I323" s="455">
        <f>Primaries!$H$46</f>
        <v>48</v>
      </c>
      <c r="J323" s="566" t="str">
        <f>Primaries!$I$46</f>
        <v>inf</v>
      </c>
      <c r="K323" s="456">
        <f>Primaries!$J$46</f>
        <v>450</v>
      </c>
      <c r="L323" s="457">
        <f>Primaries!$K$46</f>
        <v>1.16</v>
      </c>
      <c r="M323" s="458" t="str">
        <f>Primaries!$L$46</f>
        <v>inf</v>
      </c>
      <c r="N323" s="494">
        <f>Primaries!$M$46</f>
        <v>20</v>
      </c>
      <c r="O323" s="518">
        <f>Primaries!$N$46</f>
        <v>32</v>
      </c>
      <c r="P323" s="117"/>
    </row>
    <row r="324">
      <c r="A324" s="449" t="s">
        <v>672</v>
      </c>
      <c r="B324" s="449" t="s">
        <v>701</v>
      </c>
      <c r="C324" s="449" t="s">
        <v>60</v>
      </c>
      <c r="D324" s="450" t="str">
        <f>Primaries!$B$70</f>
        <v>No Time To Explain</v>
      </c>
      <c r="E324" s="554">
        <f>Primaries!$C$70</f>
        <v>288.8791756</v>
      </c>
      <c r="F324" s="466">
        <f>Primaries!$D$70</f>
        <v>288.8791756</v>
      </c>
      <c r="G324" s="473" t="str">
        <f>Primaries!$F$70</f>
        <v>inf</v>
      </c>
      <c r="H324" s="473" t="str">
        <f>Primaries!$G$70</f>
        <v>inf</v>
      </c>
      <c r="I324" s="455">
        <f>Primaries!$H$70</f>
        <v>24</v>
      </c>
      <c r="J324" s="566" t="str">
        <f>Primaries!$I$70</f>
        <v>inf</v>
      </c>
      <c r="K324" s="456">
        <f>Primaries!$J$70</f>
        <v>340</v>
      </c>
      <c r="L324" s="457">
        <f>Primaries!$K$70</f>
        <v>1.16</v>
      </c>
      <c r="M324" s="458" t="str">
        <f>Primaries!$L$70</f>
        <v>inf</v>
      </c>
      <c r="N324" s="494">
        <f>Primaries!$M$70</f>
        <v>23</v>
      </c>
      <c r="O324" s="732">
        <f>Primaries!$N$70</f>
        <v>41</v>
      </c>
      <c r="P324" s="467" t="s">
        <v>703</v>
      </c>
    </row>
    <row r="325">
      <c r="A325" s="449" t="s">
        <v>672</v>
      </c>
      <c r="B325" s="449" t="s">
        <v>701</v>
      </c>
      <c r="C325" s="449" t="s">
        <v>60</v>
      </c>
      <c r="D325" s="450" t="str">
        <f>Primaries!$B$55</f>
        <v>Outbreak Perfected</v>
      </c>
      <c r="E325" s="736">
        <f>Primaries!$C$55</f>
        <v>355</v>
      </c>
      <c r="F325" s="491">
        <f>Primaries!$D$55</f>
        <v>292.4485126</v>
      </c>
      <c r="G325" s="473" t="str">
        <f>Primaries!$F$55</f>
        <v>inf</v>
      </c>
      <c r="H325" s="472">
        <f>Primaries!$G$55</f>
        <v>1224</v>
      </c>
      <c r="I325" s="455">
        <f>Primaries!$H$55</f>
        <v>36</v>
      </c>
      <c r="J325" s="566" t="str">
        <f>Primaries!$I$55</f>
        <v>inf</v>
      </c>
      <c r="K325" s="456">
        <f>Primaries!$J$55</f>
        <v>450</v>
      </c>
      <c r="L325" s="457">
        <f>Primaries!$K$55</f>
        <v>1.16</v>
      </c>
      <c r="M325" s="458" t="str">
        <f>Primaries!$L$55</f>
        <v>inf</v>
      </c>
      <c r="N325" s="494">
        <f>Primaries!$M$55</f>
        <v>21</v>
      </c>
      <c r="O325" s="518">
        <f>Primaries!$N$55</f>
        <v>34</v>
      </c>
      <c r="P325" s="127" t="s">
        <v>704</v>
      </c>
    </row>
    <row r="326">
      <c r="A326" s="449" t="s">
        <v>672</v>
      </c>
      <c r="B326" s="449" t="s">
        <v>701</v>
      </c>
      <c r="C326" s="449" t="s">
        <v>60</v>
      </c>
      <c r="D326" s="450" t="str">
        <f>Primaries!$B$58</f>
        <v>Outbreak Perfected</v>
      </c>
      <c r="E326" s="736">
        <f>Primaries!$C$58</f>
        <v>355</v>
      </c>
      <c r="F326" s="491">
        <f>Primaries!$D$58</f>
        <v>305.7167599</v>
      </c>
      <c r="G326" s="473" t="str">
        <f>Primaries!$F$58</f>
        <v>inf</v>
      </c>
      <c r="H326" s="472">
        <f>Primaries!$G$58</f>
        <v>1224</v>
      </c>
      <c r="I326" s="455">
        <f>Primaries!$H$58</f>
        <v>36</v>
      </c>
      <c r="J326" s="566" t="str">
        <f>Primaries!$I$58</f>
        <v>inf</v>
      </c>
      <c r="K326" s="456">
        <f>Primaries!$J$58</f>
        <v>450</v>
      </c>
      <c r="L326" s="457">
        <f>Primaries!$K$58</f>
        <v>0.90712</v>
      </c>
      <c r="M326" s="458" t="str">
        <f>Primaries!$L$58</f>
        <v>inf</v>
      </c>
      <c r="N326" s="494">
        <f>Primaries!$M$58</f>
        <v>21</v>
      </c>
      <c r="O326" s="518">
        <f>Primaries!$N$58</f>
        <v>34</v>
      </c>
      <c r="P326" s="127" t="s">
        <v>115</v>
      </c>
    </row>
    <row r="327">
      <c r="A327" s="449" t="s">
        <v>672</v>
      </c>
      <c r="B327" s="449" t="s">
        <v>701</v>
      </c>
      <c r="C327" s="449" t="s">
        <v>60</v>
      </c>
      <c r="D327" s="450" t="str">
        <f>Primaries!$B$61</f>
        <v>Outbreak Perfected</v>
      </c>
      <c r="E327" s="736">
        <f>Primaries!$C$61</f>
        <v>355</v>
      </c>
      <c r="F327" s="491">
        <f>Primaries!$D$61</f>
        <v>333.5943618</v>
      </c>
      <c r="G327" s="473" t="str">
        <f>Primaries!$F$61</f>
        <v>inf</v>
      </c>
      <c r="H327" s="472">
        <f>Primaries!$G$61</f>
        <v>4080</v>
      </c>
      <c r="I327" s="455">
        <f>Primaries!$H$61</f>
        <v>120</v>
      </c>
      <c r="J327" s="566" t="str">
        <f>Primaries!$I$61</f>
        <v>inf</v>
      </c>
      <c r="K327" s="456">
        <f>Primaries!$J$61</f>
        <v>450</v>
      </c>
      <c r="L327" s="457">
        <f>Primaries!$K$61</f>
        <v>1.16</v>
      </c>
      <c r="M327" s="458" t="str">
        <f>Primaries!$L$61</f>
        <v>inf</v>
      </c>
      <c r="N327" s="494">
        <f>Primaries!$M$61</f>
        <v>21</v>
      </c>
      <c r="O327" s="518">
        <f>Primaries!$N$61</f>
        <v>34</v>
      </c>
      <c r="P327" s="127" t="s">
        <v>117</v>
      </c>
    </row>
    <row r="328">
      <c r="A328" s="449" t="s">
        <v>672</v>
      </c>
      <c r="B328" s="449" t="s">
        <v>701</v>
      </c>
      <c r="C328" s="449" t="s">
        <v>60</v>
      </c>
      <c r="D328" s="450" t="str">
        <f>Primaries!$B$56</f>
        <v>Outbreak Perfected</v>
      </c>
      <c r="E328" s="735">
        <f>Primaries!$C$56</f>
        <v>737.5</v>
      </c>
      <c r="F328" s="695">
        <f>Primaries!$D$56</f>
        <v>607.5514874</v>
      </c>
      <c r="G328" s="473" t="str">
        <f>Primaries!$F$56</f>
        <v>inf</v>
      </c>
      <c r="H328" s="673">
        <f>Primaries!$G$56</f>
        <v>3060</v>
      </c>
      <c r="I328" s="455">
        <f>Primaries!$H$56</f>
        <v>36</v>
      </c>
      <c r="J328" s="566" t="str">
        <f>Primaries!$I$56</f>
        <v>inf</v>
      </c>
      <c r="K328" s="456">
        <f>Primaries!$J$56</f>
        <v>450</v>
      </c>
      <c r="L328" s="457">
        <f>Primaries!$K$56</f>
        <v>1.16</v>
      </c>
      <c r="M328" s="458" t="str">
        <f>Primaries!$L$56</f>
        <v>inf</v>
      </c>
      <c r="N328" s="561">
        <f>Primaries!$M$56</f>
        <v>52.5</v>
      </c>
      <c r="O328" s="750">
        <f>Primaries!$N$56</f>
        <v>85</v>
      </c>
      <c r="P328" s="127" t="s">
        <v>705</v>
      </c>
    </row>
    <row r="329">
      <c r="A329" s="449" t="s">
        <v>672</v>
      </c>
      <c r="B329" s="449" t="s">
        <v>701</v>
      </c>
      <c r="C329" s="449" t="s">
        <v>60</v>
      </c>
      <c r="D329" s="450" t="str">
        <f>Primaries!$B$59</f>
        <v>Outbreak Perfected</v>
      </c>
      <c r="E329" s="736">
        <f>Primaries!$C$59</f>
        <v>737.5</v>
      </c>
      <c r="F329" s="491">
        <f>Primaries!$D$59</f>
        <v>635.115804</v>
      </c>
      <c r="G329" s="473" t="str">
        <f>Primaries!$F$59</f>
        <v>inf</v>
      </c>
      <c r="H329" s="472">
        <f>Primaries!$G$59</f>
        <v>3060</v>
      </c>
      <c r="I329" s="455">
        <f>Primaries!$H$59</f>
        <v>36</v>
      </c>
      <c r="J329" s="566" t="str">
        <f>Primaries!$I$59</f>
        <v>inf</v>
      </c>
      <c r="K329" s="456">
        <f>Primaries!$J$59</f>
        <v>450</v>
      </c>
      <c r="L329" s="457">
        <f>Primaries!$K$59</f>
        <v>0.90712</v>
      </c>
      <c r="M329" s="458" t="str">
        <f>Primaries!$L$59</f>
        <v>inf</v>
      </c>
      <c r="N329" s="494">
        <f>Primaries!$M$59</f>
        <v>52.5</v>
      </c>
      <c r="O329" s="518">
        <f>Primaries!$N$59</f>
        <v>85</v>
      </c>
      <c r="P329" s="127" t="s">
        <v>116</v>
      </c>
    </row>
    <row r="330">
      <c r="A330" s="449" t="s">
        <v>672</v>
      </c>
      <c r="B330" s="449" t="s">
        <v>701</v>
      </c>
      <c r="C330" s="449" t="s">
        <v>60</v>
      </c>
      <c r="D330" s="450" t="str">
        <f>Primaries!$B$62</f>
        <v>Outbreak Perfected</v>
      </c>
      <c r="E330" s="736">
        <f>Primaries!$C$62</f>
        <v>737.5</v>
      </c>
      <c r="F330" s="491">
        <f>Primaries!$D$62</f>
        <v>693.0305403</v>
      </c>
      <c r="G330" s="473" t="str">
        <f>Primaries!$F$62</f>
        <v>inf</v>
      </c>
      <c r="H330" s="472">
        <f>Primaries!$G$62</f>
        <v>10200</v>
      </c>
      <c r="I330" s="455">
        <f>Primaries!$H$62</f>
        <v>120</v>
      </c>
      <c r="J330" s="566" t="str">
        <f>Primaries!$I$62</f>
        <v>inf</v>
      </c>
      <c r="K330" s="456">
        <f>Primaries!$J$62</f>
        <v>450</v>
      </c>
      <c r="L330" s="457">
        <f>Primaries!$K$62</f>
        <v>1.16</v>
      </c>
      <c r="M330" s="458" t="str">
        <f>Primaries!$L$62</f>
        <v>inf</v>
      </c>
      <c r="N330" s="494">
        <f>Primaries!$M$62</f>
        <v>52.5</v>
      </c>
      <c r="O330" s="518">
        <f>Primaries!$N$62</f>
        <v>85</v>
      </c>
      <c r="P330" s="127" t="s">
        <v>118</v>
      </c>
    </row>
    <row r="331">
      <c r="A331" s="449" t="s">
        <v>672</v>
      </c>
      <c r="B331" s="449" t="s">
        <v>701</v>
      </c>
      <c r="C331" s="449" t="s">
        <v>60</v>
      </c>
      <c r="D331" s="450" t="str">
        <f>Primaries!$B$57</f>
        <v>Outbreak Perfected</v>
      </c>
      <c r="E331" s="634">
        <f>Primaries!$C$57</f>
        <v>1502.5</v>
      </c>
      <c r="F331" s="759">
        <f>Primaries!$D$57</f>
        <v>1237.757437</v>
      </c>
      <c r="G331" s="473" t="str">
        <f>Primaries!$F$57</f>
        <v>inf</v>
      </c>
      <c r="H331" s="760">
        <f>Primaries!$G$57</f>
        <v>6732</v>
      </c>
      <c r="I331" s="455">
        <f>Primaries!$H$57</f>
        <v>36</v>
      </c>
      <c r="J331" s="566" t="str">
        <f>Primaries!$I$57</f>
        <v>inf</v>
      </c>
      <c r="K331" s="456">
        <f>Primaries!$J$57</f>
        <v>450</v>
      </c>
      <c r="L331" s="457">
        <f>Primaries!$K$57</f>
        <v>1.16</v>
      </c>
      <c r="M331" s="458" t="str">
        <f>Primaries!$L$57</f>
        <v>inf</v>
      </c>
      <c r="N331" s="542">
        <f>Primaries!$M$57</f>
        <v>115.5</v>
      </c>
      <c r="O331" s="728">
        <f>Primaries!$N$57</f>
        <v>187</v>
      </c>
      <c r="P331" s="515" t="s">
        <v>706</v>
      </c>
    </row>
    <row r="332">
      <c r="A332" s="449" t="s">
        <v>672</v>
      </c>
      <c r="B332" s="449" t="s">
        <v>701</v>
      </c>
      <c r="C332" s="449" t="s">
        <v>60</v>
      </c>
      <c r="D332" s="450" t="str">
        <f>Primaries!$B$60</f>
        <v>Outbreak Perfected</v>
      </c>
      <c r="E332" s="736">
        <f>Primaries!$C$60</f>
        <v>1502.5</v>
      </c>
      <c r="F332" s="491">
        <f>Primaries!$D$60</f>
        <v>1293.913892</v>
      </c>
      <c r="G332" s="473" t="str">
        <f>Primaries!$F$60</f>
        <v>inf</v>
      </c>
      <c r="H332" s="472">
        <f>Primaries!$G$60</f>
        <v>6732</v>
      </c>
      <c r="I332" s="455">
        <f>Primaries!$H$60</f>
        <v>36</v>
      </c>
      <c r="J332" s="566" t="str">
        <f>Primaries!$I$60</f>
        <v>inf</v>
      </c>
      <c r="K332" s="456">
        <f>Primaries!$J$60</f>
        <v>450</v>
      </c>
      <c r="L332" s="457">
        <f>Primaries!$K$60</f>
        <v>0.90712</v>
      </c>
      <c r="M332" s="458" t="str">
        <f>Primaries!$L$60</f>
        <v>inf</v>
      </c>
      <c r="N332" s="494">
        <f>Primaries!$M$60</f>
        <v>115.5</v>
      </c>
      <c r="O332" s="518">
        <f>Primaries!$N$60</f>
        <v>187</v>
      </c>
      <c r="P332" s="127" t="s">
        <v>116</v>
      </c>
    </row>
    <row r="333">
      <c r="A333" s="449" t="s">
        <v>672</v>
      </c>
      <c r="B333" s="449" t="s">
        <v>701</v>
      </c>
      <c r="C333" s="449" t="s">
        <v>60</v>
      </c>
      <c r="D333" s="450" t="str">
        <f>Primaries!$B$63</f>
        <v>Outbreak Perfected</v>
      </c>
      <c r="E333" s="736">
        <f>Primaries!$C$63</f>
        <v>1502.5</v>
      </c>
      <c r="F333" s="491">
        <f>Primaries!$D$63</f>
        <v>1411.902897</v>
      </c>
      <c r="G333" s="473" t="str">
        <f>Primaries!$F$63</f>
        <v>inf</v>
      </c>
      <c r="H333" s="472">
        <f>Primaries!$G$63</f>
        <v>22440</v>
      </c>
      <c r="I333" s="455">
        <f>Primaries!$H$63</f>
        <v>120</v>
      </c>
      <c r="J333" s="566" t="str">
        <f>Primaries!$I$63</f>
        <v>inf</v>
      </c>
      <c r="K333" s="456">
        <f>Primaries!$J$63</f>
        <v>450</v>
      </c>
      <c r="L333" s="457">
        <f>Primaries!$K$63</f>
        <v>1.16</v>
      </c>
      <c r="M333" s="458" t="str">
        <f>Primaries!$L$63</f>
        <v>inf</v>
      </c>
      <c r="N333" s="494">
        <f>Primaries!$M$63</f>
        <v>115.5</v>
      </c>
      <c r="O333" s="518">
        <f>Primaries!$N$63</f>
        <v>187</v>
      </c>
      <c r="P333" s="127" t="s">
        <v>118</v>
      </c>
    </row>
    <row r="334">
      <c r="A334" s="449" t="s">
        <v>672</v>
      </c>
      <c r="B334" s="449" t="s">
        <v>701</v>
      </c>
      <c r="C334" s="449" t="s">
        <v>60</v>
      </c>
      <c r="D334" s="482" t="str">
        <f>Primaries!$B$45</f>
        <v>Rapid-Fire</v>
      </c>
      <c r="E334" s="561">
        <f>Primaries!$C$45</f>
        <v>261</v>
      </c>
      <c r="F334" s="533">
        <f>Primaries!$D$45</f>
        <v>226.3332852</v>
      </c>
      <c r="G334" s="473" t="str">
        <f>Primaries!$F$45</f>
        <v>inf</v>
      </c>
      <c r="H334" s="496">
        <f>Primaries!$G$45</f>
        <v>1392</v>
      </c>
      <c r="I334" s="455">
        <f>Primaries!$H$45</f>
        <v>48</v>
      </c>
      <c r="J334" s="566" t="str">
        <f>Primaries!$I$45</f>
        <v>inf</v>
      </c>
      <c r="K334" s="456">
        <f>Primaries!$J$45</f>
        <v>540</v>
      </c>
      <c r="L334" s="457">
        <f>Primaries!$K$45</f>
        <v>0.928</v>
      </c>
      <c r="M334" s="458" t="str">
        <f>Primaries!$L$45</f>
        <v>inf</v>
      </c>
      <c r="N334" s="494">
        <f>Primaries!$M$45</f>
        <v>16</v>
      </c>
      <c r="O334" s="518">
        <f>Primaries!$N$45</f>
        <v>29</v>
      </c>
      <c r="P334" s="117"/>
    </row>
    <row r="335">
      <c r="A335" s="449" t="s">
        <v>672</v>
      </c>
      <c r="B335" s="449" t="s">
        <v>701</v>
      </c>
      <c r="C335" s="449" t="s">
        <v>60</v>
      </c>
      <c r="D335" s="450" t="str">
        <f>Primaries!$B$65</f>
        <v>Red Death Reformed</v>
      </c>
      <c r="E335" s="561">
        <f>Primaries!$C$65</f>
        <v>232.3333333</v>
      </c>
      <c r="F335" s="555">
        <f>Primaries!$D$65</f>
        <v>197.1897397</v>
      </c>
      <c r="G335" s="473" t="str">
        <f>Primaries!$F$65</f>
        <v>inf</v>
      </c>
      <c r="H335" s="496">
        <f>Primaries!$G$65</f>
        <v>1230</v>
      </c>
      <c r="I335" s="455">
        <f>Primaries!$H$65</f>
        <v>30</v>
      </c>
      <c r="J335" s="566" t="str">
        <f>Primaries!$I$65</f>
        <v>inf</v>
      </c>
      <c r="K335" s="456">
        <f>Primaries!$J$65</f>
        <v>340</v>
      </c>
      <c r="L335" s="457">
        <f>Primaries!$K$65</f>
        <v>1.12</v>
      </c>
      <c r="M335" s="458" t="str">
        <f>Primaries!$L$65</f>
        <v>inf</v>
      </c>
      <c r="N335" s="494">
        <f>Primaries!$M$65</f>
        <v>23</v>
      </c>
      <c r="O335" s="518">
        <f>Primaries!$N$65</f>
        <v>41</v>
      </c>
      <c r="P335" s="117"/>
    </row>
    <row r="336">
      <c r="A336" s="449" t="s">
        <v>672</v>
      </c>
      <c r="B336" s="449" t="s">
        <v>701</v>
      </c>
      <c r="C336" s="449" t="s">
        <v>60</v>
      </c>
      <c r="D336" s="450" t="str">
        <f>Primaries!$B$66</f>
        <v>Revision Zero</v>
      </c>
      <c r="E336" s="561">
        <f>Primaries!$C$66</f>
        <v>247.5</v>
      </c>
      <c r="F336" s="533">
        <f>Primaries!$D$66</f>
        <v>215.5778894</v>
      </c>
      <c r="G336" s="473" t="str">
        <f>Primaries!$F$66</f>
        <v>inf</v>
      </c>
      <c r="H336" s="476">
        <f>Primaries!$G$66</f>
        <v>1716</v>
      </c>
      <c r="I336" s="455">
        <f>Primaries!$H$66</f>
        <v>52</v>
      </c>
      <c r="J336" s="566" t="str">
        <f>Primaries!$I$66</f>
        <v>inf</v>
      </c>
      <c r="K336" s="456">
        <f>Primaries!$J$66</f>
        <v>450</v>
      </c>
      <c r="L336" s="457">
        <f>Primaries!$K$66</f>
        <v>1.16</v>
      </c>
      <c r="M336" s="458" t="str">
        <f>Primaries!$L$66</f>
        <v>inf</v>
      </c>
      <c r="N336" s="494">
        <f>Primaries!$M$66</f>
        <v>17</v>
      </c>
      <c r="O336" s="518">
        <f>Primaries!$N$66</f>
        <v>33</v>
      </c>
      <c r="P336" s="117" t="s">
        <v>121</v>
      </c>
    </row>
    <row r="337">
      <c r="A337" s="449" t="s">
        <v>672</v>
      </c>
      <c r="B337" s="449" t="s">
        <v>701</v>
      </c>
      <c r="C337" s="449" t="s">
        <v>60</v>
      </c>
      <c r="D337" s="450" t="str">
        <f>Primaries!$B$67</f>
        <v>Revision Zero</v>
      </c>
      <c r="E337" s="726">
        <f>Primaries!$C$67</f>
        <v>345.6</v>
      </c>
      <c r="F337" s="663">
        <f>Primaries!$D$67</f>
        <v>287.4104401</v>
      </c>
      <c r="G337" s="473" t="str">
        <f>Primaries!$F$67</f>
        <v>inf</v>
      </c>
      <c r="H337" s="475">
        <f>Primaries!$G$67</f>
        <v>1664</v>
      </c>
      <c r="I337" s="455">
        <f>Primaries!$H$67</f>
        <v>26</v>
      </c>
      <c r="J337" s="566" t="str">
        <f>Primaries!$I$67</f>
        <v>inf</v>
      </c>
      <c r="K337" s="456">
        <f>Primaries!$J$67</f>
        <v>324</v>
      </c>
      <c r="L337" s="457">
        <f>Primaries!$K$67</f>
        <v>1.16</v>
      </c>
      <c r="M337" s="458" t="str">
        <f>Primaries!$L$67</f>
        <v>inf</v>
      </c>
      <c r="N337" s="561">
        <f>Primaries!$M$67</f>
        <v>35</v>
      </c>
      <c r="O337" s="555">
        <f>Primaries!$N$67</f>
        <v>64</v>
      </c>
      <c r="P337" s="117" t="s">
        <v>123</v>
      </c>
    </row>
    <row r="338">
      <c r="A338" s="449" t="s">
        <v>672</v>
      </c>
      <c r="B338" s="449" t="s">
        <v>701</v>
      </c>
      <c r="C338" s="449" t="s">
        <v>60</v>
      </c>
      <c r="D338" s="450" t="str">
        <f>Primaries!$B$68</f>
        <v>Revision Zero</v>
      </c>
      <c r="E338" s="472">
        <f>Primaries!$C$68</f>
        <v>657.4468085</v>
      </c>
      <c r="F338" s="744">
        <f>Primaries!$D$68</f>
        <v>657.4468085</v>
      </c>
      <c r="G338" s="473" t="str">
        <f>Primaries!$F$68</f>
        <v>inf</v>
      </c>
      <c r="H338" s="476">
        <f>Primaries!$G$68</f>
        <v>3366</v>
      </c>
      <c r="I338" s="455">
        <f>Primaries!$H$68</f>
        <v>102</v>
      </c>
      <c r="J338" s="566" t="str">
        <f>Primaries!$I$68</f>
        <v>inf</v>
      </c>
      <c r="K338" s="456">
        <f>Primaries!$J$68</f>
        <v>450</v>
      </c>
      <c r="L338" s="457">
        <f>Primaries!$K$68</f>
        <v>1.16</v>
      </c>
      <c r="M338" s="458" t="str">
        <f>Primaries!$L$68</f>
        <v>inf</v>
      </c>
      <c r="N338" s="494">
        <f>Primaries!$M$68</f>
        <v>17</v>
      </c>
      <c r="O338" s="518">
        <f>Primaries!$N$68</f>
        <v>33</v>
      </c>
      <c r="P338" s="517" t="s">
        <v>707</v>
      </c>
    </row>
    <row r="339">
      <c r="A339" s="449" t="s">
        <v>672</v>
      </c>
      <c r="B339" s="449" t="s">
        <v>701</v>
      </c>
      <c r="C339" s="449" t="s">
        <v>60</v>
      </c>
      <c r="D339" s="450" t="str">
        <f>Primaries!$B$69</f>
        <v>Revision Zero</v>
      </c>
      <c r="E339" s="647">
        <f>Primaries!$C$69</f>
        <v>647.9693269</v>
      </c>
      <c r="F339" s="695">
        <f>Primaries!$D$69</f>
        <v>647.9693269</v>
      </c>
      <c r="G339" s="473" t="str">
        <f>Primaries!$F$69</f>
        <v>inf</v>
      </c>
      <c r="H339" s="502">
        <f>Primaries!$G$69</f>
        <v>3200</v>
      </c>
      <c r="I339" s="455">
        <f>Primaries!$H$69</f>
        <v>50</v>
      </c>
      <c r="J339" s="566" t="str">
        <f>Primaries!$I$69</f>
        <v>inf</v>
      </c>
      <c r="K339" s="456">
        <f>Primaries!$J$69</f>
        <v>324</v>
      </c>
      <c r="L339" s="457">
        <f>Primaries!$K$69</f>
        <v>1.16</v>
      </c>
      <c r="M339" s="458" t="str">
        <f>Primaries!$L$69</f>
        <v>inf</v>
      </c>
      <c r="N339" s="561">
        <f>Primaries!$M$69</f>
        <v>35</v>
      </c>
      <c r="O339" s="555">
        <f>Primaries!$N$69</f>
        <v>64</v>
      </c>
      <c r="P339" s="495" t="s">
        <v>708</v>
      </c>
    </row>
    <row r="340">
      <c r="A340" s="449" t="s">
        <v>672</v>
      </c>
      <c r="B340" s="449" t="s">
        <v>701</v>
      </c>
      <c r="C340" s="449" t="s">
        <v>60</v>
      </c>
      <c r="D340" s="450" t="str">
        <f>Primaries!$B$52</f>
        <v>Vigilance Wing</v>
      </c>
      <c r="E340" s="542">
        <f>Primaries!$C$52</f>
        <v>309.1666667</v>
      </c>
      <c r="F340" s="491">
        <f>Primaries!$D$52</f>
        <v>260.9148194</v>
      </c>
      <c r="G340" s="473" t="str">
        <f>Primaries!$F$52</f>
        <v>inf</v>
      </c>
      <c r="H340" s="735">
        <f>Primaries!$G$52</f>
        <v>1750</v>
      </c>
      <c r="I340" s="455">
        <f>Primaries!$H$52</f>
        <v>50</v>
      </c>
      <c r="J340" s="566" t="str">
        <f>Primaries!$I$52</f>
        <v>inf</v>
      </c>
      <c r="K340" s="456">
        <f>Primaries!$J$52</f>
        <v>530</v>
      </c>
      <c r="L340" s="457">
        <f>Primaries!$K$52</f>
        <v>1.16</v>
      </c>
      <c r="M340" s="458" t="str">
        <f>Primaries!$L$52</f>
        <v>inf</v>
      </c>
      <c r="N340" s="494">
        <f>Primaries!$M$52</f>
        <v>22</v>
      </c>
      <c r="O340" s="518">
        <f>Primaries!$N$52</f>
        <v>35</v>
      </c>
      <c r="P340" s="467"/>
    </row>
    <row r="341">
      <c r="A341" s="449" t="s">
        <v>672</v>
      </c>
      <c r="B341" s="449" t="s">
        <v>709</v>
      </c>
      <c r="C341" s="449" t="s">
        <v>60</v>
      </c>
      <c r="D341" s="482" t="str">
        <f>Primaries!$B$76</f>
        <v>Aggressive</v>
      </c>
      <c r="E341" s="561">
        <f>Primaries!$C$76</f>
        <v>262</v>
      </c>
      <c r="F341" s="518">
        <f>Primaries!$D$76</f>
        <v>194.0740741</v>
      </c>
      <c r="G341" s="473" t="str">
        <f>Primaries!$F$76</f>
        <v>inf</v>
      </c>
      <c r="H341" s="505">
        <f>Primaries!$G$76</f>
        <v>2620</v>
      </c>
      <c r="I341" s="455">
        <f>Primaries!$H$76</f>
        <v>20</v>
      </c>
      <c r="J341" s="566" t="str">
        <f>Primaries!$I$76</f>
        <v>inf</v>
      </c>
      <c r="K341" s="456">
        <f>Primaries!$J$76</f>
        <v>120</v>
      </c>
      <c r="L341" s="457">
        <f>Primaries!$K$76</f>
        <v>0.38</v>
      </c>
      <c r="M341" s="458" t="str">
        <f>Primaries!$L$76</f>
        <v>inf</v>
      </c>
      <c r="N341" s="532">
        <f>Primaries!$M$76</f>
        <v>77</v>
      </c>
      <c r="O341" s="533">
        <f>Primaries!$N$76</f>
        <v>131</v>
      </c>
      <c r="P341" s="117"/>
    </row>
    <row r="342">
      <c r="A342" s="449" t="s">
        <v>672</v>
      </c>
      <c r="B342" s="449" t="s">
        <v>709</v>
      </c>
      <c r="C342" s="449" t="s">
        <v>60</v>
      </c>
      <c r="D342" s="450" t="str">
        <f>Primaries!$B$93</f>
        <v>Dead Man's Tale</v>
      </c>
      <c r="E342" s="496">
        <f>Primaries!$C$93</f>
        <v>316</v>
      </c>
      <c r="F342" s="761">
        <f>Primaries!$D$93</f>
        <v>243.6123348</v>
      </c>
      <c r="G342" s="473" t="str">
        <f>Primaries!$F$93</f>
        <v>inf</v>
      </c>
      <c r="H342" s="548">
        <f>Primaries!$G$93</f>
        <v>2212</v>
      </c>
      <c r="I342" s="455">
        <f>Primaries!$H$93</f>
        <v>14</v>
      </c>
      <c r="J342" s="566" t="str">
        <f>Primaries!$I$93</f>
        <v>inf</v>
      </c>
      <c r="K342" s="456">
        <f>Primaries!$J$93</f>
        <v>120</v>
      </c>
      <c r="L342" s="457">
        <f>Primaries!$K$93</f>
        <v>0.3333333333</v>
      </c>
      <c r="M342" s="458" t="str">
        <f>Primaries!$L$93</f>
        <v>inf</v>
      </c>
      <c r="N342" s="756">
        <f>Primaries!$M$93</f>
        <v>93</v>
      </c>
      <c r="O342" s="728">
        <f>Primaries!$N$93</f>
        <v>158</v>
      </c>
      <c r="P342" s="127" t="s">
        <v>150</v>
      </c>
    </row>
    <row r="343">
      <c r="A343" s="449" t="s">
        <v>672</v>
      </c>
      <c r="B343" s="449" t="s">
        <v>709</v>
      </c>
      <c r="C343" s="449" t="s">
        <v>60</v>
      </c>
      <c r="D343" s="450" t="str">
        <f>Primaries!$B$94</f>
        <v>Dead Man's Tale</v>
      </c>
      <c r="E343" s="496">
        <f>Primaries!$C$94</f>
        <v>532</v>
      </c>
      <c r="F343" s="761">
        <f>Primaries!$D$94</f>
        <v>518.9038551</v>
      </c>
      <c r="G343" s="473" t="str">
        <f>Primaries!$F$94</f>
        <v>inf</v>
      </c>
      <c r="H343" s="548">
        <f>Primaries!$G$94</f>
        <v>3192</v>
      </c>
      <c r="I343" s="455">
        <f>Primaries!$H$94</f>
        <v>14</v>
      </c>
      <c r="J343" s="566" t="str">
        <f>Primaries!$I$94</f>
        <v>inf</v>
      </c>
      <c r="K343" s="456">
        <f>Primaries!$J$94</f>
        <v>140</v>
      </c>
      <c r="L343" s="457">
        <f>Primaries!$K$94</f>
        <v>0.2866666667</v>
      </c>
      <c r="M343" s="458" t="str">
        <f>Primaries!$L$94</f>
        <v>inf</v>
      </c>
      <c r="N343" s="756">
        <f>Primaries!$M$94</f>
        <v>135</v>
      </c>
      <c r="O343" s="728">
        <f>Primaries!$N$94</f>
        <v>228</v>
      </c>
      <c r="P343" s="127" t="s">
        <v>710</v>
      </c>
    </row>
    <row r="344">
      <c r="A344" s="449" t="s">
        <v>672</v>
      </c>
      <c r="B344" s="449" t="s">
        <v>709</v>
      </c>
      <c r="C344" s="449" t="s">
        <v>60</v>
      </c>
      <c r="D344" s="450" t="str">
        <f>Primaries!$B$95</f>
        <v>Dead Man's Tale</v>
      </c>
      <c r="E344" s="496">
        <f>Primaries!$C$95</f>
        <v>532</v>
      </c>
      <c r="F344" s="761">
        <f>Primaries!$D$95</f>
        <v>506.43699</v>
      </c>
      <c r="G344" s="473" t="str">
        <f>Primaries!$F$95</f>
        <v>inf</v>
      </c>
      <c r="H344" s="548">
        <f>Primaries!$G$95</f>
        <v>1596</v>
      </c>
      <c r="I344" s="455">
        <f>Primaries!$H$95</f>
        <v>7</v>
      </c>
      <c r="J344" s="566" t="str">
        <f>Primaries!$I$95</f>
        <v>inf</v>
      </c>
      <c r="K344" s="456">
        <f>Primaries!$J$95</f>
        <v>140</v>
      </c>
      <c r="L344" s="457">
        <f>Primaries!$K$95</f>
        <v>0.2866666667</v>
      </c>
      <c r="M344" s="458" t="str">
        <f>Primaries!$L$95</f>
        <v>inf</v>
      </c>
      <c r="N344" s="756">
        <f>Primaries!$M$95</f>
        <v>135</v>
      </c>
      <c r="O344" s="728">
        <f>Primaries!$N$95</f>
        <v>228</v>
      </c>
      <c r="P344" s="127" t="s">
        <v>711</v>
      </c>
    </row>
    <row r="345">
      <c r="A345" s="449" t="s">
        <v>672</v>
      </c>
      <c r="B345" s="449" t="s">
        <v>709</v>
      </c>
      <c r="C345" s="449" t="s">
        <v>60</v>
      </c>
      <c r="D345" s="450" t="str">
        <f>Primaries!$B$96</f>
        <v>Dead Man's Tale</v>
      </c>
      <c r="E345" s="496">
        <f>Primaries!$C$96</f>
        <v>532</v>
      </c>
      <c r="F345" s="761">
        <f>Primaries!$D$96</f>
        <v>497.5712301</v>
      </c>
      <c r="G345" s="473" t="str">
        <f>Primaries!$F$96</f>
        <v>inf</v>
      </c>
      <c r="H345" s="548">
        <f>Primaries!$G$96</f>
        <v>3192</v>
      </c>
      <c r="I345" s="455">
        <f>Primaries!$H$96</f>
        <v>14</v>
      </c>
      <c r="J345" s="566" t="str">
        <f>Primaries!$I$96</f>
        <v>inf</v>
      </c>
      <c r="K345" s="456">
        <f>Primaries!$J$96</f>
        <v>140</v>
      </c>
      <c r="L345" s="457">
        <f>Primaries!$K$96</f>
        <v>0.2637333333</v>
      </c>
      <c r="M345" s="458" t="str">
        <f>Primaries!$L$96</f>
        <v>inf</v>
      </c>
      <c r="N345" s="756">
        <f>Primaries!$M$96</f>
        <v>135</v>
      </c>
      <c r="O345" s="728">
        <f>Primaries!$N$96</f>
        <v>228</v>
      </c>
      <c r="P345" s="127" t="s">
        <v>712</v>
      </c>
    </row>
    <row r="346">
      <c r="A346" s="449" t="s">
        <v>672</v>
      </c>
      <c r="B346" s="449" t="s">
        <v>709</v>
      </c>
      <c r="C346" s="449" t="s">
        <v>60</v>
      </c>
      <c r="D346" s="450" t="str">
        <f>Primaries!$B$97</f>
        <v>Dead Man's Tale</v>
      </c>
      <c r="E346" s="496">
        <f>Primaries!$C$97</f>
        <v>532</v>
      </c>
      <c r="F346" s="761">
        <f>Primaries!$D$97</f>
        <v>511.875</v>
      </c>
      <c r="G346" s="473" t="str">
        <f>Primaries!$F$97</f>
        <v>inf</v>
      </c>
      <c r="H346" s="548">
        <f>Primaries!$G$97</f>
        <v>5928</v>
      </c>
      <c r="I346" s="455">
        <f>Primaries!$H$97</f>
        <v>26</v>
      </c>
      <c r="J346" s="566" t="str">
        <f>Primaries!$I$97</f>
        <v>inf</v>
      </c>
      <c r="K346" s="456">
        <f>Primaries!$J$97</f>
        <v>140</v>
      </c>
      <c r="L346" s="457">
        <f>Primaries!$K$97</f>
        <v>0.2866666667</v>
      </c>
      <c r="M346" s="458" t="str">
        <f>Primaries!$L$97</f>
        <v>inf</v>
      </c>
      <c r="N346" s="756">
        <f>Primaries!$M$97</f>
        <v>135</v>
      </c>
      <c r="O346" s="728">
        <f>Primaries!$N$97</f>
        <v>228</v>
      </c>
      <c r="P346" s="127" t="s">
        <v>713</v>
      </c>
    </row>
    <row r="347">
      <c r="A347" s="449" t="s">
        <v>672</v>
      </c>
      <c r="B347" s="449" t="s">
        <v>709</v>
      </c>
      <c r="C347" s="449" t="s">
        <v>60</v>
      </c>
      <c r="D347" s="450" t="str">
        <f>Primaries!$B$98</f>
        <v>Dead Man's Tale</v>
      </c>
      <c r="E347" s="496">
        <f>Primaries!$C$98</f>
        <v>532</v>
      </c>
      <c r="F347" s="761">
        <f>Primaries!$D$98</f>
        <v>506.43699</v>
      </c>
      <c r="G347" s="473" t="str">
        <f>Primaries!$F$98</f>
        <v>inf</v>
      </c>
      <c r="H347" s="548">
        <f>Primaries!$G$98</f>
        <v>1596</v>
      </c>
      <c r="I347" s="455">
        <f>Primaries!$H$98</f>
        <v>7</v>
      </c>
      <c r="J347" s="566" t="str">
        <f>Primaries!$I$98</f>
        <v>inf</v>
      </c>
      <c r="K347" s="456">
        <f>Primaries!$J$98</f>
        <v>140</v>
      </c>
      <c r="L347" s="457">
        <f>Primaries!$K$98</f>
        <v>0.2866666667</v>
      </c>
      <c r="M347" s="458" t="str">
        <f>Primaries!$L$98</f>
        <v>inf</v>
      </c>
      <c r="N347" s="756">
        <f>Primaries!$M$98</f>
        <v>135</v>
      </c>
      <c r="O347" s="728">
        <f>Primaries!$N$98</f>
        <v>228</v>
      </c>
      <c r="P347" s="127" t="s">
        <v>714</v>
      </c>
    </row>
    <row r="348">
      <c r="A348" s="449" t="s">
        <v>672</v>
      </c>
      <c r="B348" s="449" t="s">
        <v>709</v>
      </c>
      <c r="C348" s="449" t="s">
        <v>60</v>
      </c>
      <c r="D348" s="482" t="str">
        <f>Primaries!$B$75</f>
        <v>High-Impact</v>
      </c>
      <c r="E348" s="490">
        <f>Primaries!$C$75</f>
        <v>230</v>
      </c>
      <c r="F348" s="749">
        <f>Primaries!$D$75</f>
        <v>208.1447964</v>
      </c>
      <c r="G348" s="473" t="str">
        <f>Primaries!$F$75</f>
        <v>inf</v>
      </c>
      <c r="H348" s="475">
        <f>Primaries!$G$75</f>
        <v>1840</v>
      </c>
      <c r="I348" s="455">
        <f>Primaries!$H$75</f>
        <v>20</v>
      </c>
      <c r="J348" s="566" t="str">
        <f>Primaries!$I$75</f>
        <v>inf</v>
      </c>
      <c r="K348" s="456">
        <f>Primaries!$J$75</f>
        <v>150</v>
      </c>
      <c r="L348" s="457">
        <f>Primaries!$K$75</f>
        <v>1.24</v>
      </c>
      <c r="M348" s="458" t="str">
        <f>Primaries!$L$75</f>
        <v>inf</v>
      </c>
      <c r="N348" s="490">
        <f>Primaries!$M$75</f>
        <v>46</v>
      </c>
      <c r="O348" s="533">
        <f>Primaries!$N$75</f>
        <v>92</v>
      </c>
      <c r="P348" s="117"/>
    </row>
    <row r="349">
      <c r="A349" s="449" t="s">
        <v>672</v>
      </c>
      <c r="B349" s="449" t="s">
        <v>709</v>
      </c>
      <c r="C349" s="449" t="s">
        <v>60</v>
      </c>
      <c r="D349" s="482" t="str">
        <f>Primaries!$B$73</f>
        <v>Lightweight</v>
      </c>
      <c r="E349" s="490">
        <f>Primaries!$C$73</f>
        <v>236.6666667</v>
      </c>
      <c r="F349" s="751">
        <f>Primaries!$D$73</f>
        <v>204.610951</v>
      </c>
      <c r="G349" s="473" t="str">
        <f>Primaries!$F$73</f>
        <v>inf</v>
      </c>
      <c r="H349" s="519">
        <f>Primaries!$G$73</f>
        <v>1420</v>
      </c>
      <c r="I349" s="455">
        <f>Primaries!$H$73</f>
        <v>20</v>
      </c>
      <c r="J349" s="566" t="str">
        <f>Primaries!$I$73</f>
        <v>inf</v>
      </c>
      <c r="K349" s="456">
        <f>Primaries!$J$73</f>
        <v>200</v>
      </c>
      <c r="L349" s="457">
        <f>Primaries!$K$73</f>
        <v>1.24</v>
      </c>
      <c r="M349" s="458" t="str">
        <f>Primaries!$L$73</f>
        <v>inf</v>
      </c>
      <c r="N349" s="561">
        <f>Primaries!$M$73</f>
        <v>42</v>
      </c>
      <c r="O349" s="555">
        <f>Primaries!$N$73</f>
        <v>71</v>
      </c>
      <c r="P349" s="467"/>
    </row>
    <row r="350">
      <c r="A350" s="449" t="s">
        <v>672</v>
      </c>
      <c r="B350" s="449" t="s">
        <v>709</v>
      </c>
      <c r="C350" s="449" t="s">
        <v>60</v>
      </c>
      <c r="D350" s="450" t="str">
        <f>Primaries!$B$89</f>
        <v>MIDA Multi-Tool</v>
      </c>
      <c r="E350" s="554">
        <f>Primaries!$C$89</f>
        <v>246.6666667</v>
      </c>
      <c r="F350" s="728">
        <f>Primaries!$D$89</f>
        <v>206.271777</v>
      </c>
      <c r="G350" s="473" t="str">
        <f>Primaries!$F$89</f>
        <v>inf</v>
      </c>
      <c r="H350" s="647">
        <f>Primaries!$G$89</f>
        <v>1184</v>
      </c>
      <c r="I350" s="455">
        <f>Primaries!$H$89</f>
        <v>16</v>
      </c>
      <c r="J350" s="566" t="str">
        <f>Primaries!$I$89</f>
        <v>inf</v>
      </c>
      <c r="K350" s="456">
        <f>Primaries!$J$89</f>
        <v>200</v>
      </c>
      <c r="L350" s="457">
        <f>Primaries!$K$89</f>
        <v>1.24</v>
      </c>
      <c r="M350" s="458" t="str">
        <f>Primaries!$L$89</f>
        <v>inf</v>
      </c>
      <c r="N350" s="561">
        <f>Primaries!$M$89</f>
        <v>44</v>
      </c>
      <c r="O350" s="750">
        <f>Primaries!$N$89</f>
        <v>74</v>
      </c>
      <c r="P350" s="467"/>
    </row>
    <row r="351">
      <c r="A351" s="449" t="s">
        <v>672</v>
      </c>
      <c r="B351" s="449" t="s">
        <v>709</v>
      </c>
      <c r="C351" s="449" t="s">
        <v>60</v>
      </c>
      <c r="D351" s="450" t="str">
        <f>Primaries!$B$90</f>
        <v>Third Iteration</v>
      </c>
      <c r="E351" s="554">
        <f>Primaries!$C$90</f>
        <v>376.6666667</v>
      </c>
      <c r="F351" s="728">
        <f>Primaries!$D$90</f>
        <v>228.5714286</v>
      </c>
      <c r="G351" s="473" t="str">
        <f>Primaries!$F$90</f>
        <v>inf</v>
      </c>
      <c r="H351" s="647">
        <f>Primaries!$G$90</f>
        <v>1808</v>
      </c>
      <c r="I351" s="455">
        <f>Primaries!$H$90</f>
        <v>16</v>
      </c>
      <c r="J351" s="566" t="str">
        <f>Primaries!$I$90</f>
        <v>inf</v>
      </c>
      <c r="K351" s="456">
        <f>Primaries!$J$90</f>
        <v>200</v>
      </c>
      <c r="L351" s="457">
        <f>Primaries!$K$90</f>
        <v>3.41</v>
      </c>
      <c r="M351" s="458" t="str">
        <f>Primaries!$L$90</f>
        <v>inf</v>
      </c>
      <c r="N351" s="561">
        <f>Primaries!$M$90</f>
        <v>67</v>
      </c>
      <c r="O351" s="750">
        <f>Primaries!$N$90</f>
        <v>113</v>
      </c>
      <c r="P351" s="127" t="str">
        <f>Primaries!$O$90</f>
        <v>Only base rounds</v>
      </c>
    </row>
    <row r="352">
      <c r="A352" s="449" t="s">
        <v>672</v>
      </c>
      <c r="B352" s="449" t="s">
        <v>709</v>
      </c>
      <c r="C352" s="449" t="s">
        <v>60</v>
      </c>
      <c r="D352" s="450" t="str">
        <f>Primaries!$B$91</f>
        <v>Third Iteration</v>
      </c>
      <c r="E352" s="554">
        <f>Primaries!$C$91</f>
        <v>733.3333333</v>
      </c>
      <c r="F352" s="728">
        <f>Primaries!$D$91</f>
        <v>445.0063211</v>
      </c>
      <c r="G352" s="473" t="str">
        <f>Primaries!$F$91</f>
        <v>inf</v>
      </c>
      <c r="H352" s="647">
        <f>Primaries!$G$91</f>
        <v>3520</v>
      </c>
      <c r="I352" s="455">
        <f>Primaries!$H$91</f>
        <v>16</v>
      </c>
      <c r="J352" s="566" t="str">
        <f>Primaries!$I$91</f>
        <v>inf</v>
      </c>
      <c r="K352" s="456">
        <f>Primaries!$J$91</f>
        <v>200</v>
      </c>
      <c r="L352" s="457">
        <f>Primaries!$K$91</f>
        <v>3.41</v>
      </c>
      <c r="M352" s="458" t="str">
        <f>Primaries!$L$91</f>
        <v>inf</v>
      </c>
      <c r="N352" s="561">
        <f>Primaries!$M$91</f>
        <v>131</v>
      </c>
      <c r="O352" s="750">
        <f>Primaries!$N$91</f>
        <v>220</v>
      </c>
      <c r="P352" s="127" t="str">
        <f>Primaries!$O$91</f>
        <v>Only base rounds, buffed by Amalgamation Rounds</v>
      </c>
    </row>
    <row r="353">
      <c r="A353" s="449" t="s">
        <v>672</v>
      </c>
      <c r="B353" s="449" t="s">
        <v>709</v>
      </c>
      <c r="C353" s="449" t="s">
        <v>60</v>
      </c>
      <c r="D353" s="450" t="str">
        <f>Primaries!$B$92</f>
        <v>Third Iteration</v>
      </c>
      <c r="E353" s="554">
        <f>Primaries!$C$92</f>
        <v>495.6521739</v>
      </c>
      <c r="F353" s="728">
        <f>Primaries!$D$92</f>
        <v>424.4917715</v>
      </c>
      <c r="G353" s="473" t="str">
        <f>Primaries!$F$92</f>
        <v>inf</v>
      </c>
      <c r="H353" s="647">
        <f>Primaries!$G$92</f>
        <v>9120</v>
      </c>
      <c r="I353" s="455">
        <f>Primaries!$H$92</f>
        <v>16</v>
      </c>
      <c r="J353" s="566" t="str">
        <f>Primaries!$I$92</f>
        <v>inf</v>
      </c>
      <c r="K353" s="456">
        <f>Primaries!$J$92</f>
        <v>52.17391304</v>
      </c>
      <c r="L353" s="457">
        <f>Primaries!$K$92</f>
        <v>3.41</v>
      </c>
      <c r="M353" s="458" t="str">
        <f>Primaries!$L$92</f>
        <v>inf</v>
      </c>
      <c r="N353" s="561">
        <f>Primaries!$M$92</f>
        <v>337</v>
      </c>
      <c r="O353" s="750">
        <f>Primaries!$N$92</f>
        <v>570</v>
      </c>
      <c r="P353" s="127" t="str">
        <f>Primaries!$O$92</f>
        <v>Only Amalgamation rounds, buffed by Amalgamation Rounds</v>
      </c>
    </row>
    <row r="354">
      <c r="A354" s="449" t="s">
        <v>672</v>
      </c>
      <c r="B354" s="449" t="s">
        <v>709</v>
      </c>
      <c r="C354" s="449" t="s">
        <v>60</v>
      </c>
      <c r="D354" s="450" t="str">
        <f>Primaries!$B$99</f>
        <v>Polaris Lance</v>
      </c>
      <c r="E354" s="645">
        <f>Primaries!$C$99</f>
        <v>435.6547619</v>
      </c>
      <c r="F354" s="466">
        <f>Primaries!$D$99</f>
        <v>435.6547619</v>
      </c>
      <c r="G354" s="473" t="str">
        <f>Primaries!$F$99</f>
        <v>inf</v>
      </c>
      <c r="H354" s="473" t="str">
        <f>Primaries!$G$99</f>
        <v>inf</v>
      </c>
      <c r="I354" s="455">
        <f>Primaries!$H$99</f>
        <v>14</v>
      </c>
      <c r="J354" s="566" t="str">
        <f>Primaries!$I$99</f>
        <v>inf</v>
      </c>
      <c r="K354" s="456">
        <f>Primaries!$J$99</f>
        <v>150</v>
      </c>
      <c r="L354" s="457">
        <f>Primaries!$K$99</f>
        <v>1.24</v>
      </c>
      <c r="M354" s="458" t="str">
        <f>Primaries!$L$99</f>
        <v>inf</v>
      </c>
      <c r="N354" s="490">
        <f>Primaries!$M$99</f>
        <v>49</v>
      </c>
      <c r="O354" s="533">
        <f>Primaries!$N$99</f>
        <v>97</v>
      </c>
      <c r="P354" s="95" t="s">
        <v>165</v>
      </c>
    </row>
    <row r="355">
      <c r="A355" s="449" t="s">
        <v>672</v>
      </c>
      <c r="B355" s="449" t="s">
        <v>709</v>
      </c>
      <c r="C355" s="449" t="s">
        <v>60</v>
      </c>
      <c r="D355" s="450" t="str">
        <f>Primaries!$B$100</f>
        <v>Polaris Lance</v>
      </c>
      <c r="E355" s="726">
        <f>Primaries!$C$100</f>
        <v>521.0714286</v>
      </c>
      <c r="F355" s="466">
        <f>Primaries!$D$100</f>
        <v>521.0714286</v>
      </c>
      <c r="G355" s="473" t="str">
        <f>Primaries!$F$100</f>
        <v>inf</v>
      </c>
      <c r="H355" s="473" t="str">
        <f>Primaries!$G$100</f>
        <v>inf</v>
      </c>
      <c r="I355" s="455">
        <f>Primaries!$H$100</f>
        <v>14</v>
      </c>
      <c r="J355" s="566" t="str">
        <f>Primaries!$I$100</f>
        <v>inf</v>
      </c>
      <c r="K355" s="456">
        <f>Primaries!$J$100</f>
        <v>150</v>
      </c>
      <c r="L355" s="457">
        <f>Primaries!$K$100</f>
        <v>1.24</v>
      </c>
      <c r="M355" s="458" t="str">
        <f>Primaries!$L$100</f>
        <v>inf</v>
      </c>
      <c r="N355" s="490">
        <f>Primaries!$M$100</f>
        <v>49</v>
      </c>
      <c r="O355" s="533">
        <f>Primaries!$N$100</f>
        <v>97</v>
      </c>
      <c r="P355" s="515" t="s">
        <v>715</v>
      </c>
    </row>
    <row r="356">
      <c r="A356" s="449" t="s">
        <v>672</v>
      </c>
      <c r="B356" s="449" t="s">
        <v>709</v>
      </c>
      <c r="C356" s="449" t="s">
        <v>60</v>
      </c>
      <c r="D356" s="482" t="str">
        <f>Primaries!$B$74</f>
        <v>Precision</v>
      </c>
      <c r="E356" s="490">
        <f>Primaries!$C$74</f>
        <v>228</v>
      </c>
      <c r="F356" s="728">
        <f>Primaries!$D$74</f>
        <v>200.7042254</v>
      </c>
      <c r="G356" s="473" t="str">
        <f>Primaries!$F$74</f>
        <v>inf</v>
      </c>
      <c r="H356" s="735">
        <f>Primaries!$G$74</f>
        <v>1520</v>
      </c>
      <c r="I356" s="455">
        <f>Primaries!$H$74</f>
        <v>20</v>
      </c>
      <c r="J356" s="566" t="str">
        <f>Primaries!$I$74</f>
        <v>inf</v>
      </c>
      <c r="K356" s="456">
        <f>Primaries!$J$74</f>
        <v>180</v>
      </c>
      <c r="L356" s="457">
        <f>Primaries!$K$74</f>
        <v>1.24</v>
      </c>
      <c r="M356" s="458" t="str">
        <f>Primaries!$L$74</f>
        <v>inf</v>
      </c>
      <c r="N356" s="490">
        <f>Primaries!$M$74</f>
        <v>42</v>
      </c>
      <c r="O356" s="750">
        <f>Primaries!$N$74</f>
        <v>76</v>
      </c>
      <c r="P356" s="117"/>
    </row>
    <row r="357">
      <c r="A357" s="449" t="s">
        <v>672</v>
      </c>
      <c r="B357" s="449" t="s">
        <v>709</v>
      </c>
      <c r="C357" s="449" t="s">
        <v>60</v>
      </c>
      <c r="D357" s="482" t="str">
        <f>Primaries!$B$72</f>
        <v>Rapid-Fire</v>
      </c>
      <c r="E357" s="532">
        <f>Primaries!$C$72</f>
        <v>260</v>
      </c>
      <c r="F357" s="720">
        <f>Primaries!$D$72</f>
        <v>223.1887376</v>
      </c>
      <c r="G357" s="473" t="str">
        <f>Primaries!$F$72</f>
        <v>inf</v>
      </c>
      <c r="H357" s="647">
        <f>Primaries!$G$72</f>
        <v>1200</v>
      </c>
      <c r="I357" s="455">
        <f>Primaries!$H$72</f>
        <v>20</v>
      </c>
      <c r="J357" s="566" t="str">
        <f>Primaries!$I$72</f>
        <v>inf</v>
      </c>
      <c r="K357" s="456">
        <f>Primaries!$J$72</f>
        <v>260</v>
      </c>
      <c r="L357" s="457">
        <f>Primaries!$K$72</f>
        <v>0.992</v>
      </c>
      <c r="M357" s="458" t="str">
        <f>Primaries!$L$72</f>
        <v>inf</v>
      </c>
      <c r="N357" s="561">
        <f>Primaries!$M$72</f>
        <v>31</v>
      </c>
      <c r="O357" s="562">
        <f>Primaries!$N$72</f>
        <v>60</v>
      </c>
      <c r="P357" s="467"/>
    </row>
    <row r="358">
      <c r="A358" s="449" t="s">
        <v>672</v>
      </c>
      <c r="B358" s="449" t="s">
        <v>709</v>
      </c>
      <c r="C358" s="449" t="s">
        <v>60</v>
      </c>
      <c r="D358" s="450" t="str">
        <f>Primaries!$B$103</f>
        <v>SkyBurner's Oath</v>
      </c>
      <c r="E358" s="554">
        <f>Primaries!$C$103</f>
        <v>287.5</v>
      </c>
      <c r="F358" s="720">
        <f>Primaries!$D$103</f>
        <v>260.1809955</v>
      </c>
      <c r="G358" s="473" t="str">
        <f>Primaries!$F$103</f>
        <v>inf</v>
      </c>
      <c r="H358" s="582">
        <f>Primaries!$G$103</f>
        <v>2300</v>
      </c>
      <c r="I358" s="455">
        <f>Primaries!$H$103</f>
        <v>20</v>
      </c>
      <c r="J358" s="566" t="str">
        <f>Primaries!$I$103</f>
        <v>inf</v>
      </c>
      <c r="K358" s="456">
        <f>Primaries!$J$103</f>
        <v>150</v>
      </c>
      <c r="L358" s="457">
        <f>Primaries!$K$103</f>
        <v>1.24</v>
      </c>
      <c r="M358" s="458" t="str">
        <f>Primaries!$L$103</f>
        <v>inf</v>
      </c>
      <c r="N358" s="554">
        <f>Primaries!$M$103</f>
        <v>62</v>
      </c>
      <c r="O358" s="533">
        <f>Primaries!$N$103</f>
        <v>115</v>
      </c>
      <c r="P358" s="467" t="s">
        <v>169</v>
      </c>
    </row>
    <row r="359">
      <c r="A359" s="449" t="s">
        <v>672</v>
      </c>
      <c r="B359" s="449" t="s">
        <v>709</v>
      </c>
      <c r="C359" s="449" t="s">
        <v>60</v>
      </c>
      <c r="D359" s="450" t="str">
        <f>Primaries!$B$101</f>
        <v>SkyBurner's Oath</v>
      </c>
      <c r="E359" s="762">
        <f>Primaries!$C$101</f>
        <v>405.1964286</v>
      </c>
      <c r="F359" s="746">
        <f>Primaries!$D$101</f>
        <v>365.1761229</v>
      </c>
      <c r="G359" s="473" t="str">
        <f>Primaries!$F$101</f>
        <v>inf</v>
      </c>
      <c r="H359" s="658">
        <f>Primaries!$G$101</f>
        <v>3063</v>
      </c>
      <c r="I359" s="455">
        <f>Primaries!$H$101</f>
        <v>20</v>
      </c>
      <c r="J359" s="566" t="str">
        <f>Primaries!$I$101</f>
        <v>inf</v>
      </c>
      <c r="K359" s="456">
        <f>Primaries!$J$101</f>
        <v>150</v>
      </c>
      <c r="L359" s="457">
        <f>Primaries!$K$101</f>
        <v>1.24</v>
      </c>
      <c r="M359" s="458" t="str">
        <f>Primaries!$L$101</f>
        <v>inf</v>
      </c>
      <c r="N359" s="554">
        <f>Primaries!$M$101</f>
        <v>62</v>
      </c>
      <c r="O359" s="533">
        <f>Primaries!$N$101</f>
        <v>116</v>
      </c>
      <c r="P359" s="117" t="s">
        <v>167</v>
      </c>
    </row>
    <row r="360">
      <c r="A360" s="449" t="s">
        <v>672</v>
      </c>
      <c r="B360" s="449" t="s">
        <v>709</v>
      </c>
      <c r="C360" s="449" t="s">
        <v>60</v>
      </c>
      <c r="D360" s="450" t="str">
        <f>Primaries!$B$102</f>
        <v>SkyBurner's Oath</v>
      </c>
      <c r="E360" s="474">
        <f>Primaries!$C$102</f>
        <v>498.0714286</v>
      </c>
      <c r="F360" s="737">
        <f>Primaries!$D$102</f>
        <v>445.5873783</v>
      </c>
      <c r="G360" s="473" t="str">
        <f>Primaries!$F$102</f>
        <v>inf</v>
      </c>
      <c r="H360" s="578">
        <f>Primaries!$G$102</f>
        <v>3806</v>
      </c>
      <c r="I360" s="455">
        <f>Primaries!$H$102</f>
        <v>20</v>
      </c>
      <c r="J360" s="566" t="str">
        <f>Primaries!$I$102</f>
        <v>inf</v>
      </c>
      <c r="K360" s="456">
        <f>Primaries!$J$102</f>
        <v>150</v>
      </c>
      <c r="L360" s="457">
        <f>Primaries!$K$102</f>
        <v>1.24</v>
      </c>
      <c r="M360" s="458" t="str">
        <f>Primaries!$L$102</f>
        <v>inf</v>
      </c>
      <c r="N360" s="554">
        <f>Primaries!$M$102</f>
        <v>62</v>
      </c>
      <c r="O360" s="533">
        <f>Primaries!$N$102</f>
        <v>116</v>
      </c>
      <c r="P360" s="517" t="s">
        <v>716</v>
      </c>
    </row>
    <row r="361">
      <c r="A361" s="449" t="s">
        <v>672</v>
      </c>
      <c r="B361" s="449" t="s">
        <v>709</v>
      </c>
      <c r="C361" s="449" t="s">
        <v>60</v>
      </c>
      <c r="D361" s="450" t="str">
        <f>Primaries!$B$77</f>
        <v>Symmetry</v>
      </c>
      <c r="E361" s="532">
        <f>Primaries!$C$77</f>
        <v>273</v>
      </c>
      <c r="F361" s="720">
        <f>Primaries!$D$77</f>
        <v>234.3481744</v>
      </c>
      <c r="G361" s="473" t="str">
        <f>Primaries!$F$77</f>
        <v>inf</v>
      </c>
      <c r="H361" s="647">
        <f>Primaries!$G$77</f>
        <v>1260</v>
      </c>
      <c r="I361" s="455">
        <f>Primaries!$H$77</f>
        <v>20</v>
      </c>
      <c r="J361" s="566" t="str">
        <f>Primaries!$I$77</f>
        <v>inf</v>
      </c>
      <c r="K361" s="456">
        <f>Primaries!$J$77</f>
        <v>260</v>
      </c>
      <c r="L361" s="457">
        <f>Primaries!$K$77</f>
        <v>0.992</v>
      </c>
      <c r="M361" s="458" t="str">
        <f>Primaries!$L$77</f>
        <v>inf</v>
      </c>
      <c r="N361" s="561">
        <f>Primaries!$M$77</f>
        <v>33</v>
      </c>
      <c r="O361" s="562">
        <f>Primaries!$N$77</f>
        <v>63</v>
      </c>
      <c r="P361" s="117"/>
    </row>
    <row r="362">
      <c r="A362" s="449" t="s">
        <v>672</v>
      </c>
      <c r="B362" s="449" t="s">
        <v>709</v>
      </c>
      <c r="C362" s="449" t="s">
        <v>60</v>
      </c>
      <c r="D362" s="450" t="str">
        <f>Primaries!$B$78</f>
        <v>Symmetry</v>
      </c>
      <c r="E362" s="532">
        <f>Primaries!$C$78</f>
        <v>70.61728395</v>
      </c>
      <c r="F362" s="720">
        <f>Primaries!$D$78</f>
        <v>70.61728395</v>
      </c>
      <c r="G362" s="473" t="str">
        <f>Primaries!$F$78</f>
        <v>inf</v>
      </c>
      <c r="H362" s="647" t="str">
        <f>Primaries!$G$78</f>
        <v>inf</v>
      </c>
      <c r="I362" s="455">
        <f>Primaries!$H$78</f>
        <v>20</v>
      </c>
      <c r="J362" s="566" t="str">
        <f>Primaries!$I$78</f>
        <v>inf</v>
      </c>
      <c r="K362" s="456">
        <f>Primaries!$J$78</f>
        <v>96.2962963</v>
      </c>
      <c r="L362" s="457">
        <f>Primaries!$K$78</f>
        <v>0.992</v>
      </c>
      <c r="M362" s="458" t="str">
        <f>Primaries!$L$78</f>
        <v>inf</v>
      </c>
      <c r="N362" s="561">
        <f>Primaries!$M$78</f>
        <v>44</v>
      </c>
      <c r="O362" s="562" t="str">
        <f>Primaries!$N$78</f>
        <v>N/A</v>
      </c>
      <c r="P362" s="127" t="s">
        <v>134</v>
      </c>
    </row>
    <row r="363">
      <c r="A363" s="449" t="s">
        <v>672</v>
      </c>
      <c r="B363" s="449" t="s">
        <v>709</v>
      </c>
      <c r="C363" s="449" t="s">
        <v>60</v>
      </c>
      <c r="D363" s="450" t="str">
        <f>Primaries!$B$79</f>
        <v>Symmetry</v>
      </c>
      <c r="E363" s="494">
        <f>Primaries!$C$79</f>
        <v>185.25</v>
      </c>
      <c r="F363" s="555">
        <f>Primaries!$D$79</f>
        <v>175.8034923</v>
      </c>
      <c r="G363" s="473" t="str">
        <f>Primaries!$F$79</f>
        <v>inf</v>
      </c>
      <c r="H363" s="697">
        <f>Primaries!$G$79</f>
        <v>3420</v>
      </c>
      <c r="I363" s="455">
        <f>Primaries!$H$79</f>
        <v>20</v>
      </c>
      <c r="J363" s="566" t="str">
        <f>Primaries!$I$79</f>
        <v>inf</v>
      </c>
      <c r="K363" s="456">
        <f>Primaries!$J$79</f>
        <v>260</v>
      </c>
      <c r="L363" s="457">
        <f>Primaries!$K$79</f>
        <v>0.992</v>
      </c>
      <c r="M363" s="458" t="str">
        <f>Primaries!$L$79</f>
        <v>inf</v>
      </c>
      <c r="N363" s="542">
        <f>Primaries!$M$79</f>
        <v>108</v>
      </c>
      <c r="O363" s="466" t="str">
        <f>Primaries!$N$79</f>
        <v>N/A</v>
      </c>
      <c r="P363" s="515" t="s">
        <v>717</v>
      </c>
    </row>
    <row r="364">
      <c r="A364" s="449" t="s">
        <v>672</v>
      </c>
      <c r="B364" s="449" t="s">
        <v>709</v>
      </c>
      <c r="C364" s="449" t="s">
        <v>60</v>
      </c>
      <c r="D364" s="450" t="str">
        <f>Primaries!$B$80</f>
        <v>Symmetry</v>
      </c>
      <c r="E364" s="532">
        <f>Primaries!$C$80</f>
        <v>265.6277056</v>
      </c>
      <c r="F364" s="722">
        <f>Primaries!$D$80</f>
        <v>251.5826418</v>
      </c>
      <c r="G364" s="473" t="str">
        <f>Primaries!$F$80</f>
        <v>inf</v>
      </c>
      <c r="H364" s="479">
        <f>Primaries!$G$80</f>
        <v>4720</v>
      </c>
      <c r="I364" s="455">
        <f>Primaries!$H$80</f>
        <v>20</v>
      </c>
      <c r="J364" s="566" t="str">
        <f>Primaries!$I$80</f>
        <v>inf</v>
      </c>
      <c r="K364" s="456">
        <f>Primaries!$J$80</f>
        <v>260</v>
      </c>
      <c r="L364" s="457">
        <f>Primaries!$K$80</f>
        <v>0.992</v>
      </c>
      <c r="M364" s="458" t="str">
        <f>Primaries!$L$80</f>
        <v>inf</v>
      </c>
      <c r="N364" s="726">
        <f>Primaries!$M$80</f>
        <v>173</v>
      </c>
      <c r="O364" s="466" t="str">
        <f>Primaries!$N$80</f>
        <v>N/A</v>
      </c>
      <c r="P364" s="515" t="s">
        <v>718</v>
      </c>
    </row>
    <row r="365">
      <c r="A365" s="449" t="s">
        <v>672</v>
      </c>
      <c r="B365" s="449" t="s">
        <v>709</v>
      </c>
      <c r="C365" s="449" t="s">
        <v>60</v>
      </c>
      <c r="D365" s="450" t="str">
        <f>Primaries!$B$81</f>
        <v>Symmetry</v>
      </c>
      <c r="E365" s="532">
        <f>Primaries!$C$81</f>
        <v>338.7878788</v>
      </c>
      <c r="F365" s="722">
        <f>Primaries!$D$81</f>
        <v>320.8744711</v>
      </c>
      <c r="G365" s="473" t="str">
        <f>Primaries!$F$81</f>
        <v>inf</v>
      </c>
      <c r="H365" s="479">
        <f>Primaries!$G$81</f>
        <v>6020</v>
      </c>
      <c r="I365" s="455">
        <f>Primaries!$H$81</f>
        <v>20</v>
      </c>
      <c r="J365" s="566" t="str">
        <f>Primaries!$I$81</f>
        <v>inf</v>
      </c>
      <c r="K365" s="456">
        <f>Primaries!$J$81</f>
        <v>260</v>
      </c>
      <c r="L365" s="457">
        <f>Primaries!$K$81</f>
        <v>0.992</v>
      </c>
      <c r="M365" s="458" t="str">
        <f>Primaries!$L$81</f>
        <v>inf</v>
      </c>
      <c r="N365" s="726">
        <f>Primaries!$M$81</f>
        <v>238</v>
      </c>
      <c r="O365" s="466" t="str">
        <f>Primaries!$N$81</f>
        <v>N/A</v>
      </c>
      <c r="P365" s="515" t="s">
        <v>719</v>
      </c>
    </row>
    <row r="366">
      <c r="A366" s="449" t="s">
        <v>672</v>
      </c>
      <c r="B366" s="449" t="s">
        <v>709</v>
      </c>
      <c r="C366" s="449" t="s">
        <v>60</v>
      </c>
      <c r="D366" s="450" t="str">
        <f>Primaries!$B$82</f>
        <v>Symmetry</v>
      </c>
      <c r="E366" s="520">
        <f>Primaries!$C$82</f>
        <v>418.9845475</v>
      </c>
      <c r="F366" s="646">
        <f>Primaries!$D$82</f>
        <v>396.4143093</v>
      </c>
      <c r="G366" s="473" t="str">
        <f>Primaries!$F$82</f>
        <v>inf</v>
      </c>
      <c r="H366" s="573">
        <f>Primaries!$G$82</f>
        <v>7300</v>
      </c>
      <c r="I366" s="455">
        <f>Primaries!$H$82</f>
        <v>20</v>
      </c>
      <c r="J366" s="566" t="str">
        <f>Primaries!$I$82</f>
        <v>inf</v>
      </c>
      <c r="K366" s="456">
        <f>Primaries!$J$82</f>
        <v>260</v>
      </c>
      <c r="L366" s="457">
        <f>Primaries!$K$82</f>
        <v>0.992</v>
      </c>
      <c r="M366" s="458" t="str">
        <f>Primaries!$L$82</f>
        <v>inf</v>
      </c>
      <c r="N366" s="721">
        <f>Primaries!$M$82</f>
        <v>302</v>
      </c>
      <c r="O366" s="466" t="str">
        <f>Primaries!$N$82</f>
        <v>N/A</v>
      </c>
      <c r="P366" s="515" t="s">
        <v>720</v>
      </c>
    </row>
    <row r="367">
      <c r="A367" s="449" t="s">
        <v>672</v>
      </c>
      <c r="B367" s="449" t="s">
        <v>709</v>
      </c>
      <c r="C367" s="449" t="s">
        <v>60</v>
      </c>
      <c r="D367" s="450" t="str">
        <f>Primaries!$B$104</f>
        <v>The Jade Rabbit</v>
      </c>
      <c r="E367" s="554">
        <f>Primaries!$C$104</f>
        <v>242.5</v>
      </c>
      <c r="F367" s="466">
        <f>Primaries!$D$104</f>
        <v>242.5</v>
      </c>
      <c r="G367" s="473" t="str">
        <f>Primaries!$F$104</f>
        <v>inf</v>
      </c>
      <c r="H367" s="473" t="str">
        <f>Primaries!$G$104</f>
        <v>inf</v>
      </c>
      <c r="I367" s="455">
        <f>Primaries!$H$104</f>
        <v>10</v>
      </c>
      <c r="J367" s="566" t="str">
        <f>Primaries!$I$104</f>
        <v>inf</v>
      </c>
      <c r="K367" s="456">
        <f>Primaries!$J$104</f>
        <v>150</v>
      </c>
      <c r="L367" s="457">
        <f>Primaries!$K$104</f>
        <v>1.24</v>
      </c>
      <c r="M367" s="458" t="str">
        <f>Primaries!$L$104</f>
        <v>inf</v>
      </c>
      <c r="N367" s="490">
        <f>Primaries!$M$104</f>
        <v>49</v>
      </c>
      <c r="O367" s="533">
        <f>Primaries!$N$104</f>
        <v>97</v>
      </c>
      <c r="P367" s="467" t="s">
        <v>721</v>
      </c>
    </row>
    <row r="368">
      <c r="A368" s="449" t="s">
        <v>672</v>
      </c>
      <c r="B368" s="449" t="s">
        <v>709</v>
      </c>
      <c r="C368" s="449" t="s">
        <v>60</v>
      </c>
      <c r="D368" s="450" t="str">
        <f>Primaries!$B$83</f>
        <v>Touch of Malice</v>
      </c>
      <c r="E368" s="735">
        <f>Primaries!$C$83</f>
        <v>598</v>
      </c>
      <c r="F368" s="466">
        <f>Primaries!$D$83</f>
        <v>598</v>
      </c>
      <c r="G368" s="473" t="str">
        <f>Primaries!$F$83</f>
        <v>inf</v>
      </c>
      <c r="H368" s="735" t="str">
        <f>Primaries!$G$83</f>
        <v>inf</v>
      </c>
      <c r="I368" s="455">
        <f>Primaries!$H$83</f>
        <v>11</v>
      </c>
      <c r="J368" s="566" t="str">
        <f>Primaries!$I$83</f>
        <v>inf</v>
      </c>
      <c r="K368" s="456">
        <f>Primaries!$J$83</f>
        <v>260</v>
      </c>
      <c r="L368" s="457">
        <f>Primaries!$K$83</f>
        <v>1.24</v>
      </c>
      <c r="M368" s="458" t="str">
        <f>Primaries!$L$83</f>
        <v>inf</v>
      </c>
      <c r="N368" s="542">
        <f>Primaries!$M$83</f>
        <v>71</v>
      </c>
      <c r="O368" s="751">
        <f>Primaries!$N$83</f>
        <v>138</v>
      </c>
      <c r="P368" s="467" t="s">
        <v>722</v>
      </c>
    </row>
    <row r="369">
      <c r="A369" s="449" t="s">
        <v>672</v>
      </c>
      <c r="B369" s="449" t="s">
        <v>709</v>
      </c>
      <c r="C369" s="449" t="s">
        <v>60</v>
      </c>
      <c r="D369" s="450" t="str">
        <f>Primaries!$B$84</f>
        <v>Touch of Malice</v>
      </c>
      <c r="E369" s="475">
        <f>Primaries!$C$84</f>
        <v>672.6175905</v>
      </c>
      <c r="F369" s="466">
        <f>Primaries!$D$84</f>
        <v>672.6175905</v>
      </c>
      <c r="G369" s="473" t="str">
        <f>Primaries!$F$84</f>
        <v>inf</v>
      </c>
      <c r="H369" s="454" t="str">
        <f>Primaries!$G$84</f>
        <v>inf</v>
      </c>
      <c r="I369" s="455">
        <f>Primaries!$H$84</f>
        <v>11</v>
      </c>
      <c r="J369" s="566" t="str">
        <f>Primaries!$I$84</f>
        <v>inf</v>
      </c>
      <c r="K369" s="456">
        <f>Primaries!$J$84</f>
        <v>260</v>
      </c>
      <c r="L369" s="457">
        <f>Primaries!$K$84</f>
        <v>1.24</v>
      </c>
      <c r="M369" s="458" t="str">
        <f>Primaries!$L$84</f>
        <v>inf</v>
      </c>
      <c r="N369" s="645">
        <f>Primaries!$M$84</f>
        <v>106.5</v>
      </c>
      <c r="O369" s="763">
        <f>Primaries!$N$84</f>
        <v>207</v>
      </c>
      <c r="P369" s="95" t="s">
        <v>144</v>
      </c>
    </row>
    <row r="370">
      <c r="A370" s="449" t="s">
        <v>672</v>
      </c>
      <c r="B370" s="449" t="s">
        <v>709</v>
      </c>
      <c r="C370" s="449" t="s">
        <v>60</v>
      </c>
      <c r="D370" s="450" t="str">
        <f>Primaries!$B$85</f>
        <v>Wicked Implement</v>
      </c>
      <c r="E370" s="762">
        <f>Primaries!$C$85</f>
        <v>421.2433333</v>
      </c>
      <c r="F370" s="757">
        <f>Primaries!$D$85</f>
        <v>326.7778993</v>
      </c>
      <c r="G370" s="473" t="str">
        <f>Primaries!$F$85</f>
        <v>inf</v>
      </c>
      <c r="H370" s="476">
        <f>Primaries!$G$85</f>
        <v>1838</v>
      </c>
      <c r="I370" s="455">
        <f>Primaries!$H$85</f>
        <v>20</v>
      </c>
      <c r="J370" s="566" t="str">
        <f>Primaries!$I$85</f>
        <v>inf</v>
      </c>
      <c r="K370" s="456">
        <f>Primaries!$J$85</f>
        <v>260</v>
      </c>
      <c r="L370" s="457">
        <f>Primaries!$K$85</f>
        <v>1.24</v>
      </c>
      <c r="M370" s="458" t="str">
        <f>Primaries!$L$85</f>
        <v>inf</v>
      </c>
      <c r="N370" s="490">
        <f>Primaries!$M$85</f>
        <v>33</v>
      </c>
      <c r="O370" s="750">
        <f>Primaries!$N$85</f>
        <v>63</v>
      </c>
      <c r="P370" s="127" t="s">
        <v>146</v>
      </c>
    </row>
    <row r="371">
      <c r="A371" s="449" t="s">
        <v>672</v>
      </c>
      <c r="B371" s="449" t="s">
        <v>709</v>
      </c>
      <c r="C371" s="449" t="s">
        <v>60</v>
      </c>
      <c r="D371" s="450" t="str">
        <f>Primaries!$B$86</f>
        <v>Wicked Implement</v>
      </c>
      <c r="E371" s="474">
        <f>Primaries!$C$86</f>
        <v>526.5541667</v>
      </c>
      <c r="F371" s="761">
        <f>Primaries!$D$86</f>
        <v>365.1805252</v>
      </c>
      <c r="G371" s="473" t="str">
        <f>Primaries!$F$86</f>
        <v>inf</v>
      </c>
      <c r="H371" s="475">
        <f>Primaries!$G$86</f>
        <v>2054</v>
      </c>
      <c r="I371" s="455">
        <f>Primaries!$H$86</f>
        <v>20</v>
      </c>
      <c r="J371" s="566" t="str">
        <f>Primaries!$I$86</f>
        <v>inf</v>
      </c>
      <c r="K371" s="456">
        <f>Primaries!$J$86</f>
        <v>260</v>
      </c>
      <c r="L371" s="457">
        <f>Primaries!$K$86</f>
        <v>1.24</v>
      </c>
      <c r="M371" s="458" t="str">
        <f>Primaries!$L$86</f>
        <v>inf</v>
      </c>
      <c r="N371" s="490">
        <f>Primaries!$M$86</f>
        <v>33</v>
      </c>
      <c r="O371" s="750">
        <f>Primaries!$N$86</f>
        <v>63</v>
      </c>
      <c r="P371" s="515" t="s">
        <v>723</v>
      </c>
    </row>
    <row r="372">
      <c r="A372" s="449" t="s">
        <v>672</v>
      </c>
      <c r="B372" s="449" t="s">
        <v>709</v>
      </c>
      <c r="C372" s="449" t="s">
        <v>60</v>
      </c>
      <c r="D372" s="450" t="str">
        <f>Primaries!$B$87</f>
        <v>Wicked Implement</v>
      </c>
      <c r="E372" s="762">
        <f>Primaries!$C$87</f>
        <v>664.0833333</v>
      </c>
      <c r="F372" s="757">
        <f>Primaries!$D$87</f>
        <v>544.9261488</v>
      </c>
      <c r="G372" s="473" t="str">
        <f>Primaries!$F$87</f>
        <v>inf</v>
      </c>
      <c r="H372" s="476">
        <f>Primaries!$G$87</f>
        <v>3065</v>
      </c>
      <c r="I372" s="455">
        <f>Primaries!$H$87</f>
        <v>20</v>
      </c>
      <c r="J372" s="566" t="str">
        <f>Primaries!$I$87</f>
        <v>inf</v>
      </c>
      <c r="K372" s="456">
        <f>Primaries!$J$87</f>
        <v>260</v>
      </c>
      <c r="L372" s="457">
        <f>Primaries!$K$87</f>
        <v>1.24</v>
      </c>
      <c r="M372" s="458" t="str">
        <f>Primaries!$L$87</f>
        <v>inf</v>
      </c>
      <c r="N372" s="490">
        <f>Primaries!$M$87</f>
        <v>33</v>
      </c>
      <c r="O372" s="750">
        <f>Primaries!$N$87</f>
        <v>63</v>
      </c>
      <c r="P372" s="127" t="s">
        <v>148</v>
      </c>
    </row>
    <row r="373">
      <c r="A373" s="449" t="s">
        <v>672</v>
      </c>
      <c r="B373" s="449" t="s">
        <v>709</v>
      </c>
      <c r="C373" s="449" t="s">
        <v>60</v>
      </c>
      <c r="D373" s="450" t="str">
        <f>Primaries!$B$88</f>
        <v>Wicked Implement</v>
      </c>
      <c r="E373" s="474">
        <f>Primaries!$C$88</f>
        <v>664.0833333</v>
      </c>
      <c r="F373" s="761">
        <f>Primaries!$D$88</f>
        <v>544.9261488</v>
      </c>
      <c r="G373" s="473" t="str">
        <f>Primaries!$F$88</f>
        <v>inf</v>
      </c>
      <c r="H373" s="475">
        <f>Primaries!$G$88</f>
        <v>3065</v>
      </c>
      <c r="I373" s="455">
        <f>Primaries!$H$88</f>
        <v>20</v>
      </c>
      <c r="J373" s="566" t="str">
        <f>Primaries!$I$88</f>
        <v>inf</v>
      </c>
      <c r="K373" s="456">
        <f>Primaries!$J$88</f>
        <v>260</v>
      </c>
      <c r="L373" s="457">
        <f>Primaries!$K$88</f>
        <v>1.24</v>
      </c>
      <c r="M373" s="458" t="str">
        <f>Primaries!$L$88</f>
        <v>inf</v>
      </c>
      <c r="N373" s="490">
        <f>Primaries!$M$88</f>
        <v>33</v>
      </c>
      <c r="O373" s="750">
        <f>Primaries!$N$88</f>
        <v>63</v>
      </c>
      <c r="P373" s="515" t="s">
        <v>724</v>
      </c>
    </row>
    <row r="374">
      <c r="A374" s="449" t="s">
        <v>672</v>
      </c>
      <c r="B374" s="449" t="s">
        <v>725</v>
      </c>
      <c r="C374" s="449" t="s">
        <v>60</v>
      </c>
      <c r="D374" s="482" t="str">
        <f>Primaries!$B$129</f>
        <v>Adaptive Burst</v>
      </c>
      <c r="E374" s="726">
        <f>Primaries!$C$129</f>
        <v>400.9833333</v>
      </c>
      <c r="F374" s="740">
        <f>Primaries!$D$129</f>
        <v>340.7181368</v>
      </c>
      <c r="G374" s="473" t="str">
        <f>Primaries!$F$129</f>
        <v>inf</v>
      </c>
      <c r="H374" s="505">
        <f>Primaries!$G$129</f>
        <v>2058</v>
      </c>
      <c r="I374" s="455">
        <f>Primaries!$H$129</f>
        <v>42</v>
      </c>
      <c r="J374" s="566" t="str">
        <f>Primaries!$I$129</f>
        <v>inf</v>
      </c>
      <c r="K374" s="456">
        <f>Primaries!$J$129</f>
        <v>491</v>
      </c>
      <c r="L374" s="457">
        <f>Primaries!$K$129</f>
        <v>1.03</v>
      </c>
      <c r="M374" s="458" t="str">
        <f>Primaries!$L$129</f>
        <v>inf</v>
      </c>
      <c r="N374" s="494">
        <f>Primaries!$M$129</f>
        <v>26</v>
      </c>
      <c r="O374" s="562">
        <f>Primaries!$N$129</f>
        <v>49</v>
      </c>
      <c r="P374" s="467"/>
    </row>
    <row r="375">
      <c r="A375" s="449" t="s">
        <v>672</v>
      </c>
      <c r="B375" s="449" t="s">
        <v>725</v>
      </c>
      <c r="C375" s="449" t="s">
        <v>60</v>
      </c>
      <c r="D375" s="482" t="str">
        <f>Primaries!$B$131</f>
        <v>Heavy Burst</v>
      </c>
      <c r="E375" s="645">
        <f>Primaries!$C$131</f>
        <v>352.0833333</v>
      </c>
      <c r="F375" s="652">
        <f>Primaries!$D$131</f>
        <v>312.3523976</v>
      </c>
      <c r="G375" s="473" t="str">
        <f>Primaries!$F$131</f>
        <v>inf</v>
      </c>
      <c r="H375" s="454">
        <f>Primaries!$G$131</f>
        <v>2340</v>
      </c>
      <c r="I375" s="455">
        <f>Primaries!$H$131</f>
        <v>36</v>
      </c>
      <c r="J375" s="566" t="str">
        <f>Primaries!$I$131</f>
        <v>inf</v>
      </c>
      <c r="K375" s="456">
        <f>Primaries!$J$131</f>
        <v>325</v>
      </c>
      <c r="L375" s="457">
        <f>Primaries!$K$131</f>
        <v>1.03</v>
      </c>
      <c r="M375" s="458" t="str">
        <f>Primaries!$L$131</f>
        <v>inf</v>
      </c>
      <c r="N375" s="490">
        <f>Primaries!$M$131</f>
        <v>41</v>
      </c>
      <c r="O375" s="555">
        <f>Primaries!$N$131</f>
        <v>65</v>
      </c>
      <c r="P375" s="117"/>
    </row>
    <row r="376">
      <c r="A376" s="449" t="s">
        <v>672</v>
      </c>
      <c r="B376" s="449" t="s">
        <v>725</v>
      </c>
      <c r="C376" s="449" t="s">
        <v>60</v>
      </c>
      <c r="D376" s="450" t="str">
        <f>Primaries!$B$151</f>
        <v>Cryosthesia 77k</v>
      </c>
      <c r="E376" s="762">
        <f>Primaries!$C$151</f>
        <v>381.3333333</v>
      </c>
      <c r="F376" s="764">
        <f>Primaries!$D$151</f>
        <v>295.9258461</v>
      </c>
      <c r="G376" s="473" t="str">
        <f>Primaries!$F$151</f>
        <v>inf</v>
      </c>
      <c r="H376" s="472">
        <f>Primaries!$G$151</f>
        <v>1056</v>
      </c>
      <c r="I376" s="455">
        <f>Primaries!$H$151</f>
        <v>12</v>
      </c>
      <c r="J376" s="566" t="str">
        <f>Primaries!$I$151</f>
        <v>inf</v>
      </c>
      <c r="K376" s="456">
        <f>Primaries!$J$151</f>
        <v>260</v>
      </c>
      <c r="L376" s="457">
        <f>Primaries!$K$151</f>
        <v>1.03</v>
      </c>
      <c r="M376" s="458" t="str">
        <f>Primaries!$L$151</f>
        <v>inf</v>
      </c>
      <c r="N376" s="554">
        <f>Primaries!$M$151</f>
        <v>55</v>
      </c>
      <c r="O376" s="533">
        <f>Primaries!$N$151</f>
        <v>88</v>
      </c>
      <c r="P376" s="467" t="s">
        <v>219</v>
      </c>
    </row>
    <row r="377">
      <c r="A377" s="449" t="s">
        <v>672</v>
      </c>
      <c r="B377" s="449" t="s">
        <v>725</v>
      </c>
      <c r="C377" s="449" t="s">
        <v>60</v>
      </c>
      <c r="D377" s="450" t="str">
        <f>Primaries!$B$143</f>
        <v>Devil's Ruin</v>
      </c>
      <c r="E377" s="726">
        <f>Primaries!$C$143</f>
        <v>395</v>
      </c>
      <c r="F377" s="652">
        <f>Primaries!$D$143</f>
        <v>327.1221532</v>
      </c>
      <c r="G377" s="473" t="str">
        <f>Primaries!$F$143</f>
        <v>inf</v>
      </c>
      <c r="H377" s="647">
        <f>Primaries!$G$143</f>
        <v>1580</v>
      </c>
      <c r="I377" s="455">
        <f>Primaries!$H$143</f>
        <v>20</v>
      </c>
      <c r="J377" s="566" t="str">
        <f>Primaries!$I$143</f>
        <v>inf</v>
      </c>
      <c r="K377" s="456">
        <f>Primaries!$J$143</f>
        <v>300</v>
      </c>
      <c r="L377" s="457">
        <f>Primaries!$K$143</f>
        <v>1.03</v>
      </c>
      <c r="M377" s="458" t="str">
        <f>Primaries!$L$143</f>
        <v>inf</v>
      </c>
      <c r="N377" s="490">
        <f>Primaries!$M$143</f>
        <v>50</v>
      </c>
      <c r="O377" s="750">
        <f>Primaries!$N$143</f>
        <v>79</v>
      </c>
      <c r="P377" s="117"/>
    </row>
    <row r="378">
      <c r="A378" s="449" t="s">
        <v>672</v>
      </c>
      <c r="B378" s="449" t="s">
        <v>725</v>
      </c>
      <c r="C378" s="449" t="s">
        <v>60</v>
      </c>
      <c r="D378" s="450" t="str">
        <f>Primaries!$B$144</f>
        <v>Devil's Ruin</v>
      </c>
      <c r="E378" s="508">
        <f>Primaries!$C$144</f>
        <v>2251.071429</v>
      </c>
      <c r="F378" s="739" t="str">
        <f>Primaries!$D$144</f>
        <v>N/A</v>
      </c>
      <c r="G378" s="473" t="str">
        <f>Primaries!$F$144</f>
        <v>inf</v>
      </c>
      <c r="H378" s="586">
        <f>Primaries!$G$144</f>
        <v>2101</v>
      </c>
      <c r="I378" s="455">
        <f>Primaries!$H$144</f>
        <v>14</v>
      </c>
      <c r="J378" s="566" t="str">
        <f>Primaries!$I$144</f>
        <v>inf</v>
      </c>
      <c r="K378" s="456">
        <f>Primaries!$J$144</f>
        <v>900</v>
      </c>
      <c r="L378" s="457">
        <f>Primaries!$K$144</f>
        <v>1.03</v>
      </c>
      <c r="M378" s="458" t="str">
        <f>Primaries!$L$144</f>
        <v>inf</v>
      </c>
      <c r="N378" s="554">
        <f>Primaries!$M$144</f>
        <v>60</v>
      </c>
      <c r="O378" s="533">
        <f>Primaries!$N$144</f>
        <v>97</v>
      </c>
      <c r="P378" s="127" t="s">
        <v>726</v>
      </c>
    </row>
    <row r="379">
      <c r="A379" s="449" t="s">
        <v>672</v>
      </c>
      <c r="B379" s="449" t="s">
        <v>725</v>
      </c>
      <c r="C379" s="449" t="s">
        <v>60</v>
      </c>
      <c r="D379" s="450" t="str">
        <f>Primaries!$B$137</f>
        <v>Final Warning</v>
      </c>
      <c r="E379" s="474">
        <f>Primaries!$C$137</f>
        <v>375.1595745</v>
      </c>
      <c r="F379" s="765">
        <f>Primaries!$D$137</f>
        <v>467.9156479</v>
      </c>
      <c r="G379" s="473" t="str">
        <f>Primaries!$F$137</f>
        <v>inf</v>
      </c>
      <c r="H379" s="613">
        <f>Primaries!$G$137</f>
        <v>2020</v>
      </c>
      <c r="I379" s="455">
        <f>Primaries!$H$137</f>
        <v>20</v>
      </c>
      <c r="J379" s="566" t="str">
        <f>Primaries!$I$137</f>
        <v>inf</v>
      </c>
      <c r="K379" s="456">
        <f>Primaries!$J$137</f>
        <v>450</v>
      </c>
      <c r="L379" s="457">
        <f>Primaries!$K$137</f>
        <v>1.12</v>
      </c>
      <c r="M379" s="458" t="str">
        <f>Primaries!$L$137</f>
        <v>inf</v>
      </c>
      <c r="N379" s="542">
        <f>Primaries!$M$137</f>
        <v>87</v>
      </c>
      <c r="O379" s="538">
        <f>Primaries!$N$137</f>
        <v>101</v>
      </c>
      <c r="P379" s="127" t="s">
        <v>727</v>
      </c>
    </row>
    <row r="380">
      <c r="A380" s="449" t="s">
        <v>672</v>
      </c>
      <c r="B380" s="449" t="s">
        <v>725</v>
      </c>
      <c r="C380" s="449" t="s">
        <v>60</v>
      </c>
      <c r="D380" s="450" t="str">
        <f>Primaries!$B$136</f>
        <v>Final Warning</v>
      </c>
      <c r="E380" s="534">
        <f>Primaries!$C$136</f>
        <v>825</v>
      </c>
      <c r="F380" s="597">
        <f>Primaries!$D$136</f>
        <v>602.189781</v>
      </c>
      <c r="G380" s="473" t="str">
        <f>Primaries!$F$136</f>
        <v>inf</v>
      </c>
      <c r="H380" s="613">
        <f>Primaries!$G$136</f>
        <v>2200</v>
      </c>
      <c r="I380" s="455">
        <f>Primaries!$H$136</f>
        <v>20</v>
      </c>
      <c r="J380" s="566" t="str">
        <f>Primaries!$I$136</f>
        <v>inf</v>
      </c>
      <c r="K380" s="456">
        <f>Primaries!$J$136</f>
        <v>450</v>
      </c>
      <c r="L380" s="457">
        <f>Primaries!$K$136</f>
        <v>1.12</v>
      </c>
      <c r="M380" s="458" t="str">
        <f>Primaries!$L$136</f>
        <v>inf</v>
      </c>
      <c r="N380" s="532">
        <f>Primaries!$M$136</f>
        <v>69</v>
      </c>
      <c r="O380" s="538">
        <f>Primaries!$N$136</f>
        <v>110</v>
      </c>
      <c r="P380" s="117"/>
    </row>
    <row r="381">
      <c r="A381" s="449" t="s">
        <v>672</v>
      </c>
      <c r="B381" s="449" t="s">
        <v>725</v>
      </c>
      <c r="C381" s="449" t="s">
        <v>60</v>
      </c>
      <c r="D381" s="450" t="str">
        <f>Primaries!$B$138</f>
        <v>Final Warning</v>
      </c>
      <c r="E381" s="673">
        <f>Primaries!$C$138</f>
        <v>834.7340426</v>
      </c>
      <c r="F381" s="690">
        <f>Primaries!$D$138</f>
        <v>944.6882641</v>
      </c>
      <c r="G381" s="473" t="str">
        <f>Primaries!$F$138</f>
        <v>inf</v>
      </c>
      <c r="H381" s="514">
        <f>Primaries!$G$138</f>
        <v>4620</v>
      </c>
      <c r="I381" s="455">
        <f>Primaries!$H$138</f>
        <v>20</v>
      </c>
      <c r="J381" s="566" t="str">
        <f>Primaries!$I$138</f>
        <v>inf</v>
      </c>
      <c r="K381" s="456">
        <f>Primaries!$J$138</f>
        <v>450</v>
      </c>
      <c r="L381" s="457">
        <f>Primaries!$K$138</f>
        <v>1.12</v>
      </c>
      <c r="M381" s="458" t="str">
        <f>Primaries!$L$138</f>
        <v>inf</v>
      </c>
      <c r="N381" s="532">
        <f>Primaries!$M$138</f>
        <v>73</v>
      </c>
      <c r="O381" s="763">
        <f>Primaries!$N$138</f>
        <v>231</v>
      </c>
      <c r="P381" s="515" t="s">
        <v>728</v>
      </c>
    </row>
    <row r="382">
      <c r="A382" s="449" t="s">
        <v>672</v>
      </c>
      <c r="B382" s="449" t="s">
        <v>725</v>
      </c>
      <c r="C382" s="449" t="s">
        <v>60</v>
      </c>
      <c r="D382" s="450" t="str">
        <f>Primaries!$B$139</f>
        <v>Final Warning</v>
      </c>
      <c r="E382" s="534">
        <f>Primaries!$C$139</f>
        <v>389.0425532</v>
      </c>
      <c r="F382" s="597">
        <f>Primaries!$D$139</f>
        <v>475.1709402</v>
      </c>
      <c r="G382" s="473" t="str">
        <f>Primaries!$F$139</f>
        <v>inf</v>
      </c>
      <c r="H382" s="613">
        <f>Primaries!$G$139</f>
        <v>2651.25</v>
      </c>
      <c r="I382" s="455">
        <f>Primaries!$H$139</f>
        <v>25</v>
      </c>
      <c r="J382" s="566" t="str">
        <f>Primaries!$I$139</f>
        <v>inf</v>
      </c>
      <c r="K382" s="456">
        <f>Primaries!$J$139</f>
        <v>450</v>
      </c>
      <c r="L382" s="457">
        <f>Primaries!$K$139</f>
        <v>1.12</v>
      </c>
      <c r="M382" s="458" t="str">
        <f>Primaries!$L$139</f>
        <v>inf</v>
      </c>
      <c r="N382" s="532">
        <f>Primaries!$M$139</f>
        <v>91.35</v>
      </c>
      <c r="O382" s="538">
        <f>Primaries!$N$139</f>
        <v>106.05</v>
      </c>
      <c r="P382" s="127" t="s">
        <v>729</v>
      </c>
    </row>
    <row r="383">
      <c r="A383" s="449" t="s">
        <v>672</v>
      </c>
      <c r="B383" s="449" t="s">
        <v>725</v>
      </c>
      <c r="C383" s="449" t="s">
        <v>60</v>
      </c>
      <c r="D383" s="450" t="str">
        <f>Primaries!$B$140</f>
        <v>Final Warning</v>
      </c>
      <c r="E383" s="673">
        <f>Primaries!$C$140</f>
        <v>871.5957447</v>
      </c>
      <c r="F383" s="690">
        <f>Primaries!$D$140</f>
        <v>961.2820513</v>
      </c>
      <c r="G383" s="473" t="str">
        <f>Primaries!$F$140</f>
        <v>inf</v>
      </c>
      <c r="H383" s="514">
        <f>Primaries!$G$140</f>
        <v>6063.75</v>
      </c>
      <c r="I383" s="455">
        <f>Primaries!$H$140</f>
        <v>25</v>
      </c>
      <c r="J383" s="566" t="str">
        <f>Primaries!$I$140</f>
        <v>inf</v>
      </c>
      <c r="K383" s="456">
        <f>Primaries!$J$140</f>
        <v>450</v>
      </c>
      <c r="L383" s="457">
        <f>Primaries!$K$140</f>
        <v>1.12</v>
      </c>
      <c r="M383" s="458" t="str">
        <f>Primaries!$L$140</f>
        <v>inf</v>
      </c>
      <c r="N383" s="532">
        <f>Primaries!$M$140</f>
        <v>76.65</v>
      </c>
      <c r="O383" s="763">
        <f>Primaries!$N$140</f>
        <v>242.55</v>
      </c>
      <c r="P383" s="515" t="s">
        <v>730</v>
      </c>
    </row>
    <row r="384">
      <c r="A384" s="449" t="s">
        <v>672</v>
      </c>
      <c r="B384" s="449" t="s">
        <v>725</v>
      </c>
      <c r="C384" s="449" t="s">
        <v>60</v>
      </c>
      <c r="D384" s="450" t="str">
        <f>Primaries!$B$141</f>
        <v>Final Warning</v>
      </c>
      <c r="E384" s="534">
        <f>Primaries!$C$141</f>
        <v>389.0425532</v>
      </c>
      <c r="F384" s="597">
        <f>Primaries!$D$141</f>
        <v>486.4364303</v>
      </c>
      <c r="G384" s="473" t="str">
        <f>Primaries!$F$141</f>
        <v>inf</v>
      </c>
      <c r="H384" s="613">
        <f>Primaries!$G$141</f>
        <v>2121</v>
      </c>
      <c r="I384" s="455">
        <f>Primaries!$H$141</f>
        <v>20</v>
      </c>
      <c r="J384" s="566" t="str">
        <f>Primaries!$I$141</f>
        <v>inf</v>
      </c>
      <c r="K384" s="456">
        <f>Primaries!$J$141</f>
        <v>450</v>
      </c>
      <c r="L384" s="457">
        <f>Primaries!$K$141</f>
        <v>1.12</v>
      </c>
      <c r="M384" s="458" t="str">
        <f>Primaries!$L$141</f>
        <v>inf</v>
      </c>
      <c r="N384" s="532">
        <f>Primaries!$M$141</f>
        <v>91.35</v>
      </c>
      <c r="O384" s="538">
        <f>Primaries!$N$141</f>
        <v>106.05</v>
      </c>
      <c r="P384" s="127" t="s">
        <v>731</v>
      </c>
    </row>
    <row r="385">
      <c r="A385" s="449" t="s">
        <v>672</v>
      </c>
      <c r="B385" s="449" t="s">
        <v>725</v>
      </c>
      <c r="C385" s="449" t="s">
        <v>60</v>
      </c>
      <c r="D385" s="450" t="str">
        <f>Primaries!$B$142</f>
        <v>Final Warning</v>
      </c>
      <c r="E385" s="673">
        <f>Primaries!$C$142</f>
        <v>871.5957447</v>
      </c>
      <c r="F385" s="690">
        <f>Primaries!$D$142</f>
        <v>987.0476773</v>
      </c>
      <c r="G385" s="473" t="str">
        <f>Primaries!$F$142</f>
        <v>inf</v>
      </c>
      <c r="H385" s="514">
        <f>Primaries!$G$142</f>
        <v>4851</v>
      </c>
      <c r="I385" s="455">
        <f>Primaries!$H$142</f>
        <v>20</v>
      </c>
      <c r="J385" s="566" t="str">
        <f>Primaries!$I$142</f>
        <v>inf</v>
      </c>
      <c r="K385" s="456">
        <f>Primaries!$J$142</f>
        <v>450</v>
      </c>
      <c r="L385" s="457">
        <f>Primaries!$K$142</f>
        <v>1.12</v>
      </c>
      <c r="M385" s="458" t="str">
        <f>Primaries!$L$142</f>
        <v>inf</v>
      </c>
      <c r="N385" s="532">
        <f>Primaries!$M$142</f>
        <v>76.65</v>
      </c>
      <c r="O385" s="763">
        <f>Primaries!$N$142</f>
        <v>242.55</v>
      </c>
      <c r="P385" s="515" t="s">
        <v>732</v>
      </c>
    </row>
    <row r="386">
      <c r="A386" s="449" t="s">
        <v>672</v>
      </c>
      <c r="B386" s="449" t="s">
        <v>725</v>
      </c>
      <c r="C386" s="449" t="s">
        <v>60</v>
      </c>
      <c r="D386" s="482" t="str">
        <f>Primaries!$B$134</f>
        <v>Lightweight</v>
      </c>
      <c r="E386" s="726">
        <f>Primaries!$C$134</f>
        <v>390</v>
      </c>
      <c r="F386" s="766">
        <f>Primaries!$D$134</f>
        <v>302.8472821</v>
      </c>
      <c r="G386" s="473" t="str">
        <f>Primaries!$F$134</f>
        <v>inf</v>
      </c>
      <c r="H386" s="647">
        <f>Primaries!$G$134</f>
        <v>1170</v>
      </c>
      <c r="I386" s="455">
        <f>Primaries!$H$134</f>
        <v>18</v>
      </c>
      <c r="J386" s="566" t="str">
        <f>Primaries!$I$134</f>
        <v>inf</v>
      </c>
      <c r="K386" s="456">
        <f>Primaries!$J$134</f>
        <v>360</v>
      </c>
      <c r="L386" s="457">
        <f>Primaries!$K$134</f>
        <v>1.03</v>
      </c>
      <c r="M386" s="458" t="str">
        <f>Primaries!$L$134</f>
        <v>inf</v>
      </c>
      <c r="N386" s="490">
        <f>Primaries!$M$134</f>
        <v>41</v>
      </c>
      <c r="O386" s="555">
        <f>Primaries!$N$134</f>
        <v>65</v>
      </c>
      <c r="P386" s="117"/>
    </row>
    <row r="387">
      <c r="A387" s="449" t="s">
        <v>672</v>
      </c>
      <c r="B387" s="449" t="s">
        <v>725</v>
      </c>
      <c r="C387" s="449" t="s">
        <v>60</v>
      </c>
      <c r="D387" s="482" t="str">
        <f>Primaries!$B$132</f>
        <v>Precision</v>
      </c>
      <c r="E387" s="762">
        <f>Primaries!$C$132</f>
        <v>359.6666667</v>
      </c>
      <c r="F387" s="663">
        <f>Primaries!$D$132</f>
        <v>301.630688</v>
      </c>
      <c r="G387" s="473" t="str">
        <f>Primaries!$F$132</f>
        <v>inf</v>
      </c>
      <c r="H387" s="767">
        <f>Primaries!$G$132</f>
        <v>1494</v>
      </c>
      <c r="I387" s="455">
        <f>Primaries!$H$132</f>
        <v>18</v>
      </c>
      <c r="J387" s="566" t="str">
        <f>Primaries!$I$132</f>
        <v>inf</v>
      </c>
      <c r="K387" s="456">
        <f>Primaries!$J$132</f>
        <v>260</v>
      </c>
      <c r="L387" s="457">
        <f>Primaries!$K$132</f>
        <v>1.03</v>
      </c>
      <c r="M387" s="458" t="str">
        <f>Primaries!$L$132</f>
        <v>inf</v>
      </c>
      <c r="N387" s="554">
        <f>Primaries!$M$132</f>
        <v>52</v>
      </c>
      <c r="O387" s="533">
        <f>Primaries!$N$132</f>
        <v>83</v>
      </c>
      <c r="P387" s="467"/>
    </row>
    <row r="388">
      <c r="A388" s="449" t="s">
        <v>672</v>
      </c>
      <c r="B388" s="449" t="s">
        <v>725</v>
      </c>
      <c r="C388" s="449" t="s">
        <v>60</v>
      </c>
      <c r="D388" s="482" t="str">
        <f>Primaries!$B$130</f>
        <v>Rapid-Fire</v>
      </c>
      <c r="E388" s="726">
        <f>Primaries!$C$130</f>
        <v>390</v>
      </c>
      <c r="F388" s="761">
        <f>Primaries!$D$130</f>
        <v>309.7696585</v>
      </c>
      <c r="G388" s="473" t="str">
        <f>Primaries!$F$130</f>
        <v>inf</v>
      </c>
      <c r="H388" s="474">
        <f>Primaries!$G$130</f>
        <v>1040</v>
      </c>
      <c r="I388" s="455">
        <f>Primaries!$H$130</f>
        <v>20</v>
      </c>
      <c r="J388" s="566" t="str">
        <f>Primaries!$I$130</f>
        <v>inf</v>
      </c>
      <c r="K388" s="456">
        <f>Primaries!$J$130</f>
        <v>450</v>
      </c>
      <c r="L388" s="457">
        <f>Primaries!$K$130</f>
        <v>0.824</v>
      </c>
      <c r="M388" s="458" t="str">
        <f>Primaries!$L$130</f>
        <v>inf</v>
      </c>
      <c r="N388" s="561">
        <f>Primaries!$M$130</f>
        <v>33</v>
      </c>
      <c r="O388" s="562">
        <f>Primaries!$N$130</f>
        <v>52</v>
      </c>
      <c r="P388" s="117"/>
    </row>
    <row r="389">
      <c r="A389" s="449" t="s">
        <v>672</v>
      </c>
      <c r="B389" s="449" t="s">
        <v>725</v>
      </c>
      <c r="C389" s="449" t="s">
        <v>60</v>
      </c>
      <c r="D389" s="450" t="str">
        <f>Primaries!$B$145</f>
        <v>Rat King</v>
      </c>
      <c r="E389" s="724">
        <f>Primaries!$C$145</f>
        <v>395</v>
      </c>
      <c r="F389" s="768">
        <f>Primaries!$D$145</f>
        <v>309.3994778</v>
      </c>
      <c r="G389" s="473" t="str">
        <f>Primaries!$F$145</f>
        <v>inf</v>
      </c>
      <c r="H389" s="593">
        <f>Primaries!$G$145</f>
        <v>1185</v>
      </c>
      <c r="I389" s="455">
        <f>Primaries!$H$145</f>
        <v>15</v>
      </c>
      <c r="J389" s="566" t="str">
        <f>Primaries!$I$145</f>
        <v>inf</v>
      </c>
      <c r="K389" s="456">
        <f>Primaries!$J$145</f>
        <v>300</v>
      </c>
      <c r="L389" s="457">
        <f>Primaries!$K$145</f>
        <v>1.03</v>
      </c>
      <c r="M389" s="458" t="str">
        <f>Primaries!$L$145</f>
        <v>inf</v>
      </c>
      <c r="N389" s="554">
        <f>Primaries!$M$145</f>
        <v>50</v>
      </c>
      <c r="O389" s="533">
        <f>Primaries!$N$145</f>
        <v>79</v>
      </c>
      <c r="P389" s="467"/>
    </row>
    <row r="390">
      <c r="A390" s="449" t="s">
        <v>672</v>
      </c>
      <c r="B390" s="449" t="s">
        <v>725</v>
      </c>
      <c r="C390" s="449" t="s">
        <v>60</v>
      </c>
      <c r="D390" s="450" t="str">
        <f>Primaries!$B$146</f>
        <v>Rat King</v>
      </c>
      <c r="E390" s="647">
        <f>Primaries!$C$146</f>
        <v>451.6166667</v>
      </c>
      <c r="F390" s="769">
        <f>Primaries!$D$146</f>
        <v>350.7595428</v>
      </c>
      <c r="G390" s="473" t="str">
        <f>Primaries!$F$146</f>
        <v>inf</v>
      </c>
      <c r="H390" s="586">
        <f>Primaries!$G$146</f>
        <v>1343</v>
      </c>
      <c r="I390" s="455">
        <f>Primaries!$H$146</f>
        <v>17</v>
      </c>
      <c r="J390" s="566" t="str">
        <f>Primaries!$I$146</f>
        <v>inf</v>
      </c>
      <c r="K390" s="456">
        <f>Primaries!$J$146</f>
        <v>343</v>
      </c>
      <c r="L390" s="457">
        <f>Primaries!$K$146</f>
        <v>1.03</v>
      </c>
      <c r="M390" s="458" t="str">
        <f>Primaries!$L$146</f>
        <v>inf</v>
      </c>
      <c r="N390" s="554">
        <f>Primaries!$M$146</f>
        <v>50</v>
      </c>
      <c r="O390" s="533">
        <f>Primaries!$N$146</f>
        <v>79</v>
      </c>
      <c r="P390" s="467" t="s">
        <v>213</v>
      </c>
    </row>
    <row r="391">
      <c r="A391" s="449" t="s">
        <v>672</v>
      </c>
      <c r="B391" s="449" t="s">
        <v>725</v>
      </c>
      <c r="C391" s="449" t="s">
        <v>60</v>
      </c>
      <c r="D391" s="450" t="str">
        <f>Primaries!$B$147</f>
        <v>Rat King</v>
      </c>
      <c r="E391" s="593">
        <f>Primaries!$C$147</f>
        <v>500.3333333</v>
      </c>
      <c r="F391" s="770">
        <f>Primaries!$D$147</f>
        <v>387.6444203</v>
      </c>
      <c r="G391" s="473" t="str">
        <f>Primaries!$F$147</f>
        <v>inf</v>
      </c>
      <c r="H391" s="735">
        <f>Primaries!$G$147</f>
        <v>1501</v>
      </c>
      <c r="I391" s="455">
        <f>Primaries!$H$147</f>
        <v>19</v>
      </c>
      <c r="J391" s="566" t="str">
        <f>Primaries!$I$147</f>
        <v>inf</v>
      </c>
      <c r="K391" s="456">
        <f>Primaries!$J$147</f>
        <v>380</v>
      </c>
      <c r="L391" s="457">
        <f>Primaries!$K$147</f>
        <v>1.03</v>
      </c>
      <c r="M391" s="458" t="str">
        <f>Primaries!$L$147</f>
        <v>inf</v>
      </c>
      <c r="N391" s="554">
        <f>Primaries!$M$147</f>
        <v>50</v>
      </c>
      <c r="O391" s="533">
        <f>Primaries!$N$147</f>
        <v>79</v>
      </c>
      <c r="P391" s="467" t="s">
        <v>214</v>
      </c>
    </row>
    <row r="392">
      <c r="A392" s="449" t="s">
        <v>672</v>
      </c>
      <c r="B392" s="449" t="s">
        <v>725</v>
      </c>
      <c r="C392" s="449" t="s">
        <v>60</v>
      </c>
      <c r="D392" s="450" t="str">
        <f>Primaries!$B$148</f>
        <v>Rat King</v>
      </c>
      <c r="E392" s="476">
        <f>Primaries!$C$148</f>
        <v>559.5833333</v>
      </c>
      <c r="F392" s="641">
        <f>Primaries!$D$148</f>
        <v>430.5144253</v>
      </c>
      <c r="G392" s="473" t="str">
        <f>Primaries!$F$148</f>
        <v>inf</v>
      </c>
      <c r="H392" s="475">
        <f>Primaries!$G$148</f>
        <v>1659</v>
      </c>
      <c r="I392" s="455">
        <f>Primaries!$H$148</f>
        <v>21</v>
      </c>
      <c r="J392" s="566" t="str">
        <f>Primaries!$I$148</f>
        <v>inf</v>
      </c>
      <c r="K392" s="456">
        <f>Primaries!$J$148</f>
        <v>425</v>
      </c>
      <c r="L392" s="457">
        <f>Primaries!$K$148</f>
        <v>1.03</v>
      </c>
      <c r="M392" s="458" t="str">
        <f>Primaries!$L$148</f>
        <v>inf</v>
      </c>
      <c r="N392" s="554">
        <f>Primaries!$M$148</f>
        <v>50</v>
      </c>
      <c r="O392" s="533">
        <f>Primaries!$N$148</f>
        <v>79</v>
      </c>
      <c r="P392" s="467" t="s">
        <v>215</v>
      </c>
    </row>
    <row r="393">
      <c r="A393" s="449" t="s">
        <v>672</v>
      </c>
      <c r="B393" s="449" t="s">
        <v>725</v>
      </c>
      <c r="C393" s="449" t="s">
        <v>60</v>
      </c>
      <c r="D393" s="450" t="str">
        <f>Primaries!$B$149</f>
        <v>Rat King</v>
      </c>
      <c r="E393" s="582">
        <f>Primaries!$C$149</f>
        <v>676.7666667</v>
      </c>
      <c r="F393" s="650">
        <f>Primaries!$D$149</f>
        <v>510.3874475</v>
      </c>
      <c r="G393" s="473" t="str">
        <f>Primaries!$F$149</f>
        <v>inf</v>
      </c>
      <c r="H393" s="505">
        <f>Primaries!$G$149</f>
        <v>1896</v>
      </c>
      <c r="I393" s="455">
        <f>Primaries!$H$149</f>
        <v>24</v>
      </c>
      <c r="J393" s="566" t="str">
        <f>Primaries!$I$149</f>
        <v>inf</v>
      </c>
      <c r="K393" s="456">
        <f>Primaries!$J$149</f>
        <v>514</v>
      </c>
      <c r="L393" s="457">
        <f>Primaries!$K$149</f>
        <v>1.03</v>
      </c>
      <c r="M393" s="458" t="str">
        <f>Primaries!$L$149</f>
        <v>inf</v>
      </c>
      <c r="N393" s="554">
        <f>Primaries!$M$149</f>
        <v>50</v>
      </c>
      <c r="O393" s="533">
        <f>Primaries!$N$149</f>
        <v>79</v>
      </c>
      <c r="P393" s="467" t="s">
        <v>216</v>
      </c>
    </row>
    <row r="394">
      <c r="A394" s="449" t="s">
        <v>672</v>
      </c>
      <c r="B394" s="449" t="s">
        <v>725</v>
      </c>
      <c r="C394" s="449" t="s">
        <v>60</v>
      </c>
      <c r="D394" s="482" t="str">
        <f>Primaries!$B$133</f>
        <v>Adaptive</v>
      </c>
      <c r="E394" s="762">
        <f>Primaries!$C$133</f>
        <v>375</v>
      </c>
      <c r="F394" s="663">
        <f>Primaries!$D$133</f>
        <v>304.7404063</v>
      </c>
      <c r="G394" s="473" t="str">
        <f>Primaries!$F$133</f>
        <v>inf</v>
      </c>
      <c r="H394" s="767">
        <f>Primaries!$G$133</f>
        <v>1350</v>
      </c>
      <c r="I394" s="455">
        <f>Primaries!$H$133</f>
        <v>18</v>
      </c>
      <c r="J394" s="566" t="str">
        <f>Primaries!$I$133</f>
        <v>inf</v>
      </c>
      <c r="K394" s="456">
        <f>Primaries!$J$133</f>
        <v>300</v>
      </c>
      <c r="L394" s="457">
        <f>Primaries!$K$133</f>
        <v>1.03</v>
      </c>
      <c r="M394" s="458" t="str">
        <f>Primaries!$L$133</f>
        <v>inf</v>
      </c>
      <c r="N394" s="554">
        <f>Primaries!$M$133</f>
        <v>47</v>
      </c>
      <c r="O394" s="533">
        <f>Primaries!$N$133</f>
        <v>75</v>
      </c>
      <c r="P394" s="467"/>
    </row>
    <row r="395">
      <c r="A395" s="449" t="s">
        <v>672</v>
      </c>
      <c r="B395" s="449" t="s">
        <v>725</v>
      </c>
      <c r="C395" s="449" t="s">
        <v>60</v>
      </c>
      <c r="D395" s="450" t="str">
        <f>Primaries!$B$150</f>
        <v>Traveler's Chosen</v>
      </c>
      <c r="E395" s="724">
        <f>Primaries!$C$150</f>
        <v>395</v>
      </c>
      <c r="F395" s="740">
        <f>Primaries!$D$150</f>
        <v>317.4940898</v>
      </c>
      <c r="G395" s="473" t="str">
        <f>Primaries!$F$150</f>
        <v>inf</v>
      </c>
      <c r="H395" s="586">
        <f>Primaries!$G$150</f>
        <v>1343</v>
      </c>
      <c r="I395" s="455">
        <f>Primaries!$H$150</f>
        <v>17</v>
      </c>
      <c r="J395" s="566" t="str">
        <f>Primaries!$I$150</f>
        <v>inf</v>
      </c>
      <c r="K395" s="456">
        <f>Primaries!$J$150</f>
        <v>300</v>
      </c>
      <c r="L395" s="457">
        <f>Primaries!$K$150</f>
        <v>1.03</v>
      </c>
      <c r="M395" s="458" t="str">
        <f>Primaries!$L$150</f>
        <v>inf</v>
      </c>
      <c r="N395" s="554">
        <f>Primaries!$M$150</f>
        <v>50</v>
      </c>
      <c r="O395" s="533">
        <f>Primaries!$N$150</f>
        <v>79</v>
      </c>
      <c r="P395" s="127" t="s">
        <v>733</v>
      </c>
    </row>
    <row r="396">
      <c r="A396" s="449" t="s">
        <v>672</v>
      </c>
      <c r="B396" s="449" t="s">
        <v>725</v>
      </c>
      <c r="C396" s="449" t="s">
        <v>60</v>
      </c>
      <c r="D396" s="450" t="str">
        <f>Primaries!$B$135</f>
        <v>Trespasser</v>
      </c>
      <c r="E396" s="726">
        <f>Primaries!$C$135</f>
        <v>417.35</v>
      </c>
      <c r="F396" s="757">
        <f>Primaries!$D$135</f>
        <v>334.5148348</v>
      </c>
      <c r="G396" s="473" t="str">
        <f>Primaries!$F$135</f>
        <v>inf</v>
      </c>
      <c r="H396" s="645">
        <f>Primaries!$G$135</f>
        <v>1530</v>
      </c>
      <c r="I396" s="455">
        <f>Primaries!$H$135</f>
        <v>30</v>
      </c>
      <c r="J396" s="566" t="str">
        <f>Primaries!$I$135</f>
        <v>inf</v>
      </c>
      <c r="K396" s="456">
        <f>Primaries!$J$135</f>
        <v>491</v>
      </c>
      <c r="L396" s="457">
        <f>Primaries!$K$135</f>
        <v>1.03</v>
      </c>
      <c r="M396" s="458" t="str">
        <f>Primaries!$L$135</f>
        <v>inf</v>
      </c>
      <c r="N396" s="494">
        <f>Primaries!$M$135</f>
        <v>28</v>
      </c>
      <c r="O396" s="562">
        <f>Primaries!$N$135</f>
        <v>51</v>
      </c>
      <c r="P396" s="117"/>
    </row>
    <row r="397">
      <c r="A397" s="449" t="s">
        <v>672</v>
      </c>
      <c r="B397" s="449" t="s">
        <v>734</v>
      </c>
      <c r="C397" s="449" t="s">
        <v>60</v>
      </c>
      <c r="D397" s="482" t="str">
        <f>Primaries!$B$31</f>
        <v>Adaptive</v>
      </c>
      <c r="E397" s="726">
        <f>Primaries!$C$31</f>
        <v>390</v>
      </c>
      <c r="F397" s="757">
        <f>Primaries!$D$31</f>
        <v>276.4044944</v>
      </c>
      <c r="G397" s="473" t="str">
        <f>Primaries!$F$31</f>
        <v>inf</v>
      </c>
      <c r="H397" s="472">
        <f>Primaries!$G$31</f>
        <v>1066</v>
      </c>
      <c r="I397" s="455">
        <f>Primaries!$H$31</f>
        <v>41</v>
      </c>
      <c r="J397" s="566" t="str">
        <f>Primaries!$I$31</f>
        <v>inf</v>
      </c>
      <c r="K397" s="456">
        <f>Primaries!$J$31</f>
        <v>900</v>
      </c>
      <c r="L397" s="457">
        <f>Primaries!$K$31</f>
        <v>1.19</v>
      </c>
      <c r="M397" s="458" t="str">
        <f>Primaries!$L$31</f>
        <v>inf</v>
      </c>
      <c r="N397" s="494">
        <f>Primaries!$M$31</f>
        <v>16</v>
      </c>
      <c r="O397" s="518">
        <f>Primaries!$N$31</f>
        <v>26</v>
      </c>
      <c r="P397" s="467"/>
    </row>
    <row r="398">
      <c r="A398" s="449" t="s">
        <v>672</v>
      </c>
      <c r="B398" s="449" t="s">
        <v>734</v>
      </c>
      <c r="C398" s="449" t="s">
        <v>60</v>
      </c>
      <c r="D398" s="482" t="str">
        <f>Primaries!$B$30</f>
        <v>Aggressive</v>
      </c>
      <c r="E398" s="726">
        <f>Primaries!$C$30</f>
        <v>396</v>
      </c>
      <c r="F398" s="758">
        <f>Primaries!$D$30</f>
        <v>274.4916821</v>
      </c>
      <c r="G398" s="473" t="str">
        <f>Primaries!$F$30</f>
        <v>inf</v>
      </c>
      <c r="H398" s="474">
        <f>Primaries!$G$30</f>
        <v>990</v>
      </c>
      <c r="I398" s="455">
        <f>Primaries!$H$30</f>
        <v>30</v>
      </c>
      <c r="J398" s="566" t="str">
        <f>Primaries!$I$30</f>
        <v>inf</v>
      </c>
      <c r="K398" s="456">
        <f>Primaries!$J$30</f>
        <v>720</v>
      </c>
      <c r="L398" s="457">
        <f>Primaries!$K$30</f>
        <v>1.19</v>
      </c>
      <c r="M398" s="458" t="str">
        <f>Primaries!$L$30</f>
        <v>inf</v>
      </c>
      <c r="N398" s="494">
        <f>Primaries!$M$30</f>
        <v>19</v>
      </c>
      <c r="O398" s="518">
        <f>Primaries!$N$30</f>
        <v>33</v>
      </c>
      <c r="P398" s="467"/>
    </row>
    <row r="399">
      <c r="A399" s="449" t="s">
        <v>672</v>
      </c>
      <c r="B399" s="449" t="s">
        <v>734</v>
      </c>
      <c r="C399" s="449" t="s">
        <v>60</v>
      </c>
      <c r="D399" s="450" t="str">
        <f>Primaries!$B$37</f>
        <v>Huckleberry</v>
      </c>
      <c r="E399" s="647">
        <f>Primaries!$C$37</f>
        <v>567.3536032</v>
      </c>
      <c r="F399" s="768">
        <f>Primaries!$D$37</f>
        <v>464.6368832</v>
      </c>
      <c r="G399" s="473" t="str">
        <f>Primaries!$F$37</f>
        <v>inf</v>
      </c>
      <c r="H399" s="496">
        <f>Primaries!$G$37</f>
        <v>1428</v>
      </c>
      <c r="I399" s="455">
        <f>Primaries!$H$37</f>
        <v>42</v>
      </c>
      <c r="J399" s="566" t="str">
        <f>Primaries!$I$37</f>
        <v>inf</v>
      </c>
      <c r="K399" s="456">
        <f>Primaries!$J$37</f>
        <v>837.9310345</v>
      </c>
      <c r="L399" s="457">
        <f>Primaries!$K$37</f>
        <v>1.19</v>
      </c>
      <c r="M399" s="458" t="str">
        <f>Primaries!$L$37</f>
        <v>inf</v>
      </c>
      <c r="N399" s="494">
        <f>Primaries!$M$37</f>
        <v>20</v>
      </c>
      <c r="O399" s="518">
        <f>Primaries!$N$37</f>
        <v>34</v>
      </c>
      <c r="P399" s="467" t="s">
        <v>735</v>
      </c>
    </row>
    <row r="400">
      <c r="A400" s="449" t="s">
        <v>672</v>
      </c>
      <c r="B400" s="449" t="s">
        <v>734</v>
      </c>
      <c r="C400" s="449" t="s">
        <v>60</v>
      </c>
      <c r="D400" s="450" t="str">
        <f>Primaries!$B$38</f>
        <v>Huckleberry</v>
      </c>
      <c r="E400" s="454">
        <f>Primaries!$C$38</f>
        <v>1021.242857</v>
      </c>
      <c r="F400" s="466" t="str">
        <f>Primaries!$D$38</f>
        <v>N/A</v>
      </c>
      <c r="G400" s="473" t="str">
        <f>Primaries!$F$38</f>
        <v>inf</v>
      </c>
      <c r="H400" s="528">
        <f>Primaries!$G$38</f>
        <v>2370.48</v>
      </c>
      <c r="I400" s="455">
        <f>Primaries!$H$38</f>
        <v>42</v>
      </c>
      <c r="J400" s="566" t="str">
        <f>Primaries!$I$38</f>
        <v>inf</v>
      </c>
      <c r="K400" s="456">
        <f>Primaries!$J$38</f>
        <v>900</v>
      </c>
      <c r="L400" s="457" t="str">
        <f>Primaries!$K$38</f>
        <v>N/A</v>
      </c>
      <c r="M400" s="458" t="str">
        <f>Primaries!$L$38</f>
        <v>inf</v>
      </c>
      <c r="N400" s="561">
        <f>Primaries!$M$38</f>
        <v>33.2</v>
      </c>
      <c r="O400" s="562">
        <f>Primaries!$N$38</f>
        <v>56.44</v>
      </c>
      <c r="P400" s="495" t="s">
        <v>736</v>
      </c>
    </row>
    <row r="401">
      <c r="A401" s="449" t="s">
        <v>672</v>
      </c>
      <c r="B401" s="449" t="s">
        <v>734</v>
      </c>
      <c r="C401" s="449" t="s">
        <v>60</v>
      </c>
      <c r="D401" s="482" t="str">
        <f>Primaries!$B$32</f>
        <v>Lightweight</v>
      </c>
      <c r="E401" s="726">
        <f>Primaries!$C$32</f>
        <v>420</v>
      </c>
      <c r="F401" s="771">
        <f>Primaries!$D$32</f>
        <v>295.5145119</v>
      </c>
      <c r="G401" s="473" t="str">
        <f>Primaries!$F$32</f>
        <v>inf</v>
      </c>
      <c r="H401" s="474">
        <f>Primaries!$G$32</f>
        <v>1120</v>
      </c>
      <c r="I401" s="455">
        <f>Primaries!$H$32</f>
        <v>40</v>
      </c>
      <c r="J401" s="566" t="str">
        <f>Primaries!$I$32</f>
        <v>inf</v>
      </c>
      <c r="K401" s="456">
        <f>Primaries!$J$32</f>
        <v>900</v>
      </c>
      <c r="L401" s="457">
        <f>Primaries!$K$32</f>
        <v>1.19</v>
      </c>
      <c r="M401" s="458" t="str">
        <f>Primaries!$L$32</f>
        <v>inf</v>
      </c>
      <c r="N401" s="494">
        <f>Primaries!$M$32</f>
        <v>15</v>
      </c>
      <c r="O401" s="518">
        <f>Primaries!$N$32</f>
        <v>28</v>
      </c>
      <c r="P401" s="467"/>
    </row>
    <row r="402">
      <c r="A402" s="449" t="s">
        <v>672</v>
      </c>
      <c r="B402" s="449" t="s">
        <v>734</v>
      </c>
      <c r="C402" s="449" t="s">
        <v>60</v>
      </c>
      <c r="D402" s="450" t="str">
        <f>Primaries!$B$42</f>
        <v>Osteo Striga</v>
      </c>
      <c r="E402" s="472">
        <f>Primaries!$C$42</f>
        <v>420</v>
      </c>
      <c r="F402" s="768">
        <f>Primaries!$D$42</f>
        <v>305.2631579</v>
      </c>
      <c r="G402" s="473" t="str">
        <f>Primaries!$F$42</f>
        <v>inf</v>
      </c>
      <c r="H402" s="586">
        <f>Primaries!$G$42</f>
        <v>1218</v>
      </c>
      <c r="I402" s="455">
        <f>Primaries!$H$42</f>
        <v>29</v>
      </c>
      <c r="J402" s="566" t="str">
        <f>Primaries!$I$42</f>
        <v>inf</v>
      </c>
      <c r="K402" s="456">
        <f>Primaries!$J$42</f>
        <v>600</v>
      </c>
      <c r="L402" s="457">
        <f>Primaries!$K$42</f>
        <v>1.19</v>
      </c>
      <c r="M402" s="458" t="str">
        <f>Primaries!$L$42</f>
        <v>inf</v>
      </c>
      <c r="N402" s="494">
        <f>Primaries!$M$42</f>
        <v>27</v>
      </c>
      <c r="O402" s="732">
        <f>Primaries!$N$42</f>
        <v>42</v>
      </c>
      <c r="P402" s="117"/>
    </row>
    <row r="403">
      <c r="A403" s="449" t="s">
        <v>672</v>
      </c>
      <c r="B403" s="449" t="s">
        <v>734</v>
      </c>
      <c r="C403" s="449" t="s">
        <v>60</v>
      </c>
      <c r="D403" s="450" t="str">
        <f>Primaries!$B$43</f>
        <v>Osteo Striga</v>
      </c>
      <c r="E403" s="593">
        <f>Primaries!$C$43</f>
        <v>521.0344828</v>
      </c>
      <c r="F403" s="772">
        <f>Primaries!$D$43</f>
        <v>378.6967419</v>
      </c>
      <c r="G403" s="473" t="str">
        <f>Primaries!$F$43</f>
        <v>inf</v>
      </c>
      <c r="H403" s="586">
        <f>Primaries!$G$43</f>
        <v>1218</v>
      </c>
      <c r="I403" s="455">
        <f>Primaries!$H$43</f>
        <v>29</v>
      </c>
      <c r="J403" s="566" t="str">
        <f>Primaries!$I$43</f>
        <v>inf</v>
      </c>
      <c r="K403" s="456">
        <f>Primaries!$J$43</f>
        <v>600</v>
      </c>
      <c r="L403" s="457">
        <f>Primaries!$K$43</f>
        <v>1.19</v>
      </c>
      <c r="M403" s="458" t="str">
        <f>Primaries!$L$43</f>
        <v>inf</v>
      </c>
      <c r="N403" s="494">
        <f>Primaries!$M$43</f>
        <v>27</v>
      </c>
      <c r="O403" s="732">
        <f>Primaries!$N$43</f>
        <v>42</v>
      </c>
      <c r="P403" s="467" t="s">
        <v>737</v>
      </c>
    </row>
    <row r="404">
      <c r="A404" s="449" t="s">
        <v>672</v>
      </c>
      <c r="B404" s="449" t="s">
        <v>734</v>
      </c>
      <c r="C404" s="449" t="s">
        <v>60</v>
      </c>
      <c r="D404" s="450" t="str">
        <f>Primaries!$B$44</f>
        <v>Osteo Striga</v>
      </c>
      <c r="E404" s="490">
        <f>Primaries!$C$44</f>
        <v>135.4</v>
      </c>
      <c r="F404" s="466" t="str">
        <f>Primaries!$D$44</f>
        <v>N/A</v>
      </c>
      <c r="G404" s="473" t="str">
        <f>Primaries!$F$44</f>
        <v>inf</v>
      </c>
      <c r="H404" s="454">
        <f>Primaries!$G$44</f>
        <v>470</v>
      </c>
      <c r="I404" s="456" t="str">
        <f>Primaries!$H$44</f>
        <v>N/A</v>
      </c>
      <c r="J404" s="456" t="str">
        <f>Primaries!$I$44</f>
        <v>N/A</v>
      </c>
      <c r="K404" s="456" t="str">
        <f>Primaries!$J$44</f>
        <v>N/A</v>
      </c>
      <c r="L404" s="457" t="str">
        <f>Primaries!$K$44</f>
        <v>N/A</v>
      </c>
      <c r="M404" s="473" t="str">
        <f>Primaries!$L$44</f>
        <v>N/A</v>
      </c>
      <c r="N404" s="473" t="str">
        <f>Primaries!$M$44</f>
        <v>N/A</v>
      </c>
      <c r="O404" s="466" t="str">
        <f>Primaries!$N$44</f>
        <v>N/A</v>
      </c>
      <c r="P404" s="117" t="s">
        <v>738</v>
      </c>
    </row>
    <row r="405">
      <c r="A405" s="449" t="s">
        <v>672</v>
      </c>
      <c r="B405" s="449" t="s">
        <v>734</v>
      </c>
      <c r="C405" s="449" t="s">
        <v>60</v>
      </c>
      <c r="D405" s="482" t="str">
        <f>Primaries!$B$29</f>
        <v>Precision</v>
      </c>
      <c r="E405" s="645">
        <f>Primaries!$C$29</f>
        <v>370</v>
      </c>
      <c r="F405" s="758">
        <f>Primaries!$D$29</f>
        <v>271.393643</v>
      </c>
      <c r="G405" s="473" t="str">
        <f>Primaries!$F$29</f>
        <v>inf</v>
      </c>
      <c r="H405" s="647">
        <f>Primaries!$G$29</f>
        <v>1110</v>
      </c>
      <c r="I405" s="455">
        <f>Primaries!$H$29</f>
        <v>30</v>
      </c>
      <c r="J405" s="566" t="str">
        <f>Primaries!$I$29</f>
        <v>inf</v>
      </c>
      <c r="K405" s="456">
        <f>Primaries!$J$29</f>
        <v>600</v>
      </c>
      <c r="L405" s="457">
        <f>Primaries!$K$29</f>
        <v>1.19</v>
      </c>
      <c r="M405" s="458" t="str">
        <f>Primaries!$L$29</f>
        <v>inf</v>
      </c>
      <c r="N405" s="494">
        <f>Primaries!$M$29</f>
        <v>23</v>
      </c>
      <c r="O405" s="518">
        <f>Primaries!$N$29</f>
        <v>37</v>
      </c>
      <c r="P405" s="467"/>
    </row>
    <row r="406">
      <c r="A406" s="449" t="s">
        <v>672</v>
      </c>
      <c r="B406" s="449" t="s">
        <v>734</v>
      </c>
      <c r="C406" s="449" t="s">
        <v>60</v>
      </c>
      <c r="D406" s="450" t="str">
        <f>Primaries!$B$33</f>
        <v>Riskrunner</v>
      </c>
      <c r="E406" s="726">
        <f>Primaries!$C$33</f>
        <v>420</v>
      </c>
      <c r="F406" s="773">
        <f>Primaries!$D$33</f>
        <v>309.1620987</v>
      </c>
      <c r="G406" s="473" t="str">
        <f>Primaries!$F$33</f>
        <v>inf</v>
      </c>
      <c r="H406" s="726">
        <f>Primaries!$G$33</f>
        <v>1316</v>
      </c>
      <c r="I406" s="455">
        <f>Primaries!$H$33</f>
        <v>47</v>
      </c>
      <c r="J406" s="566" t="str">
        <f>Primaries!$I$33</f>
        <v>inf</v>
      </c>
      <c r="K406" s="456">
        <f>Primaries!$J$33</f>
        <v>900</v>
      </c>
      <c r="L406" s="457">
        <f>Primaries!$K$33</f>
        <v>1.19</v>
      </c>
      <c r="M406" s="458" t="str">
        <f>Primaries!$L$33</f>
        <v>inf</v>
      </c>
      <c r="N406" s="494">
        <f>Primaries!$M$33</f>
        <v>17</v>
      </c>
      <c r="O406" s="518">
        <f>Primaries!$N$33</f>
        <v>28</v>
      </c>
      <c r="P406" s="467"/>
    </row>
    <row r="407">
      <c r="A407" s="449" t="s">
        <v>672</v>
      </c>
      <c r="B407" s="449" t="s">
        <v>734</v>
      </c>
      <c r="C407" s="449" t="s">
        <v>60</v>
      </c>
      <c r="D407" s="450" t="str">
        <f>Primaries!$B$34</f>
        <v>Riskrunner</v>
      </c>
      <c r="E407" s="724">
        <f>Primaries!$C$34</f>
        <v>462</v>
      </c>
      <c r="F407" s="771">
        <f>Primaries!$D$34</f>
        <v>340.0783085</v>
      </c>
      <c r="G407" s="473" t="str">
        <f>Primaries!$F$34</f>
        <v>inf</v>
      </c>
      <c r="H407" s="472">
        <f>Primaries!$G$34</f>
        <v>1447.6</v>
      </c>
      <c r="I407" s="455">
        <f>Primaries!$H$34</f>
        <v>47</v>
      </c>
      <c r="J407" s="566" t="str">
        <f>Primaries!$I$34</f>
        <v>inf</v>
      </c>
      <c r="K407" s="456">
        <f>Primaries!$J$34</f>
        <v>900</v>
      </c>
      <c r="L407" s="457">
        <f>Primaries!$K$34</f>
        <v>1.19</v>
      </c>
      <c r="M407" s="458" t="str">
        <f>Primaries!$L$34</f>
        <v>inf</v>
      </c>
      <c r="N407" s="494">
        <f>Primaries!$M$34</f>
        <v>18.7</v>
      </c>
      <c r="O407" s="518">
        <f>Primaries!$N$34</f>
        <v>30.8</v>
      </c>
      <c r="P407" s="467" t="s">
        <v>85</v>
      </c>
    </row>
    <row r="408">
      <c r="A408" s="449" t="s">
        <v>672</v>
      </c>
      <c r="B408" s="449" t="s">
        <v>734</v>
      </c>
      <c r="C408" s="449" t="s">
        <v>60</v>
      </c>
      <c r="D408" s="450" t="str">
        <f>Primaries!$B$39</f>
        <v>Tarrabah</v>
      </c>
      <c r="E408" s="726">
        <f>Primaries!$C$39</f>
        <v>408</v>
      </c>
      <c r="F408" s="758">
        <f>Primaries!$D$39</f>
        <v>295.7746479</v>
      </c>
      <c r="G408" s="473" t="str">
        <f>Primaries!$F$39</f>
        <v>inf</v>
      </c>
      <c r="H408" s="472">
        <f>Primaries!$G$39</f>
        <v>1190</v>
      </c>
      <c r="I408" s="455">
        <f>Primaries!$H$39</f>
        <v>35</v>
      </c>
      <c r="J408" s="566" t="str">
        <f>Primaries!$I$39</f>
        <v>inf</v>
      </c>
      <c r="K408" s="456">
        <f>Primaries!$J$39</f>
        <v>720</v>
      </c>
      <c r="L408" s="457">
        <f>Primaries!$K$39</f>
        <v>1.19</v>
      </c>
      <c r="M408" s="458" t="str">
        <f>Primaries!$L$39</f>
        <v>inf</v>
      </c>
      <c r="N408" s="494">
        <f>Primaries!$M$39</f>
        <v>20</v>
      </c>
      <c r="O408" s="518">
        <f>Primaries!$N$39</f>
        <v>34</v>
      </c>
      <c r="P408" s="467"/>
    </row>
    <row r="409">
      <c r="A409" s="449" t="s">
        <v>672</v>
      </c>
      <c r="B409" s="449" t="s">
        <v>734</v>
      </c>
      <c r="C409" s="449" t="s">
        <v>60</v>
      </c>
      <c r="D409" s="450" t="str">
        <f>Primaries!$B$40</f>
        <v>Tarrabah</v>
      </c>
      <c r="E409" s="500">
        <f>Primaries!$C$40</f>
        <v>855</v>
      </c>
      <c r="F409" s="742">
        <f>Primaries!$D$40</f>
        <v>619.8218724</v>
      </c>
      <c r="G409" s="473" t="str">
        <f>Primaries!$F$40</f>
        <v>inf</v>
      </c>
      <c r="H409" s="505">
        <f>Primaries!$G$40</f>
        <v>1995</v>
      </c>
      <c r="I409" s="455">
        <f>Primaries!$H$40</f>
        <v>35</v>
      </c>
      <c r="J409" s="566" t="str">
        <f>Primaries!$I$40</f>
        <v>inf</v>
      </c>
      <c r="K409" s="456">
        <f>Primaries!$J$40</f>
        <v>900</v>
      </c>
      <c r="L409" s="457">
        <f>Primaries!$K$40</f>
        <v>0.952</v>
      </c>
      <c r="M409" s="458" t="str">
        <f>Primaries!$L$40</f>
        <v>inf</v>
      </c>
      <c r="N409" s="554">
        <f>Primaries!$M$40</f>
        <v>56</v>
      </c>
      <c r="O409" s="555">
        <f>Primaries!$N$40</f>
        <v>57</v>
      </c>
      <c r="P409" s="467" t="s">
        <v>95</v>
      </c>
    </row>
    <row r="410">
      <c r="A410" s="449" t="s">
        <v>672</v>
      </c>
      <c r="B410" s="449" t="s">
        <v>734</v>
      </c>
      <c r="C410" s="449" t="s">
        <v>60</v>
      </c>
      <c r="D410" s="450" t="str">
        <f>Primaries!$B$35</f>
        <v>The Manticore</v>
      </c>
      <c r="E410" s="726">
        <f>Primaries!$C$35</f>
        <v>435</v>
      </c>
      <c r="F410" s="686">
        <f>Primaries!$D$35</f>
        <v>310.4502974</v>
      </c>
      <c r="G410" s="473" t="str">
        <f>Primaries!$F$35</f>
        <v>inf</v>
      </c>
      <c r="H410" s="472">
        <f>Primaries!$G$35</f>
        <v>1218</v>
      </c>
      <c r="I410" s="455">
        <f>Primaries!$H$35</f>
        <v>42</v>
      </c>
      <c r="J410" s="566" t="str">
        <f>Primaries!$I$35</f>
        <v>inf</v>
      </c>
      <c r="K410" s="456">
        <f>Primaries!$J$35</f>
        <v>900</v>
      </c>
      <c r="L410" s="457">
        <f>Primaries!$K$35</f>
        <v>1.19</v>
      </c>
      <c r="M410" s="458" t="str">
        <f>Primaries!$L$35</f>
        <v>inf</v>
      </c>
      <c r="N410" s="494">
        <f>Primaries!$M$35</f>
        <v>16</v>
      </c>
      <c r="O410" s="518">
        <f>Primaries!$N$35</f>
        <v>29</v>
      </c>
      <c r="P410" s="467" t="s">
        <v>86</v>
      </c>
    </row>
    <row r="411">
      <c r="A411" s="449" t="s">
        <v>672</v>
      </c>
      <c r="B411" s="449" t="s">
        <v>734</v>
      </c>
      <c r="C411" s="449" t="s">
        <v>60</v>
      </c>
      <c r="D411" s="450" t="str">
        <f>Primaries!$B$36</f>
        <v>The Manticore</v>
      </c>
      <c r="E411" s="586">
        <f>Primaries!$C$36</f>
        <v>617.9151943</v>
      </c>
      <c r="F411" s="646">
        <f>Primaries!$D$36</f>
        <v>555.6720686</v>
      </c>
      <c r="G411" s="473" t="str">
        <f>Primaries!$F$36</f>
        <v>inf</v>
      </c>
      <c r="H411" s="586">
        <f>Primaries!$G$36</f>
        <v>1218</v>
      </c>
      <c r="I411" s="455">
        <f>Primaries!$H$36</f>
        <v>42</v>
      </c>
      <c r="J411" s="566" t="str">
        <f>Primaries!$I$36</f>
        <v>inf</v>
      </c>
      <c r="K411" s="456">
        <f>Primaries!$J$36</f>
        <v>900</v>
      </c>
      <c r="L411" s="457">
        <f>Primaries!$K$36</f>
        <v>1.19</v>
      </c>
      <c r="M411" s="458" t="str">
        <f>Primaries!$L$36</f>
        <v>inf</v>
      </c>
      <c r="N411" s="494">
        <f>Primaries!$M$36</f>
        <v>16</v>
      </c>
      <c r="O411" s="732">
        <f>Primaries!$N$36</f>
        <v>29</v>
      </c>
      <c r="P411" s="127" t="s">
        <v>89</v>
      </c>
    </row>
    <row r="412">
      <c r="A412" s="449" t="s">
        <v>739</v>
      </c>
      <c r="B412" s="461" t="s">
        <v>693</v>
      </c>
      <c r="C412" s="449" t="s">
        <v>60</v>
      </c>
      <c r="D412" s="450" t="str">
        <f>Specials!$B$105</f>
        <v>Dead Messenger</v>
      </c>
      <c r="E412" s="542">
        <f>Specials!$C$105</f>
        <v>2074.5</v>
      </c>
      <c r="F412" s="723">
        <f>Specials!$D$105</f>
        <v>853.7037037</v>
      </c>
      <c r="G412" s="505">
        <f>Specials!$F$105</f>
        <v>27660</v>
      </c>
      <c r="H412" s="532">
        <f>Specials!$G$105</f>
        <v>1383</v>
      </c>
      <c r="I412" s="455">
        <f>Specials!$H$105</f>
        <v>1</v>
      </c>
      <c r="J412" s="456">
        <f>Specials!$I$105</f>
        <v>20</v>
      </c>
      <c r="K412" s="456">
        <f>Specials!$J$105</f>
        <v>90</v>
      </c>
      <c r="L412" s="457">
        <f>Specials!$K$105</f>
        <v>1.62</v>
      </c>
      <c r="M412" s="458">
        <f>Specials!$L$105</f>
        <v>32.4</v>
      </c>
      <c r="N412" s="454">
        <f>Specials!$M$105</f>
        <v>1383</v>
      </c>
      <c r="O412" s="466" t="str">
        <f>Specials!$N$105</f>
        <v>N/A</v>
      </c>
      <c r="P412" s="467"/>
    </row>
    <row r="413">
      <c r="A413" s="449" t="s">
        <v>739</v>
      </c>
      <c r="B413" s="461" t="s">
        <v>693</v>
      </c>
      <c r="C413" s="449" t="s">
        <v>60</v>
      </c>
      <c r="D413" s="482" t="str">
        <f>Specials!$B$87</f>
        <v>Double Fire</v>
      </c>
      <c r="E413" s="724" t="str">
        <f>Specials!$C$87</f>
        <v>N/A</v>
      </c>
      <c r="F413" s="770">
        <f>Specials!$D$87</f>
        <v>475.308642</v>
      </c>
      <c r="G413" s="500">
        <f>Specials!$F$87</f>
        <v>15400</v>
      </c>
      <c r="H413" s="736">
        <f>Specials!$G$87</f>
        <v>770</v>
      </c>
      <c r="I413" s="455">
        <f>Specials!$H$87</f>
        <v>1</v>
      </c>
      <c r="J413" s="456">
        <f>Specials!$I$87</f>
        <v>20</v>
      </c>
      <c r="K413" s="456">
        <f>Specials!$J$87</f>
        <v>100</v>
      </c>
      <c r="L413" s="457">
        <f>Specials!$K$87</f>
        <v>1.62</v>
      </c>
      <c r="M413" s="458">
        <f>Specials!$L$87</f>
        <v>32.4</v>
      </c>
      <c r="N413" s="602">
        <f>Specials!$M$87</f>
        <v>770</v>
      </c>
      <c r="O413" s="466" t="str">
        <f>Specials!$N$87</f>
        <v>N/A</v>
      </c>
      <c r="P413" s="117" t="s">
        <v>740</v>
      </c>
    </row>
    <row r="414">
      <c r="A414" s="449" t="s">
        <v>739</v>
      </c>
      <c r="B414" s="461" t="s">
        <v>693</v>
      </c>
      <c r="C414" s="449" t="s">
        <v>60</v>
      </c>
      <c r="D414" s="450" t="str">
        <f>Specials!$B$95</f>
        <v>Ex Diris</v>
      </c>
      <c r="E414" s="472">
        <f>Specials!$C$95</f>
        <v>711.6</v>
      </c>
      <c r="F414" s="774">
        <f>Specials!$D$95</f>
        <v>711.6</v>
      </c>
      <c r="G414" s="658">
        <f>Specials!$F$95</f>
        <v>21595</v>
      </c>
      <c r="H414" s="554">
        <f>Specials!$G$95</f>
        <v>617</v>
      </c>
      <c r="I414" s="455">
        <f>Specials!$H$95</f>
        <v>1</v>
      </c>
      <c r="J414" s="456">
        <f>Specials!$I$95</f>
        <v>35</v>
      </c>
      <c r="K414" s="456">
        <f>Specials!$J$95</f>
        <v>60</v>
      </c>
      <c r="L414" s="457" t="str">
        <f>Specials!$K$95</f>
        <v>N/A</v>
      </c>
      <c r="M414" s="458">
        <f>Specials!$L$95</f>
        <v>35</v>
      </c>
      <c r="N414" s="613">
        <f>Specials!$M$95</f>
        <v>617</v>
      </c>
      <c r="O414" s="466" t="str">
        <f>Specials!$N$95</f>
        <v>N/A</v>
      </c>
      <c r="P414" s="467" t="s">
        <v>361</v>
      </c>
    </row>
    <row r="415">
      <c r="A415" s="449" t="s">
        <v>739</v>
      </c>
      <c r="B415" s="461" t="s">
        <v>693</v>
      </c>
      <c r="C415" s="449" t="s">
        <v>60</v>
      </c>
      <c r="D415" s="450" t="str">
        <f>Specials!$B$96</f>
        <v>Ex Diris</v>
      </c>
      <c r="E415" s="475">
        <f>Specials!$C$96</f>
        <v>1079.100752</v>
      </c>
      <c r="F415" s="775">
        <f>Specials!$D$96</f>
        <v>1079.100752</v>
      </c>
      <c r="G415" s="658">
        <f>Specials!$F$96</f>
        <v>21595</v>
      </c>
      <c r="H415" s="554">
        <f>Specials!$G$96</f>
        <v>617</v>
      </c>
      <c r="I415" s="455">
        <f>Specials!$H$96</f>
        <v>1</v>
      </c>
      <c r="J415" s="456">
        <f>Specials!$I$96</f>
        <v>35</v>
      </c>
      <c r="K415" s="456">
        <f>Specials!$J$96</f>
        <v>94.57894737</v>
      </c>
      <c r="L415" s="457" t="str">
        <f>Specials!$K$96</f>
        <v>N/A</v>
      </c>
      <c r="M415" s="458">
        <f>Specials!$L$96</f>
        <v>22.20367279</v>
      </c>
      <c r="N415" s="613">
        <f>Specials!$M$96</f>
        <v>617</v>
      </c>
      <c r="O415" s="466" t="str">
        <f>Specials!$N$96</f>
        <v>N/A</v>
      </c>
      <c r="P415" s="467" t="s">
        <v>363</v>
      </c>
    </row>
    <row r="416">
      <c r="A416" s="449" t="s">
        <v>739</v>
      </c>
      <c r="B416" s="461" t="s">
        <v>693</v>
      </c>
      <c r="C416" s="449" t="s">
        <v>60</v>
      </c>
      <c r="D416" s="482" t="str">
        <f>Specials!$B$88</f>
        <v>Lightweight</v>
      </c>
      <c r="E416" s="645">
        <f>Specials!$C$88</f>
        <v>900</v>
      </c>
      <c r="F416" s="740">
        <f>Specials!$D$88</f>
        <v>370.3703704</v>
      </c>
      <c r="G416" s="454">
        <f>Specials!$F$88</f>
        <v>12000</v>
      </c>
      <c r="H416" s="542">
        <f>Specials!$G$88</f>
        <v>600</v>
      </c>
      <c r="I416" s="455">
        <f>Specials!$H$88</f>
        <v>1</v>
      </c>
      <c r="J416" s="456">
        <f>Specials!$I$88</f>
        <v>20</v>
      </c>
      <c r="K416" s="456">
        <f>Specials!$J$88</f>
        <v>90</v>
      </c>
      <c r="L416" s="457">
        <f>Specials!$K$88</f>
        <v>1.62</v>
      </c>
      <c r="M416" s="458">
        <f>Specials!$L$88</f>
        <v>32.4</v>
      </c>
      <c r="N416" s="500">
        <f>Specials!$M$88</f>
        <v>600</v>
      </c>
      <c r="O416" s="466" t="str">
        <f>Specials!$N$88</f>
        <v>N/A</v>
      </c>
      <c r="P416" s="117"/>
    </row>
    <row r="417">
      <c r="A417" s="449" t="s">
        <v>739</v>
      </c>
      <c r="B417" s="461" t="s">
        <v>693</v>
      </c>
      <c r="C417" s="449" t="s">
        <v>60</v>
      </c>
      <c r="D417" s="482" t="str">
        <f>Specials!$B$89</f>
        <v>Lightweight</v>
      </c>
      <c r="E417" s="475">
        <f>Specials!$C$89</f>
        <v>750</v>
      </c>
      <c r="F417" s="742">
        <f>Specials!$D$89</f>
        <v>750</v>
      </c>
      <c r="G417" s="454">
        <f>Specials!$F$89</f>
        <v>12000</v>
      </c>
      <c r="H417" s="542">
        <f>Specials!$G$89</f>
        <v>600</v>
      </c>
      <c r="I417" s="455">
        <f>Specials!$H$89</f>
        <v>1</v>
      </c>
      <c r="J417" s="456">
        <f>Specials!$I$89</f>
        <v>20</v>
      </c>
      <c r="K417" s="456">
        <f>Specials!$J$89</f>
        <v>75</v>
      </c>
      <c r="L417" s="457">
        <f>Specials!$K$89</f>
        <v>0.33</v>
      </c>
      <c r="M417" s="458">
        <f>Specials!$L$89</f>
        <v>16</v>
      </c>
      <c r="N417" s="500">
        <f>Specials!$M$89</f>
        <v>600</v>
      </c>
      <c r="O417" s="466" t="str">
        <f>Specials!$N$89</f>
        <v>N/A</v>
      </c>
      <c r="P417" s="117" t="s">
        <v>741</v>
      </c>
    </row>
    <row r="418">
      <c r="A418" s="449" t="s">
        <v>739</v>
      </c>
      <c r="B418" s="461" t="s">
        <v>693</v>
      </c>
      <c r="C418" s="449" t="s">
        <v>60</v>
      </c>
      <c r="D418" s="482" t="str">
        <f>Specials!$B$91</f>
        <v>Micro-Missile</v>
      </c>
      <c r="E418" s="542">
        <f>Specials!$C$91</f>
        <v>1168.5</v>
      </c>
      <c r="F418" s="723">
        <f>Specials!$D$91</f>
        <v>480.8641975</v>
      </c>
      <c r="G418" s="505">
        <f>Specials!$F$91</f>
        <v>15580</v>
      </c>
      <c r="H418" s="532">
        <f>Specials!$G$91</f>
        <v>779</v>
      </c>
      <c r="I418" s="455">
        <f>Specials!$H$91</f>
        <v>1</v>
      </c>
      <c r="J418" s="456">
        <f>Specials!$I$91</f>
        <v>20</v>
      </c>
      <c r="K418" s="456">
        <f>Specials!$J$91</f>
        <v>90</v>
      </c>
      <c r="L418" s="457">
        <f>Specials!$K$91</f>
        <v>1.62</v>
      </c>
      <c r="M418" s="458">
        <f>Specials!$L$91</f>
        <v>32.4</v>
      </c>
      <c r="N418" s="454">
        <f>Specials!$M$91</f>
        <v>779</v>
      </c>
      <c r="O418" s="466" t="str">
        <f>Specials!$N$91</f>
        <v>N/A</v>
      </c>
      <c r="P418" s="117"/>
    </row>
    <row r="419">
      <c r="A419" s="449" t="s">
        <v>739</v>
      </c>
      <c r="B419" s="461" t="s">
        <v>693</v>
      </c>
      <c r="C419" s="449" t="s">
        <v>60</v>
      </c>
      <c r="D419" s="482" t="str">
        <f>Specials!$B$92</f>
        <v>Area Denial</v>
      </c>
      <c r="E419" s="542">
        <f>Specials!$C$92</f>
        <v>158.9905363</v>
      </c>
      <c r="F419" s="723">
        <f>Specials!$D$92</f>
        <v>158.9905363</v>
      </c>
      <c r="G419" s="505">
        <f>Specials!$F$92</f>
        <v>20160</v>
      </c>
      <c r="H419" s="532">
        <f>Specials!$G$92</f>
        <v>1008</v>
      </c>
      <c r="I419" s="455">
        <f>Specials!$H$92</f>
        <v>1</v>
      </c>
      <c r="J419" s="456">
        <f>Specials!$I$92</f>
        <v>20</v>
      </c>
      <c r="K419" s="456">
        <f>Specials!$J$92</f>
        <v>72</v>
      </c>
      <c r="L419" s="457">
        <f>Specials!$K$92</f>
        <v>1.62</v>
      </c>
      <c r="M419" s="458">
        <f>Specials!$L$92</f>
        <v>126.8</v>
      </c>
      <c r="N419" s="454">
        <f>Specials!$M$92</f>
        <v>18</v>
      </c>
      <c r="O419" s="466" t="str">
        <f>Specials!$N$92</f>
        <v>N/A</v>
      </c>
      <c r="P419" s="127" t="s">
        <v>358</v>
      </c>
    </row>
    <row r="420">
      <c r="A420" s="449" t="s">
        <v>739</v>
      </c>
      <c r="B420" s="461" t="s">
        <v>693</v>
      </c>
      <c r="C420" s="449" t="s">
        <v>60</v>
      </c>
      <c r="D420" s="482" t="str">
        <f>Specials!$B$93</f>
        <v>Area Denial</v>
      </c>
      <c r="E420" s="542">
        <f>Specials!$C$93</f>
        <v>174.1486068</v>
      </c>
      <c r="F420" s="723">
        <f>Specials!$D$93</f>
        <v>174.1486068</v>
      </c>
      <c r="G420" s="505">
        <f>Specials!$F$93</f>
        <v>22500</v>
      </c>
      <c r="H420" s="532">
        <f>Specials!$G$93</f>
        <v>1125</v>
      </c>
      <c r="I420" s="455">
        <f>Specials!$H$93</f>
        <v>1</v>
      </c>
      <c r="J420" s="456">
        <f>Specials!$I$93</f>
        <v>20</v>
      </c>
      <c r="K420" s="456">
        <f>Specials!$J$93</f>
        <v>72</v>
      </c>
      <c r="L420" s="457">
        <f>Specials!$K$93</f>
        <v>1.62</v>
      </c>
      <c r="M420" s="458">
        <f>Specials!$L$93</f>
        <v>131.8</v>
      </c>
      <c r="N420" s="454">
        <f>Specials!$M$93</f>
        <v>18</v>
      </c>
      <c r="O420" s="466" t="str">
        <f>Specials!$N$93</f>
        <v>N/A</v>
      </c>
      <c r="P420" s="127" t="s">
        <v>359</v>
      </c>
    </row>
    <row r="421">
      <c r="A421" s="449" t="s">
        <v>739</v>
      </c>
      <c r="B421" s="461" t="s">
        <v>693</v>
      </c>
      <c r="C421" s="449" t="s">
        <v>60</v>
      </c>
      <c r="D421" s="482" t="str">
        <f>Specials!$B$94</f>
        <v>Area Denial</v>
      </c>
      <c r="E421" s="542" t="str">
        <f>Specials!$C$94</f>
        <v>N/A</v>
      </c>
      <c r="F421" s="723">
        <f>Specials!$D$94</f>
        <v>189.2523364</v>
      </c>
      <c r="G421" s="505">
        <f>Specials!$F$94</f>
        <v>9090</v>
      </c>
      <c r="H421" s="532">
        <f>Specials!$G$94</f>
        <v>405</v>
      </c>
      <c r="I421" s="455">
        <f>Specials!$H$94</f>
        <v>1</v>
      </c>
      <c r="J421" s="456">
        <f>Specials!$I$94</f>
        <v>20</v>
      </c>
      <c r="K421" s="456">
        <f>Specials!$J$94</f>
        <v>72</v>
      </c>
      <c r="L421" s="457">
        <f>Specials!$K$94</f>
        <v>1.62</v>
      </c>
      <c r="M421" s="458">
        <f>Specials!$L$94</f>
        <v>42.8</v>
      </c>
      <c r="N421" s="454">
        <f>Specials!$M$94</f>
        <v>18</v>
      </c>
      <c r="O421" s="466" t="str">
        <f>Specials!$N$94</f>
        <v>N/A</v>
      </c>
      <c r="P421" s="127" t="s">
        <v>360</v>
      </c>
    </row>
    <row r="422">
      <c r="A422" s="449" t="s">
        <v>739</v>
      </c>
      <c r="B422" s="461" t="s">
        <v>693</v>
      </c>
      <c r="C422" s="449" t="s">
        <v>60</v>
      </c>
      <c r="D422" s="482" t="str">
        <f>Specials!$B$90</f>
        <v>Wave</v>
      </c>
      <c r="E422" s="542">
        <f>Specials!$C$90</f>
        <v>658.5</v>
      </c>
      <c r="F422" s="723">
        <f>Specials!$D$90</f>
        <v>270.9876543</v>
      </c>
      <c r="G422" s="505">
        <f>Specials!$F$90</f>
        <v>8780</v>
      </c>
      <c r="H422" s="532">
        <f>Specials!$G$90</f>
        <v>439</v>
      </c>
      <c r="I422" s="455">
        <f>Specials!$H$90</f>
        <v>1</v>
      </c>
      <c r="J422" s="456">
        <f>Specials!$I$90</f>
        <v>20</v>
      </c>
      <c r="K422" s="456">
        <f>Specials!$J$90</f>
        <v>90</v>
      </c>
      <c r="L422" s="457">
        <f>Specials!$K$90</f>
        <v>1.62</v>
      </c>
      <c r="M422" s="458">
        <f>Specials!$L$90</f>
        <v>32.4</v>
      </c>
      <c r="N422" s="454">
        <f>Specials!$M$90</f>
        <v>439</v>
      </c>
      <c r="O422" s="466" t="str">
        <f>Specials!$N$90</f>
        <v>N/A</v>
      </c>
      <c r="P422" s="117"/>
    </row>
    <row r="423">
      <c r="A423" s="449" t="s">
        <v>739</v>
      </c>
      <c r="B423" s="461" t="s">
        <v>693</v>
      </c>
      <c r="C423" s="449" t="s">
        <v>60</v>
      </c>
      <c r="D423" s="450" t="str">
        <f>Specials!$B$97</f>
        <v>Witherhoard</v>
      </c>
      <c r="E423" s="532">
        <f>Specials!$C$97</f>
        <v>216.7368421</v>
      </c>
      <c r="F423" s="773">
        <f>Specials!$D$97</f>
        <v>216.7368421</v>
      </c>
      <c r="G423" s="465">
        <f>Specials!$F$97</f>
        <v>10440</v>
      </c>
      <c r="H423" s="673">
        <f>Specials!$G$97</f>
        <v>522</v>
      </c>
      <c r="I423" s="455">
        <f>Specials!$H$97</f>
        <v>1</v>
      </c>
      <c r="J423" s="456">
        <f>Specials!$I$97</f>
        <v>20</v>
      </c>
      <c r="K423" s="456">
        <f>Specials!$J$97</f>
        <v>90</v>
      </c>
      <c r="L423" s="457">
        <f>Specials!$K$97</f>
        <v>1.62</v>
      </c>
      <c r="M423" s="458">
        <f>Specials!$L$97</f>
        <v>90</v>
      </c>
      <c r="N423" s="494">
        <f>Specials!$M$97</f>
        <v>29</v>
      </c>
      <c r="O423" s="466" t="str">
        <f>Specials!$N$97</f>
        <v>N/A</v>
      </c>
      <c r="P423" s="517" t="s">
        <v>366</v>
      </c>
    </row>
    <row r="424">
      <c r="A424" s="449" t="s">
        <v>739</v>
      </c>
      <c r="B424" s="461" t="s">
        <v>693</v>
      </c>
      <c r="C424" s="449" t="s">
        <v>60</v>
      </c>
      <c r="D424" s="450" t="str">
        <f>Specials!$B$98</f>
        <v>Witherhoard</v>
      </c>
      <c r="E424" s="542">
        <f>Specials!$C$98</f>
        <v>325.3684211</v>
      </c>
      <c r="F424" s="652">
        <f>Specials!$D$98</f>
        <v>325.3684211</v>
      </c>
      <c r="G424" s="776">
        <f>Specials!$F$98</f>
        <v>11095</v>
      </c>
      <c r="H424" s="673">
        <f>Specials!$G$98</f>
        <v>529</v>
      </c>
      <c r="I424" s="455">
        <f>Specials!$H$98</f>
        <v>1</v>
      </c>
      <c r="J424" s="456">
        <f>Specials!$I$98</f>
        <v>20</v>
      </c>
      <c r="K424" s="456">
        <f>Specials!$J$98</f>
        <v>90</v>
      </c>
      <c r="L424" s="457">
        <f>Specials!$K$98</f>
        <v>1.62</v>
      </c>
      <c r="M424" s="458">
        <f>Specials!$L$98</f>
        <v>90</v>
      </c>
      <c r="N424" s="494">
        <f>Specials!$M$98</f>
        <v>29</v>
      </c>
      <c r="O424" s="466" t="str">
        <f>Specials!$N$98</f>
        <v>N/A</v>
      </c>
      <c r="P424" s="495" t="s">
        <v>367</v>
      </c>
    </row>
    <row r="425">
      <c r="A425" s="449" t="s">
        <v>739</v>
      </c>
      <c r="B425" s="461" t="s">
        <v>693</v>
      </c>
      <c r="C425" s="449" t="s">
        <v>60</v>
      </c>
      <c r="D425" s="450" t="str">
        <f>Specials!$B$99</f>
        <v>Witherhoard</v>
      </c>
      <c r="E425" s="645">
        <f>Specials!$C$99</f>
        <v>254.3843844</v>
      </c>
      <c r="F425" s="777">
        <f>Specials!$D$99</f>
        <v>254.3843844</v>
      </c>
      <c r="G425" s="481">
        <f>Specials!$F$99</f>
        <v>14480</v>
      </c>
      <c r="H425" s="673">
        <f>Specials!$G$99</f>
        <v>724</v>
      </c>
      <c r="I425" s="455">
        <f>Specials!$H$99</f>
        <v>1</v>
      </c>
      <c r="J425" s="456">
        <f>Specials!$I$99</f>
        <v>20</v>
      </c>
      <c r="K425" s="456">
        <f>Specials!$J$99</f>
        <v>90</v>
      </c>
      <c r="L425" s="457">
        <f>Specials!$K$99</f>
        <v>1.62</v>
      </c>
      <c r="M425" s="458">
        <f>Specials!$L$99</f>
        <v>74</v>
      </c>
      <c r="N425" s="494">
        <f>Specials!$M$99</f>
        <v>29</v>
      </c>
      <c r="O425" s="466" t="str">
        <f>Specials!$N$99</f>
        <v>N/A</v>
      </c>
      <c r="P425" s="515" t="s">
        <v>369</v>
      </c>
    </row>
    <row r="426">
      <c r="A426" s="449" t="s">
        <v>739</v>
      </c>
      <c r="B426" s="461" t="s">
        <v>693</v>
      </c>
      <c r="C426" s="449" t="s">
        <v>60</v>
      </c>
      <c r="D426" s="450" t="str">
        <f>Specials!$B$103</f>
        <v>Witherhoard</v>
      </c>
      <c r="E426" s="645">
        <f>Specials!$C$103</f>
        <v>1013.5</v>
      </c>
      <c r="F426" s="777">
        <f>Specials!$D$103</f>
        <v>560.0308642</v>
      </c>
      <c r="G426" s="481">
        <f>Specials!$F$103</f>
        <v>2453</v>
      </c>
      <c r="H426" s="673">
        <f>Specials!$G$103</f>
        <v>529</v>
      </c>
      <c r="I426" s="455">
        <f>Specials!$H$103</f>
        <v>1</v>
      </c>
      <c r="J426" s="456">
        <f>Specials!$I$103</f>
        <v>20</v>
      </c>
      <c r="K426" s="456">
        <f>Specials!$J$103</f>
        <v>90</v>
      </c>
      <c r="L426" s="457">
        <f>Specials!$K$103</f>
        <v>1.62</v>
      </c>
      <c r="M426" s="458">
        <f>Specials!$L$103</f>
        <v>32.4</v>
      </c>
      <c r="N426" s="494">
        <f>Specials!$M$103</f>
        <v>29</v>
      </c>
      <c r="O426" s="466" t="str">
        <f>Specials!$N$103</f>
        <v>N/A</v>
      </c>
      <c r="P426" s="495" t="s">
        <v>377</v>
      </c>
    </row>
    <row r="427">
      <c r="A427" s="449" t="s">
        <v>739</v>
      </c>
      <c r="B427" s="461" t="s">
        <v>693</v>
      </c>
      <c r="C427" s="449" t="s">
        <v>60</v>
      </c>
      <c r="D427" s="450" t="str">
        <f>Specials!$B$100</f>
        <v>Witherhoard</v>
      </c>
      <c r="E427" s="472">
        <f>Specials!$C$100</f>
        <v>639.7</v>
      </c>
      <c r="F427" s="744">
        <f>Specials!$D$100</f>
        <v>639.7</v>
      </c>
      <c r="G427" s="778">
        <f>Specials!$F$100</f>
        <v>10544</v>
      </c>
      <c r="H427" s="673">
        <f>Specials!$G$100</f>
        <v>529</v>
      </c>
      <c r="I427" s="455">
        <f>Specials!$H$100</f>
        <v>1</v>
      </c>
      <c r="J427" s="456">
        <f>Specials!$I$100</f>
        <v>20</v>
      </c>
      <c r="K427" s="456">
        <f>Specials!$J$100</f>
        <v>90</v>
      </c>
      <c r="L427" s="457">
        <f>Specials!$K$100</f>
        <v>1.62</v>
      </c>
      <c r="M427" s="458">
        <f>Specials!$L$100</f>
        <v>50</v>
      </c>
      <c r="N427" s="494">
        <f>Specials!$M$100</f>
        <v>29</v>
      </c>
      <c r="O427" s="466" t="str">
        <f>Specials!$N$100</f>
        <v>N/A</v>
      </c>
      <c r="P427" s="515" t="s">
        <v>742</v>
      </c>
    </row>
    <row r="428">
      <c r="A428" s="449" t="s">
        <v>739</v>
      </c>
      <c r="B428" s="461" t="s">
        <v>693</v>
      </c>
      <c r="C428" s="449" t="s">
        <v>60</v>
      </c>
      <c r="D428" s="450" t="str">
        <f>Specials!$B$101</f>
        <v>Witherhoard</v>
      </c>
      <c r="E428" s="472">
        <f>Specials!$C$101</f>
        <v>246.2222222</v>
      </c>
      <c r="F428" s="744">
        <f>Specials!$D$101</f>
        <v>246.2222222</v>
      </c>
      <c r="G428" s="778">
        <f>Specials!$F$101</f>
        <v>14480</v>
      </c>
      <c r="H428" s="673">
        <f>Specials!$G$101</f>
        <v>724</v>
      </c>
      <c r="I428" s="455">
        <f>Specials!$H$101</f>
        <v>1</v>
      </c>
      <c r="J428" s="456">
        <f>Specials!$I$101</f>
        <v>20</v>
      </c>
      <c r="K428" s="456">
        <f>Specials!$J$101</f>
        <v>90</v>
      </c>
      <c r="L428" s="457">
        <f>Specials!$K$101</f>
        <v>1.62</v>
      </c>
      <c r="M428" s="458">
        <f>Specials!$L$101</f>
        <v>50</v>
      </c>
      <c r="N428" s="494">
        <f>Specials!$M$101</f>
        <v>29</v>
      </c>
      <c r="O428" s="466" t="str">
        <f>Specials!$N$101</f>
        <v>N/A</v>
      </c>
      <c r="P428" s="515" t="s">
        <v>743</v>
      </c>
    </row>
    <row r="429">
      <c r="A429" s="449" t="s">
        <v>739</v>
      </c>
      <c r="B429" s="461" t="s">
        <v>693</v>
      </c>
      <c r="C429" s="449" t="s">
        <v>60</v>
      </c>
      <c r="D429" s="450" t="str">
        <f>Specials!$B$102</f>
        <v>Witherhoard</v>
      </c>
      <c r="E429" s="620">
        <f>Specials!$C$102</f>
        <v>595.2627628</v>
      </c>
      <c r="F429" s="779">
        <f>Specials!$D$102</f>
        <v>595.2627628</v>
      </c>
      <c r="G429" s="780">
        <f>Specials!$F$102</f>
        <v>12523</v>
      </c>
      <c r="H429" s="673" t="str">
        <f>Specials!$G$102</f>
        <v>N/A</v>
      </c>
      <c r="I429" s="455">
        <f>Specials!$H$102</f>
        <v>1</v>
      </c>
      <c r="J429" s="456">
        <f>Specials!$I$102</f>
        <v>20</v>
      </c>
      <c r="K429" s="456">
        <f>Specials!$J$102</f>
        <v>90</v>
      </c>
      <c r="L429" s="457">
        <f>Specials!$K$102</f>
        <v>1.62</v>
      </c>
      <c r="M429" s="458">
        <f>Specials!$L$102</f>
        <v>45</v>
      </c>
      <c r="N429" s="494">
        <f>Specials!$M$102</f>
        <v>29</v>
      </c>
      <c r="O429" s="466" t="str">
        <f>Specials!$N$102</f>
        <v>N/A</v>
      </c>
      <c r="P429" s="495" t="s">
        <v>375</v>
      </c>
    </row>
    <row r="430">
      <c r="A430" s="449" t="s">
        <v>739</v>
      </c>
      <c r="B430" s="461" t="s">
        <v>693</v>
      </c>
      <c r="C430" s="449" t="s">
        <v>60</v>
      </c>
      <c r="D430" s="450" t="str">
        <f>Specials!$B$104</f>
        <v>Witherhoard</v>
      </c>
      <c r="E430" s="582">
        <f>Specials!$C$104</f>
        <v>998.7222222</v>
      </c>
      <c r="F430" s="781">
        <f>Specials!$D$104</f>
        <v>678.755144</v>
      </c>
      <c r="G430" s="536">
        <f>Specials!$F$104</f>
        <v>7798</v>
      </c>
      <c r="H430" s="673" t="str">
        <f>Specials!$G$104</f>
        <v>N/A</v>
      </c>
      <c r="I430" s="455">
        <f>Specials!$H$104</f>
        <v>1</v>
      </c>
      <c r="J430" s="456">
        <f>Specials!$I$104</f>
        <v>20</v>
      </c>
      <c r="K430" s="456">
        <f>Specials!$J$104</f>
        <v>90</v>
      </c>
      <c r="L430" s="457">
        <f>Specials!$K$104</f>
        <v>1.62</v>
      </c>
      <c r="M430" s="458">
        <f>Specials!$L$104</f>
        <v>32.4</v>
      </c>
      <c r="N430" s="494">
        <f>Specials!$M$104</f>
        <v>29</v>
      </c>
      <c r="O430" s="466" t="str">
        <f>Specials!$N$104</f>
        <v>N/A</v>
      </c>
      <c r="P430" s="467" t="s">
        <v>744</v>
      </c>
    </row>
    <row r="431">
      <c r="A431" s="449" t="s">
        <v>739</v>
      </c>
      <c r="B431" s="449" t="s">
        <v>617</v>
      </c>
      <c r="C431" s="449" t="s">
        <v>60</v>
      </c>
      <c r="D431" s="482" t="str">
        <f>Specials!$B$45</f>
        <v>Adaptive</v>
      </c>
      <c r="E431" s="735">
        <f>Specials!$C$45</f>
        <v>671.0743802</v>
      </c>
      <c r="F431" s="545">
        <f>Specials!$D$45</f>
        <v>608.049922</v>
      </c>
      <c r="G431" s="697">
        <f>Specials!$F$45</f>
        <v>15428</v>
      </c>
      <c r="H431" s="526">
        <f>Specials!$G$45</f>
        <v>6496</v>
      </c>
      <c r="I431" s="455">
        <f>Specials!$H$45</f>
        <v>8</v>
      </c>
      <c r="J431" s="456">
        <f>Specials!$I$45</f>
        <v>19</v>
      </c>
      <c r="K431" s="456">
        <f>Specials!$J$45</f>
        <v>49.58677686</v>
      </c>
      <c r="L431" s="457">
        <f>Specials!$K$45</f>
        <v>1.32</v>
      </c>
      <c r="M431" s="458">
        <f>Specials!$L$45</f>
        <v>24.34</v>
      </c>
      <c r="N431" s="462">
        <f>Specials!$M$45</f>
        <v>812</v>
      </c>
      <c r="O431" s="466" t="str">
        <f>Specials!$N$45</f>
        <v>N/A</v>
      </c>
      <c r="P431" s="467"/>
    </row>
    <row r="432">
      <c r="A432" s="449" t="s">
        <v>739</v>
      </c>
      <c r="B432" s="449" t="s">
        <v>617</v>
      </c>
      <c r="C432" s="449" t="s">
        <v>60</v>
      </c>
      <c r="D432" s="482" t="str">
        <f>Specials!$B$46</f>
        <v>Aggressive</v>
      </c>
      <c r="E432" s="556">
        <f>Specials!$C$46</f>
        <v>734.4827586</v>
      </c>
      <c r="F432" s="782">
        <f>Specials!$D$46</f>
        <v>674.8514851</v>
      </c>
      <c r="G432" s="500">
        <f>Specials!$F$46</f>
        <v>18744</v>
      </c>
      <c r="H432" s="573">
        <f>Specials!$G$46</f>
        <v>6816</v>
      </c>
      <c r="I432" s="455">
        <f>Specials!$H$46</f>
        <v>8</v>
      </c>
      <c r="J432" s="456">
        <f>Specials!$I$46</f>
        <v>22</v>
      </c>
      <c r="K432" s="456">
        <f>Specials!$J$46</f>
        <v>51.72413793</v>
      </c>
      <c r="L432" s="457">
        <f>Specials!$K$46</f>
        <v>1.32</v>
      </c>
      <c r="M432" s="458">
        <f>Specials!$L$46</f>
        <v>26.66</v>
      </c>
      <c r="N432" s="498">
        <f>Specials!$M$46</f>
        <v>852</v>
      </c>
      <c r="O432" s="466" t="str">
        <f>Specials!$N$46</f>
        <v>N/A</v>
      </c>
      <c r="P432" s="467"/>
    </row>
    <row r="433">
      <c r="A433" s="449" t="s">
        <v>739</v>
      </c>
      <c r="B433" s="449" t="s">
        <v>617</v>
      </c>
      <c r="C433" s="449" t="s">
        <v>60</v>
      </c>
      <c r="D433" s="450" t="str">
        <f>Specials!$B$58</f>
        <v>Bastion</v>
      </c>
      <c r="E433" s="673">
        <f>Specials!$C$58</f>
        <v>1400.604027</v>
      </c>
      <c r="F433" s="783">
        <f>Specials!$D$58</f>
        <v>1043.45</v>
      </c>
      <c r="G433" s="588">
        <f>Specials!$F$58</f>
        <v>39645.9</v>
      </c>
      <c r="H433" s="784">
        <f>Specials!$G$58</f>
        <v>7551.6</v>
      </c>
      <c r="I433" s="455">
        <f>Specials!$H$58</f>
        <v>4</v>
      </c>
      <c r="J433" s="456">
        <f>Specials!$I$58</f>
        <v>21</v>
      </c>
      <c r="K433" s="456">
        <f>Specials!$J$58</f>
        <v>40.26845638</v>
      </c>
      <c r="L433" s="457">
        <f>Specials!$K$58</f>
        <v>1.32</v>
      </c>
      <c r="M433" s="458">
        <f>Specials!$L$58</f>
        <v>40.13</v>
      </c>
      <c r="N433" s="701">
        <f>Specials!$M$58</f>
        <v>1887.9</v>
      </c>
      <c r="O433" s="466" t="str">
        <f>Specials!$N$58</f>
        <v>N/A</v>
      </c>
      <c r="P433" s="117"/>
    </row>
    <row r="434">
      <c r="A434" s="449" t="s">
        <v>739</v>
      </c>
      <c r="B434" s="449" t="s">
        <v>617</v>
      </c>
      <c r="C434" s="449" t="s">
        <v>60</v>
      </c>
      <c r="D434" s="450" t="str">
        <f>Specials!$B$55</f>
        <v>Delicate Tomb</v>
      </c>
      <c r="E434" s="767">
        <f>Specials!$C$55</f>
        <v>607.4074074</v>
      </c>
      <c r="F434" s="650">
        <f>Specials!$D$55</f>
        <v>525.7346394</v>
      </c>
      <c r="G434" s="487">
        <f>Specials!$F$55</f>
        <v>17056</v>
      </c>
      <c r="H434" s="508">
        <f>Specials!$G$55</f>
        <v>3936</v>
      </c>
      <c r="I434" s="455">
        <f>Specials!$H$55</f>
        <v>6</v>
      </c>
      <c r="J434" s="456">
        <f>Specials!$I$55</f>
        <v>26</v>
      </c>
      <c r="K434" s="456">
        <f>Specials!$J$55</f>
        <v>55.55555556</v>
      </c>
      <c r="L434" s="457">
        <f>Specials!$K$55</f>
        <v>1.32</v>
      </c>
      <c r="M434" s="458">
        <f>Specials!$L$55</f>
        <v>21.84</v>
      </c>
      <c r="N434" s="512">
        <f>Specials!$M$55</f>
        <v>656</v>
      </c>
      <c r="O434" s="466" t="str">
        <f>Specials!$N$55</f>
        <v>N/A</v>
      </c>
      <c r="P434" s="517" t="s">
        <v>745</v>
      </c>
    </row>
    <row r="435">
      <c r="A435" s="449" t="s">
        <v>739</v>
      </c>
      <c r="B435" s="449" t="s">
        <v>617</v>
      </c>
      <c r="C435" s="449" t="s">
        <v>60</v>
      </c>
      <c r="D435" s="450" t="str">
        <f>Specials!$B$54</f>
        <v>Delicate Tomb</v>
      </c>
      <c r="E435" s="582">
        <f>Specials!$C$54</f>
        <v>740.7407407</v>
      </c>
      <c r="F435" s="696">
        <f>Specials!$D$54</f>
        <v>641.1398041</v>
      </c>
      <c r="G435" s="483">
        <f>Specials!$F$54</f>
        <v>20800</v>
      </c>
      <c r="H435" s="666">
        <f>Specials!$G$54</f>
        <v>4800</v>
      </c>
      <c r="I435" s="455">
        <f>Specials!$H$54</f>
        <v>6</v>
      </c>
      <c r="J435" s="456">
        <f>Specials!$I$54</f>
        <v>26</v>
      </c>
      <c r="K435" s="456">
        <f>Specials!$J$54</f>
        <v>55.55555556</v>
      </c>
      <c r="L435" s="457">
        <f>Specials!$K$54</f>
        <v>1.32</v>
      </c>
      <c r="M435" s="458">
        <f>Specials!$L$54</f>
        <v>31.96</v>
      </c>
      <c r="N435" s="570">
        <f>Specials!$M$54</f>
        <v>800</v>
      </c>
      <c r="O435" s="466" t="str">
        <f>Specials!$N$54</f>
        <v>N/A</v>
      </c>
      <c r="P435" s="517" t="s">
        <v>746</v>
      </c>
    </row>
    <row r="436">
      <c r="A436" s="449" t="s">
        <v>739</v>
      </c>
      <c r="B436" s="449" t="s">
        <v>617</v>
      </c>
      <c r="C436" s="449" t="s">
        <v>60</v>
      </c>
      <c r="D436" s="482" t="str">
        <f>Specials!$B$48</f>
        <v>High-Impact</v>
      </c>
      <c r="E436" s="556">
        <f>Specials!$C$48</f>
        <v>692.0529801</v>
      </c>
      <c r="F436" s="782">
        <f>Specials!$D$48</f>
        <v>642.2535211</v>
      </c>
      <c r="G436" s="634">
        <f>Specials!$F$48</f>
        <v>19855</v>
      </c>
      <c r="H436" s="785">
        <f>Specials!$G$48</f>
        <v>8360</v>
      </c>
      <c r="I436" s="455">
        <f>Specials!$H$48</f>
        <v>8</v>
      </c>
      <c r="J436" s="456">
        <f>Specials!$I$48</f>
        <v>19</v>
      </c>
      <c r="K436" s="456">
        <f>Specials!$J$48</f>
        <v>39.73509934</v>
      </c>
      <c r="L436" s="457">
        <f>Specials!$K$48</f>
        <v>1.32</v>
      </c>
      <c r="M436" s="458">
        <f>Specials!$L$48</f>
        <v>29.92</v>
      </c>
      <c r="N436" s="644">
        <f>Specials!$M$48</f>
        <v>1045</v>
      </c>
      <c r="O436" s="466" t="str">
        <f>Specials!$N$48</f>
        <v>N/A</v>
      </c>
      <c r="P436" s="467"/>
    </row>
    <row r="437">
      <c r="A437" s="449" t="s">
        <v>739</v>
      </c>
      <c r="B437" s="449" t="s">
        <v>617</v>
      </c>
      <c r="C437" s="449" t="s">
        <v>60</v>
      </c>
      <c r="D437" s="450" t="str">
        <f>Specials!$B$51</f>
        <v>Jotunn</v>
      </c>
      <c r="E437" s="582">
        <f>Specials!$C$51</f>
        <v>1664.615385</v>
      </c>
      <c r="F437" s="786">
        <f>Specials!$D$51</f>
        <v>1438.829787</v>
      </c>
      <c r="G437" s="502">
        <f>Specials!$F$51</f>
        <v>17832</v>
      </c>
      <c r="H437" s="522">
        <f>Specials!$G$51</f>
        <v>10820</v>
      </c>
      <c r="I437" s="455">
        <f>Specials!$H$51</f>
        <v>5</v>
      </c>
      <c r="J437" s="456">
        <f>Specials!$I$51</f>
        <v>24</v>
      </c>
      <c r="K437" s="456">
        <f>Specials!$J$51</f>
        <v>46.15384615</v>
      </c>
      <c r="L437" s="457">
        <f>Specials!$K$51</f>
        <v>1.5</v>
      </c>
      <c r="M437" s="458">
        <f>Specials!$L$51</f>
        <v>34.8</v>
      </c>
      <c r="N437" s="634">
        <f>Specials!$M$51</f>
        <v>743</v>
      </c>
      <c r="O437" s="466" t="str">
        <f>Specials!$N$51</f>
        <v>N/A</v>
      </c>
      <c r="P437" s="467" t="s">
        <v>747</v>
      </c>
    </row>
    <row r="438">
      <c r="A438" s="449" t="s">
        <v>739</v>
      </c>
      <c r="B438" s="449" t="s">
        <v>617</v>
      </c>
      <c r="C438" s="449" t="s">
        <v>60</v>
      </c>
      <c r="D438" s="450" t="str">
        <f>Specials!$B$52</f>
        <v>Jotunn</v>
      </c>
      <c r="E438" s="548">
        <f>Specials!$C$52</f>
        <v>1838.572642</v>
      </c>
      <c r="F438" s="654">
        <f>Specials!$D$52</f>
        <v>1566.980449</v>
      </c>
      <c r="G438" s="502">
        <f>Specials!$F$52</f>
        <v>17832</v>
      </c>
      <c r="H438" s="522">
        <f>Specials!$G$52</f>
        <v>10820</v>
      </c>
      <c r="I438" s="455">
        <f>Specials!$H$52</f>
        <v>5</v>
      </c>
      <c r="J438" s="456">
        <f>Specials!$I$52</f>
        <v>24</v>
      </c>
      <c r="K438" s="456">
        <f>Specials!$J$52</f>
        <v>50.97706032</v>
      </c>
      <c r="L438" s="457">
        <f>Specials!$K$52</f>
        <v>1.5</v>
      </c>
      <c r="M438" s="458">
        <f>Specials!$L$52</f>
        <v>31.848</v>
      </c>
      <c r="N438" s="634">
        <f>Specials!$M$52</f>
        <v>743</v>
      </c>
      <c r="O438" s="466" t="str">
        <f>Specials!$N$52</f>
        <v>N/A</v>
      </c>
      <c r="P438" s="495" t="s">
        <v>748</v>
      </c>
    </row>
    <row r="439">
      <c r="A439" s="449" t="s">
        <v>739</v>
      </c>
      <c r="B439" s="449" t="s">
        <v>617</v>
      </c>
      <c r="C439" s="449" t="s">
        <v>60</v>
      </c>
      <c r="D439" s="450" t="str">
        <f>Specials!$B$49</f>
        <v>Merciless</v>
      </c>
      <c r="E439" s="485">
        <f>Specials!$C$49</f>
        <v>259.19676</v>
      </c>
      <c r="F439" s="671">
        <f>Specials!$D$49</f>
        <v>328.0683959</v>
      </c>
      <c r="G439" s="609">
        <f>Specials!$F$49</f>
        <v>4528</v>
      </c>
      <c r="H439" s="531">
        <f>Specials!$G$49</f>
        <v>1536</v>
      </c>
      <c r="I439" s="455">
        <f>Specials!$H$49</f>
        <v>8</v>
      </c>
      <c r="J439" s="456">
        <f>Specials!$I$49</f>
        <v>19</v>
      </c>
      <c r="K439" s="456">
        <f>Specials!$J$49</f>
        <v>39.21568627</v>
      </c>
      <c r="L439" s="457">
        <f>Specials!$K$49</f>
        <v>1.32</v>
      </c>
      <c r="M439" s="458">
        <f>Specials!$L$49</f>
        <v>13.802</v>
      </c>
      <c r="N439" s="480">
        <f>Specials!$M$49</f>
        <v>272</v>
      </c>
      <c r="O439" s="466" t="str">
        <f>Specials!$N$49</f>
        <v>N/A</v>
      </c>
      <c r="P439" s="515" t="s">
        <v>749</v>
      </c>
    </row>
    <row r="440">
      <c r="A440" s="449" t="s">
        <v>739</v>
      </c>
      <c r="B440" s="449" t="s">
        <v>617</v>
      </c>
      <c r="C440" s="449" t="s">
        <v>60</v>
      </c>
      <c r="D440" s="450" t="str">
        <f>Specials!$B$50</f>
        <v>Merciless</v>
      </c>
      <c r="E440" s="485">
        <f>Specials!$C$50</f>
        <v>471.4863044</v>
      </c>
      <c r="F440" s="671">
        <f>Specials!$D$50</f>
        <v>478.2368826</v>
      </c>
      <c r="G440" s="609">
        <f>Specials!$F$50</f>
        <v>6588</v>
      </c>
      <c r="H440" s="531">
        <f>Specials!$G$50</f>
        <v>2100</v>
      </c>
      <c r="I440" s="455">
        <f>Specials!$H$50</f>
        <v>8</v>
      </c>
      <c r="J440" s="456">
        <f>Specials!$I$50</f>
        <v>19</v>
      </c>
      <c r="K440" s="456">
        <f>Specials!$J$50</f>
        <v>39.21568627</v>
      </c>
      <c r="L440" s="457">
        <f>Specials!$K$50</f>
        <v>0.8712</v>
      </c>
      <c r="M440" s="458">
        <f>Specials!$L$50</f>
        <v>13.7756</v>
      </c>
      <c r="N440" s="480">
        <f>Specials!$M$50</f>
        <v>408</v>
      </c>
      <c r="O440" s="466" t="str">
        <f>Specials!$N$50</f>
        <v>N/A</v>
      </c>
      <c r="P440" s="515" t="s">
        <v>310</v>
      </c>
    </row>
    <row r="441">
      <c r="A441" s="449" t="s">
        <v>739</v>
      </c>
      <c r="B441" s="449" t="s">
        <v>617</v>
      </c>
      <c r="C441" s="449" t="s">
        <v>60</v>
      </c>
      <c r="D441" s="482" t="str">
        <f>Specials!$B$47</f>
        <v>Precision</v>
      </c>
      <c r="E441" s="647">
        <f>Specials!$C$47</f>
        <v>616.4179104</v>
      </c>
      <c r="F441" s="787">
        <f>Specials!$D$47</f>
        <v>562.2234827</v>
      </c>
      <c r="G441" s="659">
        <f>Specials!$F$47</f>
        <v>15694</v>
      </c>
      <c r="H441" s="668">
        <f>Specials!$G$47</f>
        <v>6608</v>
      </c>
      <c r="I441" s="455">
        <f>Specials!$H$47</f>
        <v>8</v>
      </c>
      <c r="J441" s="456">
        <f>Specials!$I$47</f>
        <v>19</v>
      </c>
      <c r="K441" s="456">
        <f>Specials!$J$47</f>
        <v>44.7761194</v>
      </c>
      <c r="L441" s="457">
        <f>Specials!$K$47</f>
        <v>1.32</v>
      </c>
      <c r="M441" s="458">
        <f>Specials!$L$47</f>
        <v>26.78</v>
      </c>
      <c r="N441" s="512">
        <f>Specials!$M$47</f>
        <v>826</v>
      </c>
      <c r="O441" s="466" t="str">
        <f>Specials!$N$47</f>
        <v>N/A</v>
      </c>
      <c r="P441" s="467"/>
    </row>
    <row r="442">
      <c r="A442" s="449" t="s">
        <v>739</v>
      </c>
      <c r="B442" s="449" t="s">
        <v>617</v>
      </c>
      <c r="C442" s="449" t="s">
        <v>60</v>
      </c>
      <c r="D442" s="482" t="str">
        <f>Specials!$B$43</f>
        <v>Rapid-Fire</v>
      </c>
      <c r="E442" s="735">
        <f>Specials!$C$43</f>
        <v>645.1327434</v>
      </c>
      <c r="F442" s="788">
        <f>Specials!$D$43</f>
        <v>597.1738685</v>
      </c>
      <c r="G442" s="485">
        <f>Specials!$F$43</f>
        <v>16038</v>
      </c>
      <c r="H442" s="596">
        <f>Specials!$G$43</f>
        <v>5832</v>
      </c>
      <c r="I442" s="455">
        <f>Specials!$H$43</f>
        <v>8</v>
      </c>
      <c r="J442" s="456">
        <f>Specials!$I$43</f>
        <v>22</v>
      </c>
      <c r="K442" s="456">
        <f>Specials!$J$43</f>
        <v>53.09734513</v>
      </c>
      <c r="L442" s="457">
        <f>Specials!$K$43</f>
        <v>1.056</v>
      </c>
      <c r="M442" s="458">
        <f>Specials!$L$43</f>
        <v>25.562</v>
      </c>
      <c r="N442" s="599">
        <f>Specials!$M$43</f>
        <v>729</v>
      </c>
      <c r="O442" s="466" t="str">
        <f>Specials!$N$43</f>
        <v>N/A</v>
      </c>
      <c r="P442" s="467"/>
    </row>
    <row r="443">
      <c r="A443" s="449" t="s">
        <v>739</v>
      </c>
      <c r="B443" s="449" t="s">
        <v>617</v>
      </c>
      <c r="C443" s="449" t="s">
        <v>60</v>
      </c>
      <c r="D443" s="482" t="str">
        <f>Specials!$B$44</f>
        <v>Rapid-Fire</v>
      </c>
      <c r="E443" s="735">
        <f>Specials!$C$44</f>
        <v>810</v>
      </c>
      <c r="F443" s="545">
        <f>Specials!$D$44</f>
        <v>747.2133248</v>
      </c>
      <c r="G443" s="697">
        <f>Specials!$F$44</f>
        <v>19245.6</v>
      </c>
      <c r="H443" s="526">
        <f>Specials!$G$44</f>
        <v>6998.4</v>
      </c>
      <c r="I443" s="455">
        <f>Specials!$H$44</f>
        <v>8</v>
      </c>
      <c r="J443" s="456">
        <f>Specials!$I$44</f>
        <v>22</v>
      </c>
      <c r="K443" s="456">
        <f>Specials!$J$44</f>
        <v>55.55555556</v>
      </c>
      <c r="L443" s="457">
        <f>Specials!$K$44</f>
        <v>1.056</v>
      </c>
      <c r="M443" s="458">
        <f>Specials!$L$44</f>
        <v>24.462</v>
      </c>
      <c r="N443" s="462">
        <f>Specials!$M$44</f>
        <v>874.8</v>
      </c>
      <c r="O443" s="466" t="str">
        <f>Specials!$N$44</f>
        <v>N/A</v>
      </c>
      <c r="P443" s="127" t="s">
        <v>750</v>
      </c>
    </row>
    <row r="444">
      <c r="A444" s="449" t="s">
        <v>739</v>
      </c>
      <c r="B444" s="449" t="s">
        <v>617</v>
      </c>
      <c r="C444" s="449" t="s">
        <v>60</v>
      </c>
      <c r="D444" s="450" t="str">
        <f>Specials!$B$56</f>
        <v>Telesto</v>
      </c>
      <c r="E444" s="620">
        <f>Specials!$C$56</f>
        <v>750.7246377</v>
      </c>
      <c r="F444" s="782">
        <f>Specials!$D$56</f>
        <v>680.7259074</v>
      </c>
      <c r="G444" s="508">
        <f>Specials!$F$56</f>
        <v>19684</v>
      </c>
      <c r="H444" s="616">
        <f>Specials!$G$56</f>
        <v>7252</v>
      </c>
      <c r="I444" s="455">
        <f>Specials!$H$56</f>
        <v>7</v>
      </c>
      <c r="J444" s="456">
        <f>Specials!$I$56</f>
        <v>19</v>
      </c>
      <c r="K444" s="456">
        <f>Specials!$J$56</f>
        <v>43.47826087</v>
      </c>
      <c r="L444" s="457">
        <f>Specials!$K$56</f>
        <v>1.32</v>
      </c>
      <c r="M444" s="458">
        <f>Specials!$L$56</f>
        <v>27.54</v>
      </c>
      <c r="N444" s="468">
        <f>Specials!$M$56</f>
        <v>1036</v>
      </c>
      <c r="O444" s="466" t="str">
        <f>Specials!$N$56</f>
        <v>N/A</v>
      </c>
      <c r="P444" s="117" t="s">
        <v>637</v>
      </c>
    </row>
    <row r="445">
      <c r="A445" s="449" t="s">
        <v>739</v>
      </c>
      <c r="B445" s="449" t="s">
        <v>617</v>
      </c>
      <c r="C445" s="449" t="s">
        <v>60</v>
      </c>
      <c r="D445" s="450" t="str">
        <f>Specials!$B$53</f>
        <v>Tesselation</v>
      </c>
      <c r="E445" s="556">
        <f>Specials!$C$53</f>
        <v>647.0588235</v>
      </c>
      <c r="F445" s="789">
        <f>Specials!$D$53</f>
        <v>553.7355174</v>
      </c>
      <c r="G445" s="599">
        <f>Specials!$F$53</f>
        <v>16940</v>
      </c>
      <c r="H445" s="656">
        <f>Specials!$G$53</f>
        <v>4620</v>
      </c>
      <c r="I445" s="455">
        <f>Specials!$H$53</f>
        <v>6</v>
      </c>
      <c r="J445" s="456">
        <f>Specials!$I$53</f>
        <v>22</v>
      </c>
      <c r="K445" s="456">
        <f>Specials!$J$53</f>
        <v>50.42016807</v>
      </c>
      <c r="L445" s="457">
        <f>Specials!$K$53</f>
        <v>1.5</v>
      </c>
      <c r="M445" s="458">
        <f>Specials!$L$53</f>
        <v>29.04</v>
      </c>
      <c r="N445" s="462">
        <f>Specials!$M$53</f>
        <v>770</v>
      </c>
      <c r="O445" s="466" t="str">
        <f>Specials!$N$53</f>
        <v>N/A</v>
      </c>
      <c r="P445" s="467"/>
    </row>
    <row r="446">
      <c r="A446" s="449" t="s">
        <v>739</v>
      </c>
      <c r="B446" s="449" t="s">
        <v>619</v>
      </c>
      <c r="C446" s="449" t="s">
        <v>60</v>
      </c>
      <c r="D446" s="482" t="str">
        <f>Specials!$B$110</f>
        <v>Adaptive</v>
      </c>
      <c r="E446" s="762">
        <f>Specials!$C$110</f>
        <v>182.5806452</v>
      </c>
      <c r="F446" s="466">
        <f>Specials!$D$110</f>
        <v>182.5806452</v>
      </c>
      <c r="G446" s="473" t="str">
        <f>Specials!$F$110</f>
        <v>inf</v>
      </c>
      <c r="H446" s="473" t="str">
        <f>Specials!$G$110</f>
        <v>N/A</v>
      </c>
      <c r="I446" s="456" t="str">
        <f>Specials!$H$110</f>
        <v>N/A</v>
      </c>
      <c r="J446" s="456" t="str">
        <f>Specials!$I$110</f>
        <v>N/A</v>
      </c>
      <c r="K446" s="456">
        <f>Specials!$J$110</f>
        <v>116.1290323</v>
      </c>
      <c r="L446" s="457" t="str">
        <f>Specials!$K$110</f>
        <v>N/A</v>
      </c>
      <c r="M446" s="473" t="str">
        <f>Specials!$L$110</f>
        <v>N/A</v>
      </c>
      <c r="N446" s="474">
        <f>Specials!$M$110</f>
        <v>114</v>
      </c>
      <c r="O446" s="466" t="str">
        <f>Specials!$N$110</f>
        <v>N/A</v>
      </c>
      <c r="P446" s="127" t="s">
        <v>385</v>
      </c>
    </row>
    <row r="447">
      <c r="A447" s="449" t="s">
        <v>739</v>
      </c>
      <c r="B447" s="449" t="s">
        <v>619</v>
      </c>
      <c r="C447" s="449" t="s">
        <v>60</v>
      </c>
      <c r="D447" s="482" t="str">
        <f>Specials!$B$108</f>
        <v>Adaptive</v>
      </c>
      <c r="E447" s="645">
        <f>Specials!$C$108</f>
        <v>421.6666667</v>
      </c>
      <c r="F447" s="768">
        <f>Specials!$D$108</f>
        <v>392.907985</v>
      </c>
      <c r="G447" s="548">
        <f>Specials!$F$108</f>
        <v>13340</v>
      </c>
      <c r="H447" s="454">
        <f>Specials!$G$108</f>
        <v>2760</v>
      </c>
      <c r="I447" s="455">
        <f>Specials!$H$108</f>
        <v>6</v>
      </c>
      <c r="J447" s="456">
        <f>Specials!$I$108</f>
        <v>29</v>
      </c>
      <c r="K447" s="456">
        <f>Specials!$J$108</f>
        <v>55</v>
      </c>
      <c r="L447" s="457">
        <f>Specials!$K$108</f>
        <v>1.57</v>
      </c>
      <c r="M447" s="458">
        <f>Specials!$L$108</f>
        <v>32.46181818</v>
      </c>
      <c r="N447" s="582">
        <f>Specials!$M$108</f>
        <v>460</v>
      </c>
      <c r="O447" s="466" t="str">
        <f>Specials!$N$108</f>
        <v>N/A</v>
      </c>
      <c r="P447" s="467"/>
    </row>
    <row r="448">
      <c r="A448" s="449" t="s">
        <v>739</v>
      </c>
      <c r="B448" s="449" t="s">
        <v>619</v>
      </c>
      <c r="C448" s="449" t="s">
        <v>60</v>
      </c>
      <c r="D448" s="482" t="str">
        <f>Specials!$B$109</f>
        <v>Adaptive</v>
      </c>
      <c r="E448" s="472">
        <f>Specials!$C$109</f>
        <v>253.3333333</v>
      </c>
      <c r="F448" s="466">
        <f>Specials!$D$109</f>
        <v>253.3333333</v>
      </c>
      <c r="G448" s="473" t="str">
        <f>Specials!$F$109</f>
        <v>inf</v>
      </c>
      <c r="H448" s="473" t="str">
        <f>Specials!$G$109</f>
        <v>N/A</v>
      </c>
      <c r="I448" s="456" t="str">
        <f>Specials!$H$109</f>
        <v>N/A</v>
      </c>
      <c r="J448" s="456" t="str">
        <f>Specials!$I$109</f>
        <v>N/A</v>
      </c>
      <c r="K448" s="456">
        <f>Specials!$J$109</f>
        <v>133.3333333</v>
      </c>
      <c r="L448" s="457" t="str">
        <f>Specials!$K$109</f>
        <v>N/A</v>
      </c>
      <c r="M448" s="473" t="str">
        <f>Specials!$L$109</f>
        <v>N/A</v>
      </c>
      <c r="N448" s="474">
        <f>Specials!$M$109</f>
        <v>114</v>
      </c>
      <c r="O448" s="466" t="str">
        <f>Specials!$N$109</f>
        <v>N/A</v>
      </c>
      <c r="P448" s="127" t="s">
        <v>384</v>
      </c>
    </row>
    <row r="449">
      <c r="A449" s="449" t="s">
        <v>739</v>
      </c>
      <c r="B449" s="449" t="s">
        <v>619</v>
      </c>
      <c r="C449" s="449" t="s">
        <v>60</v>
      </c>
      <c r="D449" s="482" t="str">
        <f>Specials!$B$111</f>
        <v>Aggressive</v>
      </c>
      <c r="E449" s="736">
        <f>Specials!$C$111</f>
        <v>396</v>
      </c>
      <c r="F449" s="663">
        <f>Specials!$D$111</f>
        <v>384.6216107</v>
      </c>
      <c r="G449" s="583">
        <f>Specials!$F$111</f>
        <v>17424</v>
      </c>
      <c r="H449" s="500">
        <f>Specials!$G$111</f>
        <v>3168</v>
      </c>
      <c r="I449" s="455">
        <f>Specials!$H$111</f>
        <v>6</v>
      </c>
      <c r="J449" s="456">
        <f>Specials!$I$111</f>
        <v>33</v>
      </c>
      <c r="K449" s="456">
        <f>Specials!$J$111</f>
        <v>45</v>
      </c>
      <c r="L449" s="457">
        <f>Specials!$K$111</f>
        <v>1.57</v>
      </c>
      <c r="M449" s="458">
        <f>Specials!$L$111</f>
        <v>43.85</v>
      </c>
      <c r="N449" s="454">
        <f>Specials!$M$111</f>
        <v>528</v>
      </c>
      <c r="O449" s="761" t="str">
        <f>Specials!$N$111</f>
        <v>N/A</v>
      </c>
      <c r="P449" s="117"/>
    </row>
    <row r="450">
      <c r="A450" s="449" t="s">
        <v>739</v>
      </c>
      <c r="B450" s="449" t="s">
        <v>619</v>
      </c>
      <c r="C450" s="449" t="s">
        <v>60</v>
      </c>
      <c r="D450" s="482" t="str">
        <f>Specials!$B$112</f>
        <v>Aggressive</v>
      </c>
      <c r="E450" s="472">
        <f>Specials!$C$112</f>
        <v>253.3333333</v>
      </c>
      <c r="F450" s="466">
        <f>Specials!$D$112</f>
        <v>253.3333333</v>
      </c>
      <c r="G450" s="473" t="str">
        <f>Specials!$F$112</f>
        <v>inf</v>
      </c>
      <c r="H450" s="473" t="str">
        <f>Specials!$G$112</f>
        <v>N/A</v>
      </c>
      <c r="I450" s="456" t="str">
        <f>Specials!$H$112</f>
        <v>N/A</v>
      </c>
      <c r="J450" s="456" t="str">
        <f>Specials!$I$112</f>
        <v>N/A</v>
      </c>
      <c r="K450" s="456">
        <f>Specials!$J$112</f>
        <v>133.3333333</v>
      </c>
      <c r="L450" s="457" t="str">
        <f>Specials!$K$112</f>
        <v>N/A</v>
      </c>
      <c r="M450" s="473" t="str">
        <f>Specials!$L$112</f>
        <v>N/A</v>
      </c>
      <c r="N450" s="474">
        <f>Specials!$M$112</f>
        <v>114</v>
      </c>
      <c r="O450" s="466" t="str">
        <f>Specials!$N$112</f>
        <v>N/A</v>
      </c>
      <c r="P450" s="127" t="s">
        <v>384</v>
      </c>
    </row>
    <row r="451">
      <c r="A451" s="449" t="s">
        <v>739</v>
      </c>
      <c r="B451" s="449" t="s">
        <v>619</v>
      </c>
      <c r="C451" s="449" t="s">
        <v>60</v>
      </c>
      <c r="D451" s="450" t="str">
        <f>Specials!$B$118</f>
        <v>Edge of Action</v>
      </c>
      <c r="E451" s="645">
        <f>Specials!$C$118</f>
        <v>421.6666667</v>
      </c>
      <c r="F451" s="768">
        <f>Specials!$D$118</f>
        <v>392.907985</v>
      </c>
      <c r="G451" s="505">
        <f>Specials!$F$118</f>
        <v>13340</v>
      </c>
      <c r="H451" s="454">
        <f>Specials!$G$118</f>
        <v>2760</v>
      </c>
      <c r="I451" s="455">
        <f>Specials!$H$118</f>
        <v>6</v>
      </c>
      <c r="J451" s="456">
        <f>Specials!$I$118</f>
        <v>29</v>
      </c>
      <c r="K451" s="456">
        <f>Specials!$J$118</f>
        <v>55</v>
      </c>
      <c r="L451" s="457">
        <f>Specials!$K$118</f>
        <v>1.57</v>
      </c>
      <c r="M451" s="458">
        <f>Specials!$L$118</f>
        <v>32.46181818</v>
      </c>
      <c r="N451" s="582">
        <f>Specials!$M$118</f>
        <v>460</v>
      </c>
      <c r="O451" s="466" t="str">
        <f>Specials!$N$118</f>
        <v>N/A</v>
      </c>
      <c r="P451" s="467"/>
    </row>
    <row r="452">
      <c r="A452" s="449" t="s">
        <v>739</v>
      </c>
      <c r="B452" s="449" t="s">
        <v>619</v>
      </c>
      <c r="C452" s="449" t="s">
        <v>60</v>
      </c>
      <c r="D452" s="450" t="str">
        <f>Specials!$B$119</f>
        <v>Edge of Action</v>
      </c>
      <c r="E452" s="472">
        <f>Specials!$C$119</f>
        <v>253.3333333</v>
      </c>
      <c r="F452" s="466">
        <f>Specials!$D$119</f>
        <v>253.3333333</v>
      </c>
      <c r="G452" s="473" t="str">
        <f>Specials!$F$119</f>
        <v>inf</v>
      </c>
      <c r="H452" s="473" t="str">
        <f>Specials!$G$119</f>
        <v>N/A</v>
      </c>
      <c r="I452" s="456" t="str">
        <f>Specials!$H$119</f>
        <v>N/A</v>
      </c>
      <c r="J452" s="456" t="str">
        <f>Specials!$I$119</f>
        <v>N/A</v>
      </c>
      <c r="K452" s="456">
        <f>Specials!$J$119</f>
        <v>133.3333333</v>
      </c>
      <c r="L452" s="457" t="str">
        <f>Specials!$K$119</f>
        <v>N/A</v>
      </c>
      <c r="M452" s="473" t="str">
        <f>Specials!$L$119</f>
        <v>N/A</v>
      </c>
      <c r="N452" s="474">
        <f>Specials!$M$119</f>
        <v>114</v>
      </c>
      <c r="O452" s="466" t="str">
        <f>Specials!$N$119</f>
        <v>N/A</v>
      </c>
      <c r="P452" s="127" t="s">
        <v>384</v>
      </c>
    </row>
    <row r="453">
      <c r="A453" s="449" t="s">
        <v>739</v>
      </c>
      <c r="B453" s="449" t="s">
        <v>619</v>
      </c>
      <c r="C453" s="449" t="s">
        <v>60</v>
      </c>
      <c r="D453" s="450" t="str">
        <f>Specials!$B$116</f>
        <v>Edge of Concurrence</v>
      </c>
      <c r="E453" s="724">
        <f>Specials!$C$116</f>
        <v>482.6666667</v>
      </c>
      <c r="F453" s="761">
        <f>Specials!$D$116</f>
        <v>371.5542522</v>
      </c>
      <c r="G453" s="620">
        <f>Specials!$F$116</f>
        <v>11946</v>
      </c>
      <c r="H453" s="548">
        <f>Specials!$G$116</f>
        <v>2534</v>
      </c>
      <c r="I453" s="455">
        <f>Specials!$H$116</f>
        <v>7</v>
      </c>
      <c r="J453" s="456">
        <f>Specials!$I$116</f>
        <v>33</v>
      </c>
      <c r="K453" s="456">
        <f>Specials!$J$116</f>
        <v>80</v>
      </c>
      <c r="L453" s="457">
        <f>Specials!$K$116</f>
        <v>1.57</v>
      </c>
      <c r="M453" s="458">
        <f>Specials!$L$116</f>
        <v>31.03</v>
      </c>
      <c r="N453" s="735">
        <f>Specials!$M$116</f>
        <v>362</v>
      </c>
      <c r="O453" s="466" t="str">
        <f>Specials!$N$116</f>
        <v>N/A</v>
      </c>
      <c r="P453" s="117" t="s">
        <v>389</v>
      </c>
    </row>
    <row r="454">
      <c r="A454" s="449" t="s">
        <v>739</v>
      </c>
      <c r="B454" s="449" t="s">
        <v>619</v>
      </c>
      <c r="C454" s="449" t="s">
        <v>60</v>
      </c>
      <c r="D454" s="450" t="str">
        <f>Specials!$B$117</f>
        <v>Edge of Concurrence</v>
      </c>
      <c r="E454" s="472">
        <f>Specials!$C$117</f>
        <v>253.3333333</v>
      </c>
      <c r="F454" s="466">
        <f>Specials!$D$117</f>
        <v>253.3333333</v>
      </c>
      <c r="G454" s="473" t="str">
        <f>Specials!$F$117</f>
        <v>inf</v>
      </c>
      <c r="H454" s="473" t="str">
        <f>Specials!$G$117</f>
        <v>N/A</v>
      </c>
      <c r="I454" s="456" t="str">
        <f>Specials!$H$117</f>
        <v>N/A</v>
      </c>
      <c r="J454" s="456" t="str">
        <f>Specials!$I$117</f>
        <v>N/A</v>
      </c>
      <c r="K454" s="456">
        <f>Specials!$J$117</f>
        <v>133.3333333</v>
      </c>
      <c r="L454" s="457" t="str">
        <f>Specials!$K$117</f>
        <v>N/A</v>
      </c>
      <c r="M454" s="473" t="str">
        <f>Specials!$L$117</f>
        <v>N/A</v>
      </c>
      <c r="N454" s="474">
        <f>Specials!$M$117</f>
        <v>114</v>
      </c>
      <c r="O454" s="466" t="str">
        <f>Specials!$N$117</f>
        <v>N/A</v>
      </c>
      <c r="P454" s="127" t="s">
        <v>384</v>
      </c>
    </row>
    <row r="455">
      <c r="A455" s="449" t="s">
        <v>739</v>
      </c>
      <c r="B455" s="449" t="s">
        <v>619</v>
      </c>
      <c r="C455" s="449" t="s">
        <v>60</v>
      </c>
      <c r="D455" s="450" t="str">
        <f>Specials!$B$120</f>
        <v>Edge of Intent</v>
      </c>
      <c r="E455" s="736">
        <f>Specials!$C$120</f>
        <v>396</v>
      </c>
      <c r="F455" s="790">
        <f>Specials!$D$120</f>
        <v>320.5180089</v>
      </c>
      <c r="G455" s="500">
        <f>Specials!$F$120</f>
        <v>16368</v>
      </c>
      <c r="H455" s="613">
        <f>Specials!$G$120</f>
        <v>2640</v>
      </c>
      <c r="I455" s="455">
        <f>Specials!$H$120</f>
        <v>5</v>
      </c>
      <c r="J455" s="456">
        <f>Specials!$I$120</f>
        <v>31</v>
      </c>
      <c r="K455" s="456">
        <f>Specials!$J$120</f>
        <v>45</v>
      </c>
      <c r="L455" s="457">
        <f>Specials!$K$120</f>
        <v>1.57</v>
      </c>
      <c r="M455" s="458">
        <f>Specials!$L$120</f>
        <v>50.75333333</v>
      </c>
      <c r="N455" s="534">
        <f>Specials!$M$120</f>
        <v>528</v>
      </c>
      <c r="O455" s="466" t="str">
        <f>Specials!$N$120</f>
        <v>N/A</v>
      </c>
      <c r="P455" s="467"/>
    </row>
    <row r="456">
      <c r="A456" s="449" t="s">
        <v>739</v>
      </c>
      <c r="B456" s="449" t="s">
        <v>619</v>
      </c>
      <c r="C456" s="449" t="s">
        <v>60</v>
      </c>
      <c r="D456" s="450" t="str">
        <f>Specials!$B$121</f>
        <v>Edge of Intent</v>
      </c>
      <c r="E456" s="472">
        <f>Specials!$C$121</f>
        <v>253.3333333</v>
      </c>
      <c r="F456" s="466">
        <f>Specials!$D$121</f>
        <v>253.3333333</v>
      </c>
      <c r="G456" s="473" t="str">
        <f>Specials!$F$121</f>
        <v>inf</v>
      </c>
      <c r="H456" s="473" t="str">
        <f>Specials!$G$121</f>
        <v>N/A</v>
      </c>
      <c r="I456" s="456" t="str">
        <f>Specials!$H$121</f>
        <v>N/A</v>
      </c>
      <c r="J456" s="456" t="str">
        <f>Specials!$I$121</f>
        <v>N/A</v>
      </c>
      <c r="K456" s="456">
        <f>Specials!$J$121</f>
        <v>133.3333333</v>
      </c>
      <c r="L456" s="457" t="str">
        <f>Specials!$K$121</f>
        <v>N/A</v>
      </c>
      <c r="M456" s="473" t="str">
        <f>Specials!$L$121</f>
        <v>N/A</v>
      </c>
      <c r="N456" s="474">
        <f>Specials!$M$121</f>
        <v>114</v>
      </c>
      <c r="O456" s="466" t="str">
        <f>Specials!$N$121</f>
        <v>N/A</v>
      </c>
      <c r="P456" s="127" t="s">
        <v>384</v>
      </c>
    </row>
    <row r="457">
      <c r="A457" s="449" t="s">
        <v>739</v>
      </c>
      <c r="B457" s="449" t="s">
        <v>619</v>
      </c>
      <c r="C457" s="449" t="s">
        <v>60</v>
      </c>
      <c r="D457" s="482" t="str">
        <f>Specials!$B$106</f>
        <v>Rapid-Fire</v>
      </c>
      <c r="E457" s="724">
        <f>Specials!$C$106</f>
        <v>482.6666667</v>
      </c>
      <c r="F457" s="791">
        <f>Specials!$D$106</f>
        <v>417.4629325</v>
      </c>
      <c r="G457" s="620">
        <f>Specials!$F$106</f>
        <v>11222</v>
      </c>
      <c r="H457" s="548">
        <f>Specials!$G$106</f>
        <v>2534</v>
      </c>
      <c r="I457" s="455">
        <f>Specials!$H$106</f>
        <v>7</v>
      </c>
      <c r="J457" s="456">
        <f>Specials!$I$106</f>
        <v>31</v>
      </c>
      <c r="K457" s="456">
        <f>Specials!$J$106</f>
        <v>80</v>
      </c>
      <c r="L457" s="457">
        <f>Specials!$K$106</f>
        <v>1.57</v>
      </c>
      <c r="M457" s="458">
        <f>Specials!$L$106</f>
        <v>25.78</v>
      </c>
      <c r="N457" s="735">
        <f>Specials!$M$106</f>
        <v>362</v>
      </c>
      <c r="O457" s="466" t="str">
        <f>Specials!$N$106</f>
        <v>N/A</v>
      </c>
      <c r="P457" s="467"/>
    </row>
    <row r="458">
      <c r="A458" s="449" t="s">
        <v>739</v>
      </c>
      <c r="B458" s="449" t="s">
        <v>619</v>
      </c>
      <c r="C458" s="449" t="s">
        <v>60</v>
      </c>
      <c r="D458" s="482" t="str">
        <f>Specials!$B$107</f>
        <v>Rapid-Fire</v>
      </c>
      <c r="E458" s="472">
        <f>Specials!$C$107</f>
        <v>253.3333333</v>
      </c>
      <c r="F458" s="466">
        <f>Specials!$D$107</f>
        <v>253.3333333</v>
      </c>
      <c r="G458" s="473" t="str">
        <f>Specials!$F$107</f>
        <v>inf</v>
      </c>
      <c r="H458" s="473" t="str">
        <f>Specials!$G$107</f>
        <v>N/A</v>
      </c>
      <c r="I458" s="456" t="str">
        <f>Specials!$H$107</f>
        <v>N/A</v>
      </c>
      <c r="J458" s="456" t="str">
        <f>Specials!$I$107</f>
        <v>N/A</v>
      </c>
      <c r="K458" s="456">
        <f>Specials!$J$107</f>
        <v>133.3333333</v>
      </c>
      <c r="L458" s="457" t="str">
        <f>Specials!$K$107</f>
        <v>N/A</v>
      </c>
      <c r="M458" s="473" t="str">
        <f>Specials!$L$107</f>
        <v>N/A</v>
      </c>
      <c r="N458" s="474">
        <f>Specials!$M$107</f>
        <v>114</v>
      </c>
      <c r="O458" s="466" t="str">
        <f>Specials!$N$107</f>
        <v>N/A</v>
      </c>
      <c r="P458" s="127" t="s">
        <v>384</v>
      </c>
    </row>
    <row r="459">
      <c r="A459" s="449" t="s">
        <v>739</v>
      </c>
      <c r="B459" s="449" t="s">
        <v>619</v>
      </c>
      <c r="C459" s="449" t="s">
        <v>60</v>
      </c>
      <c r="D459" s="450" t="str">
        <f>Specials!$B$114</f>
        <v>Vexcalibur</v>
      </c>
      <c r="E459" s="472">
        <f>Specials!$C$114</f>
        <v>253.3333333</v>
      </c>
      <c r="F459" s="466">
        <f>Specials!$D$114</f>
        <v>253.3333333</v>
      </c>
      <c r="G459" s="473" t="str">
        <f>Specials!$F$114</f>
        <v>inf</v>
      </c>
      <c r="H459" s="473" t="str">
        <f>Specials!$G$114</f>
        <v>N/A</v>
      </c>
      <c r="I459" s="456" t="str">
        <f>Specials!$H$114</f>
        <v>N/A</v>
      </c>
      <c r="J459" s="456" t="str">
        <f>Specials!$I$114</f>
        <v>N/A</v>
      </c>
      <c r="K459" s="456">
        <f>Specials!$J$114</f>
        <v>133.3333333</v>
      </c>
      <c r="L459" s="457" t="str">
        <f>Specials!$K$114</f>
        <v>N/A</v>
      </c>
      <c r="M459" s="473" t="str">
        <f>Specials!$L$114</f>
        <v>N/A</v>
      </c>
      <c r="N459" s="474">
        <f>Specials!$M$114</f>
        <v>114</v>
      </c>
      <c r="O459" s="466" t="str">
        <f>Specials!$N$114</f>
        <v>N/A</v>
      </c>
      <c r="P459" s="127" t="s">
        <v>384</v>
      </c>
    </row>
    <row r="460">
      <c r="A460" s="449" t="s">
        <v>739</v>
      </c>
      <c r="B460" s="449" t="s">
        <v>619</v>
      </c>
      <c r="C460" s="449" t="s">
        <v>60</v>
      </c>
      <c r="D460" s="450" t="str">
        <f>Specials!$B$115</f>
        <v>Vexcalibur</v>
      </c>
      <c r="E460" s="593">
        <f>Specials!$C$115</f>
        <v>304</v>
      </c>
      <c r="F460" s="466">
        <f>Specials!$D$115</f>
        <v>304</v>
      </c>
      <c r="G460" s="473" t="str">
        <f>Specials!$F$115</f>
        <v>inf</v>
      </c>
      <c r="H460" s="473" t="str">
        <f>Specials!$G$115</f>
        <v>N/A</v>
      </c>
      <c r="I460" s="456" t="str">
        <f>Specials!$H$115</f>
        <v>N/A</v>
      </c>
      <c r="J460" s="456" t="str">
        <f>Specials!$I$115</f>
        <v>N/A</v>
      </c>
      <c r="K460" s="456">
        <f>Specials!$J$115</f>
        <v>133.3333333</v>
      </c>
      <c r="L460" s="457" t="str">
        <f>Specials!$K$115</f>
        <v>N/A</v>
      </c>
      <c r="M460" s="473" t="str">
        <f>Specials!$L$115</f>
        <v>N/A</v>
      </c>
      <c r="N460" s="647">
        <f>Specials!$M$115</f>
        <v>136.8</v>
      </c>
      <c r="O460" s="466" t="str">
        <f>Specials!$N$115</f>
        <v>N/A</v>
      </c>
      <c r="P460" s="127" t="s">
        <v>384</v>
      </c>
    </row>
    <row r="461">
      <c r="A461" s="449" t="s">
        <v>739</v>
      </c>
      <c r="B461" s="449" t="s">
        <v>619</v>
      </c>
      <c r="C461" s="449" t="s">
        <v>60</v>
      </c>
      <c r="D461" s="450" t="str">
        <f>Specials!$B$113</f>
        <v>Vexcalibur</v>
      </c>
      <c r="E461" s="586">
        <f>Specials!$C$113</f>
        <v>660</v>
      </c>
      <c r="F461" s="685">
        <f>Specials!$D$113</f>
        <v>558.2706767</v>
      </c>
      <c r="G461" s="500">
        <f>Specials!$F$113</f>
        <v>16335</v>
      </c>
      <c r="H461" s="579">
        <f>Specials!$G$113</f>
        <v>2970</v>
      </c>
      <c r="I461" s="455">
        <f>Specials!$H$113</f>
        <v>6</v>
      </c>
      <c r="J461" s="456">
        <f>Specials!$I$113</f>
        <v>33</v>
      </c>
      <c r="K461" s="456">
        <f>Specials!$J$113</f>
        <v>80</v>
      </c>
      <c r="L461" s="457">
        <f>Specials!$K$113</f>
        <v>1.57</v>
      </c>
      <c r="M461" s="458">
        <f>Specials!$L$113</f>
        <v>28.1</v>
      </c>
      <c r="N461" s="534">
        <f>Specials!$M$113</f>
        <v>495</v>
      </c>
      <c r="O461" s="466" t="str">
        <f>Specials!$N$113</f>
        <v>N/A</v>
      </c>
      <c r="P461" s="117"/>
    </row>
    <row r="462">
      <c r="A462" s="449" t="s">
        <v>739</v>
      </c>
      <c r="B462" s="461" t="s">
        <v>673</v>
      </c>
      <c r="C462" s="449" t="s">
        <v>60</v>
      </c>
      <c r="D462" s="450" t="str">
        <f>Specials!$B$128</f>
        <v>Choir of One</v>
      </c>
      <c r="E462" s="505">
        <f>Specials!$C$128</f>
        <v>2011.363636</v>
      </c>
      <c r="F462" s="563">
        <f>Specials!$D$128</f>
        <v>1226.441242</v>
      </c>
      <c r="G462" s="508">
        <f>Specials!$F$128</f>
        <v>24136.36364</v>
      </c>
      <c r="H462" s="656">
        <f>Specials!$G$128</f>
        <v>2681.818182</v>
      </c>
      <c r="I462" s="455">
        <f>Specials!$H$128</f>
        <v>25</v>
      </c>
      <c r="J462" s="456">
        <f>Specials!$I$128</f>
        <v>225</v>
      </c>
      <c r="K462" s="456">
        <f>Specials!$J$128</f>
        <v>225</v>
      </c>
      <c r="L462" s="457">
        <f>Specials!$K$128</f>
        <v>1.12</v>
      </c>
      <c r="M462" s="458">
        <f>Specials!$L$128</f>
        <v>18.56</v>
      </c>
      <c r="N462" s="735">
        <f>Specials!$M$128</f>
        <v>536.3636364</v>
      </c>
      <c r="O462" s="791" t="str">
        <f>Specials!$N$128</f>
        <v>N/A</v>
      </c>
      <c r="P462" s="127" t="s">
        <v>402</v>
      </c>
    </row>
    <row r="463">
      <c r="A463" s="449" t="s">
        <v>739</v>
      </c>
      <c r="B463" s="461" t="s">
        <v>673</v>
      </c>
      <c r="C463" s="449" t="s">
        <v>60</v>
      </c>
      <c r="D463" s="450" t="str">
        <f>Specials!$B$129</f>
        <v>Choir of One</v>
      </c>
      <c r="E463" s="505">
        <f>Specials!$C$129</f>
        <v>2056.363636</v>
      </c>
      <c r="F463" s="563">
        <f>Specials!$D$129</f>
        <v>1253.880266</v>
      </c>
      <c r="G463" s="508">
        <f>Specials!$F$129</f>
        <v>24676.36364</v>
      </c>
      <c r="H463" s="656">
        <f>Specials!$G$129</f>
        <v>2741.818182</v>
      </c>
      <c r="I463" s="455">
        <f>Specials!$H$129</f>
        <v>25</v>
      </c>
      <c r="J463" s="456">
        <f>Specials!$I$129</f>
        <v>225</v>
      </c>
      <c r="K463" s="456">
        <f>Specials!$J$129</f>
        <v>225</v>
      </c>
      <c r="L463" s="457">
        <f>Specials!$K$129</f>
        <v>1.12</v>
      </c>
      <c r="M463" s="458">
        <f>Specials!$L$129</f>
        <v>18.56</v>
      </c>
      <c r="N463" s="735">
        <f>Specials!$M$129</f>
        <v>548.3636364</v>
      </c>
      <c r="O463" s="791" t="str">
        <f>Specials!$N$129</f>
        <v>N/A</v>
      </c>
      <c r="P463" s="127" t="s">
        <v>403</v>
      </c>
    </row>
    <row r="464">
      <c r="A464" s="449" t="s">
        <v>739</v>
      </c>
      <c r="B464" s="461" t="s">
        <v>673</v>
      </c>
      <c r="C464" s="449" t="s">
        <v>60</v>
      </c>
      <c r="D464" s="450" t="str">
        <f>Specials!$B$130</f>
        <v>Choir of One</v>
      </c>
      <c r="E464" s="505">
        <f>Specials!$C$130</f>
        <v>934.0909091</v>
      </c>
      <c r="F464" s="563">
        <f>Specials!$D$130</f>
        <v>828.0947776</v>
      </c>
      <c r="G464" s="508">
        <f>Specials!$F$130</f>
        <v>56045.45455</v>
      </c>
      <c r="H464" s="656">
        <f>Specials!$G$130</f>
        <v>6227.272727</v>
      </c>
      <c r="I464" s="455">
        <f>Specials!$H$130</f>
        <v>25</v>
      </c>
      <c r="J464" s="456">
        <f>Specials!$I$130</f>
        <v>225</v>
      </c>
      <c r="K464" s="456">
        <f>Specials!$J$130</f>
        <v>225</v>
      </c>
      <c r="L464" s="457">
        <f>Specials!$K$130</f>
        <v>1.12</v>
      </c>
      <c r="M464" s="458">
        <f>Specials!$L$130</f>
        <v>66.56</v>
      </c>
      <c r="N464" s="735">
        <f>Specials!$M$130</f>
        <v>139.0909091</v>
      </c>
      <c r="O464" s="791">
        <f>Specials!$N$130</f>
        <v>249.0909091</v>
      </c>
      <c r="P464" s="127" t="s">
        <v>169</v>
      </c>
    </row>
    <row r="465">
      <c r="A465" s="449" t="s">
        <v>739</v>
      </c>
      <c r="B465" s="461" t="s">
        <v>701</v>
      </c>
      <c r="C465" s="449" t="s">
        <v>60</v>
      </c>
      <c r="D465" s="482" t="str">
        <f>Specials!$B$131</f>
        <v>Rocket-Assisted</v>
      </c>
      <c r="E465" s="505">
        <f>Specials!$C$131</f>
        <v>1064</v>
      </c>
      <c r="F465" s="563">
        <f>Specials!$D$131</f>
        <v>1050.604789</v>
      </c>
      <c r="G465" s="508">
        <f>Specials!$F$131</f>
        <v>20160</v>
      </c>
      <c r="H465" s="656">
        <f>Specials!$G$131</f>
        <v>8960</v>
      </c>
      <c r="I465" s="455">
        <f>Specials!$H$131</f>
        <v>8</v>
      </c>
      <c r="J465" s="456">
        <f>Specials!$I$131</f>
        <v>18</v>
      </c>
      <c r="K465" s="456">
        <f>Specials!$J$131</f>
        <v>57</v>
      </c>
      <c r="L465" s="457">
        <f>Specials!$K$131</f>
        <v>1.16</v>
      </c>
      <c r="M465" s="458">
        <f>Specials!$L$131</f>
        <v>18.10947368</v>
      </c>
      <c r="N465" s="735">
        <f>Specials!$M$131</f>
        <v>1008.571429</v>
      </c>
      <c r="O465" s="791">
        <f>Specials!$N$131</f>
        <v>1120</v>
      </c>
      <c r="P465" s="127"/>
    </row>
    <row r="466">
      <c r="A466" s="449" t="s">
        <v>739</v>
      </c>
      <c r="B466" s="449" t="s">
        <v>694</v>
      </c>
      <c r="C466" s="449" t="s">
        <v>60</v>
      </c>
      <c r="D466" s="450" t="str">
        <f>Specials!$B$132</f>
        <v>Eriana's Vow</v>
      </c>
      <c r="E466" s="505">
        <f>Specials!$C$132</f>
        <v>700.9090909</v>
      </c>
      <c r="F466" s="563">
        <f>Specials!$D$132</f>
        <v>601.3519369</v>
      </c>
      <c r="G466" s="508">
        <f>Specials!$F$132</f>
        <v>16354.54545</v>
      </c>
      <c r="H466" s="656">
        <f>Specials!$G$132</f>
        <v>4205.454545</v>
      </c>
      <c r="I466" s="455">
        <f>Specials!$H$132</f>
        <v>9</v>
      </c>
      <c r="J466" s="456">
        <f>Specials!$I$132</f>
        <v>35</v>
      </c>
      <c r="K466" s="456">
        <f>Specials!$J$132</f>
        <v>90</v>
      </c>
      <c r="L466" s="457">
        <f>Specials!$K$132</f>
        <v>1.66</v>
      </c>
      <c r="M466" s="458">
        <f>Specials!$L$132</f>
        <v>25.64666667</v>
      </c>
      <c r="N466" s="735">
        <f>Specials!$M$132</f>
        <v>292.7272727</v>
      </c>
      <c r="O466" s="791">
        <f>Specials!$N$132</f>
        <v>467.2727273</v>
      </c>
      <c r="P466" s="467" t="s">
        <v>407</v>
      </c>
    </row>
    <row r="467">
      <c r="A467" s="792" t="s">
        <v>739</v>
      </c>
      <c r="B467" s="792" t="s">
        <v>638</v>
      </c>
      <c r="C467" s="792" t="s">
        <v>60</v>
      </c>
      <c r="D467" s="793" t="str">
        <f>Specials!$B$125</f>
        <v>Euphony</v>
      </c>
      <c r="E467" s="794">
        <f>Specials!$C$125</f>
        <v>790.02079</v>
      </c>
      <c r="F467" s="795">
        <f>Specials!$D$125</f>
        <v>721.6712387</v>
      </c>
      <c r="G467" s="796">
        <f>Specials!$F$125</f>
        <v>23940</v>
      </c>
      <c r="H467" s="796">
        <f>Specials!$G$125</f>
        <v>6840</v>
      </c>
      <c r="I467" s="120">
        <f>Specials!$H$125</f>
        <v>6</v>
      </c>
      <c r="J467" s="214">
        <f>Specials!$I$125</f>
        <v>21</v>
      </c>
      <c r="K467" s="214">
        <f>Specials!$J$125</f>
        <v>41.58004158</v>
      </c>
      <c r="L467" s="215">
        <f>Specials!$K$125</f>
        <v>1.32</v>
      </c>
      <c r="M467" s="797">
        <f>Specials!$L$125</f>
        <v>32.223</v>
      </c>
      <c r="N467" s="798">
        <f>Specials!$M$125</f>
        <v>333</v>
      </c>
      <c r="O467" s="799">
        <f>Specials!$N$125</f>
        <v>1140</v>
      </c>
      <c r="P467" s="127" t="s">
        <v>398</v>
      </c>
    </row>
    <row r="468">
      <c r="A468" s="792" t="s">
        <v>739</v>
      </c>
      <c r="B468" s="792" t="s">
        <v>638</v>
      </c>
      <c r="C468" s="792" t="s">
        <v>60</v>
      </c>
      <c r="D468" s="793" t="str">
        <f>Specials!$B$126</f>
        <v>Euphony</v>
      </c>
      <c r="E468" s="794">
        <f>Specials!$C$126</f>
        <v>1364.359352</v>
      </c>
      <c r="F468" s="795">
        <f>Specials!$D$126</f>
        <v>1456.810353</v>
      </c>
      <c r="G468" s="796">
        <f>Specials!$F$126</f>
        <v>46942.8</v>
      </c>
      <c r="H468" s="796">
        <f>Specials!$G$126</f>
        <v>11116.8</v>
      </c>
      <c r="I468" s="120">
        <f>Specials!$H$126</f>
        <v>6</v>
      </c>
      <c r="J468" s="214">
        <f>Specials!$I$126</f>
        <v>21</v>
      </c>
      <c r="K468" s="214">
        <f>Specials!$J$126</f>
        <v>41.58004158</v>
      </c>
      <c r="L468" s="215">
        <f>Specials!$K$126</f>
        <v>1.32</v>
      </c>
      <c r="M468" s="797">
        <f>Specials!$L$126</f>
        <v>32.223</v>
      </c>
      <c r="N468" s="798">
        <f>Specials!$M$126</f>
        <v>333</v>
      </c>
      <c r="O468" s="799">
        <f>Specials!$N$126</f>
        <v>1140</v>
      </c>
      <c r="P468" s="127" t="s">
        <v>399</v>
      </c>
    </row>
    <row r="469">
      <c r="A469" s="792" t="s">
        <v>739</v>
      </c>
      <c r="B469" s="792" t="s">
        <v>638</v>
      </c>
      <c r="C469" s="792" t="s">
        <v>60</v>
      </c>
      <c r="D469" s="793" t="str">
        <f>Specials!$B$127</f>
        <v>Euphony</v>
      </c>
      <c r="E469" s="794">
        <f>Specials!$C$127</f>
        <v>1131.516937</v>
      </c>
      <c r="F469" s="795">
        <f>Specials!$D$127</f>
        <v>1158.216181</v>
      </c>
      <c r="G469" s="796">
        <f>Specials!$F$127</f>
        <v>37321.2</v>
      </c>
      <c r="H469" s="796">
        <f>Specials!$G$127</f>
        <v>9219.6</v>
      </c>
      <c r="I469" s="120">
        <f>Specials!$H$127</f>
        <v>6</v>
      </c>
      <c r="J469" s="214">
        <f>Specials!$I$127</f>
        <v>21</v>
      </c>
      <c r="K469" s="214">
        <f>Specials!$J$127</f>
        <v>41.58004158</v>
      </c>
      <c r="L469" s="215">
        <f>Specials!$K$127</f>
        <v>1.32</v>
      </c>
      <c r="M469" s="797">
        <f>Specials!$L$127</f>
        <v>32.223</v>
      </c>
      <c r="N469" s="798">
        <f>Specials!$M$127</f>
        <v>333</v>
      </c>
      <c r="O469" s="799">
        <f>Specials!$N$127</f>
        <v>1140</v>
      </c>
      <c r="P469" s="127" t="s">
        <v>400</v>
      </c>
    </row>
    <row r="470">
      <c r="A470" s="449" t="s">
        <v>739</v>
      </c>
      <c r="B470" s="461" t="s">
        <v>638</v>
      </c>
      <c r="C470" s="449" t="s">
        <v>60</v>
      </c>
      <c r="D470" s="450" t="str">
        <f>Specials!$B$124</f>
        <v>Arbalest</v>
      </c>
      <c r="E470" s="583">
        <f>Specials!$C$124</f>
        <v>820.2059315</v>
      </c>
      <c r="F470" s="718">
        <f>Specials!$D$124</f>
        <v>724.3710977</v>
      </c>
      <c r="G470" s="498">
        <f>Specials!$F$124</f>
        <v>17792.72727</v>
      </c>
      <c r="H470" s="800">
        <f>Specials!$G$124</f>
        <v>5083.636364</v>
      </c>
      <c r="I470" s="455">
        <f>Specials!$H$124</f>
        <v>6</v>
      </c>
      <c r="J470" s="456">
        <f>Specials!$I$124</f>
        <v>21</v>
      </c>
      <c r="K470" s="456">
        <f>Specials!$J$124</f>
        <v>58.08325266</v>
      </c>
      <c r="L470" s="457">
        <f>Specials!$K$124</f>
        <v>1.32</v>
      </c>
      <c r="M470" s="458">
        <f>Specials!$L$124</f>
        <v>23.653</v>
      </c>
      <c r="N470" s="519">
        <f>Specials!$M$124</f>
        <v>246.3636364</v>
      </c>
      <c r="O470" s="801">
        <f>Specials!$N$124</f>
        <v>847.2727273</v>
      </c>
      <c r="P470" s="127" t="s">
        <v>751</v>
      </c>
    </row>
    <row r="471">
      <c r="A471" s="449" t="s">
        <v>739</v>
      </c>
      <c r="B471" s="461" t="s">
        <v>638</v>
      </c>
      <c r="C471" s="449" t="s">
        <v>60</v>
      </c>
      <c r="D471" s="450" t="str">
        <f>Specials!$B$122</f>
        <v>Lorentz Driver</v>
      </c>
      <c r="E471" s="505">
        <f>Specials!$C$122</f>
        <v>820.909971</v>
      </c>
      <c r="F471" s="802">
        <f>Specials!$D$122</f>
        <v>724.9928755</v>
      </c>
      <c r="G471" s="634">
        <f>Specials!$F$122</f>
        <v>17808</v>
      </c>
      <c r="H471" s="522">
        <f>Specials!$G$122</f>
        <v>5088</v>
      </c>
      <c r="I471" s="455">
        <f>Specials!$H$122</f>
        <v>6</v>
      </c>
      <c r="J471" s="456">
        <f>Specials!$I$122</f>
        <v>21</v>
      </c>
      <c r="K471" s="456">
        <f>Specials!$J$122</f>
        <v>58.08325266</v>
      </c>
      <c r="L471" s="457">
        <f>Specials!$K$122</f>
        <v>1.32</v>
      </c>
      <c r="M471" s="458">
        <f>Specials!$L$122</f>
        <v>23.653</v>
      </c>
      <c r="N471" s="647">
        <f>Specials!$M$122</f>
        <v>247</v>
      </c>
      <c r="O471" s="685">
        <f>Specials!$N$122</f>
        <v>848</v>
      </c>
      <c r="P471" s="467"/>
    </row>
    <row r="472">
      <c r="A472" s="449" t="s">
        <v>739</v>
      </c>
      <c r="B472" s="461" t="s">
        <v>638</v>
      </c>
      <c r="C472" s="449" t="s">
        <v>60</v>
      </c>
      <c r="D472" s="450" t="str">
        <f>Specials!$B$123</f>
        <v>Lorentz Driver</v>
      </c>
      <c r="E472" s="697">
        <f>Specials!$C$123</f>
        <v>1231.364956</v>
      </c>
      <c r="F472" s="715">
        <f>Specials!$D$123</f>
        <v>1087.489313</v>
      </c>
      <c r="G472" s="803">
        <f>Specials!$F$123</f>
        <v>26712</v>
      </c>
      <c r="H472" s="603">
        <f>Specials!$G$123</f>
        <v>7632</v>
      </c>
      <c r="I472" s="455">
        <f>Specials!$H$123</f>
        <v>6</v>
      </c>
      <c r="J472" s="456">
        <f>Specials!$I$123</f>
        <v>21</v>
      </c>
      <c r="K472" s="456">
        <f>Specials!$J$123</f>
        <v>58.08325266</v>
      </c>
      <c r="L472" s="457">
        <f>Specials!$K$123</f>
        <v>1.32</v>
      </c>
      <c r="M472" s="458">
        <f>Specials!$L$123</f>
        <v>23.653</v>
      </c>
      <c r="N472" s="688">
        <f>Specials!$M$123</f>
        <v>370.5</v>
      </c>
      <c r="O472" s="597">
        <f>Specials!$N$123</f>
        <v>1272</v>
      </c>
      <c r="P472" s="467" t="s">
        <v>395</v>
      </c>
    </row>
    <row r="473">
      <c r="A473" s="449" t="s">
        <v>739</v>
      </c>
      <c r="B473" s="449" t="s">
        <v>725</v>
      </c>
      <c r="C473" s="449" t="s">
        <v>60</v>
      </c>
      <c r="D473" s="450" t="str">
        <f>Specials!$B$134</f>
        <v>Buried Bloodline</v>
      </c>
      <c r="E473" s="504">
        <f>Specials!$C$134</f>
        <v>513.3333333</v>
      </c>
      <c r="F473" s="693">
        <f>Specials!$D$134</f>
        <v>482.6210826</v>
      </c>
      <c r="G473" s="596">
        <f>Specials!$F$134</f>
        <v>15400</v>
      </c>
      <c r="H473" s="804">
        <f>Specials!$G$134</f>
        <v>3388</v>
      </c>
      <c r="I473" s="455">
        <f>Specials!$H$134</f>
        <v>11</v>
      </c>
      <c r="J473" s="456">
        <f>Specials!$I$134</f>
        <v>50</v>
      </c>
      <c r="K473" s="456">
        <f>Specials!$J$134</f>
        <v>100</v>
      </c>
      <c r="L473" s="457">
        <f>Specials!$K$134</f>
        <v>1.02</v>
      </c>
      <c r="M473" s="458">
        <f>Specials!$L$134</f>
        <v>31.08</v>
      </c>
      <c r="N473" s="554">
        <f>Specials!$M$134</f>
        <v>256</v>
      </c>
      <c r="O473" s="686">
        <f>Specials!$N$134</f>
        <v>308</v>
      </c>
      <c r="P473" s="467"/>
    </row>
    <row r="474">
      <c r="A474" s="449" t="s">
        <v>739</v>
      </c>
      <c r="B474" s="449" t="s">
        <v>725</v>
      </c>
      <c r="C474" s="449" t="s">
        <v>60</v>
      </c>
      <c r="D474" s="450" t="str">
        <f>Specials!$B$135</f>
        <v>Forerunner</v>
      </c>
      <c r="E474" s="504">
        <f>Specials!$C$135</f>
        <v>946.6666667</v>
      </c>
      <c r="F474" s="693">
        <f>Specials!$D$135</f>
        <v>691.2778905</v>
      </c>
      <c r="G474" s="596">
        <f>Specials!$F$135</f>
        <v>19880</v>
      </c>
      <c r="H474" s="804">
        <f>Specials!$G$135</f>
        <v>3408</v>
      </c>
      <c r="I474" s="455">
        <f>Specials!$H$135</f>
        <v>12</v>
      </c>
      <c r="J474" s="456">
        <f>Specials!$I$135</f>
        <v>70</v>
      </c>
      <c r="K474" s="456">
        <f>Specials!$J$135</f>
        <v>200</v>
      </c>
      <c r="L474" s="457">
        <f>Specials!$K$135</f>
        <v>1.63</v>
      </c>
      <c r="M474" s="458">
        <f>Specials!$L$135</f>
        <v>27.35</v>
      </c>
      <c r="N474" s="554">
        <f>Specials!$M$135</f>
        <v>55</v>
      </c>
      <c r="O474" s="686">
        <f>Specials!$N$135</f>
        <v>284</v>
      </c>
      <c r="P474" s="467"/>
    </row>
    <row r="475">
      <c r="A475" s="449" t="s">
        <v>739</v>
      </c>
      <c r="B475" s="449" t="s">
        <v>725</v>
      </c>
      <c r="C475" s="449" t="s">
        <v>60</v>
      </c>
      <c r="D475" s="482" t="str">
        <f>Specials!$B$133</f>
        <v>Rocket-Assisted</v>
      </c>
      <c r="E475" s="504">
        <f>Specials!$C$133</f>
        <v>473.3333333</v>
      </c>
      <c r="F475" s="693">
        <f>Specials!$D$133</f>
        <v>459.9190283</v>
      </c>
      <c r="G475" s="596">
        <f>Specials!$F$133</f>
        <v>11360</v>
      </c>
      <c r="H475" s="804">
        <f>Specials!$G$133</f>
        <v>4544</v>
      </c>
      <c r="I475" s="455">
        <f>Specials!$H$133</f>
        <v>16</v>
      </c>
      <c r="J475" s="456">
        <f>Specials!$I$133</f>
        <v>40</v>
      </c>
      <c r="K475" s="456">
        <f>Specials!$J$133</f>
        <v>100</v>
      </c>
      <c r="L475" s="457">
        <f>Specials!$K$133</f>
        <v>0.88</v>
      </c>
      <c r="M475" s="458">
        <f>Specials!$L$133</f>
        <v>23.96</v>
      </c>
      <c r="N475" s="554">
        <f>Specials!$M$133</f>
        <v>256</v>
      </c>
      <c r="O475" s="686">
        <f>Specials!$N$133</f>
        <v>284</v>
      </c>
      <c r="P475" s="127" t="s">
        <v>408</v>
      </c>
    </row>
    <row r="476">
      <c r="A476" s="449" t="s">
        <v>739</v>
      </c>
      <c r="B476" s="449" t="s">
        <v>649</v>
      </c>
      <c r="C476" s="449" t="s">
        <v>60</v>
      </c>
      <c r="D476" s="482" t="str">
        <f>Specials!$B$66</f>
        <v>Aggressive</v>
      </c>
      <c r="E476" s="475">
        <f>Specials!$C$66</f>
        <v>770</v>
      </c>
      <c r="F476" s="805">
        <f>Specials!$D$66</f>
        <v>608.3616811</v>
      </c>
      <c r="G476" s="806">
        <f>Specials!$F$66</f>
        <v>15960</v>
      </c>
      <c r="H476" s="479">
        <f>Specials!$G$66</f>
        <v>5040</v>
      </c>
      <c r="I476" s="455">
        <f>Specials!$H$66</f>
        <v>6</v>
      </c>
      <c r="J476" s="456">
        <f>Specials!$I$66</f>
        <v>19</v>
      </c>
      <c r="K476" s="456">
        <f>Specials!$J$66</f>
        <v>55</v>
      </c>
      <c r="L476" s="457">
        <f>Specials!$K$66</f>
        <v>0.43</v>
      </c>
      <c r="M476" s="458">
        <f>Specials!$L$66</f>
        <v>24.85363636</v>
      </c>
      <c r="N476" s="634">
        <f>Specials!$M$66</f>
        <v>840</v>
      </c>
      <c r="O476" s="807">
        <f>Specials!$N$66</f>
        <v>930</v>
      </c>
      <c r="P476" s="467"/>
    </row>
    <row r="477">
      <c r="A477" s="449" t="s">
        <v>739</v>
      </c>
      <c r="B477" s="449" t="s">
        <v>649</v>
      </c>
      <c r="C477" s="449" t="s">
        <v>60</v>
      </c>
      <c r="D477" s="482" t="str">
        <f>Specials!$B$67</f>
        <v>Aggressive</v>
      </c>
      <c r="E477" s="534">
        <f>Specials!$C$67</f>
        <v>884.6808511</v>
      </c>
      <c r="F477" s="783">
        <f>Specials!$D$67</f>
        <v>884.6808511</v>
      </c>
      <c r="G477" s="738">
        <f>Specials!$F$67</f>
        <v>23940</v>
      </c>
      <c r="H477" s="701">
        <f>Specials!$G$67</f>
        <v>7560</v>
      </c>
      <c r="I477" s="455">
        <f>Specials!$H$67</f>
        <v>6</v>
      </c>
      <c r="J477" s="456">
        <f>Specials!$I$67</f>
        <v>19</v>
      </c>
      <c r="K477" s="456">
        <f>Specials!$J$67</f>
        <v>55</v>
      </c>
      <c r="L477" s="457">
        <f>Specials!$K$67</f>
        <v>0.43</v>
      </c>
      <c r="M477" s="458">
        <f>Specials!$L$67</f>
        <v>20.72727273</v>
      </c>
      <c r="N477" s="501">
        <f>Specials!$M$67</f>
        <v>1260</v>
      </c>
      <c r="O477" s="808">
        <f>Specials!$N$67</f>
        <v>1395</v>
      </c>
      <c r="P477" s="495" t="s">
        <v>752</v>
      </c>
    </row>
    <row r="478">
      <c r="A478" s="449" t="s">
        <v>739</v>
      </c>
      <c r="B478" s="449" t="s">
        <v>649</v>
      </c>
      <c r="C478" s="449" t="s">
        <v>60</v>
      </c>
      <c r="D478" s="482" t="str">
        <f>Specials!$B$68</f>
        <v>Heavy Burst</v>
      </c>
      <c r="E478" s="534">
        <f>Specials!$C$68</f>
        <v>2069.767442</v>
      </c>
      <c r="F478" s="783">
        <f>Specials!$D$68</f>
        <v>1021.777347</v>
      </c>
      <c r="G478" s="738">
        <f>Specials!$F$68</f>
        <v>28819.04762</v>
      </c>
      <c r="H478" s="701">
        <f>Specials!$G$68</f>
        <v>13561.90476</v>
      </c>
      <c r="I478" s="455">
        <f>Specials!$H$68</f>
        <v>16</v>
      </c>
      <c r="J478" s="456">
        <f>Specials!$I$68</f>
        <v>34</v>
      </c>
      <c r="K478" s="456">
        <f>Specials!$J$68</f>
        <v>146.5116279</v>
      </c>
      <c r="L478" s="457">
        <f>Specials!$K$68</f>
        <v>0.43</v>
      </c>
      <c r="M478" s="458">
        <f>Specials!$L$68</f>
        <v>27.3852381</v>
      </c>
      <c r="N478" s="501">
        <f>Specials!$M$68</f>
        <v>483.8095238</v>
      </c>
      <c r="O478" s="808">
        <f>Specials!$N$68</f>
        <v>847.6190476</v>
      </c>
      <c r="P478" s="515" t="s">
        <v>339</v>
      </c>
    </row>
    <row r="479">
      <c r="A479" s="449" t="s">
        <v>739</v>
      </c>
      <c r="B479" s="449" t="s">
        <v>649</v>
      </c>
      <c r="C479" s="449" t="s">
        <v>60</v>
      </c>
      <c r="D479" s="450" t="str">
        <f>Specials!$B$71</f>
        <v>Conditional Finality</v>
      </c>
      <c r="E479" s="504">
        <f>Specials!$C$71</f>
        <v>1208.625</v>
      </c>
      <c r="F479" s="809">
        <f>Specials!$D$71</f>
        <v>1225.993238</v>
      </c>
      <c r="G479" s="511">
        <f>Specials!$F$71</f>
        <v>24778</v>
      </c>
      <c r="H479" s="605">
        <f>Specials!$G$71</f>
        <v>2637</v>
      </c>
      <c r="I479" s="455">
        <f>Specials!$H$71</f>
        <v>2</v>
      </c>
      <c r="J479" s="456">
        <f>Specials!$I$71</f>
        <v>19</v>
      </c>
      <c r="K479" s="456">
        <f>Specials!$J$71</f>
        <v>165</v>
      </c>
      <c r="L479" s="457">
        <f>Specials!$K$71</f>
        <v>1.06</v>
      </c>
      <c r="M479" s="458">
        <f>Specials!$L$71</f>
        <v>19.35818182</v>
      </c>
      <c r="N479" s="634">
        <f>Specials!$M$71</f>
        <v>684</v>
      </c>
      <c r="O479" s="753">
        <f>Specials!$N$71</f>
        <v>889</v>
      </c>
      <c r="P479" s="127" t="s">
        <v>753</v>
      </c>
    </row>
    <row r="480">
      <c r="A480" s="449" t="s">
        <v>739</v>
      </c>
      <c r="B480" s="449" t="s">
        <v>649</v>
      </c>
      <c r="C480" s="449" t="s">
        <v>60</v>
      </c>
      <c r="D480" s="450" t="str">
        <f>Specials!$B$83</f>
        <v>Duality</v>
      </c>
      <c r="E480" s="475">
        <f>Specials!$C$83</f>
        <v>754</v>
      </c>
      <c r="F480" s="567">
        <f>Specials!$D$83</f>
        <v>754</v>
      </c>
      <c r="G480" s="500">
        <f>Specials!$F$83</f>
        <v>12971</v>
      </c>
      <c r="H480" s="501">
        <f>Specials!$G$83</f>
        <v>5568</v>
      </c>
      <c r="I480" s="455">
        <f>Specials!$H$83</f>
        <v>8</v>
      </c>
      <c r="J480" s="456">
        <f>Specials!$I$83</f>
        <v>17</v>
      </c>
      <c r="K480" s="456">
        <f>Specials!$J$83</f>
        <v>65</v>
      </c>
      <c r="L480" s="457">
        <f>Specials!$K$83</f>
        <v>0.68</v>
      </c>
      <c r="M480" s="458">
        <f>Specials!$L$83</f>
        <v>14.28307692</v>
      </c>
      <c r="N480" s="504">
        <f>Specials!$M$83</f>
        <v>696</v>
      </c>
      <c r="O480" s="744">
        <f>Specials!$N$83</f>
        <v>763</v>
      </c>
      <c r="P480" s="127" t="s">
        <v>754</v>
      </c>
    </row>
    <row r="481">
      <c r="A481" s="449" t="s">
        <v>739</v>
      </c>
      <c r="B481" s="449" t="s">
        <v>649</v>
      </c>
      <c r="C481" s="449" t="s">
        <v>60</v>
      </c>
      <c r="D481" s="450" t="str">
        <f>Specials!$B$84</f>
        <v>Duality</v>
      </c>
      <c r="E481" s="510">
        <f>Specials!$C$84</f>
        <v>1135.333333</v>
      </c>
      <c r="F481" s="810">
        <f>Specials!$D$84</f>
        <v>1135.333333</v>
      </c>
      <c r="G481" s="570">
        <f>Specials!$F$84</f>
        <v>17816</v>
      </c>
      <c r="H481" s="811">
        <f>Specials!$G$84</f>
        <v>8384</v>
      </c>
      <c r="I481" s="455">
        <f>Specials!$H$84</f>
        <v>8</v>
      </c>
      <c r="J481" s="456">
        <f>Specials!$I$84</f>
        <v>17</v>
      </c>
      <c r="K481" s="456">
        <f>Specials!$J$84</f>
        <v>65</v>
      </c>
      <c r="L481" s="457">
        <f>Specials!$K$84</f>
        <v>0.68</v>
      </c>
      <c r="M481" s="458">
        <f>Specials!$L$84</f>
        <v>14.28307692</v>
      </c>
      <c r="N481" s="583">
        <f>Specials!$M$84</f>
        <v>597</v>
      </c>
      <c r="O481" s="805">
        <f>Specials!$N$84</f>
        <v>1048</v>
      </c>
      <c r="P481" s="127" t="s">
        <v>755</v>
      </c>
    </row>
    <row r="482">
      <c r="A482" s="449" t="s">
        <v>739</v>
      </c>
      <c r="B482" s="449" t="s">
        <v>649</v>
      </c>
      <c r="C482" s="449" t="s">
        <v>60</v>
      </c>
      <c r="D482" s="450" t="str">
        <f>Specials!$B$85</f>
        <v>Duality</v>
      </c>
      <c r="E482" s="483">
        <f>Specials!$C$85</f>
        <v>1759.766667</v>
      </c>
      <c r="F482" s="812">
        <f>Specials!$D$85</f>
        <v>1759.766667</v>
      </c>
      <c r="G482" s="468">
        <f>Specials!$F$85</f>
        <v>24829.6</v>
      </c>
      <c r="H482" s="630">
        <f>Specials!$G$85</f>
        <v>12995.2</v>
      </c>
      <c r="I482" s="455">
        <f>Specials!$H$85</f>
        <v>8</v>
      </c>
      <c r="J482" s="456">
        <f>Specials!$I$85</f>
        <v>17</v>
      </c>
      <c r="K482" s="456">
        <f>Specials!$J$85</f>
        <v>65</v>
      </c>
      <c r="L482" s="457">
        <f>Specials!$K$85</f>
        <v>0.68</v>
      </c>
      <c r="M482" s="458">
        <f>Specials!$L$85</f>
        <v>14.28307692</v>
      </c>
      <c r="N482" s="583">
        <f>Specials!$M$85</f>
        <v>597</v>
      </c>
      <c r="O482" s="300">
        <f>Specials!$N$85</f>
        <v>1624.4</v>
      </c>
      <c r="P482" s="515" t="s">
        <v>350</v>
      </c>
    </row>
    <row r="483">
      <c r="A483" s="449" t="s">
        <v>739</v>
      </c>
      <c r="B483" s="449" t="s">
        <v>649</v>
      </c>
      <c r="C483" s="449" t="s">
        <v>60</v>
      </c>
      <c r="D483" s="450" t="str">
        <f>Specials!$B$86</f>
        <v>Slayer's Fang</v>
      </c>
      <c r="E483" s="483">
        <f>Specials!$C$86</f>
        <v>1280.151515</v>
      </c>
      <c r="F483" s="812">
        <f>Specials!$D$86</f>
        <v>1184.639921</v>
      </c>
      <c r="G483" s="468">
        <f>Specials!$F$86</f>
        <v>18653.63636</v>
      </c>
      <c r="H483" s="630">
        <f>Specials!$G$86</f>
        <v>8778.181818</v>
      </c>
      <c r="I483" s="455">
        <f>Specials!$H$86</f>
        <v>8</v>
      </c>
      <c r="J483" s="456">
        <f>Specials!$I$86</f>
        <v>17</v>
      </c>
      <c r="K483" s="456">
        <f>Specials!$J$86</f>
        <v>70</v>
      </c>
      <c r="L483" s="457">
        <f>Specials!$K$86</f>
        <v>1.41</v>
      </c>
      <c r="M483" s="458">
        <f>Specials!$L$86</f>
        <v>14.82</v>
      </c>
      <c r="N483" s="583">
        <f>Specials!$M$86</f>
        <v>887</v>
      </c>
      <c r="O483" s="300">
        <f>Specials!$N$86</f>
        <v>1097.272727</v>
      </c>
      <c r="P483" s="515" t="s">
        <v>352</v>
      </c>
    </row>
    <row r="484">
      <c r="A484" s="449" t="s">
        <v>739</v>
      </c>
      <c r="B484" s="449" t="s">
        <v>649</v>
      </c>
      <c r="C484" s="449" t="s">
        <v>60</v>
      </c>
      <c r="D484" s="482" t="str">
        <f>Specials!$B$62</f>
        <v>Lightweight</v>
      </c>
      <c r="E484" s="548">
        <f>Specials!$C$62</f>
        <v>880</v>
      </c>
      <c r="F484" s="650">
        <f>Specials!$D$62</f>
        <v>590.6040268</v>
      </c>
      <c r="G484" s="583">
        <f>Specials!$F$62</f>
        <v>11880</v>
      </c>
      <c r="H484" s="661">
        <f>Specials!$G$62</f>
        <v>5280</v>
      </c>
      <c r="I484" s="455">
        <f>Specials!$H$62</f>
        <v>8</v>
      </c>
      <c r="J484" s="456">
        <f>Specials!$I$62</f>
        <v>18</v>
      </c>
      <c r="K484" s="456">
        <f>Specials!$J$62</f>
        <v>80</v>
      </c>
      <c r="L484" s="457">
        <f>Specials!$K$62</f>
        <v>0.43</v>
      </c>
      <c r="M484" s="458">
        <f>Specials!$L$62</f>
        <v>19.06</v>
      </c>
      <c r="N484" s="485">
        <f>Specials!$M$62</f>
        <v>660</v>
      </c>
      <c r="O484" s="813">
        <f>Specials!$N$62</f>
        <v>727</v>
      </c>
      <c r="P484" s="117"/>
    </row>
    <row r="485">
      <c r="A485" s="449" t="s">
        <v>739</v>
      </c>
      <c r="B485" s="449" t="s">
        <v>649</v>
      </c>
      <c r="C485" s="449" t="s">
        <v>60</v>
      </c>
      <c r="D485" s="482" t="str">
        <f>Specials!$B$63</f>
        <v>Lightweight</v>
      </c>
      <c r="E485" s="814">
        <f>Specials!$C$63</f>
        <v>913.8461538</v>
      </c>
      <c r="F485" s="624">
        <f>Specials!$D$63</f>
        <v>913.8461538</v>
      </c>
      <c r="G485" s="570">
        <f>Specials!$F$63</f>
        <v>17820</v>
      </c>
      <c r="H485" s="815">
        <f>Specials!$G$63</f>
        <v>7920</v>
      </c>
      <c r="I485" s="455">
        <f>Specials!$H$63</f>
        <v>8</v>
      </c>
      <c r="J485" s="456">
        <f>Specials!$I$63</f>
        <v>18</v>
      </c>
      <c r="K485" s="456">
        <f>Specials!$J$63</f>
        <v>80</v>
      </c>
      <c r="L485" s="457">
        <f>Specials!$K$63</f>
        <v>0.43</v>
      </c>
      <c r="M485" s="458">
        <f>Specials!$L$63</f>
        <v>13.5</v>
      </c>
      <c r="N485" s="651">
        <f>Specials!$M$63</f>
        <v>990</v>
      </c>
      <c r="O485" s="535">
        <f>Specials!$N$63</f>
        <v>1090.5</v>
      </c>
      <c r="P485" s="117" t="s">
        <v>756</v>
      </c>
    </row>
    <row r="486">
      <c r="A486" s="449" t="s">
        <v>739</v>
      </c>
      <c r="B486" s="449" t="s">
        <v>649</v>
      </c>
      <c r="C486" s="449" t="s">
        <v>60</v>
      </c>
      <c r="D486" s="450" t="str">
        <f>Specials!$B$75</f>
        <v>Lord of Wolves</v>
      </c>
      <c r="E486" s="816">
        <f>Specials!$C$75</f>
        <v>1045.333333</v>
      </c>
      <c r="F486" s="817">
        <f>Specials!$D$75</f>
        <v>807.9697698</v>
      </c>
      <c r="G486" s="556">
        <f>Specials!$F$75</f>
        <v>18522</v>
      </c>
      <c r="H486" s="583">
        <f>Specials!$G$75</f>
        <v>2940</v>
      </c>
      <c r="I486" s="455">
        <f>Specials!$H$75</f>
        <v>30</v>
      </c>
      <c r="J486" s="456">
        <f>Specials!$I$75</f>
        <v>189</v>
      </c>
      <c r="K486" s="456">
        <f>Specials!$J$75</f>
        <v>640</v>
      </c>
      <c r="L486" s="457">
        <f>Specials!$K$75</f>
        <v>0.92</v>
      </c>
      <c r="M486" s="458">
        <f>Specials!$L$75</f>
        <v>22.5825</v>
      </c>
      <c r="N486" s="537">
        <f>Specials!$M$75</f>
        <v>98</v>
      </c>
      <c r="O486" s="743">
        <f>Specials!$N$75</f>
        <v>176</v>
      </c>
      <c r="P486" s="127" t="s">
        <v>757</v>
      </c>
    </row>
    <row r="487">
      <c r="A487" s="449" t="s">
        <v>739</v>
      </c>
      <c r="B487" s="449" t="s">
        <v>649</v>
      </c>
      <c r="C487" s="449" t="s">
        <v>60</v>
      </c>
      <c r="D487" s="450" t="str">
        <f>Specials!$B$76</f>
        <v>Lord of Wolves</v>
      </c>
      <c r="E487" s="599">
        <f>Specials!$C$76</f>
        <v>1877.333333</v>
      </c>
      <c r="F487" s="499">
        <f>Specials!$D$76</f>
        <v>1451.04775</v>
      </c>
      <c r="G487" s="579">
        <f>Specials!$F$76</f>
        <v>33264</v>
      </c>
      <c r="H487" s="578">
        <f>Specials!$G$76</f>
        <v>5280</v>
      </c>
      <c r="I487" s="455">
        <f>Specials!$H$76</f>
        <v>30</v>
      </c>
      <c r="J487" s="456">
        <f>Specials!$I$76</f>
        <v>189</v>
      </c>
      <c r="K487" s="456">
        <f>Specials!$J$76</f>
        <v>640</v>
      </c>
      <c r="L487" s="457">
        <f>Specials!$K$76</f>
        <v>0.92</v>
      </c>
      <c r="M487" s="458">
        <f>Specials!$L$76</f>
        <v>22.5825</v>
      </c>
      <c r="N487" s="537">
        <f>Specials!$M$76</f>
        <v>98</v>
      </c>
      <c r="O487" s="743">
        <f>Specials!$N$76</f>
        <v>176</v>
      </c>
      <c r="P487" s="127" t="s">
        <v>758</v>
      </c>
    </row>
    <row r="488">
      <c r="A488" s="449" t="s">
        <v>739</v>
      </c>
      <c r="B488" s="449" t="s">
        <v>649</v>
      </c>
      <c r="C488" s="449" t="s">
        <v>60</v>
      </c>
      <c r="D488" s="450" t="str">
        <f>Specials!$B$77</f>
        <v>Lord of Wolves</v>
      </c>
      <c r="E488" s="514">
        <f>Specials!$C$77</f>
        <v>1527.166667</v>
      </c>
      <c r="F488" s="818">
        <f>Specials!$D$77</f>
        <v>1096.769818</v>
      </c>
      <c r="G488" s="462">
        <f>Specials!$F$77</f>
        <v>20790</v>
      </c>
      <c r="H488" s="599">
        <f>Specials!$G$77</f>
        <v>3300</v>
      </c>
      <c r="I488" s="455">
        <f>Specials!$H$77</f>
        <v>30</v>
      </c>
      <c r="J488" s="456">
        <f>Specials!$I$77</f>
        <v>189</v>
      </c>
      <c r="K488" s="456">
        <f>Specials!$J$77</f>
        <v>833</v>
      </c>
      <c r="L488" s="457">
        <f>Specials!$K$77</f>
        <v>0.92</v>
      </c>
      <c r="M488" s="458">
        <f>Specials!$L$77</f>
        <v>18.6292437</v>
      </c>
      <c r="N488" s="736">
        <f>Specials!$M$77</f>
        <v>110</v>
      </c>
      <c r="O488" s="728">
        <f>Specials!$N$77</f>
        <v>171</v>
      </c>
      <c r="P488" s="127" t="s">
        <v>759</v>
      </c>
    </row>
    <row r="489">
      <c r="A489" s="449" t="s">
        <v>739</v>
      </c>
      <c r="B489" s="449" t="s">
        <v>649</v>
      </c>
      <c r="C489" s="449" t="s">
        <v>60</v>
      </c>
      <c r="D489" s="450" t="str">
        <f>Specials!$B$78</f>
        <v>Lord of Wolves</v>
      </c>
      <c r="E489" s="819">
        <f>Specials!$C$78</f>
        <v>2374.05</v>
      </c>
      <c r="F489" s="820">
        <f>Specials!$D$78</f>
        <v>1704.978535</v>
      </c>
      <c r="G489" s="462">
        <f>Specials!$F$78</f>
        <v>32319</v>
      </c>
      <c r="H489" s="451">
        <f>Specials!$G$78</f>
        <v>5130</v>
      </c>
      <c r="I489" s="455">
        <f>Specials!$H$78</f>
        <v>30</v>
      </c>
      <c r="J489" s="456">
        <f>Specials!$I$78</f>
        <v>189</v>
      </c>
      <c r="K489" s="456">
        <f>Specials!$J$78</f>
        <v>833</v>
      </c>
      <c r="L489" s="457">
        <f>Specials!$K$78</f>
        <v>0.92</v>
      </c>
      <c r="M489" s="458">
        <f>Specials!$L$78</f>
        <v>18.6292437</v>
      </c>
      <c r="N489" s="736">
        <f>Specials!$M$78</f>
        <v>110</v>
      </c>
      <c r="O489" s="728">
        <f>Specials!$N$78</f>
        <v>171</v>
      </c>
      <c r="P489" s="127" t="s">
        <v>760</v>
      </c>
    </row>
    <row r="490">
      <c r="A490" s="449" t="s">
        <v>739</v>
      </c>
      <c r="B490" s="449" t="s">
        <v>649</v>
      </c>
      <c r="C490" s="449" t="s">
        <v>60</v>
      </c>
      <c r="D490" s="450" t="str">
        <f>Specials!$B$79</f>
        <v>Lord of Wolves</v>
      </c>
      <c r="E490" s="514">
        <f>Specials!$C$79</f>
        <v>1687.025651</v>
      </c>
      <c r="F490" s="818">
        <f>Specials!$D$79</f>
        <v>1221.684935</v>
      </c>
      <c r="G490" s="462">
        <f>Specials!$F$79</f>
        <v>32319</v>
      </c>
      <c r="H490" s="599">
        <f>Specials!$G$79</f>
        <v>3300</v>
      </c>
      <c r="I490" s="455">
        <f>Specials!$H$79</f>
        <v>30</v>
      </c>
      <c r="J490" s="456">
        <f>Specials!$I$79</f>
        <v>189</v>
      </c>
      <c r="K490" s="456">
        <f>Specials!$J$79</f>
        <v>833</v>
      </c>
      <c r="L490" s="457">
        <f>Specials!$K$79</f>
        <v>0.92</v>
      </c>
      <c r="M490" s="458">
        <f>Specials!$L$79</f>
        <v>18.6292437</v>
      </c>
      <c r="N490" s="736">
        <f>Specials!$M$79</f>
        <v>110</v>
      </c>
      <c r="O490" s="728">
        <f>Specials!$N$79</f>
        <v>171</v>
      </c>
      <c r="P490" s="127" t="s">
        <v>761</v>
      </c>
    </row>
    <row r="491">
      <c r="A491" s="449" t="s">
        <v>739</v>
      </c>
      <c r="B491" s="449" t="s">
        <v>649</v>
      </c>
      <c r="C491" s="449" t="s">
        <v>60</v>
      </c>
      <c r="D491" s="450" t="str">
        <f>Specials!$B$80</f>
        <v>Lord of Wolves</v>
      </c>
      <c r="E491" s="819">
        <f>Specials!$C$80</f>
        <v>2533.908984</v>
      </c>
      <c r="F491" s="820">
        <f>Specials!$D$80</f>
        <v>1829.893652</v>
      </c>
      <c r="G491" s="462">
        <f>Specials!$F$80</f>
        <v>32319</v>
      </c>
      <c r="H491" s="451">
        <f>Specials!$G$80</f>
        <v>5130</v>
      </c>
      <c r="I491" s="455">
        <f>Specials!$H$80</f>
        <v>30</v>
      </c>
      <c r="J491" s="456">
        <f>Specials!$I$80</f>
        <v>189</v>
      </c>
      <c r="K491" s="456">
        <f>Specials!$J$80</f>
        <v>833</v>
      </c>
      <c r="L491" s="457">
        <f>Specials!$K$80</f>
        <v>0.92</v>
      </c>
      <c r="M491" s="458">
        <f>Specials!$L$80</f>
        <v>18.6292437</v>
      </c>
      <c r="N491" s="736">
        <f>Specials!$M$80</f>
        <v>110</v>
      </c>
      <c r="O491" s="728">
        <f>Specials!$N$80</f>
        <v>171</v>
      </c>
      <c r="P491" s="127" t="s">
        <v>762</v>
      </c>
    </row>
    <row r="492">
      <c r="A492" s="449" t="s">
        <v>739</v>
      </c>
      <c r="B492" s="449" t="s">
        <v>649</v>
      </c>
      <c r="C492" s="449" t="s">
        <v>60</v>
      </c>
      <c r="D492" s="450" t="str">
        <f>Specials!$B$81</f>
        <v>Lord of Wolves</v>
      </c>
      <c r="E492" s="514">
        <f>Specials!$C$81</f>
        <v>1778.717354</v>
      </c>
      <c r="F492" s="818">
        <f>Specials!$D$81</f>
        <v>1297.641368</v>
      </c>
      <c r="G492" s="462">
        <f>Specials!$F$81</f>
        <v>32319</v>
      </c>
      <c r="H492" s="599">
        <f>Specials!$G$81</f>
        <v>3300</v>
      </c>
      <c r="I492" s="455">
        <f>Specials!$H$81</f>
        <v>30</v>
      </c>
      <c r="J492" s="456">
        <f>Specials!$I$81</f>
        <v>189</v>
      </c>
      <c r="K492" s="456">
        <f>Specials!$J$81</f>
        <v>833</v>
      </c>
      <c r="L492" s="457">
        <f>Specials!$K$81</f>
        <v>0.92</v>
      </c>
      <c r="M492" s="458">
        <f>Specials!$L$81</f>
        <v>18.6292437</v>
      </c>
      <c r="N492" s="736">
        <f>Specials!$M$81</f>
        <v>110</v>
      </c>
      <c r="O492" s="728">
        <f>Specials!$N$81</f>
        <v>171</v>
      </c>
      <c r="P492" s="127" t="s">
        <v>763</v>
      </c>
    </row>
    <row r="493">
      <c r="A493" s="449" t="s">
        <v>739</v>
      </c>
      <c r="B493" s="449" t="s">
        <v>649</v>
      </c>
      <c r="C493" s="449" t="s">
        <v>60</v>
      </c>
      <c r="D493" s="450" t="str">
        <f>Specials!$B$82</f>
        <v>Lord of Wolves</v>
      </c>
      <c r="E493" s="819">
        <f>Specials!$C$82</f>
        <v>2625.600688</v>
      </c>
      <c r="F493" s="820">
        <f>Specials!$D$82</f>
        <v>1905.850085</v>
      </c>
      <c r="G493" s="462">
        <f>Specials!$F$82</f>
        <v>32319</v>
      </c>
      <c r="H493" s="451">
        <f>Specials!$G$82</f>
        <v>5130</v>
      </c>
      <c r="I493" s="455">
        <f>Specials!$H$82</f>
        <v>30</v>
      </c>
      <c r="J493" s="456">
        <f>Specials!$I$82</f>
        <v>189</v>
      </c>
      <c r="K493" s="456">
        <f>Specials!$J$82</f>
        <v>833</v>
      </c>
      <c r="L493" s="457">
        <f>Specials!$K$82</f>
        <v>0.92</v>
      </c>
      <c r="M493" s="458">
        <f>Specials!$L$82</f>
        <v>18.6292437</v>
      </c>
      <c r="N493" s="736">
        <f>Specials!$M$82</f>
        <v>110</v>
      </c>
      <c r="O493" s="728">
        <f>Specials!$N$82</f>
        <v>171</v>
      </c>
      <c r="P493" s="127" t="s">
        <v>764</v>
      </c>
    </row>
    <row r="494">
      <c r="A494" s="449" t="s">
        <v>739</v>
      </c>
      <c r="B494" s="449" t="s">
        <v>649</v>
      </c>
      <c r="C494" s="449" t="s">
        <v>60</v>
      </c>
      <c r="D494" s="482" t="str">
        <f>Specials!$B$65</f>
        <v>Pinpoint Slug</v>
      </c>
      <c r="E494" s="505">
        <f>Specials!$C$65</f>
        <v>768.0833333</v>
      </c>
      <c r="F494" s="539">
        <f>Specials!$D$65</f>
        <v>558.7330454</v>
      </c>
      <c r="G494" s="510">
        <f>Specials!$F$65</f>
        <v>12762</v>
      </c>
      <c r="H494" s="596">
        <f>Specials!$G$65</f>
        <v>5672</v>
      </c>
      <c r="I494" s="455">
        <f>Specials!$H$65</f>
        <v>8</v>
      </c>
      <c r="J494" s="456">
        <f>Specials!$I$65</f>
        <v>18</v>
      </c>
      <c r="K494" s="456">
        <f>Specials!$J$65</f>
        <v>65</v>
      </c>
      <c r="L494" s="457">
        <f>Specials!$K$65</f>
        <v>0.43</v>
      </c>
      <c r="M494" s="458">
        <f>Specials!$L$65</f>
        <v>21.65615385</v>
      </c>
      <c r="N494" s="505">
        <f>Specials!$M$65</f>
        <v>404</v>
      </c>
      <c r="O494" s="774">
        <f>Specials!$N$65</f>
        <v>709</v>
      </c>
      <c r="P494" s="467" t="s">
        <v>328</v>
      </c>
    </row>
    <row r="495">
      <c r="A495" s="449" t="s">
        <v>739</v>
      </c>
      <c r="B495" s="449" t="s">
        <v>649</v>
      </c>
      <c r="C495" s="449" t="s">
        <v>60</v>
      </c>
      <c r="D495" s="482" t="str">
        <f>Specials!$B$64</f>
        <v>Precision</v>
      </c>
      <c r="E495" s="475">
        <f>Specials!$C$64</f>
        <v>715</v>
      </c>
      <c r="F495" s="821">
        <f>Specials!$D$64</f>
        <v>525.0917993</v>
      </c>
      <c r="G495" s="485">
        <f>Specials!$F$64</f>
        <v>11880</v>
      </c>
      <c r="H495" s="479">
        <f>Specials!$G$64</f>
        <v>4620</v>
      </c>
      <c r="I495" s="455">
        <f>Specials!$H$64</f>
        <v>7</v>
      </c>
      <c r="J495" s="456">
        <f>Specials!$I$64</f>
        <v>18</v>
      </c>
      <c r="K495" s="456">
        <f>Specials!$J$64</f>
        <v>65</v>
      </c>
      <c r="L495" s="457">
        <f>Specials!$K$64</f>
        <v>0.43</v>
      </c>
      <c r="M495" s="458">
        <f>Specials!$L$64</f>
        <v>21.65615385</v>
      </c>
      <c r="N495" s="504">
        <f>Specials!$M$64</f>
        <v>660</v>
      </c>
      <c r="O495" s="744">
        <f>Specials!$N$64</f>
        <v>727</v>
      </c>
      <c r="P495" s="117"/>
    </row>
    <row r="496">
      <c r="A496" s="449" t="s">
        <v>739</v>
      </c>
      <c r="B496" s="449" t="s">
        <v>649</v>
      </c>
      <c r="C496" s="449" t="s">
        <v>60</v>
      </c>
      <c r="D496" s="482" t="str">
        <f>Specials!$B$59</f>
        <v>Rapid-Fire</v>
      </c>
      <c r="E496" s="510">
        <f>Specials!$C$59</f>
        <v>1204</v>
      </c>
      <c r="F496" s="782">
        <f>Specials!$D$59</f>
        <v>700.0565291</v>
      </c>
      <c r="G496" s="500">
        <f>Specials!$F$59</f>
        <v>12900</v>
      </c>
      <c r="H496" s="462">
        <f>Specials!$G$59</f>
        <v>4128</v>
      </c>
      <c r="I496" s="455">
        <f>Specials!$H$59</f>
        <v>8</v>
      </c>
      <c r="J496" s="456">
        <f>Specials!$I$59</f>
        <v>25</v>
      </c>
      <c r="K496" s="456">
        <f>Specials!$J$59</f>
        <v>140</v>
      </c>
      <c r="L496" s="457">
        <f>Specials!$K$59</f>
        <v>0.3166666667</v>
      </c>
      <c r="M496" s="458">
        <f>Specials!$L$59</f>
        <v>17.69</v>
      </c>
      <c r="N496" s="548">
        <f>Specials!$M$59</f>
        <v>516</v>
      </c>
      <c r="O496" s="777">
        <f>Specials!$N$59</f>
        <v>567</v>
      </c>
      <c r="P496" s="117"/>
    </row>
    <row r="497">
      <c r="A497" s="449" t="s">
        <v>739</v>
      </c>
      <c r="B497" s="449" t="s">
        <v>649</v>
      </c>
      <c r="C497" s="449" t="s">
        <v>60</v>
      </c>
      <c r="D497" s="482" t="str">
        <f>Specials!$B$60</f>
        <v>Rapid-Fire</v>
      </c>
      <c r="E497" s="522">
        <f>Specials!$C$60</f>
        <v>2006.666667</v>
      </c>
      <c r="F497" s="822">
        <f>Specials!$D$60</f>
        <v>878.9212207</v>
      </c>
      <c r="G497" s="500">
        <f>Specials!$F$60</f>
        <v>12900</v>
      </c>
      <c r="H497" s="462">
        <f>Specials!$G$60</f>
        <v>4128</v>
      </c>
      <c r="I497" s="455">
        <f>Specials!$H$60</f>
        <v>8</v>
      </c>
      <c r="J497" s="456">
        <f>Specials!$I$60</f>
        <v>25</v>
      </c>
      <c r="K497" s="456">
        <f>Specials!$J$60</f>
        <v>233.3333333</v>
      </c>
      <c r="L497" s="457">
        <f>Specials!$K$60</f>
        <v>0.3166666667</v>
      </c>
      <c r="M497" s="458">
        <f>Specials!$L$60</f>
        <v>14.09</v>
      </c>
      <c r="N497" s="548">
        <f>Specials!$M$60</f>
        <v>516</v>
      </c>
      <c r="O497" s="777">
        <f>Specials!$N$60</f>
        <v>567</v>
      </c>
      <c r="P497" s="117" t="s">
        <v>323</v>
      </c>
    </row>
    <row r="498">
      <c r="A498" s="449" t="s">
        <v>739</v>
      </c>
      <c r="B498" s="449" t="s">
        <v>649</v>
      </c>
      <c r="C498" s="449" t="s">
        <v>60</v>
      </c>
      <c r="D498" s="450" t="str">
        <f>Specials!$B$72</f>
        <v>The Chaperone</v>
      </c>
      <c r="E498" s="823">
        <f>Specials!$C$72</f>
        <v>789.8333333</v>
      </c>
      <c r="F498" s="567">
        <f>Specials!$D$72</f>
        <v>570.8492271</v>
      </c>
      <c r="G498" s="716">
        <f>Specials!$F$72</f>
        <v>12186</v>
      </c>
      <c r="H498" s="661">
        <f>Specials!$G$72</f>
        <v>4062</v>
      </c>
      <c r="I498" s="455">
        <f>Specials!$H$72</f>
        <v>6</v>
      </c>
      <c r="J498" s="456">
        <f>Specials!$I$72</f>
        <v>18</v>
      </c>
      <c r="K498" s="456">
        <f>Specials!$J$72</f>
        <v>70</v>
      </c>
      <c r="L498" s="457">
        <f>Specials!$K$72</f>
        <v>0.43</v>
      </c>
      <c r="M498" s="458">
        <f>Specials!$L$72</f>
        <v>20.66714286</v>
      </c>
      <c r="N498" s="816">
        <f>Specials!$M$72</f>
        <v>386</v>
      </c>
      <c r="O498" s="753">
        <f>Specials!$N$72</f>
        <v>677</v>
      </c>
      <c r="P498" s="467"/>
    </row>
    <row r="499">
      <c r="A499" s="449" t="s">
        <v>739</v>
      </c>
      <c r="B499" s="449" t="s">
        <v>649</v>
      </c>
      <c r="C499" s="449" t="s">
        <v>60</v>
      </c>
      <c r="D499" s="450" t="str">
        <f>Specials!$B$73</f>
        <v>The Chaperone</v>
      </c>
      <c r="E499" s="803">
        <f>Specials!$C$73</f>
        <v>1651.88</v>
      </c>
      <c r="F499" s="632">
        <f>Specials!$D$73</f>
        <v>1034.040689</v>
      </c>
      <c r="G499" s="475">
        <f>Specials!$F$73</f>
        <v>13892.04</v>
      </c>
      <c r="H499" s="824">
        <f>Specials!$G$73</f>
        <v>4955.64</v>
      </c>
      <c r="I499" s="455">
        <f>Specials!$H$73</f>
        <v>6</v>
      </c>
      <c r="J499" s="456">
        <f>Specials!$I$73</f>
        <v>18</v>
      </c>
      <c r="K499" s="456">
        <f>Specials!$J$73</f>
        <v>120</v>
      </c>
      <c r="L499" s="457">
        <f>Specials!$K$73</f>
        <v>0.3225</v>
      </c>
      <c r="M499" s="458">
        <f>Specials!$L$73</f>
        <v>13.6975</v>
      </c>
      <c r="N499" s="816">
        <f>Specials!$M$73</f>
        <v>386</v>
      </c>
      <c r="O499" s="805">
        <f>Specials!$N$73</f>
        <v>825.94</v>
      </c>
      <c r="P499" s="467" t="str">
        <f>Specials!$O$73</f>
        <v>Assumes 100% Roadborn uptime, reload to full</v>
      </c>
    </row>
    <row r="500">
      <c r="A500" s="449" t="s">
        <v>739</v>
      </c>
      <c r="B500" s="449" t="s">
        <v>649</v>
      </c>
      <c r="C500" s="449" t="s">
        <v>60</v>
      </c>
      <c r="D500" s="450" t="str">
        <f>Specials!$B$74</f>
        <v>The Chaperone</v>
      </c>
      <c r="E500" s="803">
        <f>Specials!$C$74</f>
        <v>1214.617647</v>
      </c>
      <c r="F500" s="632">
        <f>Specials!$D$74</f>
        <v>1214.617647</v>
      </c>
      <c r="G500" s="475">
        <f>Specials!$F$74</f>
        <v>13892.04</v>
      </c>
      <c r="H500" s="824">
        <f>Specials!$G$74</f>
        <v>4955.64</v>
      </c>
      <c r="I500" s="455">
        <f>Specials!$H$74</f>
        <v>6</v>
      </c>
      <c r="J500" s="456">
        <f>Specials!$I$74</f>
        <v>18</v>
      </c>
      <c r="K500" s="456">
        <f>Specials!$J$74</f>
        <v>120</v>
      </c>
      <c r="L500" s="457">
        <f>Specials!$K$74</f>
        <v>0.3225</v>
      </c>
      <c r="M500" s="458">
        <f>Specials!$L$74</f>
        <v>11.56</v>
      </c>
      <c r="N500" s="816">
        <f>Specials!$M$74</f>
        <v>386</v>
      </c>
      <c r="O500" s="805">
        <f>Specials!$N$74</f>
        <v>825.94</v>
      </c>
      <c r="P500" s="467" t="str">
        <f>Specials!$O$74</f>
        <v>Assumes 100% Roadborn uptime, reload cancel, firing final round</v>
      </c>
    </row>
    <row r="501">
      <c r="A501" s="449" t="s">
        <v>739</v>
      </c>
      <c r="B501" s="449" t="s">
        <v>649</v>
      </c>
      <c r="C501" s="449" t="s">
        <v>60</v>
      </c>
      <c r="D501" s="450" t="str">
        <f>Specials!$B$69</f>
        <v>The Fourth Horseman</v>
      </c>
      <c r="E501" s="825">
        <f>Specials!$C$69</f>
        <v>5263.2</v>
      </c>
      <c r="F501" s="463">
        <f>Specials!$D$69</f>
        <v>1228.762646</v>
      </c>
      <c r="G501" s="658">
        <f>Specials!$F$69</f>
        <v>15789.6</v>
      </c>
      <c r="H501" s="485">
        <f>Specials!$G$69</f>
        <v>3157.92</v>
      </c>
      <c r="I501" s="455">
        <f>Specials!$H$69</f>
        <v>4</v>
      </c>
      <c r="J501" s="456">
        <f>Specials!$I$69</f>
        <v>20</v>
      </c>
      <c r="K501" s="456">
        <f>Specials!$J$69</f>
        <v>300</v>
      </c>
      <c r="L501" s="457">
        <f>Specials!$K$69</f>
        <v>0.43</v>
      </c>
      <c r="M501" s="458">
        <f>Specials!$L$69</f>
        <v>12.17</v>
      </c>
      <c r="N501" s="658">
        <f>Specials!$M$69</f>
        <v>612</v>
      </c>
      <c r="O501" s="826">
        <f>Specials!$N$69</f>
        <v>676</v>
      </c>
      <c r="P501" s="467"/>
    </row>
    <row r="502">
      <c r="A502" s="449" t="s">
        <v>739</v>
      </c>
      <c r="B502" s="449" t="s">
        <v>649</v>
      </c>
      <c r="C502" s="449" t="s">
        <v>60</v>
      </c>
      <c r="D502" s="450" t="str">
        <f>Specials!$B$70</f>
        <v>The Fourth Horseman</v>
      </c>
      <c r="E502" s="827">
        <f>Specials!$C$70</f>
        <v>5332.05</v>
      </c>
      <c r="F502" s="828">
        <f>Specials!$D$70</f>
        <v>1333.0125</v>
      </c>
      <c r="G502" s="485">
        <f>Specials!$F$70</f>
        <v>17062.56</v>
      </c>
      <c r="H502" s="508">
        <f>Specials!$G$70</f>
        <v>4265.64</v>
      </c>
      <c r="I502" s="455">
        <f>Specials!$H$70</f>
        <v>5</v>
      </c>
      <c r="J502" s="456">
        <f>Specials!$I$70</f>
        <v>20</v>
      </c>
      <c r="K502" s="456">
        <f>Specials!$J$70</f>
        <v>300</v>
      </c>
      <c r="L502" s="457">
        <f>Specials!$K$70</f>
        <v>0.43</v>
      </c>
      <c r="M502" s="458">
        <f>Specials!$L$70</f>
        <v>12.12</v>
      </c>
      <c r="N502" s="658">
        <f>Specials!$M$70</f>
        <v>612</v>
      </c>
      <c r="O502" s="826">
        <f>Specials!$N$70</f>
        <v>676</v>
      </c>
      <c r="P502" s="127" t="s">
        <v>765</v>
      </c>
    </row>
    <row r="503">
      <c r="A503" s="449" t="s">
        <v>739</v>
      </c>
      <c r="B503" s="449" t="s">
        <v>654</v>
      </c>
      <c r="C503" s="449" t="s">
        <v>60</v>
      </c>
      <c r="D503" s="482" t="str">
        <f>Specials!$B$7</f>
        <v>Adaptive</v>
      </c>
      <c r="E503" s="582">
        <f>Specials!$C$7</f>
        <v>891</v>
      </c>
      <c r="F503" s="788">
        <f>Specials!$D$7</f>
        <v>695.3177258</v>
      </c>
      <c r="G503" s="534">
        <f>Specials!$F$7</f>
        <v>14256</v>
      </c>
      <c r="H503" s="829">
        <f>Specials!$G$7</f>
        <v>4158</v>
      </c>
      <c r="I503" s="455">
        <f>Specials!$H$7</f>
        <v>7</v>
      </c>
      <c r="J503" s="456">
        <f>Specials!$I$7</f>
        <v>24</v>
      </c>
      <c r="K503" s="456">
        <f>Specials!$J$7</f>
        <v>90</v>
      </c>
      <c r="L503" s="457">
        <f>Specials!$K$7</f>
        <v>1.98</v>
      </c>
      <c r="M503" s="458">
        <f>Specials!$L$7</f>
        <v>19.27333333</v>
      </c>
      <c r="N503" s="726">
        <f>Specials!$M$7</f>
        <v>183</v>
      </c>
      <c r="O503" s="777">
        <f>Specials!$N$7</f>
        <v>594</v>
      </c>
      <c r="P503" s="467"/>
    </row>
    <row r="504">
      <c r="A504" s="449" t="s">
        <v>739</v>
      </c>
      <c r="B504" s="449" t="s">
        <v>654</v>
      </c>
      <c r="C504" s="449" t="s">
        <v>60</v>
      </c>
      <c r="D504" s="482" t="str">
        <f>Specials!$B$8</f>
        <v>Adaptive</v>
      </c>
      <c r="E504" s="582">
        <f>Specials!$C$8</f>
        <v>891</v>
      </c>
      <c r="F504" s="817">
        <f>Specials!$D$8</f>
        <v>744.3609023</v>
      </c>
      <c r="G504" s="623">
        <f>Specials!$F$8</f>
        <v>20196</v>
      </c>
      <c r="H504" s="661">
        <f>Specials!$G$8</f>
        <v>5940</v>
      </c>
      <c r="I504" s="455">
        <f>Specials!$H$8</f>
        <v>10</v>
      </c>
      <c r="J504" s="566">
        <f>Specials!$I$8</f>
        <v>34</v>
      </c>
      <c r="K504" s="456">
        <f>Specials!$J$8</f>
        <v>90</v>
      </c>
      <c r="L504" s="457">
        <f>Specials!$K$8</f>
        <v>1.98</v>
      </c>
      <c r="M504" s="458">
        <f>Specials!$L$8</f>
        <v>25.94</v>
      </c>
      <c r="N504" s="726">
        <f>Specials!$M$8</f>
        <v>183</v>
      </c>
      <c r="O504" s="777">
        <f>Specials!$N$8</f>
        <v>594</v>
      </c>
      <c r="P504" s="127" t="s">
        <v>766</v>
      </c>
    </row>
    <row r="505">
      <c r="A505" s="449" t="s">
        <v>739</v>
      </c>
      <c r="B505" s="449" t="s">
        <v>654</v>
      </c>
      <c r="C505" s="449" t="s">
        <v>60</v>
      </c>
      <c r="D505" s="482" t="str">
        <f>Specials!$B$9</f>
        <v>Adaptive</v>
      </c>
      <c r="E505" s="582">
        <f>Specials!$C$9</f>
        <v>891</v>
      </c>
      <c r="F505" s="830">
        <f>Specials!$D$9</f>
        <v>755.6669237</v>
      </c>
      <c r="G505" s="599">
        <f>Specials!$F$9</f>
        <v>21384</v>
      </c>
      <c r="H505" s="524">
        <f>Specials!$G$9</f>
        <v>6534</v>
      </c>
      <c r="I505" s="455">
        <f>Specials!$H$9</f>
        <v>11</v>
      </c>
      <c r="J505" s="566">
        <f>Specials!$I$9</f>
        <v>36</v>
      </c>
      <c r="K505" s="456">
        <f>Specials!$J$9</f>
        <v>90</v>
      </c>
      <c r="L505" s="457">
        <f>Specials!$K$9</f>
        <v>1.98</v>
      </c>
      <c r="M505" s="458">
        <f>Specials!$L$9</f>
        <v>27.27333333</v>
      </c>
      <c r="N505" s="726">
        <f>Specials!$M$9</f>
        <v>183</v>
      </c>
      <c r="O505" s="777">
        <f>Specials!$N$9</f>
        <v>594</v>
      </c>
      <c r="P505" s="127" t="s">
        <v>767</v>
      </c>
    </row>
    <row r="506">
      <c r="A506" s="449" t="s">
        <v>739</v>
      </c>
      <c r="B506" s="449" t="s">
        <v>654</v>
      </c>
      <c r="C506" s="449" t="s">
        <v>60</v>
      </c>
      <c r="D506" s="482" t="str">
        <f>Specials!$B$10</f>
        <v>Aggressive</v>
      </c>
      <c r="E506" s="582">
        <f>Specials!$C$10</f>
        <v>871.2</v>
      </c>
      <c r="F506" s="545">
        <f>Specials!$D$10</f>
        <v>683.1869511</v>
      </c>
      <c r="G506" s="477">
        <f>Specials!$F$10</f>
        <v>14520</v>
      </c>
      <c r="H506" s="504">
        <f>Specials!$G$10</f>
        <v>3630</v>
      </c>
      <c r="I506" s="455">
        <f>Specials!$H$10</f>
        <v>5</v>
      </c>
      <c r="J506" s="456">
        <f>Specials!$I$10</f>
        <v>20</v>
      </c>
      <c r="K506" s="456">
        <f>Specials!$J$10</f>
        <v>72</v>
      </c>
      <c r="L506" s="457">
        <f>Specials!$K$10</f>
        <v>1.98</v>
      </c>
      <c r="M506" s="458">
        <f>Specials!$L$10</f>
        <v>19.27333333</v>
      </c>
      <c r="N506" s="474">
        <f>Specials!$M$10</f>
        <v>208</v>
      </c>
      <c r="O506" s="646">
        <f>Specials!$N$10</f>
        <v>726</v>
      </c>
      <c r="P506" s="117"/>
    </row>
    <row r="507">
      <c r="A507" s="449" t="s">
        <v>739</v>
      </c>
      <c r="B507" s="449" t="s">
        <v>654</v>
      </c>
      <c r="C507" s="449" t="s">
        <v>60</v>
      </c>
      <c r="D507" s="482" t="str">
        <f>Specials!$B$11</f>
        <v>Aggressive</v>
      </c>
      <c r="E507" s="582">
        <f>Specials!$C$11</f>
        <v>871.2</v>
      </c>
      <c r="F507" s="782">
        <f>Specials!$D$11</f>
        <v>728.0802292</v>
      </c>
      <c r="G507" s="487">
        <f>Specials!$F$11</f>
        <v>20328</v>
      </c>
      <c r="H507" s="514">
        <f>Specials!$G$11</f>
        <v>5082</v>
      </c>
      <c r="I507" s="455">
        <f>Specials!$H$11</f>
        <v>7</v>
      </c>
      <c r="J507" s="566">
        <f>Specials!$I$11</f>
        <v>28</v>
      </c>
      <c r="K507" s="456">
        <f>Specials!$J$11</f>
        <v>72</v>
      </c>
      <c r="L507" s="457">
        <f>Specials!$K$11</f>
        <v>1.98</v>
      </c>
      <c r="M507" s="458">
        <f>Specials!$L$11</f>
        <v>25.94</v>
      </c>
      <c r="N507" s="474">
        <f>Specials!$M$11</f>
        <v>208</v>
      </c>
      <c r="O507" s="646">
        <f>Specials!$N$11</f>
        <v>726</v>
      </c>
      <c r="P507" s="127" t="s">
        <v>766</v>
      </c>
    </row>
    <row r="508">
      <c r="A508" s="449" t="s">
        <v>739</v>
      </c>
      <c r="B508" s="449" t="s">
        <v>654</v>
      </c>
      <c r="C508" s="449" t="s">
        <v>60</v>
      </c>
      <c r="D508" s="482" t="str">
        <f>Specials!$B$12</f>
        <v>Aggressive</v>
      </c>
      <c r="E508" s="582">
        <f>Specials!$C$12</f>
        <v>871.2</v>
      </c>
      <c r="F508" s="782">
        <f>Specials!$D$12</f>
        <v>728.0802292</v>
      </c>
      <c r="G508" s="508">
        <f>Specials!$F$12</f>
        <v>20328</v>
      </c>
      <c r="H508" s="514">
        <f>Specials!$G$12</f>
        <v>5082</v>
      </c>
      <c r="I508" s="455">
        <f>Specials!$H$12</f>
        <v>7</v>
      </c>
      <c r="J508" s="566">
        <f>Specials!$I$12</f>
        <v>28</v>
      </c>
      <c r="K508" s="456">
        <f>Specials!$J$12</f>
        <v>72</v>
      </c>
      <c r="L508" s="457">
        <f>Specials!$K$12</f>
        <v>1.98</v>
      </c>
      <c r="M508" s="458">
        <f>Specials!$L$12</f>
        <v>25.94</v>
      </c>
      <c r="N508" s="474">
        <f>Specials!$M$12</f>
        <v>208</v>
      </c>
      <c r="O508" s="646">
        <f>Specials!$N$12</f>
        <v>726</v>
      </c>
      <c r="P508" s="127" t="s">
        <v>767</v>
      </c>
    </row>
    <row r="509">
      <c r="A509" s="449" t="s">
        <v>739</v>
      </c>
      <c r="B509" s="449" t="s">
        <v>654</v>
      </c>
      <c r="C509" s="449" t="s">
        <v>60</v>
      </c>
      <c r="D509" s="450" t="str">
        <f>Specials!$B$19</f>
        <v>Borealis</v>
      </c>
      <c r="E509" s="582">
        <f>Specials!$C$19</f>
        <v>871.2</v>
      </c>
      <c r="F509" s="545">
        <f>Specials!$D$19</f>
        <v>683.1869511</v>
      </c>
      <c r="G509" s="477">
        <f>Specials!$F$19</f>
        <v>14520</v>
      </c>
      <c r="H509" s="504">
        <f>Specials!$G$19</f>
        <v>3630</v>
      </c>
      <c r="I509" s="455">
        <f>Specials!$H$19</f>
        <v>5</v>
      </c>
      <c r="J509" s="456">
        <f>Specials!$I$19</f>
        <v>20</v>
      </c>
      <c r="K509" s="456">
        <f>Specials!$J$19</f>
        <v>72</v>
      </c>
      <c r="L509" s="457">
        <f>Specials!$K$19</f>
        <v>1.98</v>
      </c>
      <c r="M509" s="458">
        <f>Specials!$L$19</f>
        <v>19.27333333</v>
      </c>
      <c r="N509" s="474">
        <f>Specials!$M$19</f>
        <v>208</v>
      </c>
      <c r="O509" s="646">
        <f>Specials!$N$19</f>
        <v>726</v>
      </c>
      <c r="P509" s="467"/>
    </row>
    <row r="510">
      <c r="A510" s="449" t="s">
        <v>739</v>
      </c>
      <c r="B510" s="449" t="s">
        <v>654</v>
      </c>
      <c r="C510" s="449" t="s">
        <v>60</v>
      </c>
      <c r="D510" s="450" t="str">
        <f>Specials!$B$20</f>
        <v>Borealis</v>
      </c>
      <c r="E510" s="477">
        <f>Specials!$C$20</f>
        <v>1524.6</v>
      </c>
      <c r="F510" s="466" t="str">
        <f>Specials!$D$20</f>
        <v>N/A</v>
      </c>
      <c r="G510" s="508">
        <f>Specials!$F$20</f>
        <v>20328</v>
      </c>
      <c r="H510" s="514">
        <f>Specials!$G$20</f>
        <v>5082</v>
      </c>
      <c r="I510" s="455">
        <f>Specials!$H$20</f>
        <v>5</v>
      </c>
      <c r="J510" s="456">
        <f>Specials!$I$20</f>
        <v>20</v>
      </c>
      <c r="K510" s="456">
        <f>Specials!$J$20</f>
        <v>72</v>
      </c>
      <c r="L510" s="457">
        <f>Specials!$K$20</f>
        <v>1.98</v>
      </c>
      <c r="M510" s="458">
        <f>Specials!$L$20</f>
        <v>19.27333333</v>
      </c>
      <c r="N510" s="647">
        <f>Specials!$M$20</f>
        <v>291.2</v>
      </c>
      <c r="O510" s="695">
        <f>Specials!$N$20</f>
        <v>1016.4</v>
      </c>
      <c r="P510" s="127" t="s">
        <v>270</v>
      </c>
    </row>
    <row r="511">
      <c r="A511" s="449" t="s">
        <v>739</v>
      </c>
      <c r="B511" s="449" t="s">
        <v>654</v>
      </c>
      <c r="C511" s="449" t="s">
        <v>60</v>
      </c>
      <c r="D511" s="450" t="str">
        <f>Specials!$B$21</f>
        <v>New Land Beyond</v>
      </c>
      <c r="E511" s="477">
        <f>Specials!$C$21</f>
        <v>556.2162162</v>
      </c>
      <c r="F511" s="466">
        <f>Specials!$D$21</f>
        <v>551.3730743</v>
      </c>
      <c r="G511" s="508">
        <f>Specials!$F$21</f>
        <v>41160</v>
      </c>
      <c r="H511" s="514">
        <f>Specials!$G$21</f>
        <v>8232</v>
      </c>
      <c r="I511" s="455">
        <f>Specials!$H$21</f>
        <v>8</v>
      </c>
      <c r="J511" s="456">
        <f>Specials!$I$21</f>
        <v>40</v>
      </c>
      <c r="K511" s="456">
        <f>Specials!$J$21</f>
        <v>32.43243243</v>
      </c>
      <c r="L511" s="457">
        <f>Specials!$K$21</f>
        <v>1.98</v>
      </c>
      <c r="M511" s="458">
        <f>Specials!$L$21</f>
        <v>72.67</v>
      </c>
      <c r="N511" s="647">
        <f>Specials!$M$21</f>
        <v>374</v>
      </c>
      <c r="O511" s="695">
        <f>Specials!$N$21</f>
        <v>1029</v>
      </c>
      <c r="P511" s="127" t="str">
        <f>Specials!$O$21</f>
        <v>Base damage, The Master 0x, without any stat buffs</v>
      </c>
    </row>
    <row r="512">
      <c r="A512" s="449" t="s">
        <v>739</v>
      </c>
      <c r="B512" s="449" t="s">
        <v>654</v>
      </c>
      <c r="C512" s="449" t="s">
        <v>60</v>
      </c>
      <c r="D512" s="450" t="str">
        <f>Specials!$B$22</f>
        <v>New Land Beyond</v>
      </c>
      <c r="E512" s="477">
        <f>Specials!$C$22</f>
        <v>751.0948905</v>
      </c>
      <c r="F512" s="466">
        <f>Specials!$D$22</f>
        <v>711.4952463</v>
      </c>
      <c r="G512" s="508">
        <f>Specials!$F$22</f>
        <v>41160</v>
      </c>
      <c r="H512" s="514">
        <f>Specials!$G$22</f>
        <v>8232</v>
      </c>
      <c r="I512" s="455">
        <f>Specials!$H$22</f>
        <v>8</v>
      </c>
      <c r="J512" s="456">
        <f>Specials!$I$22</f>
        <v>40</v>
      </c>
      <c r="K512" s="456">
        <f>Specials!$J$22</f>
        <v>43.79562044</v>
      </c>
      <c r="L512" s="457">
        <f>Specials!$K$22</f>
        <v>1.98</v>
      </c>
      <c r="M512" s="458">
        <f>Specials!$L$22</f>
        <v>55.87</v>
      </c>
      <c r="N512" s="647">
        <f>Specials!$M$22</f>
        <v>374</v>
      </c>
      <c r="O512" s="695">
        <f>Specials!$N$22</f>
        <v>1029</v>
      </c>
      <c r="P512" s="127" t="str">
        <f>Specials!$O$22</f>
        <v>Base damage, The Master 0x, with a Rally Barricade</v>
      </c>
    </row>
    <row r="513">
      <c r="A513" s="449" t="s">
        <v>739</v>
      </c>
      <c r="B513" s="449" t="s">
        <v>654</v>
      </c>
      <c r="C513" s="449" t="s">
        <v>60</v>
      </c>
      <c r="D513" s="450" t="str">
        <f>Specials!$B$23</f>
        <v>New Land Beyond</v>
      </c>
      <c r="E513" s="477">
        <f>Specials!$C$23</f>
        <v>1123.357664</v>
      </c>
      <c r="F513" s="466">
        <f>Specials!$D$23</f>
        <v>1064.131374</v>
      </c>
      <c r="G513" s="508">
        <f>Specials!$F$23</f>
        <v>61560</v>
      </c>
      <c r="H513" s="514">
        <f>Specials!$G$23</f>
        <v>12312</v>
      </c>
      <c r="I513" s="455">
        <f>Specials!$H$23</f>
        <v>8</v>
      </c>
      <c r="J513" s="456">
        <f>Specials!$I$23</f>
        <v>40</v>
      </c>
      <c r="K513" s="456">
        <f>Specials!$J$23</f>
        <v>43.79562044</v>
      </c>
      <c r="L513" s="457">
        <f>Specials!$K$23</f>
        <v>1.98</v>
      </c>
      <c r="M513" s="458">
        <f>Specials!$L$23</f>
        <v>55.87</v>
      </c>
      <c r="N513" s="647">
        <f>Specials!$M$23</f>
        <v>374</v>
      </c>
      <c r="O513" s="695">
        <f>Specials!$N$23</f>
        <v>1539</v>
      </c>
      <c r="P513" s="127" t="str">
        <f>Specials!$O$23</f>
        <v>The Master 10x, with a Rally Barricade</v>
      </c>
    </row>
    <row r="514">
      <c r="A514" s="449" t="s">
        <v>739</v>
      </c>
      <c r="B514" s="449" t="s">
        <v>654</v>
      </c>
      <c r="C514" s="449" t="s">
        <v>60</v>
      </c>
      <c r="D514" s="450" t="str">
        <f>Specials!$B$24</f>
        <v>New Land Beyond</v>
      </c>
      <c r="E514" s="477">
        <f>Specials!$C$24</f>
        <v>1276.642336</v>
      </c>
      <c r="F514" s="466">
        <f>Specials!$D$24</f>
        <v>1209.334486</v>
      </c>
      <c r="G514" s="508">
        <f>Specials!$F$24</f>
        <v>69960</v>
      </c>
      <c r="H514" s="514">
        <f>Specials!$G$24</f>
        <v>13992</v>
      </c>
      <c r="I514" s="455">
        <f>Specials!$H$24</f>
        <v>8</v>
      </c>
      <c r="J514" s="456">
        <f>Specials!$I$24</f>
        <v>40</v>
      </c>
      <c r="K514" s="456">
        <f>Specials!$J$24</f>
        <v>43.79562044</v>
      </c>
      <c r="L514" s="457">
        <f>Specials!$K$24</f>
        <v>1.98</v>
      </c>
      <c r="M514" s="458">
        <f>Specials!$L$24</f>
        <v>55.87</v>
      </c>
      <c r="N514" s="647">
        <f>Specials!$M$24</f>
        <v>374</v>
      </c>
      <c r="O514" s="695">
        <f>Specials!$N$24</f>
        <v>1749</v>
      </c>
      <c r="P514" s="127" t="str">
        <f>Specials!$O$24</f>
        <v>The Master 20x, with a Rally Barricade</v>
      </c>
    </row>
    <row r="515">
      <c r="A515" s="449" t="s">
        <v>739</v>
      </c>
      <c r="B515" s="449" t="s">
        <v>654</v>
      </c>
      <c r="C515" s="449" t="s">
        <v>60</v>
      </c>
      <c r="D515" s="450" t="str">
        <f>Specials!$B$25</f>
        <v>Ice Breaker</v>
      </c>
      <c r="E515" s="477">
        <f>Specials!$C$25</f>
        <v>871.3833333</v>
      </c>
      <c r="F515" s="466">
        <f>Specials!$D$25</f>
        <v>871.3833333</v>
      </c>
      <c r="G515" s="508">
        <f>Specials!$F$25</f>
        <v>10670</v>
      </c>
      <c r="H515" s="514">
        <f>Specials!$G$25</f>
        <v>10670</v>
      </c>
      <c r="I515" s="455">
        <f>Specials!$H$25</f>
        <v>10</v>
      </c>
      <c r="J515" s="566" t="str">
        <f>Specials!$I$25</f>
        <v>N/A</v>
      </c>
      <c r="K515" s="456">
        <f>Specials!$J$25</f>
        <v>49</v>
      </c>
      <c r="L515" s="457" t="str">
        <f>Specials!$K$25</f>
        <v>N/A</v>
      </c>
      <c r="M515" s="458">
        <f>Specials!$L$25</f>
        <v>12.24489796</v>
      </c>
      <c r="N515" s="647">
        <f>Specials!$M$25</f>
        <v>305</v>
      </c>
      <c r="O515" s="695">
        <f>Specials!$N$25</f>
        <v>1067</v>
      </c>
      <c r="P515" s="127"/>
    </row>
    <row r="516">
      <c r="A516" s="449" t="s">
        <v>739</v>
      </c>
      <c r="B516" s="449" t="s">
        <v>654</v>
      </c>
      <c r="C516" s="449" t="s">
        <v>60</v>
      </c>
      <c r="D516" s="450" t="str">
        <f>Specials!$B$13</f>
        <v>Cloudstrike</v>
      </c>
      <c r="E516" s="609">
        <f>Specials!$C$13</f>
        <v>1552.444444</v>
      </c>
      <c r="F516" s="810">
        <f>Specials!$D$13</f>
        <v>1195.930291</v>
      </c>
      <c r="G516" s="498">
        <f>Specials!$F$13</f>
        <v>20410</v>
      </c>
      <c r="H516" s="479">
        <f>Specials!$G$13</f>
        <v>5088</v>
      </c>
      <c r="I516" s="455">
        <f>Specials!$H$13</f>
        <v>7</v>
      </c>
      <c r="J516" s="456">
        <f>Specials!$I$13</f>
        <v>31</v>
      </c>
      <c r="K516" s="456">
        <f>Specials!$J$13</f>
        <v>140</v>
      </c>
      <c r="L516" s="457">
        <f>Specials!$K$13</f>
        <v>1.683</v>
      </c>
      <c r="M516" s="458">
        <f>Specials!$L$13</f>
        <v>17.87485714</v>
      </c>
      <c r="N516" s="736">
        <f>Specials!$M$13</f>
        <v>131</v>
      </c>
      <c r="O516" s="652">
        <f>Specials!$N$13</f>
        <v>450</v>
      </c>
      <c r="P516" s="515" t="s">
        <v>768</v>
      </c>
    </row>
    <row r="517">
      <c r="A517" s="449" t="s">
        <v>739</v>
      </c>
      <c r="B517" s="449" t="s">
        <v>654</v>
      </c>
      <c r="C517" s="449" t="s">
        <v>60</v>
      </c>
      <c r="D517" s="450" t="str">
        <f>Specials!$B$14</f>
        <v>Cloudstrike</v>
      </c>
      <c r="E517" s="609">
        <f>Specials!$C$14</f>
        <v>1552.444444</v>
      </c>
      <c r="F517" s="831">
        <f>Specials!$D$14</f>
        <v>1278.667389</v>
      </c>
      <c r="G517" s="633">
        <f>Specials!$F$14</f>
        <v>28844</v>
      </c>
      <c r="H517" s="832">
        <f>Specials!$G$14</f>
        <v>7084</v>
      </c>
      <c r="I517" s="455">
        <f>Specials!$H$14</f>
        <v>10</v>
      </c>
      <c r="J517" s="566">
        <f>Specials!$I$14</f>
        <v>44</v>
      </c>
      <c r="K517" s="456">
        <f>Specials!$J$14</f>
        <v>140</v>
      </c>
      <c r="L517" s="457">
        <f>Specials!$K$14</f>
        <v>1.683</v>
      </c>
      <c r="M517" s="458">
        <f>Specials!$L$14</f>
        <v>23.44628571</v>
      </c>
      <c r="N517" s="736">
        <f>Specials!$M$14</f>
        <v>131</v>
      </c>
      <c r="O517" s="652">
        <f>Specials!$N$14</f>
        <v>450</v>
      </c>
      <c r="P517" s="515" t="s">
        <v>768</v>
      </c>
    </row>
    <row r="518">
      <c r="A518" s="449" t="s">
        <v>739</v>
      </c>
      <c r="B518" s="449" t="s">
        <v>654</v>
      </c>
      <c r="C518" s="449" t="s">
        <v>60</v>
      </c>
      <c r="D518" s="450" t="str">
        <f>Specials!$B$15</f>
        <v>Izanagi's Burden</v>
      </c>
      <c r="E518" s="454">
        <f>Specials!$C$15</f>
        <v>891</v>
      </c>
      <c r="F518" s="545">
        <f>Specials!$D$15</f>
        <v>596.9849246</v>
      </c>
      <c r="G518" s="579">
        <f>Specials!$F$15</f>
        <v>11880</v>
      </c>
      <c r="H518" s="454">
        <f>Specials!$G$15</f>
        <v>2376</v>
      </c>
      <c r="I518" s="455">
        <f>Specials!$H$15</f>
        <v>4</v>
      </c>
      <c r="J518" s="456">
        <f>Specials!$I$15</f>
        <v>20</v>
      </c>
      <c r="K518" s="456">
        <f>Specials!$J$15</f>
        <v>90</v>
      </c>
      <c r="L518" s="457">
        <f>Specials!$K$15</f>
        <v>1.98</v>
      </c>
      <c r="M518" s="458">
        <f>Specials!$L$15</f>
        <v>17.92</v>
      </c>
      <c r="N518" s="474">
        <f>Specials!$M$15</f>
        <v>183</v>
      </c>
      <c r="O518" s="833">
        <f>Specials!$N$15</f>
        <v>594</v>
      </c>
      <c r="P518" s="467"/>
    </row>
    <row r="519">
      <c r="A519" s="449" t="s">
        <v>739</v>
      </c>
      <c r="B519" s="449" t="s">
        <v>654</v>
      </c>
      <c r="C519" s="449" t="s">
        <v>60</v>
      </c>
      <c r="D519" s="450" t="str">
        <f>Specials!$B$16</f>
        <v>Izanagi's Burden</v>
      </c>
      <c r="E519" s="505">
        <f>Specials!$C$16</f>
        <v>515</v>
      </c>
      <c r="F519" s="621">
        <f>Specials!$D$16</f>
        <v>515</v>
      </c>
      <c r="G519" s="510">
        <f>Specials!$F$16</f>
        <v>13390</v>
      </c>
      <c r="H519" s="579">
        <f>Specials!$G$16</f>
        <v>2678</v>
      </c>
      <c r="I519" s="455">
        <f>Specials!$H$16</f>
        <v>4</v>
      </c>
      <c r="J519" s="456">
        <f>Specials!$I$16</f>
        <v>20</v>
      </c>
      <c r="K519" s="456">
        <f>Specials!$J$16</f>
        <v>90</v>
      </c>
      <c r="L519" s="457">
        <f>Specials!$K$16</f>
        <v>3.2</v>
      </c>
      <c r="M519" s="458">
        <f>Specials!$L$16</f>
        <v>22.8</v>
      </c>
      <c r="N519" s="534">
        <f>Specials!$M$16</f>
        <v>466</v>
      </c>
      <c r="O519" s="834">
        <f>Specials!$N$16</f>
        <v>2678</v>
      </c>
      <c r="P519" s="127" t="s">
        <v>769</v>
      </c>
    </row>
    <row r="520">
      <c r="A520" s="449" t="s">
        <v>739</v>
      </c>
      <c r="B520" s="449" t="s">
        <v>654</v>
      </c>
      <c r="C520" s="449" t="s">
        <v>60</v>
      </c>
      <c r="D520" s="482" t="str">
        <f>Specials!$B$3</f>
        <v>Rapid-Fire</v>
      </c>
      <c r="E520" s="454">
        <f>Specials!$C$3</f>
        <v>1050</v>
      </c>
      <c r="F520" s="830">
        <f>Specials!$D$3</f>
        <v>758.0445545</v>
      </c>
      <c r="G520" s="500">
        <f>Specials!$F$3</f>
        <v>13950</v>
      </c>
      <c r="H520" s="500">
        <f>Specials!$G$3</f>
        <v>3150</v>
      </c>
      <c r="I520" s="455">
        <f>Specials!$H$3</f>
        <v>7</v>
      </c>
      <c r="J520" s="456">
        <f>Specials!$I$3</f>
        <v>31</v>
      </c>
      <c r="K520" s="456">
        <f>Specials!$J$3</f>
        <v>140</v>
      </c>
      <c r="L520" s="457">
        <f>Specials!$K$3</f>
        <v>1.584</v>
      </c>
      <c r="M520" s="458">
        <f>Specials!$L$3</f>
        <v>17.47885714</v>
      </c>
      <c r="N520" s="736">
        <f>Specials!$M$3</f>
        <v>131</v>
      </c>
      <c r="O520" s="652">
        <f>Specials!$N$3</f>
        <v>450</v>
      </c>
      <c r="P520" s="467"/>
    </row>
    <row r="521">
      <c r="A521" s="449" t="s">
        <v>739</v>
      </c>
      <c r="B521" s="449" t="s">
        <v>654</v>
      </c>
      <c r="C521" s="449" t="s">
        <v>60</v>
      </c>
      <c r="D521" s="482" t="str">
        <f>Specials!$B$4</f>
        <v>Rapid-Fire</v>
      </c>
      <c r="E521" s="454">
        <f>Specials!$C$4</f>
        <v>1050</v>
      </c>
      <c r="F521" s="567">
        <f>Specials!$D$4</f>
        <v>827.0321361</v>
      </c>
      <c r="G521" s="570">
        <f>Specials!$F$4</f>
        <v>19800</v>
      </c>
      <c r="H521" s="609">
        <f>Specials!$G$4</f>
        <v>4500</v>
      </c>
      <c r="I521" s="455">
        <f>Specials!$H$4</f>
        <v>10</v>
      </c>
      <c r="J521" s="566">
        <f>Specials!$I$4</f>
        <v>44</v>
      </c>
      <c r="K521" s="456">
        <f>Specials!$J$4</f>
        <v>140</v>
      </c>
      <c r="L521" s="457">
        <f>Specials!$K$4</f>
        <v>1.584</v>
      </c>
      <c r="M521" s="458">
        <f>Specials!$L$4</f>
        <v>23.05028571</v>
      </c>
      <c r="N521" s="736">
        <f>Specials!$M$4</f>
        <v>131</v>
      </c>
      <c r="O521" s="652">
        <f>Specials!$N$4</f>
        <v>450</v>
      </c>
      <c r="P521" s="127" t="s">
        <v>766</v>
      </c>
    </row>
    <row r="522">
      <c r="A522" s="449" t="s">
        <v>739</v>
      </c>
      <c r="B522" s="449" t="s">
        <v>654</v>
      </c>
      <c r="C522" s="449" t="s">
        <v>60</v>
      </c>
      <c r="D522" s="482" t="str">
        <f>Specials!$B$5</f>
        <v>Rapid-Fire</v>
      </c>
      <c r="E522" s="454">
        <f>Specials!$C$5</f>
        <v>1050</v>
      </c>
      <c r="F522" s="654">
        <f>Specials!$D$5</f>
        <v>843.3119159</v>
      </c>
      <c r="G522" s="480">
        <f>Specials!$F$5</f>
        <v>21150</v>
      </c>
      <c r="H522" s="480">
        <f>Specials!$G$5</f>
        <v>4950</v>
      </c>
      <c r="I522" s="455">
        <f>Specials!$H$5</f>
        <v>11</v>
      </c>
      <c r="J522" s="566">
        <f>Specials!$I$5</f>
        <v>47</v>
      </c>
      <c r="K522" s="456">
        <f>Specials!$J$5</f>
        <v>140</v>
      </c>
      <c r="L522" s="457">
        <f>Specials!$K$5</f>
        <v>1.584</v>
      </c>
      <c r="M522" s="458">
        <f>Specials!$L$5</f>
        <v>24.336</v>
      </c>
      <c r="N522" s="736">
        <f>Specials!$M$5</f>
        <v>131</v>
      </c>
      <c r="O522" s="652">
        <f>Specials!$N$5</f>
        <v>450</v>
      </c>
      <c r="P522" s="127" t="s">
        <v>767</v>
      </c>
    </row>
    <row r="523">
      <c r="A523" s="449" t="s">
        <v>739</v>
      </c>
      <c r="B523" s="449" t="s">
        <v>654</v>
      </c>
      <c r="C523" s="449" t="s">
        <v>60</v>
      </c>
      <c r="D523" s="482" t="str">
        <f>Specials!$B$6</f>
        <v>Rapid-Fire</v>
      </c>
      <c r="E523" s="454">
        <f>Specials!$C$6</f>
        <v>1050</v>
      </c>
      <c r="F523" s="466">
        <f>Specials!$D$6</f>
        <v>1050</v>
      </c>
      <c r="G523" s="501">
        <f>Specials!$F$6</f>
        <v>26550</v>
      </c>
      <c r="H523" s="473" t="str">
        <f>Specials!$G$6</f>
        <v>N/A</v>
      </c>
      <c r="I523" s="455">
        <f>Specials!$H$6</f>
        <v>59</v>
      </c>
      <c r="J523" s="566">
        <f>Specials!$I$6</f>
        <v>59</v>
      </c>
      <c r="K523" s="456">
        <f>Specials!$J$6</f>
        <v>140</v>
      </c>
      <c r="L523" s="457">
        <f>Specials!$K$6</f>
        <v>1.584</v>
      </c>
      <c r="M523" s="458">
        <f>Specials!$L$6</f>
        <v>24.85714286</v>
      </c>
      <c r="N523" s="736">
        <f>Specials!$M$6</f>
        <v>131</v>
      </c>
      <c r="O523" s="652">
        <f>Specials!$N$6</f>
        <v>450</v>
      </c>
      <c r="P523" s="517" t="s">
        <v>770</v>
      </c>
    </row>
    <row r="524">
      <c r="A524" s="449" t="s">
        <v>739</v>
      </c>
      <c r="B524" s="449" t="s">
        <v>654</v>
      </c>
      <c r="C524" s="449" t="s">
        <v>60</v>
      </c>
      <c r="D524" s="450" t="str">
        <f>Specials!$B$17</f>
        <v>Still Hunt</v>
      </c>
      <c r="E524" s="505">
        <f>Specials!$C$17</f>
        <v>1140.803109</v>
      </c>
      <c r="F524" s="621">
        <f>Specials!$D$17</f>
        <v>974.9446494</v>
      </c>
      <c r="G524" s="510">
        <f>Specials!$F$17</f>
        <v>32852</v>
      </c>
      <c r="H524" s="579">
        <f>Specials!$G$17</f>
        <v>8807</v>
      </c>
      <c r="I524" s="455">
        <f>Specials!$H$17</f>
        <v>6</v>
      </c>
      <c r="J524" s="456">
        <f>Specials!$I$17</f>
        <v>20</v>
      </c>
      <c r="K524" s="456">
        <f>Specials!$J$17</f>
        <v>90</v>
      </c>
      <c r="L524" s="457">
        <f>Specials!$K$17</f>
        <v>1.98</v>
      </c>
      <c r="M524" s="458">
        <f>Specials!$L$17</f>
        <v>31.76666667</v>
      </c>
      <c r="N524" s="534">
        <f>Specials!$M$17</f>
        <v>183</v>
      </c>
      <c r="O524" s="834">
        <f>Specials!$N$17</f>
        <v>594</v>
      </c>
      <c r="P524" s="127"/>
    </row>
    <row r="525">
      <c r="A525" s="449" t="s">
        <v>739</v>
      </c>
      <c r="B525" s="449" t="s">
        <v>654</v>
      </c>
      <c r="C525" s="449" t="s">
        <v>60</v>
      </c>
      <c r="D525" s="450" t="str">
        <f>Specials!$B$18</f>
        <v>Still Hunt</v>
      </c>
      <c r="E525" s="454">
        <f>Specials!$C$18</f>
        <v>1358.298539</v>
      </c>
      <c r="F525" s="545">
        <f>Specials!$D$18</f>
        <v>1126.623377</v>
      </c>
      <c r="G525" s="579">
        <f>Specials!$F$18</f>
        <v>32324</v>
      </c>
      <c r="H525" s="454">
        <f>Specials!$G$18</f>
        <v>8675</v>
      </c>
      <c r="I525" s="455">
        <f>Specials!$H$18</f>
        <v>6</v>
      </c>
      <c r="J525" s="456">
        <f>Specials!$I$18</f>
        <v>20</v>
      </c>
      <c r="K525" s="456">
        <f>Specials!$J$18</f>
        <v>90</v>
      </c>
      <c r="L525" s="457">
        <f>Specials!$K$18</f>
        <v>1.98</v>
      </c>
      <c r="M525" s="458">
        <f>Specials!$L$18</f>
        <v>26.43333333</v>
      </c>
      <c r="N525" s="474">
        <f>Specials!$M$18</f>
        <v>183</v>
      </c>
      <c r="O525" s="833">
        <f>Specials!$N$18</f>
        <v>594</v>
      </c>
      <c r="P525" s="127" t="s">
        <v>268</v>
      </c>
    </row>
    <row r="526">
      <c r="A526" s="449" t="s">
        <v>739</v>
      </c>
      <c r="B526" s="449" t="s">
        <v>615</v>
      </c>
      <c r="C526" s="449" t="s">
        <v>60</v>
      </c>
      <c r="D526" s="482" t="str">
        <f>Specials!$B$26</f>
        <v>Adaptive</v>
      </c>
      <c r="E526" s="647">
        <f>Specials!$C$26</f>
        <v>420</v>
      </c>
      <c r="F526" s="765">
        <f>Specials!$D$26</f>
        <v>350.5617978</v>
      </c>
      <c r="G526" s="599">
        <f>Specials!$F$26</f>
        <v>14560</v>
      </c>
      <c r="H526" s="512">
        <f>Specials!$G$26</f>
        <v>2912</v>
      </c>
      <c r="I526" s="455">
        <f>Specials!$H$26</f>
        <v>104</v>
      </c>
      <c r="J526" s="456">
        <f>Specials!$I$26</f>
        <v>520</v>
      </c>
      <c r="K526" s="456">
        <f>Specials!$J$26</f>
        <v>900</v>
      </c>
      <c r="L526" s="457">
        <f>Specials!$K$26</f>
        <v>1.44</v>
      </c>
      <c r="M526" s="458">
        <f>Specials!$L$26</f>
        <v>40.09333333</v>
      </c>
      <c r="N526" s="494">
        <f>Specials!$M$26</f>
        <v>21</v>
      </c>
      <c r="O526" s="518">
        <f>Specials!$N$26</f>
        <v>28</v>
      </c>
      <c r="P526" s="467"/>
    </row>
    <row r="527">
      <c r="A527" s="449" t="s">
        <v>739</v>
      </c>
      <c r="B527" s="449" t="s">
        <v>615</v>
      </c>
      <c r="C527" s="449" t="s">
        <v>60</v>
      </c>
      <c r="D527" s="450" t="str">
        <f>Specials!$B$41</f>
        <v>Ager's Scepter</v>
      </c>
      <c r="E527" s="735">
        <f>Specials!$C$41</f>
        <v>570</v>
      </c>
      <c r="F527" s="801">
        <f>Specials!$D$41</f>
        <v>470.1530612</v>
      </c>
      <c r="G527" s="585">
        <f>Specials!$F$41</f>
        <v>18430</v>
      </c>
      <c r="H527" s="570">
        <f>Specials!$G$41</f>
        <v>3686</v>
      </c>
      <c r="I527" s="455">
        <f>Specials!$H$41</f>
        <v>97</v>
      </c>
      <c r="J527" s="456">
        <f>Specials!$I$41</f>
        <v>485</v>
      </c>
      <c r="K527" s="456">
        <f>Specials!$J$41</f>
        <v>900</v>
      </c>
      <c r="L527" s="457">
        <f>Specials!$K$41</f>
        <v>1.44</v>
      </c>
      <c r="M527" s="458">
        <f>Specials!$L$41</f>
        <v>37.76</v>
      </c>
      <c r="N527" s="494">
        <f>Specials!$M$41</f>
        <v>28</v>
      </c>
      <c r="O527" s="732">
        <f>Specials!$N$41</f>
        <v>38</v>
      </c>
      <c r="P527" s="467"/>
    </row>
    <row r="528">
      <c r="A528" s="449" t="s">
        <v>739</v>
      </c>
      <c r="B528" s="449" t="s">
        <v>615</v>
      </c>
      <c r="C528" s="449" t="s">
        <v>60</v>
      </c>
      <c r="D528" s="450" t="str">
        <f>Specials!$B$42</f>
        <v>Ager's Scepter</v>
      </c>
      <c r="E528" s="570">
        <f>Specials!$C$42</f>
        <v>1311.683938</v>
      </c>
      <c r="F528" s="466" t="str">
        <f>Specials!$D$42</f>
        <v>N/A</v>
      </c>
      <c r="G528" s="485">
        <f>Specials!$F$42</f>
        <v>16877</v>
      </c>
      <c r="H528" s="835">
        <f>Specials!$G$42</f>
        <v>16877</v>
      </c>
      <c r="I528" s="455">
        <f>Specials!$H$42</f>
        <v>194</v>
      </c>
      <c r="J528" s="456">
        <f>Specials!$I$42</f>
        <v>485</v>
      </c>
      <c r="K528" s="456">
        <f>Specials!$J$42</f>
        <v>900</v>
      </c>
      <c r="L528" s="457">
        <f>Specials!$K$42</f>
        <v>1.44</v>
      </c>
      <c r="M528" s="458">
        <f>Specials!$L$42</f>
        <v>12.93333333</v>
      </c>
      <c r="N528" s="490">
        <f>Specials!$M$42</f>
        <v>50</v>
      </c>
      <c r="O528" s="555">
        <f>Specials!$N$42</f>
        <v>67</v>
      </c>
      <c r="P528" s="467" t="s">
        <v>771</v>
      </c>
    </row>
    <row r="529">
      <c r="A529" s="449" t="s">
        <v>739</v>
      </c>
      <c r="B529" s="449" t="s">
        <v>615</v>
      </c>
      <c r="C529" s="449" t="s">
        <v>60</v>
      </c>
      <c r="D529" s="450" t="str">
        <f>Specials!$B$33</f>
        <v>Coldheart</v>
      </c>
      <c r="E529" s="534">
        <f>Specials!$C$33</f>
        <v>709.9752475</v>
      </c>
      <c r="F529" s="696">
        <f>Specials!$D$33</f>
        <v>589.6998355</v>
      </c>
      <c r="G529" s="578">
        <f>Specials!$F$33</f>
        <v>14645</v>
      </c>
      <c r="H529" s="522">
        <f>Specials!$G$33</f>
        <v>4780.5</v>
      </c>
      <c r="I529" s="455">
        <f>Specials!$H$33</f>
        <v>101</v>
      </c>
      <c r="J529" s="456">
        <f>Specials!$I$33</f>
        <v>505</v>
      </c>
      <c r="K529" s="456">
        <f>Specials!$J$33</f>
        <v>900</v>
      </c>
      <c r="L529" s="457">
        <f>Specials!$K$33</f>
        <v>1.44</v>
      </c>
      <c r="M529" s="458">
        <f>Specials!$L$33</f>
        <v>39.09333333</v>
      </c>
      <c r="N529" s="494">
        <f>Specials!$M$33</f>
        <v>22</v>
      </c>
      <c r="O529" s="518">
        <f>Specials!$N$33</f>
        <v>29</v>
      </c>
      <c r="P529" s="117"/>
    </row>
    <row r="530">
      <c r="A530" s="449" t="s">
        <v>739</v>
      </c>
      <c r="B530" s="449" t="s">
        <v>615</v>
      </c>
      <c r="C530" s="449" t="s">
        <v>60</v>
      </c>
      <c r="D530" s="450" t="str">
        <f>Specials!$B$34</f>
        <v>Coldheart</v>
      </c>
      <c r="E530" s="548">
        <f>Specials!$C$34</f>
        <v>723.6386139</v>
      </c>
      <c r="F530" s="719">
        <f>Specials!$D$34</f>
        <v>601.0485197</v>
      </c>
      <c r="G530" s="578">
        <f>Specials!$F$34</f>
        <v>14645</v>
      </c>
      <c r="H530" s="661">
        <f>Specials!$G$34</f>
        <v>4872.5</v>
      </c>
      <c r="I530" s="455">
        <f>Specials!$H$34</f>
        <v>101</v>
      </c>
      <c r="J530" s="456">
        <f>Specials!$I$34</f>
        <v>505</v>
      </c>
      <c r="K530" s="456">
        <f>Specials!$J$34</f>
        <v>900</v>
      </c>
      <c r="L530" s="457">
        <f>Specials!$K$34</f>
        <v>1.44</v>
      </c>
      <c r="M530" s="458">
        <f>Specials!$L$34</f>
        <v>39.09333333</v>
      </c>
      <c r="N530" s="494">
        <f>Specials!$M$34</f>
        <v>22</v>
      </c>
      <c r="O530" s="518">
        <f>Specials!$N$34</f>
        <v>29</v>
      </c>
      <c r="P530" s="517" t="s">
        <v>772</v>
      </c>
    </row>
    <row r="531">
      <c r="A531" s="449" t="s">
        <v>739</v>
      </c>
      <c r="B531" s="449" t="s">
        <v>615</v>
      </c>
      <c r="C531" s="449" t="s">
        <v>60</v>
      </c>
      <c r="D531" s="450" t="str">
        <f>Specials!$B$31</f>
        <v>Divinity</v>
      </c>
      <c r="E531" s="472">
        <f>Specials!$C$31</f>
        <v>335.5894106</v>
      </c>
      <c r="F531" s="772">
        <f>Specials!$D$31</f>
        <v>282.7622052</v>
      </c>
      <c r="G531" s="721">
        <f>Specials!$F$31</f>
        <v>7050</v>
      </c>
      <c r="H531" s="661">
        <f>Specials!$G$31</f>
        <v>4045.384615</v>
      </c>
      <c r="I531" s="455">
        <f>Specials!$H$31</f>
        <v>194</v>
      </c>
      <c r="J531" s="456">
        <f>Specials!$I$31</f>
        <v>470</v>
      </c>
      <c r="K531" s="456">
        <f>Specials!$J$31</f>
        <v>900</v>
      </c>
      <c r="L531" s="457">
        <f>Specials!$K$31</f>
        <v>1.44</v>
      </c>
      <c r="M531" s="458">
        <f>Specials!$L$31</f>
        <v>34.01333333</v>
      </c>
      <c r="N531" s="494">
        <f>Specials!$M$31</f>
        <v>11</v>
      </c>
      <c r="O531" s="518">
        <f>Specials!$N$31</f>
        <v>15</v>
      </c>
      <c r="P531" s="495" t="s">
        <v>773</v>
      </c>
    </row>
    <row r="532">
      <c r="A532" s="449" t="s">
        <v>739</v>
      </c>
      <c r="B532" s="449" t="s">
        <v>615</v>
      </c>
      <c r="C532" s="449" t="s">
        <v>60</v>
      </c>
      <c r="D532" s="450" t="str">
        <f>Specials!$B$32</f>
        <v>Divinity</v>
      </c>
      <c r="E532" s="519">
        <f>Specials!$C$32</f>
        <v>436.2662338</v>
      </c>
      <c r="F532" s="695">
        <f>Specials!$D$32</f>
        <v>413.8280522</v>
      </c>
      <c r="G532" s="544">
        <f>Specials!$F$32</f>
        <v>9165</v>
      </c>
      <c r="H532" s="541">
        <f>Specials!$G$32</f>
        <v>5920.5</v>
      </c>
      <c r="I532" s="455">
        <f>Specials!$H$32</f>
        <v>194</v>
      </c>
      <c r="J532" s="456">
        <f>Specials!$I$32</f>
        <v>470</v>
      </c>
      <c r="K532" s="456">
        <f>Specials!$J$32</f>
        <v>900</v>
      </c>
      <c r="L532" s="457">
        <f>Specials!$K$32</f>
        <v>1.44</v>
      </c>
      <c r="M532" s="458">
        <f>Specials!$L$32</f>
        <v>34.01333333</v>
      </c>
      <c r="N532" s="494">
        <f>Specials!$M$32</f>
        <v>19.5</v>
      </c>
      <c r="O532" s="518">
        <f>Specials!$N$32</f>
        <v>19.5</v>
      </c>
      <c r="P532" s="517" t="s">
        <v>774</v>
      </c>
    </row>
    <row r="533">
      <c r="A533" s="449" t="s">
        <v>739</v>
      </c>
      <c r="B533" s="449" t="s">
        <v>615</v>
      </c>
      <c r="C533" s="449" t="s">
        <v>60</v>
      </c>
      <c r="D533" s="450" t="str">
        <f>Specials!$B$35</f>
        <v>Prometheous Lens</v>
      </c>
      <c r="E533" s="472">
        <f>Specials!$C$35</f>
        <v>412.3214286</v>
      </c>
      <c r="F533" s="791">
        <f>Specials!$D$35</f>
        <v>345.7045131</v>
      </c>
      <c r="G533" s="583">
        <f>Specials!$F$35</f>
        <v>13000</v>
      </c>
      <c r="H533" s="500">
        <f>Specials!$G$35</f>
        <v>2600</v>
      </c>
      <c r="I533" s="455">
        <f>Specials!$H$35</f>
        <v>100</v>
      </c>
      <c r="J533" s="456">
        <f>Specials!$I$35</f>
        <v>500</v>
      </c>
      <c r="K533" s="456">
        <f>Specials!$J$35</f>
        <v>900</v>
      </c>
      <c r="L533" s="457">
        <f>Specials!$K$35</f>
        <v>1.44</v>
      </c>
      <c r="M533" s="458">
        <f>Specials!$L$35</f>
        <v>38.76</v>
      </c>
      <c r="N533" s="494">
        <f>Specials!$M$35</f>
        <v>19</v>
      </c>
      <c r="O533" s="518">
        <f>Specials!$N$35</f>
        <v>26</v>
      </c>
      <c r="P533" s="117" t="s">
        <v>775</v>
      </c>
    </row>
    <row r="534">
      <c r="A534" s="449" t="s">
        <v>739</v>
      </c>
      <c r="B534" s="449" t="s">
        <v>615</v>
      </c>
      <c r="C534" s="449" t="s">
        <v>60</v>
      </c>
      <c r="D534" s="450" t="str">
        <f>Specials!$B$27</f>
        <v>Ruinous Effigy</v>
      </c>
      <c r="E534" s="475">
        <f>Specials!$C$27</f>
        <v>615</v>
      </c>
      <c r="F534" s="789">
        <f>Specials!$D$27</f>
        <v>504.4502618</v>
      </c>
      <c r="G534" s="470">
        <f>Specials!$F$27</f>
        <v>19270</v>
      </c>
      <c r="H534" s="508">
        <f>Specials!$G$27</f>
        <v>3854</v>
      </c>
      <c r="I534" s="455">
        <f>Specials!$H$27</f>
        <v>94</v>
      </c>
      <c r="J534" s="456">
        <f>Specials!$I$27</f>
        <v>470</v>
      </c>
      <c r="K534" s="456">
        <f>Specials!$J$27</f>
        <v>900</v>
      </c>
      <c r="L534" s="457">
        <f>Specials!$K$27</f>
        <v>1.44</v>
      </c>
      <c r="M534" s="458">
        <f>Specials!$L$27</f>
        <v>36.76</v>
      </c>
      <c r="N534" s="494">
        <f>Specials!$M$27</f>
        <v>30</v>
      </c>
      <c r="O534" s="732">
        <f>Specials!$N$27</f>
        <v>41</v>
      </c>
      <c r="P534" s="467"/>
    </row>
    <row r="535">
      <c r="A535" s="449" t="s">
        <v>739</v>
      </c>
      <c r="B535" s="449" t="s">
        <v>615</v>
      </c>
      <c r="C535" s="449" t="s">
        <v>60</v>
      </c>
      <c r="D535" s="450" t="str">
        <f>Specials!$B$28</f>
        <v>Ruinous Effigy</v>
      </c>
      <c r="E535" s="583">
        <f>Specials!$C$28</f>
        <v>799.5</v>
      </c>
      <c r="F535" s="739">
        <f>Specials!$D$28</f>
        <v>655.7853403</v>
      </c>
      <c r="G535" s="784">
        <f>Specials!$F$28</f>
        <v>25051</v>
      </c>
      <c r="H535" s="629">
        <f>Specials!$G$28</f>
        <v>5010.2</v>
      </c>
      <c r="I535" s="455">
        <f>Specials!$H$28</f>
        <v>94</v>
      </c>
      <c r="J535" s="456">
        <f>Specials!$I$28</f>
        <v>470</v>
      </c>
      <c r="K535" s="456">
        <f>Specials!$J$28</f>
        <v>900</v>
      </c>
      <c r="L535" s="457">
        <f>Specials!$K$28</f>
        <v>1.44</v>
      </c>
      <c r="M535" s="458">
        <f>Specials!$L$28</f>
        <v>36.76</v>
      </c>
      <c r="N535" s="561">
        <f>Specials!$M$28</f>
        <v>39</v>
      </c>
      <c r="O535" s="562">
        <f>Specials!$N$28</f>
        <v>53.3</v>
      </c>
      <c r="P535" s="117" t="s">
        <v>776</v>
      </c>
    </row>
    <row r="536">
      <c r="A536" s="449" t="s">
        <v>739</v>
      </c>
      <c r="B536" s="449" t="s">
        <v>615</v>
      </c>
      <c r="C536" s="449" t="s">
        <v>60</v>
      </c>
      <c r="D536" s="450" t="str">
        <f>Specials!$B$30</f>
        <v>Ruinous Effigy</v>
      </c>
      <c r="E536" s="532">
        <f>Specials!$C$30</f>
        <v>238.5964912</v>
      </c>
      <c r="F536" s="466" t="str">
        <f>Specials!$D$30</f>
        <v>N/A</v>
      </c>
      <c r="G536" s="494">
        <f>Specials!$F$30</f>
        <v>2040</v>
      </c>
      <c r="H536" s="548">
        <f>Specials!$G$30</f>
        <v>2040</v>
      </c>
      <c r="I536" s="455">
        <f>Specials!$H$30</f>
        <v>30</v>
      </c>
      <c r="J536" s="566">
        <f>Specials!$I$30</f>
        <v>30</v>
      </c>
      <c r="K536" s="456">
        <f>Specials!$J$30</f>
        <v>240</v>
      </c>
      <c r="L536" s="457" t="str">
        <f>Specials!$K$30</f>
        <v>N/A</v>
      </c>
      <c r="M536" s="458">
        <f>Specials!$L$30</f>
        <v>7.75</v>
      </c>
      <c r="N536" s="494">
        <f>Specials!$M$30</f>
        <v>23</v>
      </c>
      <c r="O536" s="518">
        <f>Specials!$N$30</f>
        <v>23</v>
      </c>
      <c r="P536" s="517" t="s">
        <v>777</v>
      </c>
    </row>
    <row r="537">
      <c r="A537" s="449" t="s">
        <v>739</v>
      </c>
      <c r="B537" s="449" t="s">
        <v>615</v>
      </c>
      <c r="C537" s="449" t="s">
        <v>60</v>
      </c>
      <c r="D537" s="450" t="str">
        <f>Specials!$B$29</f>
        <v>Ruinous Effigy</v>
      </c>
      <c r="E537" s="556">
        <f>Specials!$C$29</f>
        <v>601.8954248</v>
      </c>
      <c r="F537" s="466" t="str">
        <f>Specials!$D$29</f>
        <v>N/A</v>
      </c>
      <c r="G537" s="475">
        <f>Specials!$F$29</f>
        <v>9209</v>
      </c>
      <c r="H537" s="836">
        <f>Specials!$G$29</f>
        <v>9209</v>
      </c>
      <c r="I537" s="455">
        <f>Specials!$H$29</f>
        <v>30</v>
      </c>
      <c r="J537" s="566">
        <f>Specials!$I$29</f>
        <v>30</v>
      </c>
      <c r="K537" s="456">
        <f>Specials!$J$29</f>
        <v>120</v>
      </c>
      <c r="L537" s="457" t="str">
        <f>Specials!$K$29</f>
        <v>N/A</v>
      </c>
      <c r="M537" s="458">
        <f>Specials!$L$29</f>
        <v>15</v>
      </c>
      <c r="N537" s="476">
        <f>Specials!$M$29</f>
        <v>271</v>
      </c>
      <c r="O537" s="491">
        <f>Specials!$N$29</f>
        <v>203</v>
      </c>
      <c r="P537" s="517" t="s">
        <v>778</v>
      </c>
    </row>
    <row r="538">
      <c r="A538" s="449" t="s">
        <v>739</v>
      </c>
      <c r="B538" s="449" t="s">
        <v>615</v>
      </c>
      <c r="C538" s="449" t="s">
        <v>60</v>
      </c>
      <c r="D538" s="450" t="str">
        <f>Specials!$B$38</f>
        <v>The Navigator</v>
      </c>
      <c r="E538" s="647">
        <f>Specials!$C$38</f>
        <v>435</v>
      </c>
      <c r="F538" s="765">
        <f>Specials!$D$38</f>
        <v>358.8010204</v>
      </c>
      <c r="G538" s="716">
        <f>Specials!$F$38</f>
        <v>14065</v>
      </c>
      <c r="H538" s="485">
        <f>Specials!$G$38</f>
        <v>2813</v>
      </c>
      <c r="I538" s="455">
        <f>Specials!$H$38</f>
        <v>97</v>
      </c>
      <c r="J538" s="456">
        <f>Specials!$I$38</f>
        <v>485</v>
      </c>
      <c r="K538" s="456">
        <f>Specials!$J$38</f>
        <v>900</v>
      </c>
      <c r="L538" s="457">
        <f>Specials!$K$38</f>
        <v>1.44</v>
      </c>
      <c r="M538" s="458">
        <f>Specials!$L$38</f>
        <v>37.76</v>
      </c>
      <c r="N538" s="494">
        <f>Specials!$M$38</f>
        <v>22</v>
      </c>
      <c r="O538" s="518">
        <f>Specials!$N$38</f>
        <v>29</v>
      </c>
      <c r="P538" s="467"/>
    </row>
    <row r="539">
      <c r="A539" s="449" t="s">
        <v>739</v>
      </c>
      <c r="B539" s="449" t="s">
        <v>615</v>
      </c>
      <c r="C539" s="449" t="s">
        <v>60</v>
      </c>
      <c r="D539" s="450" t="str">
        <f>Specials!$B$39</f>
        <v>Wavesplitter</v>
      </c>
      <c r="E539" s="556">
        <f>Specials!$C$39</f>
        <v>580</v>
      </c>
      <c r="F539" s="805">
        <f>Specials!$D$39</f>
        <v>480.9286899</v>
      </c>
      <c r="G539" s="483">
        <f>Specials!$F$39</f>
        <v>19333.33333</v>
      </c>
      <c r="H539" s="508">
        <f>Specials!$G$39</f>
        <v>3866.666667</v>
      </c>
      <c r="I539" s="455">
        <f>Specials!$H$39</f>
        <v>100</v>
      </c>
      <c r="J539" s="456">
        <f>Specials!$I$39</f>
        <v>500</v>
      </c>
      <c r="K539" s="456">
        <f>Specials!$J$39</f>
        <v>900</v>
      </c>
      <c r="L539" s="457">
        <f>Specials!$K$39</f>
        <v>1.44</v>
      </c>
      <c r="M539" s="458">
        <f>Specials!$L$39</f>
        <v>38.76</v>
      </c>
      <c r="N539" s="494">
        <f>Specials!$M$39</f>
        <v>29</v>
      </c>
      <c r="O539" s="732">
        <f>Specials!$N$39</f>
        <v>38.66666667</v>
      </c>
      <c r="P539" s="127" t="s">
        <v>779</v>
      </c>
    </row>
    <row r="540">
      <c r="A540" s="837" t="s">
        <v>739</v>
      </c>
      <c r="B540" s="837" t="s">
        <v>615</v>
      </c>
      <c r="C540" s="449" t="s">
        <v>60</v>
      </c>
      <c r="D540" s="838" t="str">
        <f>Specials!$B$40</f>
        <v>Wavesplitter</v>
      </c>
      <c r="E540" s="839">
        <f>Specials!$C$40</f>
        <v>735</v>
      </c>
      <c r="F540" s="840">
        <f>Specials!$D$40</f>
        <v>609.4527363</v>
      </c>
      <c r="G540" s="841">
        <f>Specials!$F$40</f>
        <v>24500</v>
      </c>
      <c r="H540" s="842">
        <f>Specials!$G$40</f>
        <v>4900</v>
      </c>
      <c r="I540" s="843">
        <f>Specials!$H$40</f>
        <v>100</v>
      </c>
      <c r="J540" s="844">
        <f>Specials!$I$40</f>
        <v>500</v>
      </c>
      <c r="K540" s="844">
        <f>Specials!$J$40</f>
        <v>900</v>
      </c>
      <c r="L540" s="845">
        <f>Specials!$K$40</f>
        <v>1.44</v>
      </c>
      <c r="M540" s="846">
        <f>Specials!$L$40</f>
        <v>38.76</v>
      </c>
      <c r="N540" s="847">
        <f>Specials!$M$40</f>
        <v>36</v>
      </c>
      <c r="O540" s="848">
        <f>Specials!$N$40</f>
        <v>49</v>
      </c>
      <c r="P540" s="517" t="s">
        <v>780</v>
      </c>
    </row>
    <row r="541">
      <c r="A541" s="58"/>
      <c r="B541" s="58"/>
      <c r="C541" s="58"/>
    </row>
    <row r="542" hidden="1">
      <c r="A542" s="58"/>
      <c r="B542" s="58"/>
      <c r="C542" s="58"/>
    </row>
    <row r="543" hidden="1">
      <c r="A543" s="58"/>
      <c r="B543" s="58"/>
      <c r="C543" s="58"/>
    </row>
    <row r="544" hidden="1">
      <c r="A544" s="58"/>
      <c r="B544" s="58"/>
      <c r="C544" s="58"/>
    </row>
    <row r="545" hidden="1">
      <c r="A545" s="58"/>
      <c r="B545" s="58"/>
      <c r="C545" s="58"/>
    </row>
    <row r="546" hidden="1">
      <c r="A546" s="58"/>
      <c r="B546" s="58"/>
      <c r="C546" s="58"/>
    </row>
    <row r="547" hidden="1">
      <c r="A547" s="58"/>
      <c r="B547" s="58"/>
      <c r="C547" s="58"/>
    </row>
    <row r="548" hidden="1">
      <c r="A548" s="58"/>
      <c r="B548" s="58"/>
      <c r="C548" s="58"/>
    </row>
    <row r="549" hidden="1">
      <c r="A549" s="58"/>
      <c r="B549" s="58"/>
      <c r="C549" s="58"/>
    </row>
    <row r="550" hidden="1">
      <c r="A550" s="58"/>
      <c r="B550" s="58"/>
      <c r="C550" s="58"/>
    </row>
    <row r="551" hidden="1">
      <c r="A551" s="58"/>
      <c r="B551" s="58"/>
      <c r="C551" s="58"/>
    </row>
    <row r="552" hidden="1">
      <c r="A552" s="58"/>
      <c r="B552" s="58"/>
      <c r="C552" s="58"/>
    </row>
    <row r="553" hidden="1">
      <c r="A553" s="58"/>
      <c r="B553" s="58"/>
      <c r="C553" s="58"/>
    </row>
    <row r="554" hidden="1">
      <c r="A554" s="58"/>
      <c r="B554" s="58"/>
      <c r="C554" s="58"/>
    </row>
    <row r="555" hidden="1">
      <c r="A555" s="58"/>
      <c r="B555" s="58"/>
      <c r="C555" s="58"/>
    </row>
    <row r="556" hidden="1">
      <c r="A556" s="58"/>
      <c r="B556" s="58"/>
      <c r="C556" s="58"/>
    </row>
    <row r="557" hidden="1">
      <c r="A557" s="58"/>
      <c r="B557" s="58"/>
      <c r="C557" s="58"/>
    </row>
    <row r="558" hidden="1">
      <c r="A558" s="58"/>
      <c r="B558" s="58"/>
      <c r="C558" s="58"/>
    </row>
    <row r="559" hidden="1">
      <c r="A559" s="58"/>
      <c r="B559" s="58"/>
      <c r="C559" s="58"/>
    </row>
    <row r="560" hidden="1">
      <c r="A560" s="58"/>
      <c r="B560" s="58"/>
      <c r="C560" s="58"/>
    </row>
    <row r="561" hidden="1">
      <c r="A561" s="58"/>
      <c r="B561" s="58"/>
      <c r="C561" s="58"/>
    </row>
    <row r="562" hidden="1">
      <c r="A562" s="58"/>
      <c r="B562" s="58"/>
      <c r="C562" s="58"/>
    </row>
    <row r="563" hidden="1">
      <c r="A563" s="58"/>
      <c r="B563" s="58"/>
      <c r="C563" s="58"/>
    </row>
    <row r="564" hidden="1">
      <c r="A564" s="58"/>
      <c r="B564" s="58"/>
      <c r="C564" s="58"/>
    </row>
    <row r="565" hidden="1">
      <c r="A565" s="58"/>
      <c r="B565" s="58"/>
      <c r="C565" s="58"/>
    </row>
    <row r="566" hidden="1">
      <c r="A566" s="58"/>
      <c r="B566" s="58"/>
      <c r="C566" s="58"/>
    </row>
    <row r="567" hidden="1">
      <c r="A567" s="58"/>
      <c r="B567" s="58"/>
      <c r="C567" s="58"/>
    </row>
    <row r="568" hidden="1">
      <c r="A568" s="58"/>
      <c r="B568" s="58"/>
      <c r="C568" s="58"/>
    </row>
    <row r="569" hidden="1">
      <c r="A569" s="58"/>
      <c r="B569" s="58"/>
      <c r="C569" s="58"/>
    </row>
    <row r="570" hidden="1">
      <c r="A570" s="58"/>
      <c r="B570" s="58"/>
      <c r="C570" s="58"/>
    </row>
    <row r="571" hidden="1">
      <c r="A571" s="58"/>
      <c r="B571" s="58"/>
      <c r="C571" s="58"/>
    </row>
    <row r="572" hidden="1">
      <c r="A572" s="58"/>
      <c r="B572" s="58"/>
      <c r="C572" s="58"/>
    </row>
    <row r="573" hidden="1">
      <c r="A573" s="58"/>
      <c r="B573" s="58"/>
      <c r="C573" s="58"/>
    </row>
    <row r="574" hidden="1">
      <c r="A574" s="58"/>
      <c r="B574" s="58"/>
      <c r="C574" s="58"/>
    </row>
    <row r="575" hidden="1">
      <c r="A575" s="58"/>
      <c r="B575" s="58"/>
      <c r="C575" s="58"/>
    </row>
    <row r="576" hidden="1">
      <c r="A576" s="58"/>
      <c r="B576" s="58"/>
      <c r="C576" s="58"/>
    </row>
    <row r="577" hidden="1">
      <c r="A577" s="58"/>
      <c r="B577" s="58"/>
      <c r="C577" s="58"/>
    </row>
    <row r="578" hidden="1">
      <c r="A578" s="58"/>
      <c r="B578" s="58"/>
      <c r="C578" s="58"/>
    </row>
    <row r="579" hidden="1">
      <c r="A579" s="58"/>
      <c r="B579" s="58"/>
      <c r="C579" s="58"/>
    </row>
    <row r="580" hidden="1">
      <c r="A580" s="58"/>
      <c r="B580" s="58"/>
      <c r="C580" s="58"/>
    </row>
    <row r="581" hidden="1">
      <c r="A581" s="58"/>
      <c r="B581" s="58"/>
      <c r="C581" s="58"/>
    </row>
    <row r="582" hidden="1">
      <c r="A582" s="58"/>
      <c r="B582" s="58"/>
      <c r="C582" s="58"/>
    </row>
    <row r="583" hidden="1">
      <c r="A583" s="58"/>
      <c r="B583" s="58"/>
      <c r="C583" s="58"/>
    </row>
    <row r="584" hidden="1">
      <c r="A584" s="58"/>
      <c r="B584" s="58"/>
      <c r="C584" s="58"/>
    </row>
    <row r="585" hidden="1">
      <c r="A585" s="58"/>
      <c r="B585" s="58"/>
      <c r="C585" s="58"/>
    </row>
    <row r="586" hidden="1">
      <c r="A586" s="58"/>
      <c r="B586" s="58"/>
      <c r="C586" s="58"/>
    </row>
    <row r="587" hidden="1">
      <c r="A587" s="58"/>
      <c r="B587" s="58"/>
      <c r="C587" s="58"/>
    </row>
    <row r="588" hidden="1">
      <c r="A588" s="58"/>
      <c r="B588" s="58"/>
      <c r="C588" s="58"/>
    </row>
    <row r="589" hidden="1">
      <c r="A589" s="58"/>
      <c r="B589" s="58"/>
      <c r="C589" s="58"/>
    </row>
    <row r="590" hidden="1">
      <c r="A590" s="58"/>
      <c r="B590" s="58"/>
      <c r="C590" s="58"/>
    </row>
    <row r="591" hidden="1">
      <c r="A591" s="58"/>
      <c r="B591" s="58"/>
      <c r="C591" s="58"/>
    </row>
    <row r="592" hidden="1">
      <c r="A592" s="58"/>
      <c r="B592" s="58"/>
      <c r="C592" s="58"/>
    </row>
    <row r="593" hidden="1">
      <c r="A593" s="58"/>
      <c r="B593" s="58"/>
      <c r="C593" s="58"/>
    </row>
    <row r="594" hidden="1">
      <c r="A594" s="58"/>
      <c r="B594" s="58"/>
      <c r="C594" s="58"/>
    </row>
    <row r="595" hidden="1">
      <c r="A595" s="58"/>
      <c r="B595" s="58"/>
      <c r="C595" s="58"/>
    </row>
    <row r="596" hidden="1">
      <c r="A596" s="58"/>
      <c r="B596" s="58"/>
      <c r="C596" s="58"/>
    </row>
    <row r="597" hidden="1">
      <c r="A597" s="58"/>
      <c r="B597" s="58"/>
      <c r="C597" s="58"/>
    </row>
    <row r="598" hidden="1">
      <c r="A598" s="58"/>
      <c r="B598" s="58"/>
      <c r="C598" s="58"/>
    </row>
    <row r="599" hidden="1">
      <c r="A599" s="58"/>
      <c r="B599" s="58"/>
      <c r="C599" s="58"/>
    </row>
    <row r="600" hidden="1">
      <c r="A600" s="58"/>
      <c r="B600" s="58"/>
      <c r="C600" s="58"/>
    </row>
    <row r="601" hidden="1">
      <c r="A601" s="58"/>
      <c r="B601" s="58"/>
      <c r="C601" s="58"/>
    </row>
    <row r="602" hidden="1">
      <c r="A602" s="58"/>
      <c r="B602" s="58"/>
      <c r="C602" s="58"/>
    </row>
    <row r="603" hidden="1">
      <c r="A603" s="58"/>
      <c r="B603" s="58"/>
      <c r="C603" s="58"/>
    </row>
    <row r="604" hidden="1">
      <c r="A604" s="58"/>
      <c r="B604" s="58"/>
      <c r="C604" s="58"/>
    </row>
    <row r="605" hidden="1">
      <c r="A605" s="58"/>
      <c r="B605" s="58"/>
      <c r="C605" s="58"/>
    </row>
    <row r="606" hidden="1">
      <c r="A606" s="58"/>
      <c r="B606" s="58"/>
      <c r="C606" s="58"/>
    </row>
    <row r="607" hidden="1">
      <c r="A607" s="58"/>
      <c r="B607" s="58"/>
      <c r="C607" s="58"/>
    </row>
    <row r="608" hidden="1">
      <c r="A608" s="58"/>
      <c r="B608" s="58"/>
      <c r="C608" s="58"/>
    </row>
    <row r="609" hidden="1">
      <c r="A609" s="58"/>
      <c r="B609" s="58"/>
      <c r="C609" s="58"/>
    </row>
    <row r="610" hidden="1">
      <c r="A610" s="58"/>
      <c r="B610" s="58"/>
      <c r="C610" s="58"/>
    </row>
    <row r="611" hidden="1">
      <c r="A611" s="58"/>
      <c r="B611" s="58"/>
      <c r="C611" s="58"/>
    </row>
    <row r="612" hidden="1">
      <c r="A612" s="58"/>
      <c r="B612" s="58"/>
      <c r="C612" s="58"/>
    </row>
    <row r="613" hidden="1">
      <c r="A613" s="58"/>
      <c r="B613" s="58"/>
      <c r="C613" s="58"/>
    </row>
    <row r="614" hidden="1">
      <c r="A614" s="58"/>
      <c r="B614" s="58"/>
      <c r="C614" s="58"/>
    </row>
    <row r="615" hidden="1">
      <c r="A615" s="58"/>
      <c r="B615" s="58"/>
      <c r="C615" s="58"/>
    </row>
    <row r="616" hidden="1">
      <c r="A616" s="58"/>
      <c r="B616" s="58"/>
      <c r="C616" s="58"/>
    </row>
    <row r="617" hidden="1">
      <c r="A617" s="58"/>
      <c r="B617" s="58"/>
      <c r="C617" s="58"/>
    </row>
    <row r="618" hidden="1">
      <c r="A618" s="58"/>
      <c r="B618" s="58"/>
      <c r="C618" s="58"/>
    </row>
    <row r="619" hidden="1">
      <c r="A619" s="58"/>
      <c r="B619" s="58"/>
      <c r="C619" s="58"/>
    </row>
    <row r="620" hidden="1">
      <c r="A620" s="58"/>
      <c r="B620" s="58"/>
      <c r="C620" s="58"/>
    </row>
    <row r="621" hidden="1">
      <c r="A621" s="58"/>
      <c r="B621" s="58"/>
      <c r="C621" s="58"/>
    </row>
    <row r="622" hidden="1">
      <c r="A622" s="58"/>
      <c r="B622" s="58"/>
      <c r="C622" s="58"/>
    </row>
    <row r="623" hidden="1">
      <c r="A623" s="58"/>
      <c r="B623" s="58"/>
      <c r="C623" s="58"/>
    </row>
    <row r="624" hidden="1">
      <c r="A624" s="58"/>
      <c r="B624" s="58"/>
      <c r="C624" s="58"/>
    </row>
    <row r="625" hidden="1">
      <c r="A625" s="58"/>
      <c r="B625" s="58"/>
      <c r="C625" s="58"/>
    </row>
    <row r="626" hidden="1">
      <c r="A626" s="58"/>
      <c r="B626" s="58"/>
      <c r="C626" s="58"/>
    </row>
    <row r="627" hidden="1">
      <c r="A627" s="58"/>
      <c r="B627" s="58"/>
      <c r="C627" s="58"/>
    </row>
    <row r="628" hidden="1">
      <c r="A628" s="58"/>
      <c r="B628" s="58"/>
      <c r="C628" s="58"/>
    </row>
    <row r="629" hidden="1">
      <c r="A629" s="58"/>
      <c r="B629" s="58"/>
      <c r="C629" s="58"/>
    </row>
    <row r="630" hidden="1">
      <c r="A630" s="58"/>
      <c r="B630" s="58"/>
      <c r="C630" s="58"/>
    </row>
    <row r="631" hidden="1">
      <c r="A631" s="58"/>
      <c r="B631" s="58"/>
      <c r="C631" s="58"/>
    </row>
    <row r="632" hidden="1">
      <c r="A632" s="58"/>
      <c r="B632" s="58"/>
      <c r="C632" s="58"/>
    </row>
    <row r="633" hidden="1">
      <c r="A633" s="58"/>
      <c r="B633" s="58"/>
      <c r="C633" s="58"/>
    </row>
    <row r="634" hidden="1">
      <c r="A634" s="58"/>
      <c r="B634" s="58"/>
      <c r="C634" s="58"/>
    </row>
    <row r="635" hidden="1">
      <c r="A635" s="58"/>
      <c r="B635" s="58"/>
      <c r="C635" s="58"/>
    </row>
    <row r="636" hidden="1">
      <c r="A636" s="58"/>
      <c r="B636" s="58"/>
      <c r="C636" s="58"/>
    </row>
    <row r="637" hidden="1">
      <c r="A637" s="58"/>
      <c r="B637" s="58"/>
      <c r="C637" s="58"/>
    </row>
    <row r="638" hidden="1">
      <c r="A638" s="58"/>
      <c r="B638" s="58"/>
      <c r="C638" s="58"/>
    </row>
    <row r="639" hidden="1">
      <c r="A639" s="58"/>
      <c r="B639" s="58"/>
      <c r="C639" s="58"/>
    </row>
    <row r="640" hidden="1">
      <c r="A640" s="58"/>
      <c r="B640" s="58"/>
      <c r="C640" s="58"/>
    </row>
    <row r="641" hidden="1">
      <c r="A641" s="58"/>
      <c r="B641" s="58"/>
      <c r="C641" s="58"/>
    </row>
    <row r="642" hidden="1">
      <c r="A642" s="58"/>
      <c r="B642" s="58"/>
      <c r="C642" s="58"/>
    </row>
    <row r="643" hidden="1">
      <c r="A643" s="58"/>
      <c r="B643" s="58"/>
      <c r="C643" s="58"/>
    </row>
    <row r="644" hidden="1">
      <c r="A644" s="58"/>
      <c r="B644" s="58"/>
      <c r="C644" s="58"/>
    </row>
    <row r="645" hidden="1">
      <c r="A645" s="58"/>
      <c r="B645" s="58"/>
      <c r="C645" s="58"/>
    </row>
    <row r="646" hidden="1">
      <c r="A646" s="58"/>
      <c r="B646" s="58"/>
      <c r="C646" s="58"/>
    </row>
    <row r="647" hidden="1">
      <c r="A647" s="58"/>
      <c r="B647" s="58"/>
      <c r="C647" s="58"/>
    </row>
    <row r="648" hidden="1">
      <c r="A648" s="58"/>
      <c r="B648" s="58"/>
      <c r="C648" s="58"/>
    </row>
    <row r="649" hidden="1">
      <c r="A649" s="58"/>
      <c r="B649" s="58"/>
      <c r="C649" s="58"/>
    </row>
    <row r="650" hidden="1">
      <c r="A650" s="58"/>
      <c r="B650" s="58"/>
      <c r="C650" s="58"/>
    </row>
    <row r="651" hidden="1">
      <c r="A651" s="58"/>
      <c r="B651" s="58"/>
      <c r="C651" s="58"/>
    </row>
    <row r="652" hidden="1">
      <c r="A652" s="58"/>
      <c r="B652" s="58"/>
      <c r="C652" s="58"/>
    </row>
    <row r="653" hidden="1">
      <c r="A653" s="58"/>
      <c r="B653" s="58"/>
      <c r="C653" s="58"/>
    </row>
    <row r="654" hidden="1">
      <c r="A654" s="58"/>
      <c r="B654" s="58"/>
      <c r="C654" s="58"/>
    </row>
    <row r="655" hidden="1">
      <c r="A655" s="58"/>
      <c r="B655" s="58"/>
      <c r="C655" s="58"/>
    </row>
    <row r="656" hidden="1">
      <c r="A656" s="58"/>
      <c r="B656" s="58"/>
      <c r="C656" s="58"/>
    </row>
    <row r="657" hidden="1">
      <c r="A657" s="58"/>
      <c r="B657" s="58"/>
      <c r="C657" s="58"/>
    </row>
    <row r="658" hidden="1">
      <c r="A658" s="58"/>
      <c r="B658" s="58"/>
      <c r="C658" s="58"/>
    </row>
    <row r="659" hidden="1">
      <c r="A659" s="58"/>
      <c r="B659" s="58"/>
      <c r="C659" s="58"/>
    </row>
    <row r="660" hidden="1">
      <c r="A660" s="58"/>
      <c r="B660" s="58"/>
      <c r="C660" s="58"/>
    </row>
    <row r="661" hidden="1">
      <c r="A661" s="58"/>
      <c r="B661" s="58"/>
      <c r="C661" s="58"/>
    </row>
    <row r="662" hidden="1">
      <c r="A662" s="58"/>
      <c r="B662" s="58"/>
      <c r="C662" s="58"/>
    </row>
    <row r="663" hidden="1">
      <c r="A663" s="58"/>
      <c r="B663" s="58"/>
      <c r="C663" s="58"/>
    </row>
    <row r="664" hidden="1">
      <c r="A664" s="58"/>
      <c r="B664" s="58"/>
      <c r="C664" s="58"/>
    </row>
    <row r="665" hidden="1">
      <c r="A665" s="58"/>
      <c r="B665" s="58"/>
      <c r="C665" s="58"/>
    </row>
    <row r="666" hidden="1">
      <c r="A666" s="58"/>
      <c r="B666" s="58"/>
      <c r="C666" s="58"/>
    </row>
    <row r="667" hidden="1">
      <c r="A667" s="58"/>
      <c r="B667" s="58"/>
      <c r="C667" s="58"/>
    </row>
    <row r="668" hidden="1">
      <c r="A668" s="58"/>
      <c r="B668" s="58"/>
      <c r="C668" s="58"/>
    </row>
    <row r="669" hidden="1">
      <c r="A669" s="58"/>
      <c r="B669" s="58"/>
      <c r="C669" s="58"/>
    </row>
    <row r="670" hidden="1">
      <c r="A670" s="58"/>
      <c r="B670" s="58"/>
      <c r="C670" s="58"/>
    </row>
    <row r="671" hidden="1">
      <c r="A671" s="58"/>
      <c r="B671" s="58"/>
      <c r="C671" s="58"/>
    </row>
    <row r="672" hidden="1">
      <c r="A672" s="58"/>
      <c r="B672" s="58"/>
      <c r="C672" s="58"/>
    </row>
    <row r="673" hidden="1">
      <c r="A673" s="58"/>
      <c r="B673" s="58"/>
      <c r="C673" s="58"/>
    </row>
    <row r="674" hidden="1">
      <c r="A674" s="58"/>
      <c r="B674" s="58"/>
      <c r="C674" s="58"/>
    </row>
    <row r="675" hidden="1">
      <c r="A675" s="58"/>
      <c r="B675" s="58"/>
      <c r="C675" s="58"/>
    </row>
    <row r="676" hidden="1">
      <c r="A676" s="58"/>
      <c r="B676" s="58"/>
      <c r="C676" s="58"/>
    </row>
    <row r="677" hidden="1">
      <c r="A677" s="58"/>
      <c r="B677" s="58"/>
      <c r="C677" s="58"/>
    </row>
    <row r="678" hidden="1">
      <c r="A678" s="58"/>
      <c r="B678" s="58"/>
      <c r="C678" s="58"/>
    </row>
    <row r="679" hidden="1">
      <c r="A679" s="58"/>
      <c r="B679" s="58"/>
      <c r="C679" s="58"/>
    </row>
    <row r="680" hidden="1">
      <c r="A680" s="58"/>
      <c r="B680" s="58"/>
      <c r="C680" s="58"/>
    </row>
    <row r="681" hidden="1">
      <c r="A681" s="58"/>
      <c r="B681" s="58"/>
      <c r="C681" s="58"/>
    </row>
    <row r="682" hidden="1">
      <c r="A682" s="58"/>
      <c r="B682" s="58"/>
      <c r="C682" s="58"/>
    </row>
    <row r="683" hidden="1">
      <c r="A683" s="58"/>
      <c r="B683" s="58"/>
      <c r="C683" s="58"/>
    </row>
    <row r="684" hidden="1">
      <c r="A684" s="58"/>
      <c r="B684" s="58"/>
      <c r="C684" s="58"/>
    </row>
    <row r="685" hidden="1">
      <c r="A685" s="58"/>
      <c r="B685" s="58"/>
      <c r="C685" s="58"/>
    </row>
    <row r="686" hidden="1">
      <c r="A686" s="58"/>
      <c r="B686" s="58"/>
      <c r="C686" s="58"/>
    </row>
    <row r="687" hidden="1">
      <c r="A687" s="58"/>
      <c r="B687" s="58"/>
      <c r="C687" s="58"/>
    </row>
    <row r="688" hidden="1">
      <c r="A688" s="58"/>
      <c r="B688" s="58"/>
      <c r="C688" s="58"/>
    </row>
    <row r="689" hidden="1">
      <c r="A689" s="58"/>
      <c r="B689" s="58"/>
      <c r="C689" s="58"/>
    </row>
    <row r="690" hidden="1">
      <c r="A690" s="58"/>
      <c r="B690" s="58"/>
      <c r="C690" s="58"/>
    </row>
    <row r="691" hidden="1">
      <c r="A691" s="58"/>
      <c r="B691" s="58"/>
      <c r="C691" s="58"/>
    </row>
    <row r="692" hidden="1">
      <c r="A692" s="58"/>
      <c r="B692" s="58"/>
      <c r="C692" s="58"/>
    </row>
    <row r="693" hidden="1">
      <c r="A693" s="58"/>
      <c r="B693" s="58"/>
      <c r="C693" s="58"/>
    </row>
    <row r="694" hidden="1">
      <c r="A694" s="58"/>
      <c r="B694" s="58"/>
      <c r="C694" s="58"/>
    </row>
    <row r="695" hidden="1">
      <c r="A695" s="58"/>
      <c r="B695" s="58"/>
      <c r="C695" s="58"/>
    </row>
    <row r="696" hidden="1">
      <c r="A696" s="58"/>
      <c r="B696" s="58"/>
      <c r="C696" s="58"/>
    </row>
    <row r="697" hidden="1">
      <c r="A697" s="58"/>
      <c r="B697" s="58"/>
      <c r="C697" s="58"/>
    </row>
    <row r="698" hidden="1">
      <c r="A698" s="58"/>
      <c r="B698" s="58"/>
      <c r="C698" s="58"/>
    </row>
    <row r="699" hidden="1">
      <c r="A699" s="58"/>
      <c r="B699" s="58"/>
      <c r="C699" s="58"/>
    </row>
    <row r="700" hidden="1">
      <c r="A700" s="58"/>
      <c r="B700" s="58"/>
      <c r="C700" s="58"/>
    </row>
    <row r="701" hidden="1">
      <c r="A701" s="58"/>
      <c r="B701" s="58"/>
      <c r="C701" s="58"/>
    </row>
    <row r="702" hidden="1">
      <c r="A702" s="58"/>
      <c r="B702" s="58"/>
      <c r="C702" s="58"/>
    </row>
    <row r="703" hidden="1">
      <c r="A703" s="58"/>
      <c r="B703" s="58"/>
      <c r="C703" s="58"/>
    </row>
    <row r="704" hidden="1">
      <c r="A704" s="58"/>
      <c r="B704" s="58"/>
      <c r="C704" s="58"/>
    </row>
    <row r="705" hidden="1">
      <c r="A705" s="58"/>
      <c r="B705" s="58"/>
      <c r="C705" s="58"/>
    </row>
    <row r="706" hidden="1">
      <c r="A706" s="58"/>
      <c r="B706" s="58"/>
      <c r="C706" s="58"/>
    </row>
    <row r="707" hidden="1">
      <c r="A707" s="58"/>
      <c r="B707" s="58"/>
      <c r="C707" s="58"/>
    </row>
    <row r="708" hidden="1">
      <c r="A708" s="58"/>
      <c r="B708" s="58"/>
      <c r="C708" s="58"/>
    </row>
    <row r="709" hidden="1">
      <c r="A709" s="58"/>
      <c r="B709" s="58"/>
      <c r="C709" s="58"/>
    </row>
    <row r="710" hidden="1">
      <c r="A710" s="58"/>
      <c r="B710" s="58"/>
      <c r="C710" s="58"/>
    </row>
    <row r="711" hidden="1">
      <c r="A711" s="58"/>
      <c r="B711" s="58"/>
      <c r="C711" s="58"/>
    </row>
    <row r="712" hidden="1">
      <c r="A712" s="58"/>
      <c r="B712" s="58"/>
      <c r="C712" s="58"/>
    </row>
    <row r="713" hidden="1">
      <c r="A713" s="58"/>
      <c r="B713" s="58"/>
      <c r="C713" s="58"/>
    </row>
    <row r="714" hidden="1">
      <c r="A714" s="58"/>
      <c r="B714" s="58"/>
      <c r="C714" s="58"/>
    </row>
    <row r="715" hidden="1">
      <c r="A715" s="58"/>
      <c r="B715" s="58"/>
      <c r="C715" s="58"/>
    </row>
    <row r="716" hidden="1">
      <c r="A716" s="58"/>
      <c r="B716" s="58"/>
      <c r="C716" s="58"/>
    </row>
    <row r="717" hidden="1">
      <c r="A717" s="58"/>
      <c r="B717" s="58"/>
      <c r="C717" s="58"/>
    </row>
    <row r="718" hidden="1">
      <c r="A718" s="58"/>
      <c r="B718" s="58"/>
      <c r="C718" s="58"/>
    </row>
    <row r="719" hidden="1">
      <c r="A719" s="58"/>
      <c r="B719" s="58"/>
      <c r="C719" s="58"/>
    </row>
    <row r="720" hidden="1">
      <c r="A720" s="58"/>
      <c r="B720" s="58"/>
      <c r="C720" s="58"/>
    </row>
    <row r="721" hidden="1">
      <c r="A721" s="58"/>
      <c r="B721" s="58"/>
      <c r="C721" s="58"/>
    </row>
    <row r="722" hidden="1">
      <c r="A722" s="58"/>
      <c r="B722" s="58"/>
      <c r="C722" s="58"/>
    </row>
    <row r="723" hidden="1">
      <c r="A723" s="58"/>
      <c r="B723" s="58"/>
      <c r="C723" s="58"/>
    </row>
    <row r="724" hidden="1">
      <c r="A724" s="58"/>
      <c r="B724" s="58"/>
      <c r="C724" s="58"/>
    </row>
    <row r="725" hidden="1">
      <c r="A725" s="58"/>
      <c r="B725" s="58"/>
      <c r="C725" s="58"/>
    </row>
    <row r="726" hidden="1">
      <c r="A726" s="58"/>
      <c r="B726" s="58"/>
      <c r="C726" s="58"/>
    </row>
    <row r="727" hidden="1">
      <c r="A727" s="58"/>
      <c r="B727" s="58"/>
      <c r="C727" s="58"/>
    </row>
    <row r="728" hidden="1">
      <c r="A728" s="58"/>
      <c r="B728" s="58"/>
      <c r="C728" s="58"/>
    </row>
    <row r="729" hidden="1">
      <c r="A729" s="58"/>
      <c r="B729" s="58"/>
      <c r="C729" s="58"/>
    </row>
    <row r="730" hidden="1">
      <c r="A730" s="58"/>
      <c r="B730" s="58"/>
      <c r="C730" s="58"/>
    </row>
    <row r="731" hidden="1">
      <c r="A731" s="58"/>
      <c r="B731" s="58"/>
      <c r="C731" s="58"/>
    </row>
    <row r="732" hidden="1">
      <c r="A732" s="58"/>
      <c r="B732" s="58"/>
      <c r="C732" s="58"/>
    </row>
    <row r="733" hidden="1">
      <c r="A733" s="58"/>
      <c r="B733" s="58"/>
      <c r="C733" s="58"/>
    </row>
    <row r="734" hidden="1">
      <c r="A734" s="58"/>
      <c r="B734" s="58"/>
      <c r="C734" s="58"/>
    </row>
    <row r="735" hidden="1">
      <c r="A735" s="58"/>
      <c r="B735" s="58"/>
      <c r="C735" s="58"/>
    </row>
    <row r="736" hidden="1">
      <c r="A736" s="58"/>
      <c r="B736" s="58"/>
      <c r="C736" s="58"/>
    </row>
    <row r="737" hidden="1">
      <c r="A737" s="58"/>
      <c r="B737" s="58"/>
      <c r="C737" s="58"/>
    </row>
    <row r="738" hidden="1">
      <c r="A738" s="58"/>
      <c r="B738" s="58"/>
      <c r="C738" s="58"/>
    </row>
    <row r="739" hidden="1">
      <c r="A739" s="58"/>
      <c r="B739" s="58"/>
      <c r="C739" s="58"/>
    </row>
    <row r="740" hidden="1">
      <c r="A740" s="58"/>
      <c r="B740" s="58"/>
      <c r="C740" s="58"/>
    </row>
    <row r="741" hidden="1">
      <c r="A741" s="58"/>
      <c r="B741" s="58"/>
      <c r="C741" s="58"/>
    </row>
    <row r="742" hidden="1">
      <c r="A742" s="58"/>
      <c r="B742" s="58"/>
      <c r="C742" s="58"/>
    </row>
    <row r="743" hidden="1">
      <c r="A743" s="58"/>
      <c r="B743" s="58"/>
      <c r="C743" s="58"/>
    </row>
    <row r="744" hidden="1">
      <c r="A744" s="58"/>
      <c r="B744" s="58"/>
      <c r="C744" s="58"/>
    </row>
    <row r="745" hidden="1">
      <c r="A745" s="58"/>
      <c r="B745" s="58"/>
      <c r="C745" s="58"/>
    </row>
    <row r="746" hidden="1">
      <c r="A746" s="58"/>
      <c r="B746" s="58"/>
      <c r="C746" s="58"/>
    </row>
    <row r="747" hidden="1">
      <c r="A747" s="58"/>
      <c r="B747" s="58"/>
      <c r="C747" s="58"/>
    </row>
    <row r="748" hidden="1">
      <c r="A748" s="58"/>
      <c r="B748" s="58"/>
      <c r="C748" s="58"/>
    </row>
    <row r="749" hidden="1">
      <c r="A749" s="58"/>
      <c r="B749" s="58"/>
      <c r="C749" s="58"/>
    </row>
    <row r="750" hidden="1">
      <c r="A750" s="58"/>
      <c r="B750" s="58"/>
      <c r="C750" s="58"/>
    </row>
    <row r="751" hidden="1">
      <c r="A751" s="58"/>
      <c r="B751" s="58"/>
      <c r="C751" s="58"/>
    </row>
    <row r="752" hidden="1">
      <c r="A752" s="58"/>
      <c r="B752" s="58"/>
      <c r="C752" s="58"/>
    </row>
    <row r="753" hidden="1">
      <c r="A753" s="58"/>
      <c r="B753" s="58"/>
      <c r="C753" s="58"/>
    </row>
    <row r="754" hidden="1">
      <c r="A754" s="58"/>
      <c r="B754" s="58"/>
      <c r="C754" s="58"/>
    </row>
    <row r="755" hidden="1">
      <c r="A755" s="58"/>
      <c r="B755" s="58"/>
      <c r="C755" s="58"/>
    </row>
    <row r="756" hidden="1">
      <c r="A756" s="58"/>
      <c r="B756" s="58"/>
      <c r="C756" s="58"/>
    </row>
    <row r="757" hidden="1">
      <c r="A757" s="58"/>
      <c r="B757" s="58"/>
      <c r="C757" s="58"/>
    </row>
    <row r="758" hidden="1">
      <c r="A758" s="58"/>
      <c r="B758" s="58"/>
      <c r="C758" s="58"/>
    </row>
    <row r="759" hidden="1">
      <c r="A759" s="58"/>
      <c r="B759" s="58"/>
      <c r="C759" s="58"/>
    </row>
    <row r="760" hidden="1">
      <c r="A760" s="58"/>
      <c r="B760" s="58"/>
      <c r="C760" s="58"/>
    </row>
    <row r="761" hidden="1">
      <c r="A761" s="58"/>
      <c r="B761" s="58"/>
      <c r="C761" s="58"/>
    </row>
    <row r="762" hidden="1">
      <c r="A762" s="58"/>
      <c r="B762" s="58"/>
      <c r="C762" s="58"/>
    </row>
    <row r="763" hidden="1">
      <c r="A763" s="58"/>
      <c r="B763" s="58"/>
      <c r="C763" s="58"/>
    </row>
    <row r="764" hidden="1">
      <c r="A764" s="58"/>
      <c r="B764" s="58"/>
      <c r="C764" s="58"/>
    </row>
    <row r="765" hidden="1">
      <c r="A765" s="58"/>
      <c r="B765" s="58"/>
      <c r="C765" s="58"/>
    </row>
    <row r="766" hidden="1">
      <c r="A766" s="58"/>
      <c r="B766" s="58"/>
      <c r="C766" s="58"/>
    </row>
    <row r="767" hidden="1">
      <c r="A767" s="58"/>
      <c r="B767" s="58"/>
      <c r="C767" s="58"/>
    </row>
    <row r="768" hidden="1">
      <c r="A768" s="58"/>
      <c r="B768" s="58"/>
      <c r="C768" s="58"/>
    </row>
    <row r="769" hidden="1">
      <c r="A769" s="58"/>
      <c r="B769" s="58"/>
      <c r="C769" s="58"/>
    </row>
    <row r="770" hidden="1">
      <c r="A770" s="58"/>
      <c r="B770" s="58"/>
      <c r="C770" s="58"/>
    </row>
    <row r="771" hidden="1">
      <c r="A771" s="58"/>
      <c r="B771" s="58"/>
      <c r="C771" s="58"/>
    </row>
    <row r="772" hidden="1">
      <c r="A772" s="58"/>
      <c r="B772" s="58"/>
      <c r="C772" s="58"/>
    </row>
    <row r="773" hidden="1">
      <c r="A773" s="58"/>
      <c r="B773" s="58"/>
      <c r="C773" s="58"/>
    </row>
    <row r="774" hidden="1">
      <c r="A774" s="58"/>
      <c r="B774" s="58"/>
      <c r="C774" s="58"/>
    </row>
    <row r="775" hidden="1">
      <c r="A775" s="58"/>
      <c r="B775" s="58"/>
      <c r="C775" s="58"/>
    </row>
    <row r="776" hidden="1">
      <c r="A776" s="58"/>
      <c r="B776" s="58"/>
      <c r="C776" s="58"/>
    </row>
    <row r="777" hidden="1">
      <c r="A777" s="58"/>
      <c r="B777" s="58"/>
      <c r="C777" s="58"/>
    </row>
    <row r="778" hidden="1">
      <c r="A778" s="58"/>
      <c r="B778" s="58"/>
      <c r="C778" s="58"/>
    </row>
    <row r="779" hidden="1">
      <c r="A779" s="58"/>
      <c r="B779" s="58"/>
      <c r="C779" s="58"/>
    </row>
    <row r="780" hidden="1">
      <c r="A780" s="58"/>
      <c r="B780" s="58"/>
      <c r="C780" s="58"/>
    </row>
    <row r="781" hidden="1">
      <c r="A781" s="58"/>
      <c r="B781" s="58"/>
      <c r="C781" s="58"/>
    </row>
    <row r="782" hidden="1">
      <c r="A782" s="58"/>
      <c r="B782" s="58"/>
      <c r="C782" s="58"/>
    </row>
    <row r="783" hidden="1">
      <c r="A783" s="58"/>
      <c r="B783" s="58"/>
      <c r="C783" s="58"/>
    </row>
    <row r="784" hidden="1">
      <c r="A784" s="58"/>
      <c r="B784" s="58"/>
      <c r="C784" s="58"/>
    </row>
    <row r="785" hidden="1">
      <c r="A785" s="58"/>
      <c r="B785" s="58"/>
      <c r="C785" s="58"/>
    </row>
    <row r="786" hidden="1">
      <c r="A786" s="58"/>
      <c r="B786" s="58"/>
      <c r="C786" s="58"/>
    </row>
    <row r="787" hidden="1">
      <c r="A787" s="58"/>
      <c r="B787" s="58"/>
      <c r="C787" s="58"/>
    </row>
    <row r="788" hidden="1">
      <c r="A788" s="58"/>
      <c r="B788" s="58"/>
      <c r="C788" s="58"/>
    </row>
    <row r="789" hidden="1">
      <c r="A789" s="58"/>
      <c r="B789" s="58"/>
      <c r="C789" s="58"/>
    </row>
    <row r="790" hidden="1">
      <c r="A790" s="58"/>
      <c r="B790" s="58"/>
      <c r="C790" s="58"/>
    </row>
    <row r="791" hidden="1">
      <c r="A791" s="58"/>
      <c r="B791" s="58"/>
      <c r="C791" s="58"/>
    </row>
    <row r="792" hidden="1">
      <c r="A792" s="58"/>
      <c r="B792" s="58"/>
      <c r="C792" s="58"/>
    </row>
    <row r="793" hidden="1">
      <c r="A793" s="58"/>
      <c r="B793" s="58"/>
      <c r="C793" s="58"/>
    </row>
    <row r="794" hidden="1">
      <c r="A794" s="58"/>
      <c r="B794" s="58"/>
      <c r="C794" s="58"/>
    </row>
    <row r="795" hidden="1">
      <c r="A795" s="58"/>
      <c r="B795" s="58"/>
      <c r="C795" s="58"/>
    </row>
    <row r="796" hidden="1">
      <c r="A796" s="58"/>
      <c r="B796" s="58"/>
      <c r="C796" s="58"/>
    </row>
    <row r="797" hidden="1">
      <c r="A797" s="58"/>
      <c r="B797" s="58"/>
      <c r="C797" s="58"/>
    </row>
    <row r="798" hidden="1">
      <c r="A798" s="58"/>
      <c r="B798" s="58"/>
      <c r="C798" s="58"/>
    </row>
    <row r="799" hidden="1">
      <c r="A799" s="58"/>
      <c r="B799" s="58"/>
      <c r="C799" s="58"/>
    </row>
    <row r="800" hidden="1">
      <c r="A800" s="58"/>
      <c r="B800" s="58"/>
      <c r="C800" s="58"/>
    </row>
    <row r="801" hidden="1">
      <c r="A801" s="58"/>
      <c r="B801" s="58"/>
      <c r="C801" s="58"/>
    </row>
    <row r="802" hidden="1">
      <c r="A802" s="58"/>
      <c r="B802" s="58"/>
      <c r="C802" s="58"/>
    </row>
    <row r="803" hidden="1">
      <c r="A803" s="58"/>
      <c r="B803" s="58"/>
      <c r="C803" s="58"/>
    </row>
    <row r="804" hidden="1">
      <c r="A804" s="58"/>
      <c r="B804" s="58"/>
      <c r="C804" s="58"/>
    </row>
    <row r="805" hidden="1">
      <c r="A805" s="58"/>
      <c r="B805" s="58"/>
      <c r="C805" s="58"/>
    </row>
    <row r="806" hidden="1">
      <c r="A806" s="58"/>
      <c r="B806" s="58"/>
      <c r="C806" s="58"/>
    </row>
    <row r="807" hidden="1">
      <c r="A807" s="58"/>
      <c r="B807" s="58"/>
      <c r="C807" s="58"/>
    </row>
    <row r="808" hidden="1">
      <c r="A808" s="58"/>
      <c r="B808" s="58"/>
      <c r="C808" s="58"/>
    </row>
    <row r="809" hidden="1">
      <c r="A809" s="58"/>
      <c r="B809" s="58"/>
      <c r="C809" s="58"/>
    </row>
    <row r="810" hidden="1">
      <c r="A810" s="58"/>
      <c r="B810" s="58"/>
      <c r="C810" s="58"/>
    </row>
    <row r="811" hidden="1">
      <c r="A811" s="58"/>
      <c r="B811" s="58"/>
      <c r="C811" s="58"/>
    </row>
    <row r="812" hidden="1">
      <c r="A812" s="58"/>
      <c r="B812" s="58"/>
      <c r="C812" s="58"/>
    </row>
    <row r="813" hidden="1">
      <c r="A813" s="58"/>
      <c r="B813" s="58"/>
      <c r="C813" s="58"/>
    </row>
    <row r="814" hidden="1">
      <c r="A814" s="58"/>
      <c r="B814" s="58"/>
      <c r="C814" s="58"/>
    </row>
    <row r="815" hidden="1">
      <c r="A815" s="58"/>
      <c r="B815" s="58"/>
      <c r="C815" s="58"/>
    </row>
    <row r="816" hidden="1">
      <c r="A816" s="58"/>
      <c r="B816" s="58"/>
      <c r="C816" s="58"/>
    </row>
    <row r="817" hidden="1">
      <c r="A817" s="58"/>
      <c r="B817" s="58"/>
      <c r="C817" s="58"/>
    </row>
    <row r="818" hidden="1">
      <c r="A818" s="58"/>
      <c r="B818" s="58"/>
      <c r="C818" s="58"/>
    </row>
    <row r="819" hidden="1">
      <c r="A819" s="58"/>
      <c r="B819" s="58"/>
      <c r="C819" s="58"/>
    </row>
    <row r="820" hidden="1">
      <c r="A820" s="58"/>
      <c r="B820" s="58"/>
      <c r="C820" s="58"/>
    </row>
    <row r="821" hidden="1">
      <c r="A821" s="58"/>
      <c r="B821" s="58"/>
      <c r="C821" s="58"/>
    </row>
    <row r="822" hidden="1">
      <c r="A822" s="58"/>
      <c r="B822" s="58"/>
      <c r="C822" s="58"/>
    </row>
    <row r="823" hidden="1">
      <c r="A823" s="58"/>
      <c r="B823" s="58"/>
      <c r="C823" s="58"/>
    </row>
    <row r="824" hidden="1">
      <c r="A824" s="58"/>
      <c r="B824" s="58"/>
      <c r="C824" s="58"/>
    </row>
    <row r="825" hidden="1">
      <c r="A825" s="58"/>
      <c r="B825" s="58"/>
      <c r="C825" s="58"/>
    </row>
    <row r="826" hidden="1">
      <c r="A826" s="58"/>
      <c r="B826" s="58"/>
      <c r="C826" s="58"/>
    </row>
    <row r="827" hidden="1">
      <c r="A827" s="58"/>
      <c r="B827" s="58"/>
      <c r="C827" s="58"/>
    </row>
    <row r="828" hidden="1">
      <c r="A828" s="58"/>
      <c r="B828" s="58"/>
      <c r="C828" s="58"/>
    </row>
    <row r="829" hidden="1">
      <c r="A829" s="58"/>
      <c r="B829" s="58"/>
      <c r="C829" s="58"/>
    </row>
    <row r="830" hidden="1">
      <c r="A830" s="58"/>
      <c r="B830" s="58"/>
      <c r="C830" s="58"/>
    </row>
    <row r="831" hidden="1">
      <c r="A831" s="58"/>
      <c r="B831" s="58"/>
      <c r="C831" s="58"/>
    </row>
    <row r="832" hidden="1">
      <c r="A832" s="58"/>
      <c r="B832" s="58"/>
      <c r="C832" s="58"/>
    </row>
    <row r="833" hidden="1">
      <c r="A833" s="58"/>
      <c r="B833" s="58"/>
      <c r="C833" s="58"/>
    </row>
    <row r="834" hidden="1">
      <c r="A834" s="58"/>
      <c r="B834" s="58"/>
      <c r="C834" s="58"/>
    </row>
    <row r="835" hidden="1">
      <c r="A835" s="58"/>
      <c r="B835" s="58"/>
      <c r="C835" s="58"/>
    </row>
    <row r="836" hidden="1">
      <c r="A836" s="58"/>
      <c r="B836" s="58"/>
      <c r="C836" s="58"/>
    </row>
    <row r="837" hidden="1">
      <c r="A837" s="58"/>
      <c r="B837" s="58"/>
      <c r="C837" s="58"/>
    </row>
    <row r="838" hidden="1">
      <c r="A838" s="58"/>
      <c r="B838" s="58"/>
      <c r="C838" s="58"/>
    </row>
    <row r="839" hidden="1">
      <c r="A839" s="58"/>
      <c r="B839" s="58"/>
      <c r="C839" s="58"/>
    </row>
    <row r="840" hidden="1">
      <c r="A840" s="58"/>
      <c r="B840" s="58"/>
      <c r="C840" s="58"/>
    </row>
    <row r="841" hidden="1">
      <c r="A841" s="58"/>
      <c r="B841" s="58"/>
      <c r="C841" s="58"/>
    </row>
    <row r="842" hidden="1">
      <c r="A842" s="58"/>
      <c r="B842" s="58"/>
      <c r="C842" s="58"/>
    </row>
    <row r="843" hidden="1">
      <c r="A843" s="58"/>
      <c r="B843" s="58"/>
      <c r="C843" s="58"/>
    </row>
    <row r="844" hidden="1">
      <c r="A844" s="58"/>
      <c r="B844" s="58"/>
      <c r="C844" s="58"/>
    </row>
    <row r="845" hidden="1">
      <c r="A845" s="58"/>
      <c r="B845" s="58"/>
      <c r="C845" s="58"/>
    </row>
    <row r="846" hidden="1">
      <c r="A846" s="58"/>
      <c r="B846" s="58"/>
      <c r="C846" s="58"/>
    </row>
    <row r="847" hidden="1">
      <c r="A847" s="58"/>
      <c r="B847" s="58"/>
      <c r="C847" s="58"/>
    </row>
    <row r="848" hidden="1">
      <c r="A848" s="58"/>
      <c r="B848" s="58"/>
      <c r="C848" s="58"/>
    </row>
    <row r="849" hidden="1">
      <c r="A849" s="58"/>
      <c r="B849" s="58"/>
      <c r="C849" s="58"/>
    </row>
    <row r="850" hidden="1">
      <c r="A850" s="58"/>
      <c r="B850" s="58"/>
      <c r="C850" s="58"/>
    </row>
    <row r="851" hidden="1">
      <c r="A851" s="58"/>
      <c r="B851" s="58"/>
      <c r="C851" s="58"/>
    </row>
    <row r="852" hidden="1">
      <c r="A852" s="58"/>
      <c r="B852" s="58"/>
      <c r="C852" s="58"/>
    </row>
    <row r="853" hidden="1">
      <c r="A853" s="58"/>
      <c r="B853" s="58"/>
      <c r="C853" s="58"/>
    </row>
    <row r="854" hidden="1">
      <c r="A854" s="58"/>
      <c r="B854" s="58"/>
      <c r="C854" s="58"/>
    </row>
    <row r="855" hidden="1">
      <c r="A855" s="58"/>
      <c r="B855" s="58"/>
      <c r="C855" s="58"/>
    </row>
    <row r="856" hidden="1">
      <c r="A856" s="58"/>
      <c r="B856" s="58"/>
      <c r="C856" s="58"/>
    </row>
    <row r="857" hidden="1">
      <c r="A857" s="58"/>
      <c r="B857" s="58"/>
      <c r="C857" s="58"/>
    </row>
    <row r="858" hidden="1">
      <c r="A858" s="58"/>
      <c r="B858" s="58"/>
      <c r="C858" s="58"/>
    </row>
    <row r="859" hidden="1">
      <c r="A859" s="58"/>
      <c r="B859" s="58"/>
      <c r="C859" s="58"/>
    </row>
    <row r="860" hidden="1">
      <c r="A860" s="58"/>
      <c r="B860" s="58"/>
      <c r="C860" s="58"/>
    </row>
    <row r="861" hidden="1">
      <c r="A861" s="58"/>
      <c r="B861" s="58"/>
      <c r="C861" s="58"/>
    </row>
    <row r="862" hidden="1">
      <c r="A862" s="58"/>
      <c r="B862" s="58"/>
      <c r="C862" s="58"/>
    </row>
    <row r="863" hidden="1">
      <c r="A863" s="58"/>
      <c r="B863" s="58"/>
      <c r="C863" s="58"/>
    </row>
    <row r="864" hidden="1">
      <c r="A864" s="58"/>
      <c r="B864" s="58"/>
      <c r="C864" s="58"/>
    </row>
    <row r="865" hidden="1">
      <c r="A865" s="58"/>
      <c r="B865" s="58"/>
      <c r="C865" s="58"/>
    </row>
    <row r="866" hidden="1">
      <c r="A866" s="58"/>
      <c r="B866" s="58"/>
      <c r="C866" s="58"/>
    </row>
    <row r="867" hidden="1">
      <c r="A867" s="58"/>
      <c r="B867" s="58"/>
      <c r="C867" s="58"/>
    </row>
    <row r="868" hidden="1">
      <c r="A868" s="58"/>
      <c r="B868" s="58"/>
      <c r="C868" s="58"/>
    </row>
    <row r="869" hidden="1">
      <c r="A869" s="58"/>
      <c r="B869" s="58"/>
      <c r="C869" s="58"/>
    </row>
    <row r="870" hidden="1">
      <c r="A870" s="58"/>
      <c r="B870" s="58"/>
      <c r="C870" s="58"/>
    </row>
    <row r="871" hidden="1">
      <c r="A871" s="58"/>
      <c r="B871" s="58"/>
      <c r="C871" s="58"/>
    </row>
    <row r="872" hidden="1">
      <c r="A872" s="58"/>
      <c r="B872" s="58"/>
      <c r="C872" s="58"/>
    </row>
    <row r="873" hidden="1">
      <c r="A873" s="58"/>
      <c r="B873" s="58"/>
      <c r="C873" s="58"/>
    </row>
    <row r="874" hidden="1">
      <c r="A874" s="58"/>
      <c r="B874" s="58"/>
      <c r="C874" s="58"/>
    </row>
    <row r="875" hidden="1">
      <c r="A875" s="58"/>
      <c r="B875" s="58"/>
      <c r="C875" s="58"/>
    </row>
    <row r="876" hidden="1">
      <c r="A876" s="58"/>
      <c r="B876" s="58"/>
      <c r="C876" s="58"/>
    </row>
    <row r="877" hidden="1">
      <c r="A877" s="58"/>
      <c r="B877" s="58"/>
      <c r="C877" s="58"/>
    </row>
    <row r="878" hidden="1">
      <c r="A878" s="58"/>
      <c r="B878" s="58"/>
      <c r="C878" s="58"/>
    </row>
    <row r="879" hidden="1">
      <c r="A879" s="58"/>
      <c r="B879" s="58"/>
      <c r="C879" s="58"/>
    </row>
    <row r="880" hidden="1">
      <c r="A880" s="58"/>
      <c r="B880" s="58"/>
      <c r="C880" s="58"/>
    </row>
    <row r="881" hidden="1">
      <c r="A881" s="58"/>
      <c r="B881" s="58"/>
      <c r="C881" s="58"/>
    </row>
    <row r="882" hidden="1">
      <c r="A882" s="58"/>
      <c r="B882" s="58"/>
      <c r="C882" s="58"/>
    </row>
    <row r="883" hidden="1">
      <c r="A883" s="58"/>
      <c r="B883" s="58"/>
      <c r="C883" s="58"/>
    </row>
    <row r="884" hidden="1">
      <c r="A884" s="58"/>
      <c r="B884" s="58"/>
      <c r="C884" s="58"/>
    </row>
    <row r="885" hidden="1">
      <c r="A885" s="58"/>
      <c r="B885" s="58"/>
      <c r="C885" s="58"/>
    </row>
    <row r="886" hidden="1">
      <c r="A886" s="58"/>
      <c r="B886" s="58"/>
      <c r="C886" s="58"/>
    </row>
    <row r="887" hidden="1">
      <c r="A887" s="58"/>
      <c r="B887" s="58"/>
      <c r="C887" s="58"/>
    </row>
    <row r="888" hidden="1">
      <c r="A888" s="58"/>
      <c r="B888" s="58"/>
      <c r="C888" s="58"/>
    </row>
    <row r="889" hidden="1">
      <c r="A889" s="58"/>
      <c r="B889" s="58"/>
      <c r="C889" s="58"/>
    </row>
    <row r="890" hidden="1">
      <c r="A890" s="58"/>
      <c r="B890" s="58"/>
      <c r="C890" s="58"/>
    </row>
    <row r="891" hidden="1">
      <c r="A891" s="58"/>
      <c r="B891" s="58"/>
      <c r="C891" s="58"/>
    </row>
    <row r="892" hidden="1">
      <c r="A892" s="58"/>
      <c r="B892" s="58"/>
      <c r="C892" s="58"/>
    </row>
    <row r="893" hidden="1">
      <c r="A893" s="58"/>
      <c r="B893" s="58"/>
      <c r="C893" s="58"/>
    </row>
    <row r="894" hidden="1">
      <c r="A894" s="58"/>
      <c r="B894" s="58"/>
      <c r="C894" s="58"/>
    </row>
    <row r="895" hidden="1">
      <c r="A895" s="58"/>
      <c r="B895" s="58"/>
      <c r="C895" s="58"/>
    </row>
    <row r="896" hidden="1">
      <c r="A896" s="58"/>
      <c r="B896" s="58"/>
      <c r="C896" s="58"/>
    </row>
    <row r="897" hidden="1">
      <c r="A897" s="58"/>
      <c r="B897" s="58"/>
      <c r="C897" s="58"/>
    </row>
    <row r="898" hidden="1">
      <c r="A898" s="58"/>
      <c r="B898" s="58"/>
      <c r="C898" s="58"/>
    </row>
    <row r="899" hidden="1">
      <c r="A899" s="58"/>
      <c r="B899" s="58"/>
      <c r="C899" s="58"/>
    </row>
    <row r="900" hidden="1">
      <c r="A900" s="58"/>
      <c r="B900" s="58"/>
      <c r="C900" s="58"/>
    </row>
    <row r="901" hidden="1">
      <c r="A901" s="58"/>
      <c r="B901" s="58"/>
      <c r="C901" s="58"/>
    </row>
    <row r="902" hidden="1">
      <c r="A902" s="58"/>
      <c r="B902" s="58"/>
      <c r="C902" s="58"/>
    </row>
    <row r="903" hidden="1">
      <c r="A903" s="58"/>
      <c r="B903" s="58"/>
      <c r="C903" s="58"/>
    </row>
    <row r="904" hidden="1">
      <c r="A904" s="58"/>
      <c r="B904" s="58"/>
      <c r="C904" s="58"/>
    </row>
    <row r="905" hidden="1">
      <c r="A905" s="58"/>
      <c r="B905" s="58"/>
      <c r="C905" s="58"/>
    </row>
    <row r="906" hidden="1">
      <c r="A906" s="58"/>
      <c r="B906" s="58"/>
      <c r="C906" s="58"/>
    </row>
    <row r="907" hidden="1">
      <c r="A907" s="58"/>
      <c r="B907" s="58"/>
      <c r="C907" s="58"/>
    </row>
    <row r="908" hidden="1">
      <c r="A908" s="58"/>
      <c r="B908" s="58"/>
      <c r="C908" s="58"/>
    </row>
    <row r="909" hidden="1">
      <c r="A909" s="58"/>
      <c r="B909" s="58"/>
      <c r="C909" s="58"/>
    </row>
    <row r="910" hidden="1">
      <c r="A910" s="58"/>
      <c r="B910" s="58"/>
      <c r="C910" s="58"/>
    </row>
    <row r="911" hidden="1">
      <c r="A911" s="58"/>
      <c r="B911" s="58"/>
      <c r="C911" s="58"/>
    </row>
    <row r="912" hidden="1">
      <c r="A912" s="58"/>
      <c r="B912" s="58"/>
      <c r="C912" s="58"/>
    </row>
    <row r="913" hidden="1">
      <c r="A913" s="58"/>
      <c r="B913" s="58"/>
      <c r="C913" s="58"/>
    </row>
    <row r="914" hidden="1">
      <c r="A914" s="58"/>
      <c r="B914" s="58"/>
      <c r="C914" s="58"/>
    </row>
    <row r="915" hidden="1">
      <c r="A915" s="58"/>
      <c r="B915" s="58"/>
      <c r="C915" s="58"/>
    </row>
    <row r="916" hidden="1">
      <c r="A916" s="58"/>
      <c r="B916" s="58"/>
      <c r="C916" s="58"/>
    </row>
    <row r="917" hidden="1">
      <c r="A917" s="58"/>
      <c r="B917" s="58"/>
      <c r="C917" s="58"/>
    </row>
    <row r="918" hidden="1">
      <c r="A918" s="58"/>
      <c r="B918" s="58"/>
      <c r="C918" s="58"/>
    </row>
    <row r="919" hidden="1">
      <c r="A919" s="58"/>
      <c r="B919" s="58"/>
      <c r="C919" s="58"/>
    </row>
    <row r="920" hidden="1">
      <c r="A920" s="58"/>
      <c r="B920" s="58"/>
      <c r="C920" s="58"/>
    </row>
    <row r="921" hidden="1">
      <c r="A921" s="58"/>
      <c r="B921" s="58"/>
      <c r="C921" s="58"/>
    </row>
    <row r="922" hidden="1">
      <c r="A922" s="58"/>
      <c r="B922" s="58"/>
      <c r="C922" s="58"/>
    </row>
    <row r="923" hidden="1">
      <c r="A923" s="58"/>
      <c r="B923" s="58"/>
      <c r="C923" s="58"/>
    </row>
    <row r="924" hidden="1">
      <c r="A924" s="58"/>
      <c r="B924" s="58"/>
      <c r="C924" s="58"/>
    </row>
    <row r="925" hidden="1">
      <c r="A925" s="58"/>
      <c r="B925" s="58"/>
      <c r="C925" s="58"/>
    </row>
    <row r="926" hidden="1">
      <c r="A926" s="58"/>
      <c r="B926" s="58"/>
      <c r="C926" s="58"/>
    </row>
    <row r="927" hidden="1">
      <c r="A927" s="58"/>
      <c r="B927" s="58"/>
      <c r="C927" s="58"/>
    </row>
    <row r="928" hidden="1">
      <c r="A928" s="58"/>
      <c r="B928" s="58"/>
      <c r="C928" s="58"/>
    </row>
    <row r="929" hidden="1">
      <c r="A929" s="58"/>
      <c r="B929" s="58"/>
      <c r="C929" s="58"/>
    </row>
    <row r="930" hidden="1">
      <c r="A930" s="58"/>
      <c r="B930" s="58"/>
      <c r="C930" s="58"/>
    </row>
    <row r="931" hidden="1">
      <c r="A931" s="58"/>
      <c r="B931" s="58"/>
      <c r="C931" s="58"/>
    </row>
    <row r="932" hidden="1">
      <c r="A932" s="58"/>
      <c r="B932" s="58"/>
      <c r="C932" s="58"/>
    </row>
    <row r="933" hidden="1">
      <c r="A933" s="58"/>
      <c r="B933" s="58"/>
      <c r="C933" s="58"/>
    </row>
    <row r="934" hidden="1">
      <c r="A934" s="58"/>
      <c r="B934" s="58"/>
      <c r="C934" s="58"/>
    </row>
    <row r="935" hidden="1">
      <c r="A935" s="58"/>
      <c r="B935" s="58"/>
      <c r="C935" s="58"/>
    </row>
    <row r="936" hidden="1">
      <c r="A936" s="58"/>
      <c r="B936" s="58"/>
      <c r="C936" s="58"/>
    </row>
    <row r="937" hidden="1">
      <c r="A937" s="58"/>
      <c r="B937" s="58"/>
      <c r="C937" s="58"/>
    </row>
    <row r="938" hidden="1">
      <c r="A938" s="58"/>
      <c r="B938" s="58"/>
      <c r="C938" s="58"/>
    </row>
    <row r="939" hidden="1">
      <c r="A939" s="58"/>
      <c r="B939" s="58"/>
      <c r="C939" s="58"/>
    </row>
    <row r="940" hidden="1">
      <c r="A940" s="58"/>
      <c r="B940" s="58"/>
      <c r="C940" s="58"/>
    </row>
    <row r="941" hidden="1">
      <c r="A941" s="58"/>
      <c r="B941" s="58"/>
      <c r="C941" s="58"/>
    </row>
    <row r="942" hidden="1">
      <c r="A942" s="58"/>
      <c r="B942" s="58"/>
      <c r="C942" s="58"/>
    </row>
    <row r="943" hidden="1">
      <c r="A943" s="58"/>
      <c r="B943" s="58"/>
      <c r="C943" s="58"/>
    </row>
    <row r="944" hidden="1">
      <c r="A944" s="58"/>
      <c r="B944" s="58"/>
      <c r="C944" s="58"/>
    </row>
    <row r="945" hidden="1">
      <c r="A945" s="58"/>
      <c r="B945" s="58"/>
      <c r="C945" s="58"/>
    </row>
    <row r="946" hidden="1">
      <c r="A946" s="58"/>
      <c r="B946" s="58"/>
      <c r="C946" s="58"/>
    </row>
    <row r="947" hidden="1">
      <c r="A947" s="58"/>
      <c r="B947" s="58"/>
      <c r="C947" s="58"/>
    </row>
    <row r="948" hidden="1">
      <c r="A948" s="58"/>
      <c r="B948" s="58"/>
      <c r="C948" s="58"/>
    </row>
    <row r="949" hidden="1">
      <c r="A949" s="58"/>
      <c r="B949" s="58"/>
      <c r="C949" s="58"/>
    </row>
    <row r="950" hidden="1">
      <c r="A950" s="58"/>
      <c r="B950" s="58"/>
      <c r="C950" s="58"/>
    </row>
    <row r="951" hidden="1">
      <c r="A951" s="58"/>
      <c r="B951" s="58"/>
      <c r="C951" s="58"/>
    </row>
    <row r="952" hidden="1">
      <c r="A952" s="58"/>
      <c r="B952" s="58"/>
      <c r="C952" s="58"/>
    </row>
    <row r="953" hidden="1">
      <c r="A953" s="58"/>
      <c r="B953" s="58"/>
      <c r="C953" s="58"/>
    </row>
    <row r="954" hidden="1">
      <c r="A954" s="58"/>
      <c r="B954" s="58"/>
      <c r="C954" s="58"/>
    </row>
    <row r="955" hidden="1">
      <c r="A955" s="58"/>
      <c r="B955" s="58"/>
      <c r="C955" s="58"/>
    </row>
    <row r="956" hidden="1">
      <c r="A956" s="58"/>
      <c r="B956" s="58"/>
      <c r="C956" s="58"/>
    </row>
    <row r="957" hidden="1">
      <c r="A957" s="58"/>
      <c r="B957" s="58"/>
      <c r="C957" s="58"/>
    </row>
    <row r="958" hidden="1">
      <c r="A958" s="58"/>
      <c r="B958" s="58"/>
      <c r="C958" s="58"/>
    </row>
    <row r="959" hidden="1">
      <c r="A959" s="58"/>
      <c r="B959" s="58"/>
      <c r="C959" s="58"/>
    </row>
    <row r="960" hidden="1">
      <c r="A960" s="58"/>
      <c r="B960" s="58"/>
      <c r="C960" s="58"/>
    </row>
    <row r="961" hidden="1">
      <c r="A961" s="58"/>
      <c r="B961" s="58"/>
      <c r="C961" s="58"/>
    </row>
    <row r="962" hidden="1">
      <c r="A962" s="58"/>
      <c r="B962" s="58"/>
      <c r="C962" s="58"/>
    </row>
    <row r="963" hidden="1">
      <c r="A963" s="58"/>
      <c r="B963" s="58"/>
      <c r="C963" s="58"/>
    </row>
    <row r="964" hidden="1">
      <c r="A964" s="58"/>
      <c r="B964" s="58"/>
      <c r="C964" s="58"/>
    </row>
    <row r="965" hidden="1">
      <c r="A965" s="58"/>
      <c r="B965" s="58"/>
      <c r="C965" s="58"/>
    </row>
    <row r="966" hidden="1">
      <c r="A966" s="58"/>
      <c r="B966" s="58"/>
      <c r="C966" s="58"/>
    </row>
    <row r="967" hidden="1">
      <c r="A967" s="58"/>
      <c r="B967" s="58"/>
      <c r="C967" s="58"/>
    </row>
    <row r="968" hidden="1">
      <c r="A968" s="58"/>
      <c r="B968" s="58"/>
      <c r="C968" s="58"/>
    </row>
    <row r="969" hidden="1">
      <c r="A969" s="58"/>
      <c r="B969" s="58"/>
      <c r="C969" s="58"/>
    </row>
    <row r="970" hidden="1">
      <c r="A970" s="58"/>
      <c r="B970" s="58"/>
      <c r="C970" s="58"/>
    </row>
    <row r="971" hidden="1">
      <c r="A971" s="58"/>
      <c r="B971" s="58"/>
      <c r="C971" s="58"/>
    </row>
    <row r="972" hidden="1">
      <c r="A972" s="58"/>
      <c r="B972" s="58"/>
      <c r="C972" s="58"/>
    </row>
    <row r="973" hidden="1">
      <c r="A973" s="58"/>
      <c r="B973" s="58"/>
      <c r="C973" s="58"/>
    </row>
    <row r="974" hidden="1">
      <c r="A974" s="58"/>
      <c r="B974" s="58"/>
      <c r="C974" s="58"/>
    </row>
    <row r="975" hidden="1">
      <c r="A975" s="58"/>
      <c r="B975" s="58"/>
      <c r="C975" s="58"/>
    </row>
    <row r="976" hidden="1">
      <c r="A976" s="58"/>
      <c r="B976" s="58"/>
      <c r="C976" s="58"/>
    </row>
    <row r="977" hidden="1">
      <c r="A977" s="58"/>
      <c r="B977" s="58"/>
      <c r="C977" s="58"/>
    </row>
    <row r="978" hidden="1">
      <c r="A978" s="58"/>
      <c r="B978" s="58"/>
      <c r="C978" s="58"/>
    </row>
    <row r="979" hidden="1">
      <c r="A979" s="58"/>
      <c r="B979" s="58"/>
      <c r="C979" s="58"/>
    </row>
    <row r="980" hidden="1">
      <c r="A980" s="58"/>
      <c r="B980" s="58"/>
      <c r="C980" s="58"/>
    </row>
    <row r="981" hidden="1">
      <c r="A981" s="58"/>
      <c r="B981" s="58"/>
      <c r="C981" s="58"/>
    </row>
    <row r="982" hidden="1">
      <c r="A982" s="58"/>
      <c r="B982" s="58"/>
      <c r="C982" s="58"/>
    </row>
    <row r="983" hidden="1">
      <c r="A983" s="58"/>
      <c r="B983" s="58"/>
      <c r="C983" s="58"/>
    </row>
    <row r="984" hidden="1">
      <c r="A984" s="58"/>
      <c r="B984" s="58"/>
      <c r="C984" s="58"/>
    </row>
    <row r="985" hidden="1">
      <c r="A985" s="58"/>
      <c r="B985" s="58"/>
      <c r="C985" s="58"/>
    </row>
    <row r="986" hidden="1">
      <c r="A986" s="58"/>
      <c r="B986" s="58"/>
      <c r="C986" s="58"/>
    </row>
    <row r="987" hidden="1">
      <c r="A987" s="58"/>
      <c r="B987" s="58"/>
      <c r="C987" s="58"/>
    </row>
    <row r="988" hidden="1">
      <c r="A988" s="58"/>
      <c r="B988" s="58"/>
      <c r="C988" s="58"/>
    </row>
    <row r="989" hidden="1">
      <c r="A989" s="58"/>
      <c r="B989" s="58"/>
      <c r="C989" s="58"/>
    </row>
    <row r="990" hidden="1">
      <c r="A990" s="58"/>
      <c r="B990" s="58"/>
      <c r="C990" s="58"/>
    </row>
    <row r="991" hidden="1">
      <c r="A991" s="58"/>
      <c r="B991" s="58"/>
      <c r="C991" s="58"/>
    </row>
    <row r="992" hidden="1">
      <c r="A992" s="58"/>
      <c r="B992" s="58"/>
      <c r="C992" s="58"/>
    </row>
    <row r="993" hidden="1">
      <c r="A993" s="58"/>
      <c r="B993" s="58"/>
      <c r="C993" s="58"/>
    </row>
    <row r="994" hidden="1">
      <c r="A994" s="58"/>
      <c r="B994" s="58"/>
      <c r="C994" s="58"/>
    </row>
    <row r="995" hidden="1">
      <c r="A995" s="58"/>
      <c r="B995" s="58"/>
      <c r="C995" s="58"/>
    </row>
    <row r="996" hidden="1">
      <c r="A996" s="58"/>
      <c r="B996" s="58"/>
      <c r="C996" s="58"/>
    </row>
    <row r="997" hidden="1">
      <c r="A997" s="58"/>
      <c r="B997" s="58"/>
      <c r="C997" s="58"/>
    </row>
    <row r="998" hidden="1">
      <c r="A998" s="58"/>
      <c r="B998" s="58"/>
      <c r="C998" s="58"/>
    </row>
    <row r="999" hidden="1">
      <c r="A999" s="58"/>
      <c r="B999" s="58"/>
      <c r="C999" s="58"/>
    </row>
    <row r="1000" hidden="1">
      <c r="A1000" s="58"/>
      <c r="B1000" s="58"/>
      <c r="C1000" s="58"/>
    </row>
    <row r="1001" hidden="1">
      <c r="A1001" s="58"/>
      <c r="B1001" s="58"/>
      <c r="C1001" s="58"/>
    </row>
    <row r="1002" hidden="1">
      <c r="A1002" s="58"/>
      <c r="B1002" s="58"/>
      <c r="C1002" s="58"/>
    </row>
    <row r="1003" hidden="1">
      <c r="A1003" s="58"/>
      <c r="B1003" s="58"/>
      <c r="C1003" s="58"/>
    </row>
    <row r="1004" hidden="1">
      <c r="A1004" s="58"/>
      <c r="B1004" s="58"/>
      <c r="C1004" s="58"/>
    </row>
    <row r="1005" hidden="1">
      <c r="A1005" s="58"/>
      <c r="B1005" s="58"/>
      <c r="C1005" s="58"/>
    </row>
    <row r="1006" hidden="1">
      <c r="A1006" s="58"/>
      <c r="B1006" s="58"/>
      <c r="C1006" s="58"/>
    </row>
    <row r="1007" hidden="1">
      <c r="A1007" s="58"/>
      <c r="B1007" s="58"/>
      <c r="C1007" s="58"/>
    </row>
    <row r="1008" hidden="1">
      <c r="A1008" s="58"/>
      <c r="B1008" s="58"/>
      <c r="C1008" s="58"/>
    </row>
    <row r="1009" hidden="1">
      <c r="A1009" s="58"/>
      <c r="B1009" s="58"/>
      <c r="C1009" s="58"/>
    </row>
    <row r="1010" hidden="1">
      <c r="A1010" s="58"/>
      <c r="B1010" s="58"/>
      <c r="C1010" s="58"/>
    </row>
    <row r="1011" hidden="1">
      <c r="A1011" s="58"/>
      <c r="B1011" s="58"/>
      <c r="C1011" s="58"/>
    </row>
    <row r="1012" hidden="1">
      <c r="A1012" s="58"/>
      <c r="B1012" s="58"/>
      <c r="C1012" s="58"/>
    </row>
    <row r="1013" hidden="1">
      <c r="A1013" s="58"/>
      <c r="B1013" s="58"/>
      <c r="C1013" s="58"/>
    </row>
    <row r="1014" hidden="1">
      <c r="A1014" s="58"/>
      <c r="B1014" s="58"/>
      <c r="C1014" s="58"/>
    </row>
    <row r="1015" hidden="1">
      <c r="A1015" s="58"/>
      <c r="B1015" s="58"/>
      <c r="C1015" s="58"/>
    </row>
    <row r="1016" hidden="1">
      <c r="A1016" s="58"/>
      <c r="B1016" s="58"/>
      <c r="C1016" s="58"/>
    </row>
    <row r="1017" hidden="1">
      <c r="A1017" s="58"/>
      <c r="B1017" s="58"/>
      <c r="C1017" s="58"/>
    </row>
    <row r="1018" hidden="1">
      <c r="A1018" s="58"/>
      <c r="B1018" s="58"/>
      <c r="C1018" s="58"/>
    </row>
    <row r="1019" hidden="1">
      <c r="A1019" s="58"/>
      <c r="B1019" s="58"/>
      <c r="C1019" s="58"/>
    </row>
    <row r="1020" hidden="1">
      <c r="A1020" s="58"/>
      <c r="B1020" s="58"/>
      <c r="C1020" s="58"/>
    </row>
    <row r="1021" hidden="1">
      <c r="A1021" s="58"/>
      <c r="B1021" s="58"/>
      <c r="C1021" s="58"/>
    </row>
    <row r="1022" hidden="1">
      <c r="A1022" s="58"/>
      <c r="B1022" s="58"/>
      <c r="C1022" s="58"/>
    </row>
    <row r="1023" hidden="1">
      <c r="A1023" s="58"/>
      <c r="B1023" s="58"/>
      <c r="C1023" s="58"/>
    </row>
    <row r="1024" hidden="1">
      <c r="A1024" s="58"/>
      <c r="B1024" s="58"/>
      <c r="C1024" s="58"/>
    </row>
    <row r="1025" hidden="1">
      <c r="A1025" s="58"/>
      <c r="B1025" s="58"/>
      <c r="C1025" s="58"/>
    </row>
    <row r="1026" hidden="1">
      <c r="A1026" s="58"/>
      <c r="B1026" s="58"/>
      <c r="C1026" s="58"/>
    </row>
    <row r="1027" hidden="1">
      <c r="A1027" s="58"/>
      <c r="B1027" s="58"/>
      <c r="C1027" s="58"/>
    </row>
    <row r="1028" hidden="1">
      <c r="A1028" s="58"/>
      <c r="B1028" s="58"/>
      <c r="C1028" s="58"/>
    </row>
    <row r="1029" hidden="1">
      <c r="A1029" s="58"/>
      <c r="B1029" s="58"/>
      <c r="C1029" s="58"/>
    </row>
    <row r="1030" hidden="1">
      <c r="A1030" s="58"/>
      <c r="B1030" s="58"/>
      <c r="C1030" s="58"/>
    </row>
    <row r="1031" hidden="1">
      <c r="A1031" s="58"/>
      <c r="B1031" s="58"/>
      <c r="C1031" s="58"/>
    </row>
    <row r="1032" hidden="1">
      <c r="A1032" s="58"/>
      <c r="B1032" s="58"/>
      <c r="C1032" s="58"/>
    </row>
    <row r="1033" hidden="1">
      <c r="A1033" s="58"/>
      <c r="B1033" s="58"/>
      <c r="C1033" s="58"/>
    </row>
    <row r="1034" hidden="1">
      <c r="A1034" s="58"/>
      <c r="B1034" s="58"/>
      <c r="C1034" s="58"/>
    </row>
    <row r="1035" hidden="1">
      <c r="A1035" s="58"/>
      <c r="B1035" s="58"/>
      <c r="C1035" s="58"/>
    </row>
    <row r="1036" hidden="1">
      <c r="A1036" s="58"/>
      <c r="B1036" s="58"/>
      <c r="C1036" s="58"/>
    </row>
    <row r="1037" hidden="1">
      <c r="A1037" s="58"/>
      <c r="B1037" s="58"/>
      <c r="C1037" s="58"/>
    </row>
    <row r="1038" hidden="1">
      <c r="A1038" s="58"/>
      <c r="B1038" s="58"/>
      <c r="C1038" s="58"/>
    </row>
    <row r="1039" hidden="1">
      <c r="A1039" s="58"/>
      <c r="B1039" s="58"/>
      <c r="C1039" s="58"/>
    </row>
    <row r="1040" hidden="1">
      <c r="A1040" s="58"/>
      <c r="B1040" s="58"/>
      <c r="C1040" s="58"/>
    </row>
    <row r="1041" hidden="1">
      <c r="A1041" s="58"/>
      <c r="B1041" s="58"/>
      <c r="C1041" s="58"/>
    </row>
    <row r="1042" hidden="1">
      <c r="A1042" s="58"/>
      <c r="B1042" s="58"/>
      <c r="C1042" s="58"/>
    </row>
    <row r="1043" hidden="1">
      <c r="A1043" s="58"/>
      <c r="B1043" s="58"/>
      <c r="C1043" s="58"/>
    </row>
    <row r="1044" hidden="1">
      <c r="A1044" s="58"/>
      <c r="B1044" s="58"/>
      <c r="C1044" s="58"/>
    </row>
    <row r="1045" hidden="1">
      <c r="A1045" s="58"/>
      <c r="B1045" s="58"/>
      <c r="C1045" s="58"/>
    </row>
    <row r="1046" hidden="1">
      <c r="A1046" s="58"/>
      <c r="B1046" s="58"/>
      <c r="C1046" s="58"/>
    </row>
    <row r="1047" hidden="1">
      <c r="A1047" s="58"/>
      <c r="B1047" s="58"/>
      <c r="C1047" s="58"/>
    </row>
    <row r="1048" hidden="1">
      <c r="A1048" s="58"/>
      <c r="B1048" s="58"/>
      <c r="C1048" s="58"/>
    </row>
    <row r="1049" hidden="1">
      <c r="A1049" s="58"/>
      <c r="B1049" s="58"/>
      <c r="C1049" s="58"/>
    </row>
    <row r="1050" hidden="1">
      <c r="A1050" s="58"/>
      <c r="B1050" s="58"/>
      <c r="C1050" s="58"/>
    </row>
    <row r="1051" hidden="1">
      <c r="A1051" s="58"/>
      <c r="B1051" s="58"/>
      <c r="C1051" s="58"/>
    </row>
    <row r="1052" hidden="1">
      <c r="A1052" s="58"/>
      <c r="B1052" s="58"/>
      <c r="C1052" s="58"/>
    </row>
    <row r="1053" hidden="1">
      <c r="A1053" s="58"/>
      <c r="B1053" s="58"/>
      <c r="C1053" s="58"/>
    </row>
    <row r="1054" hidden="1">
      <c r="A1054" s="58"/>
      <c r="B1054" s="58"/>
      <c r="C1054" s="58"/>
    </row>
    <row r="1055" hidden="1">
      <c r="A1055" s="58"/>
      <c r="B1055" s="58"/>
      <c r="C1055" s="58"/>
    </row>
    <row r="1056" hidden="1">
      <c r="A1056" s="58"/>
      <c r="B1056" s="58"/>
      <c r="C1056" s="58"/>
    </row>
    <row r="1057" hidden="1">
      <c r="A1057" s="58"/>
      <c r="B1057" s="58"/>
      <c r="C1057" s="58"/>
    </row>
    <row r="1058" hidden="1">
      <c r="A1058" s="58"/>
      <c r="B1058" s="58"/>
      <c r="C1058" s="58"/>
    </row>
    <row r="1059" hidden="1">
      <c r="A1059" s="58"/>
      <c r="B1059" s="58"/>
      <c r="C1059" s="58"/>
    </row>
    <row r="1060" hidden="1">
      <c r="A1060" s="58"/>
      <c r="B1060" s="58"/>
      <c r="C1060" s="58"/>
    </row>
    <row r="1061" hidden="1">
      <c r="A1061" s="58"/>
      <c r="B1061" s="58"/>
      <c r="C1061" s="58"/>
    </row>
    <row r="1062" hidden="1">
      <c r="A1062" s="58"/>
      <c r="B1062" s="58"/>
      <c r="C1062" s="58"/>
    </row>
    <row r="1063" hidden="1">
      <c r="A1063" s="58"/>
      <c r="B1063" s="58"/>
      <c r="C1063" s="58"/>
    </row>
    <row r="1064" hidden="1">
      <c r="A1064" s="58"/>
      <c r="B1064" s="58"/>
      <c r="C1064" s="58"/>
    </row>
    <row r="1065" hidden="1">
      <c r="A1065" s="58"/>
      <c r="B1065" s="58"/>
      <c r="C1065" s="58"/>
    </row>
    <row r="1066" hidden="1">
      <c r="A1066" s="58"/>
      <c r="B1066" s="58"/>
      <c r="C1066" s="58"/>
    </row>
    <row r="1067" hidden="1">
      <c r="A1067" s="58"/>
      <c r="B1067" s="58"/>
      <c r="C1067" s="58"/>
    </row>
    <row r="1068" hidden="1">
      <c r="A1068" s="58"/>
      <c r="B1068" s="58"/>
      <c r="C1068" s="58"/>
    </row>
    <row r="1069" hidden="1">
      <c r="A1069" s="58"/>
      <c r="B1069" s="58"/>
      <c r="C1069" s="58"/>
    </row>
    <row r="1070" hidden="1">
      <c r="A1070" s="58"/>
      <c r="B1070" s="58"/>
      <c r="C1070" s="58"/>
    </row>
    <row r="1071" hidden="1">
      <c r="A1071" s="58"/>
      <c r="B1071" s="58"/>
      <c r="C1071" s="58"/>
    </row>
    <row r="1072" hidden="1">
      <c r="A1072" s="58"/>
      <c r="B1072" s="58"/>
      <c r="C1072" s="58"/>
    </row>
    <row r="1073" hidden="1">
      <c r="A1073" s="58"/>
      <c r="B1073" s="58"/>
      <c r="C1073" s="58"/>
    </row>
    <row r="1074" hidden="1">
      <c r="A1074" s="58"/>
      <c r="B1074" s="58"/>
      <c r="C1074" s="58"/>
    </row>
    <row r="1075" hidden="1">
      <c r="A1075" s="58"/>
      <c r="B1075" s="58"/>
      <c r="C1075" s="58"/>
    </row>
    <row r="1076" hidden="1">
      <c r="A1076" s="58"/>
      <c r="B1076" s="58"/>
      <c r="C1076" s="58"/>
    </row>
    <row r="1077" hidden="1">
      <c r="A1077" s="58"/>
      <c r="B1077" s="58"/>
      <c r="C1077" s="58"/>
    </row>
    <row r="1078" hidden="1">
      <c r="A1078" s="58"/>
      <c r="B1078" s="58"/>
      <c r="C1078" s="58"/>
    </row>
    <row r="1079" hidden="1">
      <c r="A1079" s="58"/>
      <c r="B1079" s="58"/>
      <c r="C1079" s="58"/>
    </row>
    <row r="1080" hidden="1">
      <c r="A1080" s="58"/>
      <c r="B1080" s="58"/>
      <c r="C1080" s="58"/>
    </row>
    <row r="1081" hidden="1">
      <c r="A1081" s="58"/>
      <c r="B1081" s="58"/>
      <c r="C1081" s="58"/>
    </row>
    <row r="1082" hidden="1">
      <c r="A1082" s="58"/>
      <c r="B1082" s="58"/>
      <c r="C1082" s="58"/>
    </row>
    <row r="1083" hidden="1">
      <c r="A1083" s="58"/>
      <c r="B1083" s="58"/>
      <c r="C1083" s="58"/>
    </row>
    <row r="1084" hidden="1">
      <c r="A1084" s="58"/>
      <c r="B1084" s="58"/>
      <c r="C1084" s="58"/>
    </row>
    <row r="1085" hidden="1">
      <c r="A1085" s="58"/>
      <c r="B1085" s="58"/>
      <c r="C1085" s="58"/>
    </row>
    <row r="1086" hidden="1">
      <c r="A1086" s="58"/>
      <c r="B1086" s="58"/>
      <c r="C1086" s="58"/>
    </row>
    <row r="1087" hidden="1">
      <c r="A1087" s="58"/>
      <c r="B1087" s="58"/>
      <c r="C1087" s="58"/>
    </row>
    <row r="1088" hidden="1">
      <c r="A1088" s="58"/>
      <c r="B1088" s="58"/>
      <c r="C1088" s="58"/>
    </row>
    <row r="1089" hidden="1">
      <c r="A1089" s="58"/>
      <c r="B1089" s="58"/>
      <c r="C1089" s="58"/>
    </row>
    <row r="1090" hidden="1">
      <c r="A1090" s="58"/>
      <c r="B1090" s="58"/>
      <c r="C1090" s="58"/>
    </row>
    <row r="1091" hidden="1">
      <c r="A1091" s="58"/>
      <c r="B1091" s="58"/>
      <c r="C1091" s="58"/>
    </row>
    <row r="1092" hidden="1">
      <c r="A1092" s="58"/>
      <c r="B1092" s="58"/>
      <c r="C1092" s="58"/>
    </row>
    <row r="1093" hidden="1">
      <c r="A1093" s="58"/>
      <c r="B1093" s="58"/>
      <c r="C1093" s="58"/>
    </row>
    <row r="1094" hidden="1">
      <c r="A1094" s="58"/>
      <c r="B1094" s="58"/>
      <c r="C1094" s="58"/>
    </row>
    <row r="1095" hidden="1">
      <c r="A1095" s="58"/>
      <c r="B1095" s="58"/>
      <c r="C1095" s="58"/>
    </row>
    <row r="1096" hidden="1">
      <c r="A1096" s="58"/>
      <c r="B1096" s="58"/>
      <c r="C1096" s="58"/>
    </row>
    <row r="1097" hidden="1">
      <c r="A1097" s="58"/>
      <c r="B1097" s="58"/>
      <c r="C1097" s="58"/>
    </row>
    <row r="1098" hidden="1">
      <c r="A1098" s="58"/>
      <c r="B1098" s="58"/>
      <c r="C1098" s="58"/>
    </row>
    <row r="1099" hidden="1">
      <c r="A1099" s="58"/>
      <c r="B1099" s="58"/>
      <c r="C1099" s="58"/>
    </row>
    <row r="1100" hidden="1">
      <c r="A1100" s="58"/>
      <c r="B1100" s="58"/>
      <c r="C1100" s="58"/>
    </row>
    <row r="1101" hidden="1">
      <c r="A1101" s="58"/>
      <c r="B1101" s="58"/>
      <c r="C1101" s="58"/>
    </row>
    <row r="1102" hidden="1">
      <c r="A1102" s="58"/>
      <c r="B1102" s="58"/>
      <c r="C1102" s="58"/>
    </row>
    <row r="1103" hidden="1">
      <c r="A1103" s="58"/>
      <c r="B1103" s="58"/>
      <c r="C1103" s="58"/>
    </row>
    <row r="1104" hidden="1">
      <c r="A1104" s="58"/>
      <c r="B1104" s="58"/>
      <c r="C1104" s="58"/>
    </row>
    <row r="1105" hidden="1">
      <c r="A1105" s="58"/>
      <c r="B1105" s="58"/>
      <c r="C1105" s="58"/>
    </row>
    <row r="1106" hidden="1">
      <c r="A1106" s="58"/>
      <c r="B1106" s="58"/>
      <c r="C1106" s="58"/>
    </row>
    <row r="1107" hidden="1">
      <c r="A1107" s="58"/>
      <c r="B1107" s="58"/>
      <c r="C1107" s="58"/>
    </row>
    <row r="1108" hidden="1">
      <c r="A1108" s="58"/>
      <c r="B1108" s="58"/>
      <c r="C1108" s="58"/>
    </row>
    <row r="1109" hidden="1">
      <c r="A1109" s="58"/>
      <c r="B1109" s="58"/>
      <c r="C1109" s="58"/>
    </row>
    <row r="1110" hidden="1">
      <c r="A1110" s="58"/>
      <c r="B1110" s="58"/>
      <c r="C1110" s="58"/>
    </row>
    <row r="1111" hidden="1">
      <c r="A1111" s="58"/>
      <c r="B1111" s="58"/>
      <c r="C1111" s="58"/>
    </row>
    <row r="1112" hidden="1">
      <c r="A1112" s="58"/>
      <c r="B1112" s="58"/>
      <c r="C1112" s="58"/>
    </row>
    <row r="1113" hidden="1">
      <c r="A1113" s="58"/>
      <c r="B1113" s="58"/>
      <c r="C1113" s="58"/>
    </row>
    <row r="1114" hidden="1">
      <c r="A1114" s="58"/>
      <c r="B1114" s="58"/>
      <c r="C1114" s="58"/>
    </row>
    <row r="1115" hidden="1">
      <c r="A1115" s="58"/>
      <c r="B1115" s="58"/>
      <c r="C1115" s="58"/>
    </row>
    <row r="1116" hidden="1">
      <c r="A1116" s="58"/>
      <c r="B1116" s="58"/>
      <c r="C1116" s="58"/>
    </row>
    <row r="1117" hidden="1">
      <c r="A1117" s="58"/>
      <c r="B1117" s="58"/>
      <c r="C1117" s="58"/>
    </row>
    <row r="1118" hidden="1">
      <c r="A1118" s="58"/>
      <c r="B1118" s="58"/>
      <c r="C1118" s="58"/>
    </row>
    <row r="1119" hidden="1">
      <c r="A1119" s="58"/>
      <c r="B1119" s="58"/>
      <c r="C1119" s="58"/>
    </row>
    <row r="1120" hidden="1">
      <c r="A1120" s="58"/>
      <c r="B1120" s="58"/>
      <c r="C1120" s="58"/>
    </row>
    <row r="1121" hidden="1">
      <c r="A1121" s="58"/>
      <c r="B1121" s="58"/>
      <c r="C1121" s="58"/>
    </row>
    <row r="1122" hidden="1">
      <c r="A1122" s="58"/>
      <c r="B1122" s="58"/>
      <c r="C1122" s="58"/>
    </row>
    <row r="1123" hidden="1">
      <c r="A1123" s="58"/>
      <c r="B1123" s="58"/>
      <c r="C1123" s="58"/>
    </row>
    <row r="1124" hidden="1">
      <c r="A1124" s="58"/>
      <c r="B1124" s="58"/>
      <c r="C1124" s="58"/>
    </row>
    <row r="1125" hidden="1">
      <c r="A1125" s="58"/>
      <c r="B1125" s="58"/>
      <c r="C1125" s="58"/>
    </row>
    <row r="1126" hidden="1">
      <c r="A1126" s="58"/>
      <c r="B1126" s="58"/>
      <c r="C1126" s="58"/>
    </row>
    <row r="1127" hidden="1">
      <c r="A1127" s="58"/>
      <c r="B1127" s="58"/>
      <c r="C1127" s="58"/>
    </row>
    <row r="1128" hidden="1">
      <c r="A1128" s="58"/>
      <c r="B1128" s="58"/>
      <c r="C1128" s="58"/>
    </row>
    <row r="1129" hidden="1">
      <c r="A1129" s="58"/>
      <c r="B1129" s="58"/>
      <c r="C1129" s="58"/>
    </row>
    <row r="1130" hidden="1">
      <c r="A1130" s="58"/>
      <c r="B1130" s="58"/>
      <c r="C1130" s="58"/>
    </row>
    <row r="1131" hidden="1">
      <c r="A1131" s="58"/>
      <c r="B1131" s="58"/>
      <c r="C1131" s="58"/>
    </row>
    <row r="1132" hidden="1">
      <c r="A1132" s="58"/>
      <c r="B1132" s="58"/>
      <c r="C1132" s="58"/>
    </row>
    <row r="1133" hidden="1">
      <c r="A1133" s="58"/>
      <c r="B1133" s="58"/>
      <c r="C1133" s="58"/>
    </row>
    <row r="1134" hidden="1">
      <c r="A1134" s="58"/>
      <c r="B1134" s="58"/>
      <c r="C1134" s="58"/>
    </row>
    <row r="1135" hidden="1">
      <c r="A1135" s="58"/>
      <c r="B1135" s="58"/>
      <c r="C1135" s="58"/>
    </row>
    <row r="1136" hidden="1">
      <c r="A1136" s="58"/>
      <c r="B1136" s="58"/>
      <c r="C1136" s="58"/>
    </row>
    <row r="1137" hidden="1">
      <c r="A1137" s="58"/>
      <c r="B1137" s="58"/>
      <c r="C1137" s="58"/>
    </row>
    <row r="1138" hidden="1">
      <c r="A1138" s="58"/>
      <c r="B1138" s="58"/>
      <c r="C1138" s="58"/>
    </row>
    <row r="1139" hidden="1">
      <c r="A1139" s="58"/>
      <c r="B1139" s="58"/>
      <c r="C1139" s="58"/>
    </row>
    <row r="1140" hidden="1">
      <c r="A1140" s="58"/>
      <c r="B1140" s="58"/>
      <c r="C1140" s="58"/>
    </row>
    <row r="1141" hidden="1">
      <c r="A1141" s="58"/>
      <c r="B1141" s="58"/>
      <c r="C1141" s="58"/>
    </row>
    <row r="1142" hidden="1">
      <c r="A1142" s="58"/>
      <c r="B1142" s="58"/>
      <c r="C1142" s="58"/>
    </row>
    <row r="1143" hidden="1">
      <c r="A1143" s="58"/>
      <c r="B1143" s="58"/>
      <c r="C1143" s="58"/>
    </row>
    <row r="1144" hidden="1">
      <c r="A1144" s="58"/>
      <c r="B1144" s="58"/>
      <c r="C1144" s="58"/>
    </row>
    <row r="1145" hidden="1">
      <c r="A1145" s="58"/>
      <c r="B1145" s="58"/>
      <c r="C1145" s="58"/>
    </row>
    <row r="1146" hidden="1">
      <c r="A1146" s="58"/>
      <c r="B1146" s="58"/>
      <c r="C1146" s="58"/>
    </row>
    <row r="1147" hidden="1">
      <c r="A1147" s="58"/>
      <c r="B1147" s="58"/>
      <c r="C1147" s="58"/>
    </row>
    <row r="1148" hidden="1">
      <c r="A1148" s="58"/>
      <c r="B1148" s="58"/>
      <c r="C1148" s="58"/>
    </row>
    <row r="1149" hidden="1">
      <c r="A1149" s="58"/>
      <c r="B1149" s="58"/>
      <c r="C1149" s="58"/>
    </row>
    <row r="1150" hidden="1">
      <c r="A1150" s="58"/>
      <c r="B1150" s="58"/>
      <c r="C1150" s="58"/>
    </row>
    <row r="1151" hidden="1">
      <c r="A1151" s="58"/>
      <c r="B1151" s="58"/>
      <c r="C1151" s="58"/>
    </row>
    <row r="1152" hidden="1">
      <c r="A1152" s="58"/>
      <c r="B1152" s="58"/>
      <c r="C1152" s="58"/>
    </row>
    <row r="1153" hidden="1">
      <c r="A1153" s="58"/>
      <c r="B1153" s="58"/>
      <c r="C1153" s="58"/>
    </row>
    <row r="1154" hidden="1">
      <c r="A1154" s="58"/>
      <c r="B1154" s="58"/>
      <c r="C1154" s="58"/>
    </row>
    <row r="1155" hidden="1">
      <c r="A1155" s="58"/>
      <c r="B1155" s="58"/>
      <c r="C1155" s="58"/>
    </row>
    <row r="1156" hidden="1">
      <c r="A1156" s="58"/>
      <c r="B1156" s="58"/>
      <c r="C1156" s="58"/>
    </row>
    <row r="1157" hidden="1">
      <c r="A1157" s="58"/>
      <c r="B1157" s="58"/>
      <c r="C1157" s="58"/>
    </row>
    <row r="1158" hidden="1">
      <c r="A1158" s="58"/>
      <c r="B1158" s="58"/>
      <c r="C1158" s="58"/>
    </row>
    <row r="1159" hidden="1">
      <c r="A1159" s="58"/>
      <c r="B1159" s="58"/>
      <c r="C1159" s="58"/>
    </row>
    <row r="1160" hidden="1">
      <c r="A1160" s="58"/>
      <c r="B1160" s="58"/>
      <c r="C1160" s="58"/>
    </row>
    <row r="1161" hidden="1">
      <c r="A1161" s="58"/>
      <c r="B1161" s="58"/>
      <c r="C1161" s="58"/>
    </row>
    <row r="1162" hidden="1">
      <c r="A1162" s="58"/>
      <c r="B1162" s="58"/>
      <c r="C1162" s="58"/>
    </row>
    <row r="1163" hidden="1">
      <c r="A1163" s="58"/>
      <c r="B1163" s="58"/>
      <c r="C1163" s="58"/>
    </row>
    <row r="1164" hidden="1">
      <c r="A1164" s="58"/>
      <c r="B1164" s="58"/>
      <c r="C1164" s="58"/>
    </row>
    <row r="1165" hidden="1">
      <c r="A1165" s="58"/>
      <c r="B1165" s="58"/>
      <c r="C1165" s="58"/>
    </row>
  </sheetData>
  <autoFilter ref="$A$2:$P$540"/>
  <customSheetViews>
    <customSheetView guid="{9028E5B7-9252-431E-817A-19AC8FBD441D}" filter="1" showAutoFilter="1">
      <autoFilter ref="$A$2:$P$540">
        <filterColumn colId="3">
          <colorFilter dxfId="2"/>
        </filterColumn>
        <sortState ref="A2:P540">
          <sortCondition descending="1" ref="F2:F540"/>
          <sortCondition descending="1" ref="E2:E540"/>
        </sortState>
      </autoFilter>
    </customSheetView>
    <customSheetView guid="{60EC2370-8E70-4875-8E21-836C31A7BDAE}" filter="1" showAutoFilter="1">
      <autoFilter ref="$A$2:$P$540">
        <filterColumn colId="6">
          <customFilters>
            <customFilter operator="greaterThan" val="0"/>
          </customFilters>
        </filterColumn>
        <sortState ref="A2:P540">
          <sortCondition descending="1" ref="G2:G540"/>
        </sortState>
      </autoFilter>
    </customSheetView>
    <customSheetView guid="{D564FBF3-350E-4C04-BBEE-72A79B51B703}" filter="1" showAutoFilter="1">
      <autoFilter ref="$A$2:$P$540"/>
    </customSheetView>
    <customSheetView guid="{638C1297-4C47-408B-97AB-6F784939CD70}" filter="1" showAutoFilter="1">
      <autoFilter ref="$A$2:$P$540"/>
    </customSheetView>
    <customSheetView guid="{83500B6C-AFA6-4D26-BCB0-0DBA21C58A73}" filter="1" showAutoFilter="1">
      <autoFilter ref="$A$2:$P$540">
        <filterColumn colId="5">
          <filters>
            <filter val="909"/>
            <filter val="1337"/>
            <filter val="1457"/>
            <filter val="1215"/>
            <filter val="1335"/>
            <filter val="1333"/>
            <filter val="1694"/>
            <filter val="910"/>
            <filter val="911"/>
            <filter val="912"/>
            <filter val="914"/>
            <filter val="915"/>
            <filter val="918"/>
            <filter val="1106"/>
            <filter val="1226"/>
            <filter val="1222"/>
            <filter val="1342"/>
            <filter val="922"/>
            <filter val="925"/>
            <filter val="928"/>
            <filter val="1229"/>
            <filter val="808"/>
            <filter val="1363"/>
            <filter val="1000"/>
            <filter val="1360"/>
            <filter val="1238"/>
            <filter val="931"/>
            <filter val="934"/>
            <filter val="935"/>
            <filter val="938"/>
            <filter val="939"/>
            <filter val="819"/>
            <filter val="1011"/>
            <filter val="1374"/>
            <filter val="1010"/>
            <filter val="1249"/>
            <filter val="1006"/>
            <filter val="1248"/>
            <filter val="1127"/>
            <filter val="1003"/>
            <filter val="1124"/>
            <filter val="1001"/>
            <filter val="1364"/>
            <filter val="700"/>
            <filter val="701"/>
            <filter val="945"/>
            <filter val="947"/>
            <filter val="826"/>
            <filter val="948"/>
            <filter val="827"/>
            <filter val="828"/>
            <filter val="1264"/>
            <filter val="1022"/>
            <filter val="1021"/>
            <filter val="1262"/>
            <filter val="1382"/>
            <filter val="1381"/>
            <filter val="1380"/>
            <filter val="1018"/>
            <filter val="1017"/>
            <filter val="1016"/>
            <filter val="1135"/>
            <filter val="710"/>
            <filter val="1012"/>
            <filter val="1254"/>
            <filter val="711"/>
            <filter val="712"/>
            <filter val="836"/>
            <filter val="715"/>
            <filter val="716"/>
            <filter val="1031"/>
            <filter val="1030"/>
            <filter val="1272"/>
            <filter val="1150"/>
            <filter val="1029"/>
            <filter val="1149"/>
            <filter val="961"/>
            <filter val="962"/>
            <filter val="1024"/>
            <filter val="721"/>
            <filter val="964"/>
            <filter val="601"/>
            <filter val="722"/>
            <filter val="843"/>
            <filter val="602"/>
            <filter val="966"/>
            <filter val="724"/>
            <filter val="725"/>
            <filter val="605"/>
            <filter val="969"/>
            <filter val="849"/>
            <filter val="728"/>
            <filter val="729"/>
            <filter val="608"/>
            <filter val="609"/>
            <filter val="1165"/>
            <filter val="1043"/>
            <filter val="1285"/>
            <filter val="1041"/>
            <filter val="1162"/>
            <filter val="1039"/>
            <filter val="970"/>
            <filter val="971"/>
            <filter val="851"/>
            <filter val="1158"/>
            <filter val="1279"/>
            <filter val="1035"/>
            <filter val="1156"/>
            <filter val="974"/>
            <filter val="854"/>
            <filter val="1034"/>
            <filter val="975"/>
            <filter val="734"/>
            <filter val="977"/>
            <filter val="1053"/>
            <filter val="1295"/>
            <filter val="1294"/>
            <filter val="1051"/>
            <filter val="1050"/>
            <filter val="982"/>
            <filter val="983"/>
            <filter val="620"/>
            <filter val="863"/>
            <filter val="985"/>
            <filter val="1288"/>
            <filter val="865"/>
            <filter val="744"/>
            <filter val="987"/>
            <filter val="867"/>
            <filter val="988"/>
            <filter val="504"/>
            <filter val="989"/>
            <filter val="626"/>
            <filter val="747"/>
            <filter val="869"/>
            <filter val="506"/>
            <filter val="507"/>
            <filter val="1065"/>
            <filter val="1185"/>
            <filter val="1064"/>
            <filter val="1060"/>
            <filter val="990"/>
            <filter val="750"/>
            <filter val="871"/>
            <filter val="993"/>
            <filter val="510"/>
            <filter val="874"/>
            <filter val="1179"/>
            <filter val="995"/>
            <filter val="754"/>
            <filter val="1057"/>
            <filter val="1178"/>
            <filter val="512"/>
            <filter val="755"/>
            <filter val="1298"/>
            <filter val="998"/>
            <filter val="635"/>
            <filter val="756"/>
            <filter val="515"/>
            <filter val="879"/>
            <filter val="758"/>
            <filter val="519"/>
            <filter val="1190"/>
            <filter val="1196"/>
            <filter val="1194"/>
            <filter val="1192"/>
            <filter val="640"/>
            <filter val="641"/>
            <filter val="521"/>
            <filter val="642"/>
            <filter val="522"/>
            <filter val="885"/>
            <filter val="1068"/>
            <filter val="523"/>
            <filter val="404"/>
            <filter val="646"/>
            <filter val="525"/>
            <filter val="526"/>
            <filter val="648"/>
            <filter val="1088"/>
            <filter val="1087"/>
            <filter val="890"/>
            <filter val="772"/>
            <filter val="533"/>
            <filter val="1079"/>
            <filter val="1199"/>
            <filter val="414"/>
            <filter val="656"/>
            <filter val="536"/>
            <filter val="778"/>
            <filter val="657"/>
            <filter val="417"/>
            <filter val="419"/>
            <filter val="1099"/>
            <filter val="1097"/>
            <filter val="1093"/>
            <filter val="781"/>
            <filter val="540"/>
            <filter val="661"/>
            <filter val="664"/>
            <filter val="302"/>
            <filter val="666"/>
            <filter val="424"/>
            <filter val="545"/>
            <filter val="303"/>
            <filter val="1089"/>
            <filter val="304"/>
            <filter val="305"/>
            <filter val="306"/>
            <filter val="548"/>
            <filter val="549"/>
            <filter val="308"/>
            <filter val="309"/>
            <filter val="672"/>
            <filter val="551"/>
            <filter val="673"/>
            <filter val="310"/>
            <filter val="431"/>
            <filter val="796"/>
            <filter val="312"/>
            <filter val="675"/>
            <filter val="554"/>
            <filter val="556"/>
            <filter val="557"/>
            <filter val="436"/>
            <filter val="679"/>
            <filter val="558"/>
            <filter val="317"/>
            <filter val="559"/>
            <filter val="560"/>
            <filter val="681"/>
            <filter val="441"/>
            <filter val="562"/>
            <filter val="683"/>
            <filter val="684"/>
            <filter val="321"/>
            <filter val="201"/>
            <filter val="202"/>
            <filter val="324"/>
            <filter val="445"/>
            <filter val="567"/>
            <filter val="325"/>
            <filter val="204"/>
            <filter val="446"/>
            <filter val="447"/>
            <filter val="205"/>
            <filter val="206"/>
            <filter val="327"/>
            <filter val="207"/>
            <filter val="328"/>
            <filter val="208"/>
            <filter val="4035"/>
            <filter val="691"/>
            <filter val="571"/>
            <filter val="693"/>
            <filter val="695"/>
            <filter val="454"/>
            <filter val="212"/>
            <filter val="697"/>
            <filter val="213"/>
            <filter val="334"/>
            <filter val="698"/>
            <filter val="335"/>
            <filter val="578"/>
            <filter val="457"/>
            <filter val="215"/>
            <filter val="216"/>
            <filter val="217"/>
            <filter val="219"/>
            <filter val="4167"/>
            <filter val="460"/>
            <filter val="582"/>
            <filter val="340"/>
            <filter val="583"/>
            <filter val="341"/>
            <filter val="584"/>
            <filter val="221"/>
            <filter val="463"/>
            <filter val="222"/>
            <filter val="223"/>
            <filter val="465"/>
            <filter val="224"/>
            <filter val="467"/>
            <filter val="346"/>
            <filter val="226"/>
            <filter val="468"/>
            <filter val="229"/>
            <filter val="590"/>
            <filter val="470"/>
            <filter val="591"/>
            <filter val="471"/>
            <filter val="230"/>
            <filter val="351"/>
            <filter val="595"/>
            <filter val="475"/>
            <filter val="234"/>
            <filter val="597"/>
            <filter val="598"/>
            <filter val="478"/>
            <filter val="236"/>
            <filter val="359"/>
            <filter val="481"/>
            <filter val="483"/>
            <filter val="242"/>
            <filter val="243"/>
            <filter val="244"/>
            <filter val="365"/>
            <filter val="486"/>
            <filter val="246"/>
            <filter val="489"/>
            <filter val="247"/>
            <filter val="1906"/>
            <filter val="370"/>
            <filter val="250"/>
            <filter val="372"/>
            <filter val="373"/>
            <filter val="252"/>
            <filter val="253"/>
            <filter val="495"/>
            <filter val="254"/>
            <filter val="498"/>
            <filter val="378"/>
            <filter val="379"/>
            <filter val="260"/>
            <filter val="261"/>
            <filter val="263"/>
            <filter val="384"/>
            <filter val="264"/>
            <filter val="385"/>
            <filter val="1920"/>
            <filter val="265"/>
            <filter val="146"/>
            <filter val="388"/>
            <filter val="391"/>
            <filter val="271"/>
            <filter val="393"/>
            <filter val="274"/>
            <filter val="396"/>
            <filter val="276"/>
            <filter val="399"/>
            <filter val="159"/>
            <filter val="1814"/>
            <filter val="58"/>
            <filter val="280"/>
            <filter val="283"/>
            <filter val="164"/>
            <filter val="287"/>
            <filter val="289"/>
            <filter val="1828"/>
            <filter val="1705"/>
            <filter val="N/A"/>
            <filter val="292"/>
            <filter val="173"/>
            <filter val="174"/>
            <filter val="296"/>
            <filter val="175"/>
            <filter val="176"/>
            <filter val="177"/>
            <filter val="179"/>
            <filter val="1830"/>
            <filter val="71"/>
            <filter val="181"/>
            <filter val="183"/>
            <filter val="189"/>
            <filter val="1727"/>
            <filter val="190"/>
            <filter val="191"/>
            <filter val="193"/>
            <filter val="194"/>
            <filter val="196"/>
            <filter val="197"/>
            <filter val="198"/>
            <filter val="1975"/>
            <filter val="1504"/>
            <filter val="1632"/>
            <filter val="1636"/>
            <filter val="1760"/>
            <filter val="1654"/>
            <filter val="1412"/>
            <filter val="1411"/>
            <filter val="1428"/>
            <filter val="1560"/>
            <filter val="1557"/>
            <filter val="1796"/>
            <filter val="1439"/>
            <filter val="1451"/>
            <filter val="1327"/>
            <filter val="1567"/>
            <filter val="1202"/>
            <filter val="1201"/>
            <filter val="1443"/>
            <filter val="1200"/>
            <filter val="903"/>
            <filter val="904"/>
            <filter val="1209"/>
            <filter val="906"/>
          </filters>
        </filterColumn>
        <sortState ref="A2:P540">
          <sortCondition descending="1" ref="F2:F540"/>
        </sortState>
      </autoFilter>
    </customSheetView>
    <customSheetView guid="{30F2D310-B2A6-454B-A768-2CD28D0696DC}" filter="1" showAutoFilter="1">
      <autoFilter ref="$A$2:$P$540">
        <filterColumn colId="3">
          <colorFilter dxfId="3"/>
        </filterColumn>
        <sortState ref="A2:P540">
          <sortCondition descending="1" sortBy="cellColor" ref="D2:D540" dxfId="3"/>
          <sortCondition descending="1" ref="F2:F540"/>
        </sortState>
      </autoFilter>
    </customSheetView>
  </customSheetViews>
  <mergeCells count="1">
    <mergeCell ref="A1:P1"/>
  </mergeCells>
  <conditionalFormatting sqref="E3:E540 F180">
    <cfRule type="colorScale" priority="1">
      <colorScale>
        <cfvo type="min"/>
        <cfvo type="max"/>
        <color rgb="FFFFFFFF"/>
        <color rgb="FF57BB8A"/>
      </colorScale>
    </cfRule>
  </conditionalFormatting>
  <conditionalFormatting sqref="F3:F540">
    <cfRule type="colorScale" priority="2">
      <colorScale>
        <cfvo type="min"/>
        <cfvo type="max"/>
        <color rgb="FFFFFFFF"/>
        <color rgb="FF57BB8A"/>
      </colorScale>
    </cfRule>
  </conditionalFormatting>
  <conditionalFormatting sqref="H3:H540">
    <cfRule type="colorScale" priority="3">
      <colorScale>
        <cfvo type="min"/>
        <cfvo type="max"/>
        <color rgb="FFFFFFFF"/>
        <color rgb="FF57BB8A"/>
      </colorScale>
    </cfRule>
  </conditionalFormatting>
  <conditionalFormatting sqref="N3:N540">
    <cfRule type="colorScale" priority="4">
      <colorScale>
        <cfvo type="min"/>
        <cfvo type="max"/>
        <color rgb="FFFFFFFF"/>
        <color rgb="FF57BB8A"/>
      </colorScale>
    </cfRule>
  </conditionalFormatting>
  <conditionalFormatting sqref="O3:O540">
    <cfRule type="colorScale" priority="5">
      <colorScale>
        <cfvo type="min"/>
        <cfvo type="max"/>
        <color rgb="FFFFFFFF"/>
        <color rgb="FF57BB8A"/>
      </colorScale>
    </cfRule>
  </conditionalFormatting>
  <conditionalFormatting sqref="G3:G540">
    <cfRule type="colorScale" priority="6">
      <colorScale>
        <cfvo type="min"/>
        <cfvo type="max"/>
        <color rgb="FFFFFFFF"/>
        <color rgb="FF57BB8A"/>
      </colorScale>
    </cfRule>
  </conditionalFormatting>
  <hyperlinks>
    <hyperlink display="All weapon damage is normalized&#10;!!! IMPORTANT: ALL SWORDS ASSUME SWORDMASTER'S GUARD + JAGGED EDGE + MASTERWORK + BACKUP MAG UNLESS EXOTIC OR OTHERWISE STATED !!!&#10;To see how you can sort this data without downloading a copy of this spreadsheet, see the note attached on this cell; use the formula bar to read any associated notes on weapons&#10;Want to contribute? Have questions, comments, or concerns? See Home page for contact information." location="Home!C12:E13" ref="A1"/>
  </hyperlink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8.88"/>
    <col customWidth="1" min="3" max="3" width="20.88"/>
    <col customWidth="1" min="4" max="4" width="15.75"/>
    <col customWidth="1" min="5" max="7" width="22.0"/>
    <col hidden="1" min="8" max="25" width="12.63"/>
  </cols>
  <sheetData>
    <row r="1">
      <c r="A1" s="59" t="s">
        <v>781</v>
      </c>
    </row>
    <row r="2" ht="38.25" customHeight="1">
      <c r="A2" s="61" t="s">
        <v>606</v>
      </c>
      <c r="B2" s="61" t="s">
        <v>607</v>
      </c>
      <c r="C2" s="61" t="s">
        <v>29</v>
      </c>
      <c r="D2" s="62" t="s">
        <v>522</v>
      </c>
      <c r="E2" s="849" t="s">
        <v>611</v>
      </c>
      <c r="F2" s="850" t="s">
        <v>782</v>
      </c>
      <c r="G2" s="851" t="s">
        <v>783</v>
      </c>
      <c r="H2" s="58"/>
      <c r="I2" s="58"/>
      <c r="J2" s="58"/>
      <c r="K2" s="58"/>
      <c r="L2" s="58"/>
      <c r="M2" s="58"/>
      <c r="N2" s="58"/>
      <c r="O2" s="58"/>
      <c r="P2" s="58"/>
      <c r="Q2" s="58"/>
      <c r="R2" s="58"/>
      <c r="S2" s="58"/>
      <c r="T2" s="58"/>
      <c r="U2" s="58"/>
      <c r="V2" s="58"/>
      <c r="W2" s="58"/>
      <c r="X2" s="58"/>
      <c r="Y2" s="58"/>
    </row>
    <row r="3">
      <c r="A3" s="449" t="s">
        <v>739</v>
      </c>
      <c r="B3" s="449" t="s">
        <v>654</v>
      </c>
      <c r="C3" s="482" t="s">
        <v>42</v>
      </c>
      <c r="D3" s="228">
        <v>31.0</v>
      </c>
      <c r="E3" s="852" t="s">
        <v>784</v>
      </c>
      <c r="F3" s="95" t="s">
        <v>785</v>
      </c>
      <c r="G3" s="95" t="s">
        <v>786</v>
      </c>
    </row>
    <row r="4">
      <c r="A4" s="449" t="s">
        <v>739</v>
      </c>
      <c r="B4" s="449" t="s">
        <v>654</v>
      </c>
      <c r="C4" s="482" t="s">
        <v>44</v>
      </c>
      <c r="D4" s="228">
        <v>24.0</v>
      </c>
      <c r="E4" s="853"/>
      <c r="F4" s="95" t="s">
        <v>787</v>
      </c>
      <c r="G4" s="95" t="s">
        <v>788</v>
      </c>
    </row>
    <row r="5">
      <c r="A5" s="449" t="s">
        <v>739</v>
      </c>
      <c r="B5" s="449" t="s">
        <v>654</v>
      </c>
      <c r="C5" s="482" t="s">
        <v>82</v>
      </c>
      <c r="D5" s="228">
        <v>20.0</v>
      </c>
      <c r="E5" s="853"/>
      <c r="F5" s="95" t="s">
        <v>789</v>
      </c>
      <c r="G5" s="95" t="s">
        <v>788</v>
      </c>
    </row>
    <row r="6">
      <c r="A6" s="449" t="s">
        <v>739</v>
      </c>
      <c r="B6" s="449" t="s">
        <v>654</v>
      </c>
      <c r="C6" s="450" t="s">
        <v>262</v>
      </c>
      <c r="D6" s="228">
        <f>D3</f>
        <v>31</v>
      </c>
      <c r="E6" s="853"/>
      <c r="F6" s="854" t="s">
        <v>262</v>
      </c>
    </row>
    <row r="7">
      <c r="A7" s="449" t="s">
        <v>739</v>
      </c>
      <c r="B7" s="449" t="s">
        <v>654</v>
      </c>
      <c r="C7" s="450" t="s">
        <v>264</v>
      </c>
      <c r="D7" s="228">
        <v>20.0</v>
      </c>
      <c r="E7" s="853"/>
      <c r="F7" s="854" t="s">
        <v>264</v>
      </c>
      <c r="G7" s="95" t="s">
        <v>790</v>
      </c>
    </row>
    <row r="8">
      <c r="A8" s="449" t="s">
        <v>739</v>
      </c>
      <c r="B8" s="449" t="s">
        <v>654</v>
      </c>
      <c r="C8" s="855" t="s">
        <v>266</v>
      </c>
      <c r="D8" s="228">
        <v>20.0</v>
      </c>
      <c r="E8" s="853"/>
      <c r="F8" s="95" t="s">
        <v>266</v>
      </c>
    </row>
    <row r="9">
      <c r="A9" s="449" t="s">
        <v>739</v>
      </c>
      <c r="B9" s="449" t="s">
        <v>654</v>
      </c>
      <c r="C9" s="450" t="s">
        <v>269</v>
      </c>
      <c r="D9" s="228">
        <f>D5</f>
        <v>20</v>
      </c>
      <c r="E9" s="852" t="s">
        <v>791</v>
      </c>
      <c r="F9" s="854" t="s">
        <v>269</v>
      </c>
      <c r="G9" s="95" t="s">
        <v>788</v>
      </c>
    </row>
    <row r="10">
      <c r="A10" s="461" t="s">
        <v>739</v>
      </c>
      <c r="B10" s="461" t="s">
        <v>654</v>
      </c>
      <c r="C10" s="855" t="s">
        <v>272</v>
      </c>
      <c r="D10" s="228">
        <v>40.0</v>
      </c>
      <c r="E10" s="853"/>
      <c r="F10" s="95" t="s">
        <v>272</v>
      </c>
      <c r="G10" s="95" t="s">
        <v>792</v>
      </c>
    </row>
    <row r="11">
      <c r="A11" s="449" t="s">
        <v>739</v>
      </c>
      <c r="B11" s="449" t="s">
        <v>615</v>
      </c>
      <c r="C11" s="482" t="s">
        <v>44</v>
      </c>
      <c r="D11" s="228">
        <v>520.0</v>
      </c>
      <c r="E11" s="853"/>
      <c r="F11" s="95" t="s">
        <v>793</v>
      </c>
      <c r="G11" s="95" t="s">
        <v>794</v>
      </c>
    </row>
    <row r="12">
      <c r="A12" s="449" t="s">
        <v>739</v>
      </c>
      <c r="B12" s="449" t="s">
        <v>615</v>
      </c>
      <c r="C12" s="450" t="s">
        <v>280</v>
      </c>
      <c r="D12" s="228">
        <v>470.0</v>
      </c>
      <c r="E12" s="853"/>
      <c r="F12" s="854" t="s">
        <v>280</v>
      </c>
    </row>
    <row r="13">
      <c r="A13" s="449" t="s">
        <v>739</v>
      </c>
      <c r="B13" s="449" t="s">
        <v>615</v>
      </c>
      <c r="C13" s="450" t="s">
        <v>287</v>
      </c>
      <c r="D13" s="228">
        <v>470.0</v>
      </c>
      <c r="E13" s="853"/>
      <c r="F13" s="854" t="s">
        <v>287</v>
      </c>
    </row>
    <row r="14">
      <c r="A14" s="449" t="s">
        <v>739</v>
      </c>
      <c r="B14" s="449" t="s">
        <v>615</v>
      </c>
      <c r="C14" s="450" t="s">
        <v>291</v>
      </c>
      <c r="D14" s="228">
        <v>505.0</v>
      </c>
      <c r="E14" s="853"/>
      <c r="F14" s="854" t="s">
        <v>291</v>
      </c>
      <c r="G14" s="95" t="s">
        <v>794</v>
      </c>
    </row>
    <row r="15">
      <c r="A15" s="449" t="s">
        <v>739</v>
      </c>
      <c r="B15" s="449" t="s">
        <v>615</v>
      </c>
      <c r="C15" s="450" t="s">
        <v>294</v>
      </c>
      <c r="D15" s="228">
        <v>500.0</v>
      </c>
      <c r="E15" s="853"/>
      <c r="F15" s="854" t="s">
        <v>294</v>
      </c>
    </row>
    <row r="16">
      <c r="A16" s="449" t="s">
        <v>739</v>
      </c>
      <c r="B16" s="449" t="s">
        <v>615</v>
      </c>
      <c r="C16" s="450" t="s">
        <v>298</v>
      </c>
      <c r="D16" s="228">
        <v>485.0</v>
      </c>
      <c r="E16" s="853"/>
      <c r="F16" s="854" t="s">
        <v>298</v>
      </c>
    </row>
    <row r="17">
      <c r="A17" s="449" t="s">
        <v>739</v>
      </c>
      <c r="B17" s="449" t="s">
        <v>615</v>
      </c>
      <c r="C17" s="450" t="s">
        <v>300</v>
      </c>
      <c r="D17" s="228">
        <v>500.0</v>
      </c>
      <c r="E17" s="853"/>
      <c r="F17" s="854" t="s">
        <v>300</v>
      </c>
      <c r="G17" s="95" t="s">
        <v>794</v>
      </c>
    </row>
    <row r="18">
      <c r="A18" s="449" t="s">
        <v>739</v>
      </c>
      <c r="B18" s="449" t="s">
        <v>615</v>
      </c>
      <c r="C18" s="450" t="s">
        <v>303</v>
      </c>
      <c r="D18" s="228">
        <v>485.0</v>
      </c>
      <c r="E18" s="853"/>
      <c r="F18" s="854" t="s">
        <v>303</v>
      </c>
    </row>
    <row r="19">
      <c r="A19" s="449" t="s">
        <v>739</v>
      </c>
      <c r="B19" s="449" t="s">
        <v>617</v>
      </c>
      <c r="C19" s="482" t="s">
        <v>42</v>
      </c>
      <c r="D19" s="228">
        <v>22.0</v>
      </c>
      <c r="E19" s="853"/>
      <c r="F19" s="95" t="s">
        <v>795</v>
      </c>
      <c r="G19" s="95" t="s">
        <v>794</v>
      </c>
    </row>
    <row r="20">
      <c r="A20" s="449" t="s">
        <v>739</v>
      </c>
      <c r="B20" s="449" t="s">
        <v>617</v>
      </c>
      <c r="C20" s="482" t="s">
        <v>44</v>
      </c>
      <c r="D20" s="228">
        <v>19.0</v>
      </c>
      <c r="E20" s="853"/>
      <c r="F20" s="95" t="s">
        <v>796</v>
      </c>
      <c r="G20" s="95" t="s">
        <v>794</v>
      </c>
    </row>
    <row r="21">
      <c r="A21" s="449" t="s">
        <v>739</v>
      </c>
      <c r="B21" s="449" t="s">
        <v>617</v>
      </c>
      <c r="C21" s="482" t="s">
        <v>82</v>
      </c>
      <c r="D21" s="228">
        <v>22.0</v>
      </c>
      <c r="E21" s="853"/>
      <c r="F21" s="95" t="s">
        <v>797</v>
      </c>
      <c r="G21" s="95" t="s">
        <v>798</v>
      </c>
    </row>
    <row r="22">
      <c r="A22" s="449" t="s">
        <v>739</v>
      </c>
      <c r="B22" s="449" t="s">
        <v>617</v>
      </c>
      <c r="C22" s="482" t="s">
        <v>46</v>
      </c>
      <c r="D22" s="228">
        <v>19.0</v>
      </c>
      <c r="E22" s="853"/>
      <c r="F22" s="95" t="s">
        <v>799</v>
      </c>
      <c r="G22" s="95" t="s">
        <v>794</v>
      </c>
    </row>
    <row r="23">
      <c r="A23" s="449" t="s">
        <v>739</v>
      </c>
      <c r="B23" s="449" t="s">
        <v>617</v>
      </c>
      <c r="C23" s="482" t="s">
        <v>47</v>
      </c>
      <c r="D23" s="228">
        <v>19.0</v>
      </c>
      <c r="E23" s="853"/>
      <c r="F23" s="95" t="s">
        <v>800</v>
      </c>
      <c r="G23" s="95" t="s">
        <v>794</v>
      </c>
    </row>
    <row r="24">
      <c r="A24" s="449" t="s">
        <v>739</v>
      </c>
      <c r="B24" s="449" t="s">
        <v>617</v>
      </c>
      <c r="C24" s="450" t="s">
        <v>307</v>
      </c>
      <c r="D24" s="228">
        <v>19.0</v>
      </c>
      <c r="E24" s="853"/>
      <c r="F24" s="854" t="s">
        <v>307</v>
      </c>
      <c r="G24" s="95" t="s">
        <v>788</v>
      </c>
    </row>
    <row r="25">
      <c r="A25" s="449" t="s">
        <v>739</v>
      </c>
      <c r="B25" s="449" t="s">
        <v>617</v>
      </c>
      <c r="C25" s="450" t="s">
        <v>311</v>
      </c>
      <c r="D25" s="228">
        <v>24.0</v>
      </c>
      <c r="E25" s="853"/>
      <c r="F25" s="854" t="s">
        <v>311</v>
      </c>
    </row>
    <row r="26">
      <c r="A26" s="449" t="s">
        <v>739</v>
      </c>
      <c r="B26" s="449" t="s">
        <v>617</v>
      </c>
      <c r="C26" s="450" t="s">
        <v>314</v>
      </c>
      <c r="D26" s="228">
        <v>22.0</v>
      </c>
      <c r="E26" s="853"/>
      <c r="F26" s="854" t="s">
        <v>314</v>
      </c>
    </row>
    <row r="27">
      <c r="A27" s="449" t="s">
        <v>739</v>
      </c>
      <c r="B27" s="449" t="s">
        <v>617</v>
      </c>
      <c r="C27" s="450" t="s">
        <v>315</v>
      </c>
      <c r="D27" s="228">
        <v>26.0</v>
      </c>
      <c r="E27" s="853"/>
      <c r="F27" s="854" t="s">
        <v>315</v>
      </c>
    </row>
    <row r="28">
      <c r="A28" s="449" t="s">
        <v>739</v>
      </c>
      <c r="B28" s="449" t="s">
        <v>617</v>
      </c>
      <c r="C28" s="450" t="s">
        <v>318</v>
      </c>
      <c r="D28" s="228">
        <v>19.0</v>
      </c>
      <c r="E28" s="853"/>
      <c r="F28" s="854" t="s">
        <v>318</v>
      </c>
    </row>
    <row r="29">
      <c r="A29" s="449" t="s">
        <v>739</v>
      </c>
      <c r="B29" s="449" t="s">
        <v>617</v>
      </c>
      <c r="C29" s="450" t="s">
        <v>319</v>
      </c>
      <c r="D29" s="228">
        <v>21.0</v>
      </c>
      <c r="E29" s="853"/>
      <c r="F29" s="95" t="s">
        <v>319</v>
      </c>
    </row>
    <row r="30">
      <c r="A30" s="449" t="s">
        <v>739</v>
      </c>
      <c r="B30" s="449" t="s">
        <v>649</v>
      </c>
      <c r="C30" s="482" t="s">
        <v>42</v>
      </c>
      <c r="D30" s="228">
        <v>25.0</v>
      </c>
      <c r="E30" s="853"/>
      <c r="F30" s="95" t="s">
        <v>801</v>
      </c>
      <c r="G30" s="95" t="s">
        <v>788</v>
      </c>
    </row>
    <row r="31">
      <c r="A31" s="449" t="s">
        <v>739</v>
      </c>
      <c r="B31" s="449" t="s">
        <v>649</v>
      </c>
      <c r="C31" s="856" t="s">
        <v>324</v>
      </c>
      <c r="D31" s="228">
        <v>24.0</v>
      </c>
      <c r="E31" s="853"/>
      <c r="F31" s="95" t="s">
        <v>802</v>
      </c>
      <c r="G31" s="95" t="s">
        <v>788</v>
      </c>
    </row>
    <row r="32">
      <c r="A32" s="449" t="s">
        <v>739</v>
      </c>
      <c r="B32" s="449" t="s">
        <v>649</v>
      </c>
      <c r="C32" s="482" t="s">
        <v>83</v>
      </c>
      <c r="D32" s="228">
        <v>18.0</v>
      </c>
      <c r="E32" s="853"/>
      <c r="F32" s="95" t="s">
        <v>803</v>
      </c>
      <c r="G32" s="95" t="s">
        <v>788</v>
      </c>
    </row>
    <row r="33">
      <c r="A33" s="449" t="s">
        <v>739</v>
      </c>
      <c r="B33" s="449" t="s">
        <v>649</v>
      </c>
      <c r="C33" s="482" t="s">
        <v>46</v>
      </c>
      <c r="D33" s="228">
        <v>18.0</v>
      </c>
      <c r="E33" s="853"/>
      <c r="F33" s="95" t="s">
        <v>804</v>
      </c>
      <c r="G33" s="95" t="s">
        <v>788</v>
      </c>
    </row>
    <row r="34">
      <c r="A34" s="449" t="s">
        <v>739</v>
      </c>
      <c r="B34" s="449" t="s">
        <v>649</v>
      </c>
      <c r="C34" s="482" t="s">
        <v>327</v>
      </c>
      <c r="D34" s="228">
        <v>18.0</v>
      </c>
      <c r="E34" s="852"/>
      <c r="F34" s="95" t="s">
        <v>805</v>
      </c>
      <c r="G34" s="95" t="s">
        <v>788</v>
      </c>
    </row>
    <row r="35">
      <c r="A35" s="449" t="s">
        <v>739</v>
      </c>
      <c r="B35" s="449" t="s">
        <v>649</v>
      </c>
      <c r="C35" s="482" t="s">
        <v>82</v>
      </c>
      <c r="D35" s="228">
        <v>19.0</v>
      </c>
      <c r="E35" s="852" t="s">
        <v>806</v>
      </c>
      <c r="F35" s="95" t="s">
        <v>807</v>
      </c>
      <c r="G35" s="95" t="s">
        <v>788</v>
      </c>
    </row>
    <row r="36">
      <c r="A36" s="449" t="s">
        <v>739</v>
      </c>
      <c r="B36" s="449" t="s">
        <v>649</v>
      </c>
      <c r="C36" s="856" t="s">
        <v>106</v>
      </c>
      <c r="D36" s="228">
        <v>34.0</v>
      </c>
      <c r="E36" s="852"/>
      <c r="F36" s="95" t="s">
        <v>808</v>
      </c>
      <c r="G36" s="95" t="s">
        <v>788</v>
      </c>
    </row>
    <row r="37">
      <c r="A37" s="449" t="s">
        <v>739</v>
      </c>
      <c r="B37" s="449" t="s">
        <v>649</v>
      </c>
      <c r="C37" s="450" t="s">
        <v>330</v>
      </c>
      <c r="D37" s="228">
        <v>20.0</v>
      </c>
      <c r="E37" s="853"/>
      <c r="F37" s="854" t="s">
        <v>330</v>
      </c>
    </row>
    <row r="38">
      <c r="A38" s="449" t="s">
        <v>739</v>
      </c>
      <c r="B38" s="449" t="s">
        <v>649</v>
      </c>
      <c r="C38" s="450" t="s">
        <v>331</v>
      </c>
      <c r="D38" s="228">
        <v>19.0</v>
      </c>
      <c r="E38" s="852" t="s">
        <v>809</v>
      </c>
      <c r="F38" s="854" t="s">
        <v>331</v>
      </c>
    </row>
    <row r="39">
      <c r="A39" s="449" t="s">
        <v>739</v>
      </c>
      <c r="B39" s="449" t="s">
        <v>649</v>
      </c>
      <c r="C39" s="450" t="s">
        <v>333</v>
      </c>
      <c r="D39" s="228">
        <v>18.0</v>
      </c>
      <c r="E39" s="853"/>
      <c r="F39" s="854" t="s">
        <v>333</v>
      </c>
    </row>
    <row r="40">
      <c r="A40" s="449" t="s">
        <v>739</v>
      </c>
      <c r="B40" s="449" t="s">
        <v>649</v>
      </c>
      <c r="C40" s="450" t="s">
        <v>337</v>
      </c>
      <c r="D40" s="228">
        <v>189.0</v>
      </c>
      <c r="E40" s="853"/>
      <c r="F40" s="854" t="s">
        <v>337</v>
      </c>
      <c r="G40" s="95" t="s">
        <v>788</v>
      </c>
    </row>
    <row r="41">
      <c r="A41" s="449" t="s">
        <v>739</v>
      </c>
      <c r="B41" s="449" t="s">
        <v>649</v>
      </c>
      <c r="C41" s="450" t="s">
        <v>347</v>
      </c>
      <c r="D41" s="228">
        <v>17.0</v>
      </c>
      <c r="E41" s="853"/>
      <c r="F41" s="854" t="s">
        <v>347</v>
      </c>
    </row>
    <row r="42">
      <c r="A42" s="461" t="s">
        <v>739</v>
      </c>
      <c r="B42" s="461" t="s">
        <v>649</v>
      </c>
      <c r="C42" s="855" t="s">
        <v>351</v>
      </c>
      <c r="D42" s="228">
        <v>17.0</v>
      </c>
      <c r="E42" s="853"/>
      <c r="F42" s="95" t="s">
        <v>351</v>
      </c>
      <c r="G42" s="95" t="s">
        <v>788</v>
      </c>
    </row>
    <row r="43">
      <c r="A43" s="449" t="s">
        <v>739</v>
      </c>
      <c r="B43" s="461" t="s">
        <v>693</v>
      </c>
      <c r="C43" s="482" t="s">
        <v>353</v>
      </c>
      <c r="D43" s="228">
        <v>20.0</v>
      </c>
      <c r="E43" s="853"/>
      <c r="F43" s="95" t="s">
        <v>810</v>
      </c>
      <c r="G43" s="95" t="s">
        <v>60</v>
      </c>
    </row>
    <row r="44">
      <c r="A44" s="449" t="s">
        <v>739</v>
      </c>
      <c r="B44" s="461" t="s">
        <v>693</v>
      </c>
      <c r="C44" s="482" t="s">
        <v>83</v>
      </c>
      <c r="D44" s="228">
        <v>20.0</v>
      </c>
      <c r="E44" s="853"/>
      <c r="F44" s="95" t="s">
        <v>811</v>
      </c>
      <c r="G44" s="95" t="s">
        <v>60</v>
      </c>
    </row>
    <row r="45">
      <c r="A45" s="449" t="s">
        <v>739</v>
      </c>
      <c r="B45" s="461" t="s">
        <v>693</v>
      </c>
      <c r="C45" s="482" t="s">
        <v>355</v>
      </c>
      <c r="D45" s="228">
        <v>20.0</v>
      </c>
      <c r="E45" s="853"/>
      <c r="F45" s="95" t="s">
        <v>812</v>
      </c>
      <c r="G45" s="95" t="s">
        <v>60</v>
      </c>
    </row>
    <row r="46">
      <c r="A46" s="449" t="s">
        <v>739</v>
      </c>
      <c r="B46" s="461" t="s">
        <v>693</v>
      </c>
      <c r="C46" s="856" t="s">
        <v>813</v>
      </c>
      <c r="D46" s="228">
        <v>20.0</v>
      </c>
      <c r="E46" s="853"/>
      <c r="F46" s="95" t="s">
        <v>814</v>
      </c>
      <c r="G46" s="95" t="s">
        <v>60</v>
      </c>
    </row>
    <row r="47">
      <c r="A47" s="449" t="s">
        <v>739</v>
      </c>
      <c r="B47" s="461" t="s">
        <v>693</v>
      </c>
      <c r="C47" s="856" t="s">
        <v>357</v>
      </c>
      <c r="D47" s="228">
        <v>20.0</v>
      </c>
      <c r="E47" s="853"/>
      <c r="F47" s="95" t="s">
        <v>815</v>
      </c>
      <c r="G47" s="95" t="s">
        <v>60</v>
      </c>
    </row>
    <row r="48">
      <c r="A48" s="449" t="s">
        <v>739</v>
      </c>
      <c r="B48" s="461" t="s">
        <v>693</v>
      </c>
      <c r="C48" s="450" t="s">
        <v>362</v>
      </c>
      <c r="D48" s="228">
        <v>35.0</v>
      </c>
      <c r="E48" s="853"/>
      <c r="F48" s="854" t="s">
        <v>362</v>
      </c>
      <c r="G48" s="95" t="s">
        <v>60</v>
      </c>
    </row>
    <row r="49">
      <c r="A49" s="449" t="s">
        <v>739</v>
      </c>
      <c r="B49" s="461" t="s">
        <v>693</v>
      </c>
      <c r="C49" s="450" t="s">
        <v>365</v>
      </c>
      <c r="D49" s="228">
        <v>20.0</v>
      </c>
      <c r="E49" s="853"/>
      <c r="F49" s="854" t="s">
        <v>365</v>
      </c>
      <c r="G49" s="95" t="s">
        <v>60</v>
      </c>
    </row>
    <row r="50">
      <c r="A50" s="449" t="s">
        <v>739</v>
      </c>
      <c r="B50" s="461" t="s">
        <v>693</v>
      </c>
      <c r="C50" s="450" t="s">
        <v>380</v>
      </c>
      <c r="D50" s="228">
        <v>20.0</v>
      </c>
      <c r="E50" s="852" t="s">
        <v>791</v>
      </c>
      <c r="F50" s="854" t="s">
        <v>380</v>
      </c>
      <c r="G50" s="95" t="s">
        <v>60</v>
      </c>
    </row>
    <row r="51">
      <c r="A51" s="449" t="s">
        <v>739</v>
      </c>
      <c r="B51" s="449" t="s">
        <v>619</v>
      </c>
      <c r="C51" s="482" t="s">
        <v>42</v>
      </c>
      <c r="D51" s="228">
        <v>31.0</v>
      </c>
      <c r="E51" s="853"/>
      <c r="F51" s="95" t="s">
        <v>816</v>
      </c>
      <c r="G51" s="95" t="s">
        <v>788</v>
      </c>
    </row>
    <row r="52">
      <c r="A52" s="449" t="s">
        <v>739</v>
      </c>
      <c r="B52" s="449" t="s">
        <v>619</v>
      </c>
      <c r="C52" s="482" t="s">
        <v>44</v>
      </c>
      <c r="D52" s="228">
        <v>29.0</v>
      </c>
      <c r="E52" s="853"/>
      <c r="F52" s="95" t="s">
        <v>817</v>
      </c>
      <c r="G52" s="95" t="s">
        <v>788</v>
      </c>
    </row>
    <row r="53">
      <c r="A53" s="449" t="s">
        <v>739</v>
      </c>
      <c r="B53" s="449" t="s">
        <v>619</v>
      </c>
      <c r="C53" s="482" t="s">
        <v>82</v>
      </c>
      <c r="D53" s="228">
        <v>33.0</v>
      </c>
      <c r="E53" s="853"/>
      <c r="F53" s="95" t="s">
        <v>818</v>
      </c>
      <c r="G53" s="95" t="s">
        <v>788</v>
      </c>
    </row>
    <row r="54">
      <c r="A54" s="449" t="s">
        <v>739</v>
      </c>
      <c r="B54" s="449" t="s">
        <v>619</v>
      </c>
      <c r="C54" s="450" t="s">
        <v>386</v>
      </c>
      <c r="D54" s="228">
        <v>33.0</v>
      </c>
      <c r="E54" s="853"/>
      <c r="F54" s="854" t="s">
        <v>386</v>
      </c>
      <c r="G54" s="95" t="s">
        <v>788</v>
      </c>
    </row>
    <row r="55">
      <c r="A55" s="449" t="s">
        <v>739</v>
      </c>
      <c r="B55" s="449" t="s">
        <v>619</v>
      </c>
      <c r="C55" s="855" t="s">
        <v>388</v>
      </c>
      <c r="D55" s="228">
        <f>D53</f>
        <v>33</v>
      </c>
      <c r="E55" s="853"/>
      <c r="F55" s="95" t="s">
        <v>388</v>
      </c>
      <c r="G55" s="95" t="s">
        <v>788</v>
      </c>
    </row>
    <row r="56">
      <c r="A56" s="449" t="s">
        <v>739</v>
      </c>
      <c r="B56" s="449" t="s">
        <v>619</v>
      </c>
      <c r="C56" s="855" t="s">
        <v>390</v>
      </c>
      <c r="D56" s="228">
        <f>D52</f>
        <v>29</v>
      </c>
      <c r="E56" s="853"/>
      <c r="F56" s="95" t="s">
        <v>390</v>
      </c>
      <c r="G56" s="95" t="s">
        <v>788</v>
      </c>
    </row>
    <row r="57">
      <c r="A57" s="449" t="s">
        <v>739</v>
      </c>
      <c r="B57" s="449" t="s">
        <v>619</v>
      </c>
      <c r="C57" s="855" t="s">
        <v>392</v>
      </c>
      <c r="D57" s="228">
        <f>D51</f>
        <v>31</v>
      </c>
      <c r="E57" s="853"/>
      <c r="F57" s="95" t="s">
        <v>392</v>
      </c>
      <c r="G57" s="95" t="s">
        <v>788</v>
      </c>
    </row>
    <row r="58">
      <c r="A58" s="449" t="s">
        <v>739</v>
      </c>
      <c r="B58" s="461" t="s">
        <v>638</v>
      </c>
      <c r="C58" s="450" t="s">
        <v>394</v>
      </c>
      <c r="D58" s="228">
        <v>21.0</v>
      </c>
      <c r="E58" s="853"/>
      <c r="F58" s="854" t="s">
        <v>394</v>
      </c>
      <c r="G58" s="95" t="s">
        <v>794</v>
      </c>
    </row>
    <row r="59">
      <c r="A59" s="449" t="s">
        <v>739</v>
      </c>
      <c r="B59" s="461" t="s">
        <v>638</v>
      </c>
      <c r="C59" s="450" t="s">
        <v>396</v>
      </c>
      <c r="D59" s="228">
        <v>21.0</v>
      </c>
      <c r="E59" s="853"/>
      <c r="F59" s="854" t="s">
        <v>396</v>
      </c>
    </row>
    <row r="60">
      <c r="A60" s="461" t="s">
        <v>739</v>
      </c>
      <c r="B60" s="461" t="s">
        <v>638</v>
      </c>
      <c r="C60" s="855" t="s">
        <v>397</v>
      </c>
      <c r="D60" s="228">
        <v>21.0</v>
      </c>
      <c r="E60" s="853"/>
      <c r="F60" s="95" t="s">
        <v>397</v>
      </c>
    </row>
    <row r="61">
      <c r="A61" s="461" t="s">
        <v>739</v>
      </c>
      <c r="B61" s="461" t="s">
        <v>673</v>
      </c>
      <c r="C61" s="855" t="s">
        <v>401</v>
      </c>
      <c r="D61" s="228">
        <v>225.0</v>
      </c>
      <c r="E61" s="853"/>
      <c r="F61" s="95" t="s">
        <v>401</v>
      </c>
      <c r="G61" s="95" t="s">
        <v>60</v>
      </c>
    </row>
    <row r="62">
      <c r="A62" s="449" t="s">
        <v>739</v>
      </c>
      <c r="B62" s="449" t="s">
        <v>694</v>
      </c>
      <c r="C62" s="450" t="s">
        <v>406</v>
      </c>
      <c r="D62" s="228">
        <v>35.0</v>
      </c>
      <c r="E62" s="853"/>
      <c r="F62" s="854" t="s">
        <v>406</v>
      </c>
    </row>
    <row r="63">
      <c r="A63" s="461" t="s">
        <v>739</v>
      </c>
      <c r="B63" s="461" t="s">
        <v>701</v>
      </c>
      <c r="C63" s="856" t="s">
        <v>404</v>
      </c>
      <c r="D63" s="228">
        <v>18.0</v>
      </c>
      <c r="E63" s="853"/>
      <c r="F63" s="95" t="s">
        <v>819</v>
      </c>
      <c r="G63" s="95" t="s">
        <v>788</v>
      </c>
    </row>
    <row r="64">
      <c r="A64" s="449" t="s">
        <v>739</v>
      </c>
      <c r="B64" s="449" t="s">
        <v>725</v>
      </c>
      <c r="C64" s="482" t="s">
        <v>404</v>
      </c>
      <c r="D64" s="228">
        <v>40.0</v>
      </c>
      <c r="E64" s="853"/>
      <c r="F64" s="95" t="s">
        <v>820</v>
      </c>
      <c r="G64" s="95" t="s">
        <v>788</v>
      </c>
    </row>
    <row r="65">
      <c r="A65" s="449" t="s">
        <v>739</v>
      </c>
      <c r="B65" s="449" t="s">
        <v>725</v>
      </c>
      <c r="C65" s="855" t="s">
        <v>409</v>
      </c>
      <c r="D65" s="228">
        <v>50.0</v>
      </c>
      <c r="E65" s="853"/>
      <c r="F65" s="95" t="s">
        <v>409</v>
      </c>
    </row>
    <row r="66">
      <c r="A66" s="449" t="s">
        <v>739</v>
      </c>
      <c r="B66" s="449" t="s">
        <v>725</v>
      </c>
      <c r="C66" s="450" t="s">
        <v>411</v>
      </c>
      <c r="D66" s="228">
        <v>70.0</v>
      </c>
      <c r="E66" s="853"/>
      <c r="F66" s="854" t="s">
        <v>411</v>
      </c>
    </row>
    <row r="67">
      <c r="A67" s="449" t="s">
        <v>612</v>
      </c>
      <c r="B67" s="449" t="s">
        <v>634</v>
      </c>
      <c r="C67" s="482" t="s">
        <v>42</v>
      </c>
      <c r="D67" s="228">
        <v>575.0</v>
      </c>
      <c r="E67" s="853"/>
      <c r="F67" s="95" t="s">
        <v>821</v>
      </c>
      <c r="G67" s="95" t="s">
        <v>788</v>
      </c>
    </row>
    <row r="68">
      <c r="A68" s="461" t="s">
        <v>612</v>
      </c>
      <c r="B68" s="461" t="s">
        <v>634</v>
      </c>
      <c r="C68" s="856" t="s">
        <v>82</v>
      </c>
      <c r="D68" s="228">
        <v>455.0</v>
      </c>
      <c r="E68" s="853"/>
      <c r="F68" s="95" t="s">
        <v>822</v>
      </c>
      <c r="G68" s="95" t="s">
        <v>788</v>
      </c>
    </row>
    <row r="69">
      <c r="A69" s="449" t="s">
        <v>612</v>
      </c>
      <c r="B69" s="449" t="s">
        <v>634</v>
      </c>
      <c r="C69" s="482" t="s">
        <v>44</v>
      </c>
      <c r="D69" s="228">
        <v>375.0</v>
      </c>
      <c r="E69" s="853"/>
      <c r="F69" s="95" t="s">
        <v>823</v>
      </c>
      <c r="G69" s="95" t="s">
        <v>788</v>
      </c>
    </row>
    <row r="70">
      <c r="A70" s="449" t="s">
        <v>612</v>
      </c>
      <c r="B70" s="449" t="s">
        <v>634</v>
      </c>
      <c r="C70" s="482" t="s">
        <v>47</v>
      </c>
      <c r="D70" s="228">
        <v>373.0</v>
      </c>
      <c r="E70" s="853"/>
      <c r="F70" s="95" t="s">
        <v>824</v>
      </c>
      <c r="G70" s="95" t="s">
        <v>788</v>
      </c>
    </row>
    <row r="71">
      <c r="A71" s="449" t="s">
        <v>612</v>
      </c>
      <c r="B71" s="449" t="s">
        <v>634</v>
      </c>
      <c r="C71" s="450" t="s">
        <v>416</v>
      </c>
      <c r="D71" s="228">
        <v>440.0</v>
      </c>
      <c r="E71" s="853"/>
      <c r="F71" s="854" t="s">
        <v>416</v>
      </c>
      <c r="G71" s="95" t="s">
        <v>786</v>
      </c>
    </row>
    <row r="72">
      <c r="A72" s="449" t="s">
        <v>612</v>
      </c>
      <c r="B72" s="449" t="s">
        <v>634</v>
      </c>
      <c r="C72" s="450" t="s">
        <v>417</v>
      </c>
      <c r="D72" s="228">
        <v>379.0</v>
      </c>
      <c r="E72" s="853"/>
      <c r="F72" s="854" t="s">
        <v>417</v>
      </c>
      <c r="G72" s="95" t="s">
        <v>786</v>
      </c>
    </row>
    <row r="73">
      <c r="A73" s="449" t="s">
        <v>612</v>
      </c>
      <c r="B73" s="449" t="s">
        <v>634</v>
      </c>
      <c r="C73" s="450" t="s">
        <v>419</v>
      </c>
      <c r="D73" s="228">
        <v>376.0</v>
      </c>
      <c r="E73" s="853"/>
      <c r="F73" s="854" t="s">
        <v>419</v>
      </c>
    </row>
    <row r="74">
      <c r="A74" s="449" t="s">
        <v>612</v>
      </c>
      <c r="B74" s="449" t="s">
        <v>634</v>
      </c>
      <c r="C74" s="450" t="s">
        <v>423</v>
      </c>
      <c r="D74" s="228">
        <v>29.0</v>
      </c>
      <c r="E74" s="853"/>
      <c r="F74" s="854" t="s">
        <v>423</v>
      </c>
    </row>
    <row r="75">
      <c r="A75" s="449" t="s">
        <v>612</v>
      </c>
      <c r="B75" s="449" t="s">
        <v>634</v>
      </c>
      <c r="C75" s="450" t="s">
        <v>426</v>
      </c>
      <c r="D75" s="228">
        <v>58.0</v>
      </c>
      <c r="E75" s="853"/>
      <c r="F75" s="854" t="s">
        <v>426</v>
      </c>
    </row>
    <row r="76">
      <c r="A76" s="449" t="s">
        <v>612</v>
      </c>
      <c r="B76" s="449" t="s">
        <v>623</v>
      </c>
      <c r="C76" s="482" t="s">
        <v>42</v>
      </c>
      <c r="D76" s="228">
        <v>30.0</v>
      </c>
      <c r="E76" s="853"/>
      <c r="F76" s="95" t="s">
        <v>825</v>
      </c>
      <c r="G76" s="95" t="s">
        <v>826</v>
      </c>
    </row>
    <row r="77">
      <c r="A77" s="449" t="s">
        <v>612</v>
      </c>
      <c r="B77" s="449" t="s">
        <v>623</v>
      </c>
      <c r="C77" s="482" t="s">
        <v>44</v>
      </c>
      <c r="D77" s="228">
        <v>26.0</v>
      </c>
      <c r="E77" s="853"/>
      <c r="F77" s="95" t="s">
        <v>827</v>
      </c>
      <c r="G77" s="95" t="s">
        <v>826</v>
      </c>
    </row>
    <row r="78">
      <c r="A78" s="449" t="s">
        <v>612</v>
      </c>
      <c r="B78" s="449" t="s">
        <v>623</v>
      </c>
      <c r="C78" s="482" t="s">
        <v>430</v>
      </c>
      <c r="D78" s="228">
        <v>26.0</v>
      </c>
      <c r="E78" s="853"/>
      <c r="F78" s="95" t="s">
        <v>828</v>
      </c>
    </row>
    <row r="79">
      <c r="A79" s="449" t="s">
        <v>612</v>
      </c>
      <c r="B79" s="449" t="s">
        <v>623</v>
      </c>
      <c r="C79" s="450" t="s">
        <v>431</v>
      </c>
      <c r="D79" s="228">
        <v>30.0</v>
      </c>
      <c r="E79" s="853"/>
      <c r="F79" s="854" t="s">
        <v>431</v>
      </c>
      <c r="G79" s="95" t="s">
        <v>826</v>
      </c>
    </row>
    <row r="80">
      <c r="A80" s="449" t="s">
        <v>612</v>
      </c>
      <c r="B80" s="449" t="s">
        <v>623</v>
      </c>
      <c r="C80" s="450" t="s">
        <v>435</v>
      </c>
      <c r="D80" s="228">
        <v>29.0</v>
      </c>
      <c r="E80" s="853"/>
      <c r="F80" s="854" t="s">
        <v>435</v>
      </c>
    </row>
    <row r="81">
      <c r="A81" s="449" t="s">
        <v>612</v>
      </c>
      <c r="B81" s="449" t="s">
        <v>623</v>
      </c>
      <c r="C81" s="450" t="s">
        <v>439</v>
      </c>
      <c r="D81" s="228">
        <v>25.0</v>
      </c>
      <c r="E81" s="853"/>
      <c r="F81" s="854" t="s">
        <v>439</v>
      </c>
    </row>
    <row r="82">
      <c r="A82" s="449" t="s">
        <v>612</v>
      </c>
      <c r="B82" s="449" t="s">
        <v>623</v>
      </c>
      <c r="C82" s="450" t="s">
        <v>440</v>
      </c>
      <c r="D82" s="228">
        <v>18.0</v>
      </c>
      <c r="E82" s="853"/>
      <c r="F82" s="854" t="s">
        <v>440</v>
      </c>
      <c r="G82" s="95" t="s">
        <v>829</v>
      </c>
    </row>
    <row r="83">
      <c r="A83" s="449" t="s">
        <v>612</v>
      </c>
      <c r="B83" s="449" t="s">
        <v>623</v>
      </c>
      <c r="C83" s="450" t="s">
        <v>444</v>
      </c>
      <c r="D83" s="228">
        <v>25.0</v>
      </c>
      <c r="E83" s="853"/>
      <c r="F83" s="854" t="s">
        <v>444</v>
      </c>
    </row>
    <row r="84">
      <c r="A84" s="449" t="s">
        <v>612</v>
      </c>
      <c r="B84" s="449" t="s">
        <v>639</v>
      </c>
      <c r="C84" s="482" t="s">
        <v>82</v>
      </c>
      <c r="D84" s="228">
        <v>9.0</v>
      </c>
      <c r="E84" s="853"/>
      <c r="F84" s="95" t="s">
        <v>830</v>
      </c>
    </row>
    <row r="85">
      <c r="A85" s="449" t="s">
        <v>612</v>
      </c>
      <c r="B85" s="449" t="s">
        <v>639</v>
      </c>
      <c r="C85" s="482" t="s">
        <v>82</v>
      </c>
      <c r="D85" s="228">
        <v>14.0</v>
      </c>
      <c r="E85" s="852" t="s">
        <v>458</v>
      </c>
      <c r="F85" s="95" t="s">
        <v>831</v>
      </c>
    </row>
    <row r="86">
      <c r="A86" s="449" t="s">
        <v>612</v>
      </c>
      <c r="B86" s="449" t="s">
        <v>639</v>
      </c>
      <c r="C86" s="482" t="s">
        <v>44</v>
      </c>
      <c r="D86" s="228">
        <v>9.0</v>
      </c>
      <c r="E86" s="853"/>
      <c r="F86" s="95" t="s">
        <v>832</v>
      </c>
    </row>
    <row r="87">
      <c r="A87" s="449" t="s">
        <v>612</v>
      </c>
      <c r="B87" s="449" t="s">
        <v>639</v>
      </c>
      <c r="C87" s="482" t="s">
        <v>44</v>
      </c>
      <c r="D87" s="228">
        <v>14.0</v>
      </c>
      <c r="E87" s="852" t="s">
        <v>458</v>
      </c>
      <c r="F87" s="95" t="s">
        <v>832</v>
      </c>
    </row>
    <row r="88">
      <c r="A88" s="449" t="s">
        <v>612</v>
      </c>
      <c r="B88" s="449" t="s">
        <v>639</v>
      </c>
      <c r="C88" s="482" t="s">
        <v>47</v>
      </c>
      <c r="D88" s="228">
        <v>11.0</v>
      </c>
      <c r="E88" s="853"/>
      <c r="F88" s="95" t="s">
        <v>833</v>
      </c>
    </row>
    <row r="89">
      <c r="A89" s="449" t="s">
        <v>612</v>
      </c>
      <c r="B89" s="449" t="s">
        <v>639</v>
      </c>
      <c r="C89" s="856" t="s">
        <v>47</v>
      </c>
      <c r="D89" s="228">
        <v>16.0</v>
      </c>
      <c r="E89" s="852" t="s">
        <v>458</v>
      </c>
      <c r="F89" s="95" t="s">
        <v>833</v>
      </c>
    </row>
    <row r="90">
      <c r="A90" s="449" t="s">
        <v>612</v>
      </c>
      <c r="B90" s="449" t="s">
        <v>639</v>
      </c>
      <c r="C90" s="482" t="s">
        <v>46</v>
      </c>
      <c r="D90" s="228">
        <v>11.0</v>
      </c>
      <c r="E90" s="853"/>
      <c r="F90" s="95" t="s">
        <v>834</v>
      </c>
    </row>
    <row r="91">
      <c r="A91" s="449" t="s">
        <v>612</v>
      </c>
      <c r="B91" s="449" t="s">
        <v>639</v>
      </c>
      <c r="C91" s="482" t="s">
        <v>46</v>
      </c>
      <c r="D91" s="228">
        <v>16.0</v>
      </c>
      <c r="E91" s="852" t="s">
        <v>458</v>
      </c>
      <c r="F91" s="95" t="s">
        <v>835</v>
      </c>
    </row>
    <row r="92">
      <c r="A92" s="449" t="s">
        <v>612</v>
      </c>
      <c r="B92" s="449" t="s">
        <v>639</v>
      </c>
      <c r="C92" s="450" t="s">
        <v>460</v>
      </c>
      <c r="D92" s="228">
        <v>8.0</v>
      </c>
      <c r="E92" s="853"/>
      <c r="F92" s="854" t="s">
        <v>460</v>
      </c>
      <c r="G92" s="95" t="s">
        <v>788</v>
      </c>
    </row>
    <row r="93">
      <c r="A93" s="449" t="s">
        <v>612</v>
      </c>
      <c r="B93" s="449" t="s">
        <v>639</v>
      </c>
      <c r="C93" s="450" t="s">
        <v>461</v>
      </c>
      <c r="D93" s="228">
        <v>10.0</v>
      </c>
      <c r="E93" s="853"/>
      <c r="F93" s="854" t="s">
        <v>461</v>
      </c>
    </row>
    <row r="94">
      <c r="A94" s="449" t="s">
        <v>612</v>
      </c>
      <c r="B94" s="449" t="s">
        <v>639</v>
      </c>
      <c r="C94" s="450" t="s">
        <v>466</v>
      </c>
      <c r="D94" s="228">
        <v>10.0</v>
      </c>
      <c r="E94" s="853"/>
      <c r="F94" s="854" t="s">
        <v>466</v>
      </c>
    </row>
    <row r="95">
      <c r="A95" s="449" t="s">
        <v>612</v>
      </c>
      <c r="B95" s="449" t="s">
        <v>639</v>
      </c>
      <c r="C95" s="450" t="s">
        <v>469</v>
      </c>
      <c r="D95" s="228">
        <v>14.0</v>
      </c>
      <c r="E95" s="853"/>
      <c r="F95" s="854" t="s">
        <v>469</v>
      </c>
    </row>
    <row r="96">
      <c r="A96" s="449" t="s">
        <v>612</v>
      </c>
      <c r="B96" s="449" t="s">
        <v>639</v>
      </c>
      <c r="C96" s="450" t="s">
        <v>470</v>
      </c>
      <c r="D96" s="228">
        <v>11.0</v>
      </c>
      <c r="E96" s="853"/>
      <c r="F96" s="854" t="s">
        <v>470</v>
      </c>
    </row>
    <row r="97">
      <c r="A97" s="449" t="s">
        <v>612</v>
      </c>
      <c r="B97" s="449" t="s">
        <v>639</v>
      </c>
      <c r="C97" s="450" t="s">
        <v>472</v>
      </c>
      <c r="D97" s="228">
        <v>11.0</v>
      </c>
      <c r="E97" s="853"/>
      <c r="F97" s="854" t="s">
        <v>472</v>
      </c>
    </row>
    <row r="98">
      <c r="A98" s="449" t="s">
        <v>612</v>
      </c>
      <c r="B98" s="449" t="s">
        <v>639</v>
      </c>
      <c r="C98" s="450" t="s">
        <v>476</v>
      </c>
      <c r="D98" s="228">
        <v>11.0</v>
      </c>
      <c r="E98" s="853"/>
      <c r="F98" s="854" t="s">
        <v>476</v>
      </c>
    </row>
    <row r="99">
      <c r="A99" s="449" t="s">
        <v>612</v>
      </c>
      <c r="B99" s="461" t="s">
        <v>638</v>
      </c>
      <c r="C99" s="482" t="s">
        <v>46</v>
      </c>
      <c r="D99" s="228">
        <v>21.0</v>
      </c>
      <c r="E99" s="853"/>
      <c r="F99" s="95" t="s">
        <v>836</v>
      </c>
      <c r="G99" s="95" t="s">
        <v>794</v>
      </c>
    </row>
    <row r="100">
      <c r="A100" s="449" t="s">
        <v>612</v>
      </c>
      <c r="B100" s="461" t="s">
        <v>638</v>
      </c>
      <c r="C100" s="856" t="s">
        <v>198</v>
      </c>
      <c r="D100" s="228">
        <v>21.0</v>
      </c>
      <c r="E100" s="853"/>
      <c r="F100" s="95" t="s">
        <v>837</v>
      </c>
      <c r="G100" s="95" t="s">
        <v>794</v>
      </c>
    </row>
    <row r="101">
      <c r="A101" s="449" t="s">
        <v>612</v>
      </c>
      <c r="B101" s="461" t="s">
        <v>638</v>
      </c>
      <c r="C101" s="450" t="s">
        <v>482</v>
      </c>
      <c r="D101" s="228">
        <v>21.0</v>
      </c>
      <c r="E101" s="853"/>
      <c r="F101" s="854" t="s">
        <v>482</v>
      </c>
      <c r="G101" s="95" t="s">
        <v>794</v>
      </c>
    </row>
    <row r="102">
      <c r="A102" s="449" t="s">
        <v>612</v>
      </c>
      <c r="B102" s="461" t="s">
        <v>638</v>
      </c>
      <c r="C102" s="450" t="s">
        <v>486</v>
      </c>
      <c r="D102" s="228">
        <v>16.0</v>
      </c>
      <c r="E102" s="853"/>
      <c r="F102" s="854" t="s">
        <v>486</v>
      </c>
    </row>
    <row r="103">
      <c r="A103" s="461" t="s">
        <v>612</v>
      </c>
      <c r="B103" s="461" t="s">
        <v>638</v>
      </c>
      <c r="C103" s="855" t="s">
        <v>487</v>
      </c>
      <c r="D103" s="857" t="s">
        <v>540</v>
      </c>
      <c r="E103" s="853"/>
      <c r="F103" s="95" t="s">
        <v>838</v>
      </c>
    </row>
    <row r="104">
      <c r="A104" s="449" t="s">
        <v>612</v>
      </c>
      <c r="B104" s="449" t="s">
        <v>619</v>
      </c>
      <c r="C104" s="450" t="s">
        <v>488</v>
      </c>
      <c r="D104" s="228">
        <v>18.0</v>
      </c>
      <c r="E104" s="853"/>
      <c r="F104" s="854" t="s">
        <v>488</v>
      </c>
    </row>
    <row r="105">
      <c r="A105" s="449" t="s">
        <v>612</v>
      </c>
      <c r="B105" s="449" t="s">
        <v>654</v>
      </c>
      <c r="C105" s="450" t="s">
        <v>492</v>
      </c>
      <c r="D105" s="228">
        <v>31.0</v>
      </c>
      <c r="E105" s="853"/>
      <c r="F105" s="854" t="s">
        <v>492</v>
      </c>
      <c r="G105" s="95" t="s">
        <v>788</v>
      </c>
    </row>
    <row r="106">
      <c r="A106" s="449" t="s">
        <v>612</v>
      </c>
      <c r="B106" s="449" t="s">
        <v>654</v>
      </c>
      <c r="C106" s="450" t="s">
        <v>496</v>
      </c>
      <c r="D106" s="228">
        <v>26.0</v>
      </c>
      <c r="E106" s="852"/>
      <c r="F106" s="854" t="s">
        <v>496</v>
      </c>
    </row>
    <row r="107">
      <c r="A107" s="449" t="s">
        <v>612</v>
      </c>
      <c r="B107" s="449" t="s">
        <v>649</v>
      </c>
      <c r="C107" s="450" t="s">
        <v>498</v>
      </c>
      <c r="D107" s="228">
        <v>18.0</v>
      </c>
      <c r="E107" s="853"/>
      <c r="F107" s="854" t="s">
        <v>498</v>
      </c>
    </row>
    <row r="108">
      <c r="A108" s="449" t="s">
        <v>612</v>
      </c>
      <c r="B108" s="449" t="s">
        <v>649</v>
      </c>
      <c r="C108" s="450" t="s">
        <v>500</v>
      </c>
      <c r="D108" s="228">
        <v>16.0</v>
      </c>
      <c r="E108" s="853"/>
      <c r="F108" s="854" t="s">
        <v>500</v>
      </c>
    </row>
    <row r="109">
      <c r="A109" s="449" t="s">
        <v>612</v>
      </c>
      <c r="B109" s="449" t="s">
        <v>617</v>
      </c>
      <c r="C109" s="450" t="s">
        <v>505</v>
      </c>
      <c r="D109" s="228">
        <v>11.0</v>
      </c>
      <c r="E109" s="853"/>
      <c r="F109" s="854" t="s">
        <v>505</v>
      </c>
    </row>
    <row r="110">
      <c r="A110" s="449" t="s">
        <v>612</v>
      </c>
      <c r="B110" s="449" t="s">
        <v>220</v>
      </c>
      <c r="C110" s="450" t="s">
        <v>509</v>
      </c>
      <c r="D110" s="228">
        <v>9.0</v>
      </c>
      <c r="E110" s="852" t="s">
        <v>839</v>
      </c>
      <c r="F110" s="854" t="s">
        <v>509</v>
      </c>
      <c r="G110" s="95" t="s">
        <v>60</v>
      </c>
    </row>
    <row r="111">
      <c r="A111" s="449" t="s">
        <v>612</v>
      </c>
      <c r="B111" s="449" t="s">
        <v>220</v>
      </c>
      <c r="C111" s="450" t="s">
        <v>509</v>
      </c>
      <c r="D111" s="228">
        <v>14.0</v>
      </c>
      <c r="E111" s="852" t="s">
        <v>840</v>
      </c>
      <c r="F111" s="854" t="s">
        <v>509</v>
      </c>
      <c r="G111" s="95" t="s">
        <v>60</v>
      </c>
    </row>
    <row r="112">
      <c r="A112" s="461" t="s">
        <v>612</v>
      </c>
      <c r="B112" s="461" t="s">
        <v>615</v>
      </c>
      <c r="C112" s="855" t="s">
        <v>512</v>
      </c>
      <c r="D112" s="228">
        <v>385.0</v>
      </c>
      <c r="E112" s="852"/>
      <c r="F112" s="858" t="s">
        <v>512</v>
      </c>
      <c r="G112" s="95"/>
    </row>
    <row r="113">
      <c r="A113" s="449" t="s">
        <v>612</v>
      </c>
      <c r="B113" s="449" t="s">
        <v>659</v>
      </c>
      <c r="C113" s="649" t="s">
        <v>44</v>
      </c>
      <c r="D113" s="228">
        <v>70.0</v>
      </c>
      <c r="E113" s="852"/>
      <c r="F113" s="858" t="s">
        <v>841</v>
      </c>
      <c r="G113" s="95" t="s">
        <v>842</v>
      </c>
    </row>
    <row r="114">
      <c r="A114" s="449" t="s">
        <v>612</v>
      </c>
      <c r="B114" s="449" t="s">
        <v>659</v>
      </c>
      <c r="C114" s="649" t="s">
        <v>536</v>
      </c>
      <c r="D114" s="228">
        <v>69.0</v>
      </c>
      <c r="E114" s="852"/>
      <c r="F114" s="858" t="s">
        <v>843</v>
      </c>
      <c r="G114" s="95" t="s">
        <v>842</v>
      </c>
    </row>
    <row r="115">
      <c r="A115" s="449" t="s">
        <v>612</v>
      </c>
      <c r="B115" s="449" t="s">
        <v>659</v>
      </c>
      <c r="C115" s="649" t="s">
        <v>537</v>
      </c>
      <c r="D115" s="228">
        <v>68.0</v>
      </c>
      <c r="E115" s="852"/>
      <c r="F115" s="858" t="s">
        <v>844</v>
      </c>
      <c r="G115" s="95" t="s">
        <v>842</v>
      </c>
    </row>
    <row r="116">
      <c r="A116" s="449" t="s">
        <v>612</v>
      </c>
      <c r="B116" s="449" t="s">
        <v>659</v>
      </c>
      <c r="C116" s="649" t="s">
        <v>845</v>
      </c>
      <c r="D116" s="228">
        <v>63.0</v>
      </c>
      <c r="E116" s="852"/>
      <c r="F116" s="858" t="s">
        <v>846</v>
      </c>
      <c r="G116" s="95" t="s">
        <v>842</v>
      </c>
    </row>
    <row r="117">
      <c r="A117" s="449" t="s">
        <v>612</v>
      </c>
      <c r="B117" s="449" t="s">
        <v>659</v>
      </c>
      <c r="C117" s="649" t="s">
        <v>847</v>
      </c>
      <c r="D117" s="228">
        <v>68.0</v>
      </c>
      <c r="E117" s="852"/>
      <c r="F117" s="858" t="s">
        <v>848</v>
      </c>
      <c r="G117" s="95" t="s">
        <v>842</v>
      </c>
    </row>
    <row r="118">
      <c r="A118" s="461" t="s">
        <v>612</v>
      </c>
      <c r="B118" s="461" t="s">
        <v>659</v>
      </c>
      <c r="C118" s="859" t="s">
        <v>604</v>
      </c>
      <c r="D118" s="228">
        <v>69.0</v>
      </c>
      <c r="E118" s="852"/>
      <c r="F118" s="858" t="s">
        <v>849</v>
      </c>
      <c r="G118" s="95" t="s">
        <v>842</v>
      </c>
    </row>
    <row r="119">
      <c r="A119" s="449" t="s">
        <v>612</v>
      </c>
      <c r="B119" s="449" t="s">
        <v>659</v>
      </c>
      <c r="C119" s="649" t="s">
        <v>83</v>
      </c>
      <c r="D119" s="228">
        <v>86.0</v>
      </c>
      <c r="E119" s="852"/>
      <c r="F119" s="858" t="s">
        <v>850</v>
      </c>
      <c r="G119" s="95" t="s">
        <v>842</v>
      </c>
    </row>
    <row r="120">
      <c r="A120" s="449" t="s">
        <v>612</v>
      </c>
      <c r="B120" s="449" t="s">
        <v>659</v>
      </c>
      <c r="C120" s="649" t="s">
        <v>82</v>
      </c>
      <c r="D120" s="228">
        <v>56.0</v>
      </c>
      <c r="E120" s="852"/>
      <c r="F120" s="858" t="s">
        <v>851</v>
      </c>
      <c r="G120" s="95" t="s">
        <v>842</v>
      </c>
    </row>
    <row r="121">
      <c r="A121" s="449" t="s">
        <v>612</v>
      </c>
      <c r="B121" s="449" t="s">
        <v>659</v>
      </c>
      <c r="C121" s="450" t="s">
        <v>664</v>
      </c>
      <c r="D121" s="228">
        <v>69.0</v>
      </c>
      <c r="E121" s="853"/>
      <c r="F121" s="854" t="s">
        <v>664</v>
      </c>
      <c r="G121" s="95" t="s">
        <v>852</v>
      </c>
    </row>
    <row r="122">
      <c r="A122" s="449" t="s">
        <v>612</v>
      </c>
      <c r="B122" s="449" t="s">
        <v>659</v>
      </c>
      <c r="C122" s="860" t="s">
        <v>853</v>
      </c>
      <c r="D122" s="228">
        <v>69.0</v>
      </c>
      <c r="E122" s="853"/>
      <c r="F122" s="858" t="s">
        <v>853</v>
      </c>
      <c r="G122" s="95" t="s">
        <v>852</v>
      </c>
    </row>
    <row r="123">
      <c r="A123" s="449" t="s">
        <v>612</v>
      </c>
      <c r="B123" s="449" t="s">
        <v>659</v>
      </c>
      <c r="C123" s="860" t="s">
        <v>854</v>
      </c>
      <c r="D123" s="228">
        <v>63.0</v>
      </c>
      <c r="E123" s="852" t="s">
        <v>855</v>
      </c>
      <c r="F123" s="858" t="s">
        <v>854</v>
      </c>
      <c r="G123" s="95" t="s">
        <v>842</v>
      </c>
    </row>
    <row r="124">
      <c r="A124" s="461" t="s">
        <v>739</v>
      </c>
      <c r="B124" s="461" t="s">
        <v>659</v>
      </c>
      <c r="C124" s="855" t="s">
        <v>856</v>
      </c>
      <c r="D124" s="228">
        <v>48.0</v>
      </c>
      <c r="E124" s="853"/>
      <c r="F124" s="95" t="s">
        <v>856</v>
      </c>
      <c r="G124" s="95" t="s">
        <v>842</v>
      </c>
    </row>
    <row r="125">
      <c r="A125" s="449" t="s">
        <v>612</v>
      </c>
      <c r="B125" s="449" t="s">
        <v>659</v>
      </c>
      <c r="C125" s="450" t="s">
        <v>669</v>
      </c>
      <c r="D125" s="228">
        <v>65.0</v>
      </c>
      <c r="E125" s="853"/>
      <c r="F125" s="854" t="s">
        <v>669</v>
      </c>
      <c r="G125" s="95" t="s">
        <v>842</v>
      </c>
    </row>
    <row r="126">
      <c r="A126" s="58"/>
      <c r="B126" s="58"/>
    </row>
    <row r="127" hidden="1">
      <c r="A127" s="58"/>
      <c r="B127" s="58"/>
    </row>
    <row r="128" hidden="1">
      <c r="A128" s="58"/>
      <c r="B128" s="58"/>
    </row>
    <row r="129" hidden="1">
      <c r="A129" s="58"/>
      <c r="B129" s="58"/>
    </row>
    <row r="130" hidden="1">
      <c r="A130" s="58"/>
      <c r="B130" s="58"/>
    </row>
    <row r="131" hidden="1">
      <c r="A131" s="58"/>
      <c r="B131" s="58"/>
    </row>
    <row r="132" hidden="1">
      <c r="A132" s="58"/>
      <c r="B132" s="58"/>
    </row>
    <row r="133" hidden="1">
      <c r="A133" s="58"/>
      <c r="B133" s="58"/>
    </row>
    <row r="134" hidden="1">
      <c r="A134" s="58"/>
      <c r="B134" s="58"/>
    </row>
    <row r="135" hidden="1">
      <c r="A135" s="58"/>
      <c r="B135" s="58"/>
    </row>
    <row r="136" hidden="1">
      <c r="A136" s="58"/>
      <c r="B136" s="58"/>
    </row>
    <row r="137" hidden="1">
      <c r="A137" s="58"/>
      <c r="B137" s="58"/>
    </row>
    <row r="138" hidden="1">
      <c r="A138" s="58"/>
      <c r="B138" s="58"/>
    </row>
    <row r="139" hidden="1">
      <c r="A139" s="58"/>
      <c r="B139" s="58"/>
    </row>
    <row r="140" hidden="1">
      <c r="A140" s="58"/>
      <c r="B140" s="58"/>
    </row>
    <row r="141" hidden="1">
      <c r="A141" s="58"/>
      <c r="B141" s="58"/>
    </row>
    <row r="142" hidden="1">
      <c r="A142" s="58"/>
      <c r="B142" s="58"/>
    </row>
    <row r="143" hidden="1">
      <c r="A143" s="58"/>
      <c r="B143" s="58"/>
    </row>
    <row r="144" hidden="1">
      <c r="A144" s="58"/>
      <c r="B144" s="58"/>
    </row>
    <row r="145" hidden="1">
      <c r="A145" s="58"/>
      <c r="B145" s="58"/>
    </row>
    <row r="146" hidden="1">
      <c r="A146" s="58"/>
      <c r="B146" s="58"/>
    </row>
    <row r="147" hidden="1">
      <c r="A147" s="58"/>
      <c r="B147" s="58"/>
    </row>
    <row r="148" hidden="1">
      <c r="A148" s="58"/>
      <c r="B148" s="58"/>
    </row>
    <row r="149" hidden="1">
      <c r="A149" s="58"/>
      <c r="B149" s="58"/>
    </row>
    <row r="150" hidden="1">
      <c r="A150" s="58"/>
      <c r="B150" s="58"/>
    </row>
    <row r="151" hidden="1">
      <c r="A151" s="58"/>
      <c r="B151" s="58"/>
    </row>
    <row r="152" hidden="1">
      <c r="A152" s="58"/>
      <c r="B152" s="58"/>
    </row>
    <row r="153" hidden="1">
      <c r="A153" s="58"/>
      <c r="B153" s="58"/>
    </row>
    <row r="154" hidden="1">
      <c r="A154" s="58"/>
      <c r="B154" s="58"/>
    </row>
    <row r="155" hidden="1">
      <c r="A155" s="58"/>
      <c r="B155" s="58"/>
    </row>
    <row r="156" hidden="1">
      <c r="A156" s="58"/>
      <c r="B156" s="58"/>
    </row>
    <row r="157" hidden="1">
      <c r="A157" s="58"/>
      <c r="B157" s="58"/>
    </row>
    <row r="158" hidden="1">
      <c r="A158" s="58"/>
      <c r="B158" s="58"/>
    </row>
    <row r="159" hidden="1">
      <c r="A159" s="58"/>
      <c r="B159" s="58"/>
    </row>
    <row r="160" hidden="1">
      <c r="A160" s="58"/>
      <c r="B160" s="58"/>
    </row>
    <row r="161" hidden="1">
      <c r="A161" s="58"/>
      <c r="B161" s="58"/>
    </row>
    <row r="162" hidden="1">
      <c r="A162" s="58"/>
      <c r="B162" s="58"/>
    </row>
    <row r="163" hidden="1">
      <c r="A163" s="58"/>
      <c r="B163" s="58"/>
    </row>
    <row r="164" hidden="1">
      <c r="A164" s="58"/>
      <c r="B164" s="58"/>
    </row>
    <row r="165" hidden="1">
      <c r="A165" s="58"/>
      <c r="B165" s="58"/>
    </row>
    <row r="166" hidden="1">
      <c r="A166" s="58"/>
      <c r="B166" s="58"/>
    </row>
    <row r="167" hidden="1">
      <c r="A167" s="58"/>
      <c r="B167" s="58"/>
    </row>
    <row r="168" hidden="1">
      <c r="A168" s="58"/>
      <c r="B168" s="58"/>
    </row>
    <row r="169" hidden="1">
      <c r="A169" s="58"/>
      <c r="B169" s="58"/>
    </row>
    <row r="170" hidden="1">
      <c r="A170" s="58"/>
      <c r="B170" s="58"/>
    </row>
    <row r="171" hidden="1">
      <c r="A171" s="58"/>
      <c r="B171" s="58"/>
    </row>
    <row r="172" hidden="1">
      <c r="A172" s="58"/>
      <c r="B172" s="58"/>
    </row>
    <row r="173" hidden="1">
      <c r="A173" s="58"/>
      <c r="B173" s="58"/>
    </row>
    <row r="174" hidden="1">
      <c r="A174" s="58"/>
      <c r="B174" s="58"/>
    </row>
    <row r="175" hidden="1">
      <c r="A175" s="58"/>
      <c r="B175" s="58"/>
    </row>
    <row r="176" hidden="1">
      <c r="A176" s="58"/>
      <c r="B176" s="58"/>
    </row>
    <row r="177" hidden="1">
      <c r="A177" s="58"/>
      <c r="B177" s="58"/>
    </row>
    <row r="178" hidden="1">
      <c r="A178" s="58"/>
      <c r="B178" s="58"/>
    </row>
    <row r="179" hidden="1">
      <c r="A179" s="58"/>
      <c r="B179" s="58"/>
    </row>
    <row r="180" hidden="1">
      <c r="A180" s="58"/>
      <c r="B180" s="58"/>
    </row>
    <row r="181" hidden="1">
      <c r="A181" s="58"/>
      <c r="B181" s="58"/>
    </row>
    <row r="182" hidden="1">
      <c r="A182" s="58"/>
      <c r="B182" s="58"/>
    </row>
    <row r="183" hidden="1">
      <c r="A183" s="58"/>
      <c r="B183" s="58"/>
    </row>
    <row r="184" hidden="1">
      <c r="A184" s="58"/>
      <c r="B184" s="58"/>
    </row>
    <row r="185" hidden="1">
      <c r="A185" s="58"/>
      <c r="B185" s="58"/>
    </row>
    <row r="186" hidden="1">
      <c r="A186" s="58"/>
      <c r="B186" s="58"/>
    </row>
    <row r="187" hidden="1">
      <c r="A187" s="58"/>
      <c r="B187" s="58"/>
    </row>
    <row r="188" hidden="1">
      <c r="A188" s="58"/>
      <c r="B188" s="58"/>
    </row>
    <row r="189" hidden="1">
      <c r="A189" s="58"/>
      <c r="B189" s="58"/>
    </row>
    <row r="190" hidden="1">
      <c r="A190" s="58"/>
      <c r="B190" s="58"/>
    </row>
    <row r="191" hidden="1">
      <c r="A191" s="58"/>
      <c r="B191" s="58"/>
    </row>
    <row r="192" hidden="1">
      <c r="A192" s="58"/>
      <c r="B192" s="58"/>
    </row>
    <row r="193" hidden="1">
      <c r="A193" s="58"/>
      <c r="B193" s="58"/>
    </row>
    <row r="194" hidden="1">
      <c r="A194" s="58"/>
      <c r="B194" s="58"/>
    </row>
    <row r="195" hidden="1">
      <c r="A195" s="58"/>
      <c r="B195" s="58"/>
    </row>
    <row r="196" hidden="1">
      <c r="A196" s="58"/>
      <c r="B196" s="58"/>
    </row>
    <row r="197" hidden="1">
      <c r="A197" s="58"/>
      <c r="B197" s="58"/>
    </row>
    <row r="198" hidden="1">
      <c r="A198" s="58"/>
      <c r="B198" s="58"/>
    </row>
    <row r="199" hidden="1">
      <c r="A199" s="58"/>
      <c r="B199" s="58"/>
    </row>
    <row r="200" hidden="1">
      <c r="A200" s="58"/>
      <c r="B200" s="58"/>
    </row>
    <row r="201" hidden="1">
      <c r="A201" s="58"/>
      <c r="B201" s="58"/>
    </row>
    <row r="202" hidden="1">
      <c r="A202" s="58"/>
      <c r="B202" s="58"/>
    </row>
    <row r="203" hidden="1">
      <c r="A203" s="58"/>
      <c r="B203" s="58"/>
    </row>
    <row r="204" hidden="1">
      <c r="A204" s="58"/>
      <c r="B204" s="58"/>
    </row>
    <row r="205" hidden="1">
      <c r="A205" s="58"/>
      <c r="B205" s="58"/>
    </row>
    <row r="206" hidden="1">
      <c r="A206" s="58"/>
      <c r="B206" s="58"/>
    </row>
    <row r="207" hidden="1">
      <c r="A207" s="58"/>
      <c r="B207" s="58"/>
    </row>
    <row r="208" hidden="1">
      <c r="A208" s="58"/>
      <c r="B208" s="58"/>
    </row>
    <row r="209" hidden="1">
      <c r="A209" s="58"/>
      <c r="B209" s="58"/>
    </row>
    <row r="210" hidden="1">
      <c r="A210" s="58"/>
      <c r="B210" s="58"/>
    </row>
    <row r="211" hidden="1">
      <c r="A211" s="58"/>
      <c r="B211" s="58"/>
    </row>
    <row r="212" hidden="1">
      <c r="A212" s="58"/>
      <c r="B212" s="58"/>
    </row>
    <row r="213" hidden="1">
      <c r="A213" s="58"/>
      <c r="B213" s="58"/>
    </row>
    <row r="214" hidden="1">
      <c r="A214" s="58"/>
      <c r="B214" s="58"/>
    </row>
    <row r="215" hidden="1">
      <c r="A215" s="58"/>
      <c r="B215" s="58"/>
    </row>
    <row r="216" hidden="1">
      <c r="A216" s="58"/>
      <c r="B216" s="58"/>
    </row>
    <row r="217" hidden="1">
      <c r="A217" s="58"/>
      <c r="B217" s="58"/>
    </row>
    <row r="218" hidden="1">
      <c r="A218" s="58"/>
      <c r="B218" s="58"/>
    </row>
    <row r="219" hidden="1">
      <c r="A219" s="58"/>
      <c r="B219" s="58"/>
    </row>
    <row r="220" hidden="1">
      <c r="A220" s="58"/>
      <c r="B220" s="58"/>
    </row>
    <row r="221" hidden="1">
      <c r="A221" s="58"/>
      <c r="B221" s="58"/>
    </row>
    <row r="222" hidden="1">
      <c r="A222" s="58"/>
      <c r="B222" s="58"/>
    </row>
    <row r="223" hidden="1">
      <c r="A223" s="58"/>
      <c r="B223" s="58"/>
    </row>
    <row r="224" hidden="1">
      <c r="A224" s="58"/>
      <c r="B224" s="58"/>
    </row>
    <row r="225" hidden="1">
      <c r="A225" s="58"/>
      <c r="B225" s="58"/>
    </row>
    <row r="226" hidden="1">
      <c r="A226" s="58"/>
      <c r="B226" s="58"/>
    </row>
    <row r="227" hidden="1">
      <c r="A227" s="58"/>
      <c r="B227" s="58"/>
    </row>
    <row r="228" hidden="1">
      <c r="A228" s="58"/>
      <c r="B228" s="58"/>
    </row>
    <row r="229" hidden="1">
      <c r="A229" s="58"/>
      <c r="B229" s="58"/>
    </row>
    <row r="230" hidden="1">
      <c r="A230" s="58"/>
      <c r="B230" s="58"/>
    </row>
    <row r="231" hidden="1">
      <c r="A231" s="58"/>
      <c r="B231" s="58"/>
    </row>
    <row r="232" hidden="1">
      <c r="A232" s="58"/>
      <c r="B232" s="58"/>
    </row>
    <row r="233" hidden="1">
      <c r="A233" s="58"/>
      <c r="B233" s="58"/>
    </row>
    <row r="234" hidden="1">
      <c r="A234" s="58"/>
      <c r="B234" s="58"/>
    </row>
    <row r="235" hidden="1">
      <c r="A235" s="58"/>
      <c r="B235" s="58"/>
    </row>
    <row r="236" hidden="1">
      <c r="A236" s="58"/>
      <c r="B236" s="58"/>
    </row>
    <row r="237" hidden="1">
      <c r="A237" s="58"/>
      <c r="B237" s="58"/>
    </row>
    <row r="238" hidden="1">
      <c r="A238" s="58"/>
      <c r="B238" s="58"/>
    </row>
    <row r="239" hidden="1">
      <c r="A239" s="58"/>
      <c r="B239" s="58"/>
    </row>
    <row r="240" hidden="1">
      <c r="A240" s="58"/>
      <c r="B240" s="58"/>
    </row>
    <row r="241" hidden="1">
      <c r="A241" s="58"/>
      <c r="B241" s="58"/>
    </row>
    <row r="242" hidden="1">
      <c r="A242" s="58"/>
      <c r="B242" s="58"/>
    </row>
    <row r="243" hidden="1">
      <c r="A243" s="58"/>
      <c r="B243" s="58"/>
    </row>
    <row r="244" hidden="1">
      <c r="A244" s="58"/>
      <c r="B244" s="58"/>
    </row>
    <row r="245" hidden="1">
      <c r="A245" s="58"/>
      <c r="B245" s="58"/>
    </row>
    <row r="246" hidden="1">
      <c r="A246" s="58"/>
      <c r="B246" s="58"/>
    </row>
    <row r="247" hidden="1">
      <c r="A247" s="58"/>
      <c r="B247" s="58"/>
    </row>
    <row r="248" hidden="1">
      <c r="A248" s="58"/>
      <c r="B248" s="58"/>
    </row>
    <row r="249" hidden="1">
      <c r="A249" s="58"/>
      <c r="B249" s="58"/>
    </row>
    <row r="250" hidden="1">
      <c r="A250" s="58"/>
      <c r="B250" s="58"/>
    </row>
    <row r="251" hidden="1">
      <c r="A251" s="58"/>
      <c r="B251" s="58"/>
    </row>
    <row r="252" hidden="1">
      <c r="A252" s="58"/>
      <c r="B252" s="58"/>
    </row>
    <row r="253" hidden="1">
      <c r="A253" s="58"/>
      <c r="B253" s="58"/>
    </row>
    <row r="254" hidden="1">
      <c r="A254" s="58"/>
      <c r="B254" s="58"/>
    </row>
    <row r="255" hidden="1">
      <c r="A255" s="58"/>
      <c r="B255" s="58"/>
    </row>
    <row r="256" hidden="1">
      <c r="A256" s="58"/>
      <c r="B256" s="58"/>
    </row>
    <row r="257" hidden="1">
      <c r="A257" s="58"/>
      <c r="B257" s="58"/>
    </row>
    <row r="258" hidden="1">
      <c r="A258" s="58"/>
      <c r="B258" s="58"/>
    </row>
    <row r="259" hidden="1">
      <c r="A259" s="58"/>
      <c r="B259" s="58"/>
    </row>
    <row r="260" hidden="1">
      <c r="A260" s="58"/>
      <c r="B260" s="58"/>
    </row>
    <row r="261" hidden="1">
      <c r="A261" s="58"/>
      <c r="B261" s="58"/>
    </row>
    <row r="262" hidden="1">
      <c r="A262" s="58"/>
      <c r="B262" s="58"/>
    </row>
    <row r="263" hidden="1">
      <c r="A263" s="58"/>
      <c r="B263" s="58"/>
    </row>
    <row r="264" hidden="1">
      <c r="A264" s="58"/>
      <c r="B264" s="58"/>
    </row>
    <row r="265" hidden="1">
      <c r="A265" s="58"/>
      <c r="B265" s="58"/>
    </row>
    <row r="266" hidden="1">
      <c r="A266" s="58"/>
      <c r="B266" s="58"/>
    </row>
    <row r="267" hidden="1">
      <c r="A267" s="58"/>
      <c r="B267" s="58"/>
    </row>
    <row r="268" hidden="1">
      <c r="A268" s="58"/>
      <c r="B268" s="58"/>
    </row>
    <row r="269" hidden="1">
      <c r="A269" s="58"/>
      <c r="B269" s="58"/>
    </row>
    <row r="270" hidden="1">
      <c r="A270" s="58"/>
      <c r="B270" s="58"/>
    </row>
    <row r="271" hidden="1">
      <c r="A271" s="58"/>
      <c r="B271" s="58"/>
    </row>
    <row r="272" hidden="1">
      <c r="A272" s="58"/>
      <c r="B272" s="58"/>
    </row>
    <row r="273" hidden="1">
      <c r="A273" s="58"/>
      <c r="B273" s="58"/>
    </row>
    <row r="274" hidden="1">
      <c r="A274" s="58"/>
      <c r="B274" s="58"/>
    </row>
    <row r="275" hidden="1">
      <c r="A275" s="58"/>
      <c r="B275" s="58"/>
    </row>
    <row r="276" hidden="1">
      <c r="A276" s="58"/>
      <c r="B276" s="58"/>
    </row>
    <row r="277" hidden="1">
      <c r="A277" s="58"/>
      <c r="B277" s="58"/>
    </row>
    <row r="278" hidden="1">
      <c r="A278" s="58"/>
      <c r="B278" s="58"/>
    </row>
    <row r="279" hidden="1">
      <c r="A279" s="58"/>
      <c r="B279" s="58"/>
    </row>
    <row r="280" hidden="1">
      <c r="A280" s="58"/>
      <c r="B280" s="58"/>
    </row>
    <row r="281" hidden="1">
      <c r="A281" s="58"/>
      <c r="B281" s="58"/>
    </row>
    <row r="282" hidden="1">
      <c r="A282" s="58"/>
      <c r="B282" s="58"/>
    </row>
    <row r="283" hidden="1">
      <c r="A283" s="58"/>
      <c r="B283" s="58"/>
    </row>
    <row r="284" hidden="1">
      <c r="A284" s="58"/>
      <c r="B284" s="58"/>
    </row>
    <row r="285" hidden="1">
      <c r="A285" s="58"/>
      <c r="B285" s="58"/>
    </row>
    <row r="286" hidden="1">
      <c r="A286" s="58"/>
      <c r="B286" s="58"/>
    </row>
    <row r="287" hidden="1">
      <c r="A287" s="58"/>
      <c r="B287" s="58"/>
    </row>
    <row r="288" hidden="1">
      <c r="A288" s="58"/>
      <c r="B288" s="58"/>
    </row>
    <row r="289" hidden="1">
      <c r="A289" s="58"/>
      <c r="B289" s="58"/>
    </row>
    <row r="290" hidden="1">
      <c r="A290" s="58"/>
      <c r="B290" s="58"/>
    </row>
    <row r="291" hidden="1">
      <c r="A291" s="58"/>
      <c r="B291" s="58"/>
    </row>
    <row r="292" hidden="1">
      <c r="A292" s="58"/>
      <c r="B292" s="58"/>
    </row>
    <row r="293" hidden="1">
      <c r="A293" s="58"/>
      <c r="B293" s="58"/>
    </row>
    <row r="294" hidden="1">
      <c r="A294" s="58"/>
      <c r="B294" s="58"/>
    </row>
    <row r="295" hidden="1">
      <c r="A295" s="58"/>
      <c r="B295" s="58"/>
    </row>
    <row r="296" hidden="1">
      <c r="A296" s="58"/>
      <c r="B296" s="58"/>
    </row>
    <row r="297" hidden="1">
      <c r="A297" s="58"/>
      <c r="B297" s="58"/>
    </row>
    <row r="298" hidden="1">
      <c r="A298" s="58"/>
      <c r="B298" s="58"/>
    </row>
    <row r="299" hidden="1">
      <c r="A299" s="58"/>
      <c r="B299" s="58"/>
    </row>
    <row r="300" hidden="1">
      <c r="A300" s="58"/>
      <c r="B300" s="58"/>
    </row>
    <row r="301" hidden="1">
      <c r="A301" s="58"/>
      <c r="B301" s="58"/>
    </row>
    <row r="302" hidden="1">
      <c r="A302" s="58"/>
      <c r="B302" s="58"/>
    </row>
    <row r="303" hidden="1">
      <c r="A303" s="58"/>
      <c r="B303" s="58"/>
    </row>
    <row r="304" hidden="1">
      <c r="A304" s="58"/>
      <c r="B304" s="58"/>
    </row>
    <row r="305" hidden="1">
      <c r="A305" s="58"/>
      <c r="B305" s="58"/>
    </row>
    <row r="306" hidden="1">
      <c r="A306" s="58"/>
      <c r="B306" s="58"/>
    </row>
    <row r="307" hidden="1">
      <c r="A307" s="58"/>
      <c r="B307" s="58"/>
    </row>
    <row r="308" hidden="1">
      <c r="A308" s="58"/>
      <c r="B308" s="58"/>
    </row>
    <row r="309" hidden="1">
      <c r="A309" s="58"/>
      <c r="B309" s="58"/>
    </row>
    <row r="310" hidden="1">
      <c r="A310" s="58"/>
      <c r="B310" s="58"/>
    </row>
    <row r="311" hidden="1">
      <c r="A311" s="58"/>
      <c r="B311" s="58"/>
    </row>
    <row r="312" hidden="1">
      <c r="A312" s="58"/>
      <c r="B312" s="58"/>
    </row>
    <row r="313" hidden="1">
      <c r="A313" s="58"/>
      <c r="B313" s="58"/>
    </row>
    <row r="314" hidden="1">
      <c r="A314" s="58"/>
      <c r="B314" s="58"/>
    </row>
    <row r="315" hidden="1">
      <c r="A315" s="58"/>
      <c r="B315" s="58"/>
    </row>
    <row r="316" hidden="1">
      <c r="A316" s="58"/>
      <c r="B316" s="58"/>
    </row>
    <row r="317" hidden="1">
      <c r="A317" s="58"/>
      <c r="B317" s="58"/>
    </row>
    <row r="318" hidden="1">
      <c r="A318" s="58"/>
      <c r="B318" s="58"/>
    </row>
    <row r="319" hidden="1">
      <c r="A319" s="58"/>
      <c r="B319" s="58"/>
    </row>
    <row r="320" hidden="1">
      <c r="A320" s="58"/>
      <c r="B320" s="58"/>
    </row>
    <row r="321" hidden="1">
      <c r="A321" s="58"/>
      <c r="B321" s="58"/>
    </row>
    <row r="322" hidden="1">
      <c r="A322" s="58"/>
      <c r="B322" s="58"/>
    </row>
    <row r="323" hidden="1">
      <c r="A323" s="58"/>
      <c r="B323" s="58"/>
    </row>
    <row r="324" hidden="1">
      <c r="A324" s="58"/>
      <c r="B324" s="58"/>
    </row>
    <row r="325" hidden="1">
      <c r="A325" s="58"/>
      <c r="B325" s="58"/>
    </row>
    <row r="326" hidden="1">
      <c r="A326" s="58"/>
      <c r="B326" s="58"/>
    </row>
    <row r="327" hidden="1">
      <c r="A327" s="58"/>
      <c r="B327" s="58"/>
    </row>
    <row r="328" hidden="1">
      <c r="A328" s="58"/>
      <c r="B328" s="58"/>
    </row>
    <row r="329" hidden="1">
      <c r="A329" s="58"/>
      <c r="B329" s="58"/>
    </row>
    <row r="330" hidden="1">
      <c r="A330" s="58"/>
      <c r="B330" s="58"/>
    </row>
    <row r="331" hidden="1">
      <c r="A331" s="58"/>
      <c r="B331" s="58"/>
    </row>
    <row r="332" hidden="1">
      <c r="A332" s="58"/>
      <c r="B332" s="58"/>
    </row>
    <row r="333" hidden="1">
      <c r="A333" s="58"/>
      <c r="B333" s="58"/>
    </row>
    <row r="334" hidden="1">
      <c r="A334" s="58"/>
      <c r="B334" s="58"/>
    </row>
    <row r="335" hidden="1">
      <c r="A335" s="58"/>
      <c r="B335" s="58"/>
    </row>
    <row r="336" hidden="1">
      <c r="A336" s="58"/>
      <c r="B336" s="58"/>
    </row>
    <row r="337" hidden="1">
      <c r="A337" s="58"/>
      <c r="B337" s="58"/>
    </row>
    <row r="338" hidden="1">
      <c r="A338" s="58"/>
      <c r="B338" s="58"/>
    </row>
    <row r="339" hidden="1">
      <c r="A339" s="58"/>
      <c r="B339" s="58"/>
    </row>
    <row r="340" hidden="1">
      <c r="A340" s="58"/>
      <c r="B340" s="58"/>
    </row>
    <row r="341" hidden="1">
      <c r="A341" s="58"/>
      <c r="B341" s="58"/>
    </row>
    <row r="342" hidden="1">
      <c r="A342" s="58"/>
      <c r="B342" s="58"/>
    </row>
    <row r="343" hidden="1">
      <c r="A343" s="58"/>
      <c r="B343" s="58"/>
    </row>
    <row r="344" hidden="1">
      <c r="A344" s="58"/>
      <c r="B344" s="58"/>
    </row>
    <row r="345" hidden="1">
      <c r="A345" s="58"/>
      <c r="B345" s="58"/>
    </row>
    <row r="346" hidden="1">
      <c r="A346" s="58"/>
      <c r="B346" s="58"/>
    </row>
    <row r="347" hidden="1">
      <c r="A347" s="58"/>
      <c r="B347" s="58"/>
    </row>
    <row r="348" hidden="1">
      <c r="A348" s="58"/>
      <c r="B348" s="58"/>
    </row>
    <row r="349" hidden="1">
      <c r="A349" s="58"/>
      <c r="B349" s="58"/>
    </row>
    <row r="350" hidden="1">
      <c r="A350" s="58"/>
      <c r="B350" s="58"/>
    </row>
    <row r="351" hidden="1">
      <c r="A351" s="58"/>
      <c r="B351" s="58"/>
    </row>
    <row r="352" hidden="1">
      <c r="A352" s="58"/>
      <c r="B352" s="58"/>
    </row>
    <row r="353" hidden="1">
      <c r="A353" s="58"/>
      <c r="B353" s="58"/>
    </row>
    <row r="354" hidden="1">
      <c r="A354" s="58"/>
      <c r="B354" s="58"/>
    </row>
    <row r="355" hidden="1">
      <c r="A355" s="58"/>
      <c r="B355" s="58"/>
    </row>
    <row r="356" hidden="1">
      <c r="A356" s="58"/>
      <c r="B356" s="58"/>
    </row>
    <row r="357" hidden="1">
      <c r="A357" s="58"/>
      <c r="B357" s="58"/>
    </row>
    <row r="358" hidden="1">
      <c r="A358" s="58"/>
      <c r="B358" s="58"/>
    </row>
    <row r="359" hidden="1">
      <c r="A359" s="58"/>
      <c r="B359" s="58"/>
    </row>
    <row r="360" hidden="1">
      <c r="A360" s="58"/>
      <c r="B360" s="58"/>
    </row>
    <row r="361" hidden="1">
      <c r="A361" s="58"/>
      <c r="B361" s="58"/>
    </row>
    <row r="362" hidden="1">
      <c r="A362" s="58"/>
      <c r="B362" s="58"/>
    </row>
    <row r="363" hidden="1">
      <c r="A363" s="58"/>
      <c r="B363" s="58"/>
    </row>
    <row r="364" hidden="1">
      <c r="A364" s="58"/>
      <c r="B364" s="58"/>
    </row>
    <row r="365" hidden="1">
      <c r="A365" s="58"/>
      <c r="B365" s="58"/>
    </row>
    <row r="366" hidden="1">
      <c r="A366" s="58"/>
      <c r="B366" s="58"/>
    </row>
    <row r="367" hidden="1">
      <c r="A367" s="58"/>
      <c r="B367" s="58"/>
    </row>
    <row r="368" hidden="1">
      <c r="A368" s="58"/>
      <c r="B368" s="58"/>
    </row>
    <row r="369" hidden="1">
      <c r="A369" s="58"/>
      <c r="B369" s="58"/>
    </row>
    <row r="370" hidden="1">
      <c r="A370" s="58"/>
      <c r="B370" s="58"/>
    </row>
    <row r="371" hidden="1">
      <c r="A371" s="58"/>
      <c r="B371" s="58"/>
    </row>
    <row r="372" hidden="1">
      <c r="A372" s="58"/>
      <c r="B372" s="58"/>
    </row>
    <row r="373" hidden="1">
      <c r="A373" s="58"/>
      <c r="B373" s="58"/>
    </row>
    <row r="374" hidden="1">
      <c r="A374" s="58"/>
      <c r="B374" s="58"/>
    </row>
    <row r="375" hidden="1">
      <c r="A375" s="58"/>
      <c r="B375" s="58"/>
    </row>
    <row r="376" hidden="1">
      <c r="A376" s="58"/>
      <c r="B376" s="58"/>
    </row>
    <row r="377" hidden="1">
      <c r="A377" s="58"/>
      <c r="B377" s="58"/>
    </row>
    <row r="378" hidden="1">
      <c r="A378" s="58"/>
      <c r="B378" s="58"/>
    </row>
    <row r="379" hidden="1">
      <c r="A379" s="58"/>
      <c r="B379" s="58"/>
    </row>
    <row r="380" hidden="1">
      <c r="A380" s="58"/>
      <c r="B380" s="58"/>
    </row>
    <row r="381" hidden="1">
      <c r="A381" s="58"/>
      <c r="B381" s="58"/>
    </row>
    <row r="382" hidden="1">
      <c r="A382" s="58"/>
      <c r="B382" s="58"/>
    </row>
    <row r="383" hidden="1">
      <c r="A383" s="58"/>
      <c r="B383" s="58"/>
    </row>
    <row r="384" hidden="1">
      <c r="A384" s="58"/>
      <c r="B384" s="58"/>
    </row>
    <row r="385" hidden="1">
      <c r="A385" s="58"/>
      <c r="B385" s="58"/>
    </row>
    <row r="386" hidden="1">
      <c r="A386" s="58"/>
      <c r="B386" s="58"/>
    </row>
    <row r="387" hidden="1">
      <c r="A387" s="58"/>
      <c r="B387" s="58"/>
    </row>
    <row r="388" hidden="1">
      <c r="A388" s="58"/>
      <c r="B388" s="58"/>
    </row>
    <row r="389" hidden="1">
      <c r="A389" s="58"/>
      <c r="B389" s="58"/>
    </row>
    <row r="390" hidden="1">
      <c r="A390" s="58"/>
      <c r="B390" s="58"/>
    </row>
    <row r="391" hidden="1">
      <c r="A391" s="58"/>
      <c r="B391" s="58"/>
    </row>
    <row r="392" hidden="1">
      <c r="A392" s="58"/>
      <c r="B392" s="58"/>
    </row>
    <row r="393" hidden="1">
      <c r="A393" s="58"/>
      <c r="B393" s="58"/>
    </row>
    <row r="394" hidden="1">
      <c r="A394" s="58"/>
      <c r="B394" s="58"/>
    </row>
    <row r="395" hidden="1">
      <c r="A395" s="58"/>
      <c r="B395" s="58"/>
    </row>
    <row r="396" hidden="1">
      <c r="A396" s="58"/>
      <c r="B396" s="58"/>
    </row>
    <row r="397" hidden="1">
      <c r="A397" s="58"/>
      <c r="B397" s="58"/>
    </row>
    <row r="398" hidden="1">
      <c r="A398" s="58"/>
      <c r="B398" s="58"/>
    </row>
    <row r="399" hidden="1">
      <c r="A399" s="58"/>
      <c r="B399" s="58"/>
    </row>
    <row r="400" hidden="1">
      <c r="A400" s="58"/>
      <c r="B400" s="58"/>
    </row>
    <row r="401" hidden="1">
      <c r="A401" s="58"/>
      <c r="B401" s="58"/>
    </row>
    <row r="402" hidden="1">
      <c r="A402" s="58"/>
      <c r="B402" s="58"/>
    </row>
    <row r="403" hidden="1">
      <c r="A403" s="58"/>
      <c r="B403" s="58"/>
    </row>
    <row r="404" hidden="1">
      <c r="A404" s="58"/>
      <c r="B404" s="58"/>
    </row>
    <row r="405" hidden="1">
      <c r="A405" s="58"/>
      <c r="B405" s="58"/>
    </row>
    <row r="406" hidden="1">
      <c r="A406" s="58"/>
      <c r="B406" s="58"/>
    </row>
    <row r="407" hidden="1">
      <c r="A407" s="58"/>
      <c r="B407" s="58"/>
    </row>
    <row r="408" hidden="1">
      <c r="A408" s="58"/>
      <c r="B408" s="58"/>
    </row>
    <row r="409" hidden="1">
      <c r="A409" s="58"/>
      <c r="B409" s="58"/>
    </row>
    <row r="410" hidden="1">
      <c r="A410" s="58"/>
      <c r="B410" s="58"/>
    </row>
    <row r="411" hidden="1">
      <c r="A411" s="58"/>
      <c r="B411" s="58"/>
    </row>
    <row r="412" hidden="1">
      <c r="A412" s="58"/>
      <c r="B412" s="58"/>
    </row>
    <row r="413" hidden="1">
      <c r="A413" s="58"/>
      <c r="B413" s="58"/>
    </row>
    <row r="414" hidden="1">
      <c r="A414" s="58"/>
      <c r="B414" s="58"/>
    </row>
    <row r="415" hidden="1">
      <c r="A415" s="58"/>
      <c r="B415" s="58"/>
    </row>
    <row r="416" hidden="1">
      <c r="A416" s="58"/>
      <c r="B416" s="58"/>
    </row>
    <row r="417" hidden="1">
      <c r="A417" s="58"/>
      <c r="B417" s="58"/>
    </row>
    <row r="418" hidden="1">
      <c r="A418" s="58"/>
      <c r="B418" s="58"/>
    </row>
    <row r="419" hidden="1">
      <c r="A419" s="58"/>
      <c r="B419" s="58"/>
    </row>
    <row r="420" hidden="1">
      <c r="A420" s="58"/>
      <c r="B420" s="58"/>
    </row>
    <row r="421" hidden="1">
      <c r="A421" s="58"/>
      <c r="B421" s="58"/>
    </row>
    <row r="422" hidden="1">
      <c r="A422" s="58"/>
      <c r="B422" s="58"/>
    </row>
    <row r="423" hidden="1">
      <c r="A423" s="58"/>
      <c r="B423" s="58"/>
    </row>
    <row r="424" hidden="1">
      <c r="A424" s="58"/>
      <c r="B424" s="58"/>
    </row>
    <row r="425" hidden="1">
      <c r="A425" s="58"/>
      <c r="B425" s="58"/>
    </row>
    <row r="426" hidden="1">
      <c r="A426" s="58"/>
      <c r="B426" s="58"/>
    </row>
    <row r="427" hidden="1">
      <c r="A427" s="58"/>
      <c r="B427" s="58"/>
    </row>
    <row r="428" hidden="1">
      <c r="A428" s="58"/>
      <c r="B428" s="58"/>
    </row>
    <row r="429" hidden="1">
      <c r="A429" s="58"/>
      <c r="B429" s="58"/>
    </row>
    <row r="430" hidden="1">
      <c r="A430" s="58"/>
      <c r="B430" s="58"/>
    </row>
    <row r="431" hidden="1">
      <c r="A431" s="58"/>
      <c r="B431" s="58"/>
    </row>
    <row r="432" hidden="1">
      <c r="A432" s="58"/>
      <c r="B432" s="58"/>
    </row>
    <row r="433" hidden="1">
      <c r="A433" s="58"/>
      <c r="B433" s="58"/>
    </row>
    <row r="434" hidden="1">
      <c r="A434" s="58"/>
      <c r="B434" s="58"/>
    </row>
    <row r="435" hidden="1">
      <c r="A435" s="58"/>
      <c r="B435" s="58"/>
    </row>
    <row r="436" hidden="1">
      <c r="A436" s="58"/>
      <c r="B436" s="58"/>
    </row>
    <row r="437" hidden="1">
      <c r="A437" s="58"/>
      <c r="B437" s="58"/>
    </row>
    <row r="438" hidden="1">
      <c r="A438" s="58"/>
      <c r="B438" s="58"/>
    </row>
    <row r="439" hidden="1">
      <c r="A439" s="58"/>
      <c r="B439" s="58"/>
    </row>
    <row r="440" hidden="1">
      <c r="A440" s="58"/>
      <c r="B440" s="58"/>
    </row>
    <row r="441" hidden="1">
      <c r="A441" s="58"/>
      <c r="B441" s="58"/>
    </row>
    <row r="442" hidden="1">
      <c r="A442" s="58"/>
      <c r="B442" s="58"/>
    </row>
    <row r="443" hidden="1">
      <c r="A443" s="58"/>
      <c r="B443" s="58"/>
    </row>
    <row r="444" hidden="1">
      <c r="A444" s="58"/>
      <c r="B444" s="58"/>
    </row>
    <row r="445" hidden="1">
      <c r="A445" s="58"/>
      <c r="B445" s="58"/>
    </row>
    <row r="446" hidden="1">
      <c r="A446" s="58"/>
      <c r="B446" s="58"/>
    </row>
    <row r="447" hidden="1">
      <c r="A447" s="58"/>
      <c r="B447" s="58"/>
    </row>
    <row r="448" hidden="1">
      <c r="A448" s="58"/>
      <c r="B448" s="58"/>
    </row>
    <row r="449" hidden="1">
      <c r="A449" s="58"/>
      <c r="B449" s="58"/>
    </row>
    <row r="450" hidden="1">
      <c r="A450" s="58"/>
      <c r="B450" s="58"/>
    </row>
    <row r="451" hidden="1">
      <c r="A451" s="58"/>
      <c r="B451" s="58"/>
    </row>
    <row r="452" hidden="1">
      <c r="A452" s="58"/>
      <c r="B452" s="58"/>
    </row>
    <row r="453" hidden="1">
      <c r="A453" s="58"/>
      <c r="B453" s="58"/>
    </row>
    <row r="454" hidden="1">
      <c r="A454" s="58"/>
      <c r="B454" s="58"/>
    </row>
    <row r="455" hidden="1">
      <c r="A455" s="58"/>
      <c r="B455" s="58"/>
    </row>
    <row r="456" hidden="1">
      <c r="A456" s="58"/>
      <c r="B456" s="58"/>
    </row>
    <row r="457" hidden="1">
      <c r="A457" s="58"/>
      <c r="B457" s="58"/>
    </row>
    <row r="458" hidden="1">
      <c r="A458" s="58"/>
      <c r="B458" s="58"/>
    </row>
    <row r="459" hidden="1">
      <c r="A459" s="58"/>
      <c r="B459" s="58"/>
    </row>
    <row r="460" hidden="1">
      <c r="A460" s="58"/>
      <c r="B460" s="58"/>
    </row>
    <row r="461" hidden="1">
      <c r="A461" s="58"/>
      <c r="B461" s="58"/>
    </row>
    <row r="462" hidden="1">
      <c r="A462" s="58"/>
      <c r="B462" s="58"/>
    </row>
    <row r="463" hidden="1">
      <c r="A463" s="58"/>
      <c r="B463" s="58"/>
    </row>
    <row r="464" hidden="1">
      <c r="A464" s="58"/>
      <c r="B464" s="58"/>
    </row>
    <row r="465" hidden="1">
      <c r="A465" s="58"/>
      <c r="B465" s="58"/>
    </row>
    <row r="466" hidden="1">
      <c r="A466" s="58"/>
      <c r="B466" s="58"/>
    </row>
    <row r="467" hidden="1">
      <c r="A467" s="58"/>
      <c r="B467" s="58"/>
    </row>
    <row r="468" hidden="1">
      <c r="A468" s="58"/>
      <c r="B468" s="58"/>
    </row>
    <row r="469" hidden="1">
      <c r="A469" s="58"/>
      <c r="B469" s="58"/>
    </row>
    <row r="470" hidden="1">
      <c r="A470" s="58"/>
      <c r="B470" s="58"/>
    </row>
    <row r="471" hidden="1">
      <c r="A471" s="58"/>
      <c r="B471" s="58"/>
    </row>
    <row r="472" hidden="1">
      <c r="A472" s="58"/>
      <c r="B472" s="58"/>
    </row>
    <row r="473" hidden="1">
      <c r="A473" s="58"/>
      <c r="B473" s="58"/>
    </row>
    <row r="474" hidden="1">
      <c r="A474" s="58"/>
      <c r="B474" s="58"/>
    </row>
    <row r="475" hidden="1">
      <c r="A475" s="58"/>
      <c r="B475" s="58"/>
    </row>
    <row r="476" hidden="1">
      <c r="A476" s="58"/>
      <c r="B476" s="58"/>
    </row>
    <row r="477" hidden="1">
      <c r="A477" s="58"/>
      <c r="B477" s="58"/>
    </row>
    <row r="478" hidden="1">
      <c r="A478" s="58"/>
      <c r="B478" s="58"/>
    </row>
    <row r="479" hidden="1">
      <c r="A479" s="58"/>
      <c r="B479" s="58"/>
    </row>
    <row r="480" hidden="1">
      <c r="A480" s="58"/>
      <c r="B480" s="58"/>
    </row>
    <row r="481" hidden="1">
      <c r="A481" s="58"/>
      <c r="B481" s="58"/>
    </row>
    <row r="482" hidden="1">
      <c r="A482" s="58"/>
      <c r="B482" s="58"/>
    </row>
    <row r="483" hidden="1">
      <c r="A483" s="58"/>
      <c r="B483" s="58"/>
    </row>
    <row r="484" hidden="1">
      <c r="A484" s="58"/>
      <c r="B484" s="58"/>
    </row>
    <row r="485" hidden="1">
      <c r="A485" s="58"/>
      <c r="B485" s="58"/>
    </row>
    <row r="486" hidden="1">
      <c r="A486" s="58"/>
      <c r="B486" s="58"/>
    </row>
    <row r="487" hidden="1">
      <c r="A487" s="58"/>
      <c r="B487" s="58"/>
    </row>
    <row r="488" hidden="1">
      <c r="A488" s="58"/>
      <c r="B488" s="58"/>
    </row>
    <row r="489" hidden="1">
      <c r="A489" s="58"/>
      <c r="B489" s="58"/>
    </row>
    <row r="490" hidden="1">
      <c r="A490" s="58"/>
      <c r="B490" s="58"/>
    </row>
    <row r="491" hidden="1">
      <c r="A491" s="58"/>
      <c r="B491" s="58"/>
    </row>
    <row r="492" hidden="1">
      <c r="A492" s="58"/>
      <c r="B492" s="58"/>
    </row>
    <row r="493" hidden="1">
      <c r="A493" s="58"/>
      <c r="B493" s="58"/>
    </row>
    <row r="494" hidden="1">
      <c r="A494" s="58"/>
      <c r="B494" s="58"/>
    </row>
    <row r="495" hidden="1">
      <c r="A495" s="58"/>
      <c r="B495" s="58"/>
    </row>
    <row r="496" hidden="1">
      <c r="A496" s="58"/>
      <c r="B496" s="58"/>
    </row>
    <row r="497" hidden="1">
      <c r="A497" s="58"/>
      <c r="B497" s="58"/>
    </row>
    <row r="498" hidden="1">
      <c r="A498" s="58"/>
      <c r="B498" s="58"/>
    </row>
    <row r="499" hidden="1">
      <c r="A499" s="58"/>
      <c r="B499" s="58"/>
    </row>
    <row r="500" hidden="1">
      <c r="A500" s="58"/>
      <c r="B500" s="58"/>
    </row>
    <row r="501" hidden="1">
      <c r="A501" s="58"/>
      <c r="B501" s="58"/>
    </row>
    <row r="502" hidden="1">
      <c r="A502" s="58"/>
      <c r="B502" s="58"/>
    </row>
    <row r="503" hidden="1">
      <c r="A503" s="58"/>
      <c r="B503" s="58"/>
    </row>
    <row r="504" hidden="1">
      <c r="A504" s="58"/>
      <c r="B504" s="58"/>
    </row>
    <row r="505" hidden="1">
      <c r="A505" s="58"/>
      <c r="B505" s="58"/>
    </row>
    <row r="506" hidden="1">
      <c r="A506" s="58"/>
      <c r="B506" s="58"/>
    </row>
    <row r="507" hidden="1">
      <c r="A507" s="58"/>
      <c r="B507" s="58"/>
    </row>
    <row r="508" hidden="1">
      <c r="A508" s="58"/>
      <c r="B508" s="58"/>
    </row>
    <row r="509" hidden="1">
      <c r="A509" s="58"/>
      <c r="B509" s="58"/>
    </row>
    <row r="510" hidden="1">
      <c r="A510" s="58"/>
      <c r="B510" s="58"/>
    </row>
    <row r="511" hidden="1">
      <c r="A511" s="58"/>
      <c r="B511" s="58"/>
    </row>
    <row r="512" hidden="1">
      <c r="A512" s="58"/>
      <c r="B512" s="58"/>
    </row>
    <row r="513" hidden="1">
      <c r="A513" s="58"/>
      <c r="B513" s="58"/>
    </row>
    <row r="514" hidden="1">
      <c r="A514" s="58"/>
      <c r="B514" s="58"/>
    </row>
    <row r="515" hidden="1">
      <c r="A515" s="58"/>
      <c r="B515" s="58"/>
    </row>
    <row r="516" hidden="1">
      <c r="A516" s="58"/>
      <c r="B516" s="58"/>
    </row>
    <row r="517" hidden="1">
      <c r="A517" s="58"/>
      <c r="B517" s="58"/>
    </row>
    <row r="518" hidden="1">
      <c r="A518" s="58"/>
      <c r="B518" s="58"/>
    </row>
    <row r="519" hidden="1">
      <c r="A519" s="58"/>
      <c r="B519" s="58"/>
    </row>
    <row r="520" hidden="1">
      <c r="A520" s="58"/>
      <c r="B520" s="58"/>
    </row>
    <row r="521" hidden="1">
      <c r="A521" s="58"/>
      <c r="B521" s="58"/>
    </row>
    <row r="522" hidden="1">
      <c r="A522" s="58"/>
      <c r="B522" s="58"/>
    </row>
    <row r="523" hidden="1">
      <c r="A523" s="58"/>
      <c r="B523" s="58"/>
    </row>
    <row r="524" hidden="1">
      <c r="A524" s="58"/>
      <c r="B524" s="58"/>
    </row>
    <row r="525" hidden="1">
      <c r="A525" s="58"/>
      <c r="B525" s="58"/>
    </row>
    <row r="526" hidden="1">
      <c r="A526" s="58"/>
      <c r="B526" s="58"/>
    </row>
    <row r="527" hidden="1">
      <c r="A527" s="58"/>
      <c r="B527" s="58"/>
    </row>
    <row r="528" hidden="1">
      <c r="A528" s="58"/>
      <c r="B528" s="58"/>
    </row>
    <row r="529" hidden="1">
      <c r="A529" s="58"/>
      <c r="B529" s="58"/>
    </row>
    <row r="530" hidden="1">
      <c r="A530" s="58"/>
      <c r="B530" s="58"/>
    </row>
    <row r="531" hidden="1">
      <c r="A531" s="58"/>
      <c r="B531" s="58"/>
    </row>
    <row r="532" hidden="1">
      <c r="A532" s="58"/>
      <c r="B532" s="58"/>
    </row>
    <row r="533" hidden="1">
      <c r="A533" s="58"/>
      <c r="B533" s="58"/>
    </row>
    <row r="534" hidden="1">
      <c r="A534" s="58"/>
      <c r="B534" s="58"/>
    </row>
    <row r="535" hidden="1">
      <c r="A535" s="58"/>
      <c r="B535" s="58"/>
    </row>
    <row r="536" hidden="1">
      <c r="A536" s="58"/>
      <c r="B536" s="58"/>
    </row>
    <row r="537" hidden="1">
      <c r="A537" s="58"/>
      <c r="B537" s="58"/>
    </row>
    <row r="538" hidden="1">
      <c r="A538" s="58"/>
      <c r="B538" s="58"/>
    </row>
    <row r="539" hidden="1">
      <c r="A539" s="58"/>
      <c r="B539" s="58"/>
    </row>
    <row r="540" hidden="1">
      <c r="A540" s="58"/>
      <c r="B540" s="58"/>
    </row>
    <row r="541" hidden="1">
      <c r="A541" s="58"/>
      <c r="B541" s="58"/>
    </row>
    <row r="542" hidden="1">
      <c r="A542" s="58"/>
      <c r="B542" s="58"/>
    </row>
    <row r="543" hidden="1">
      <c r="A543" s="58"/>
      <c r="B543" s="58"/>
    </row>
    <row r="544" hidden="1">
      <c r="A544" s="58"/>
      <c r="B544" s="58"/>
    </row>
    <row r="545" hidden="1">
      <c r="A545" s="58"/>
      <c r="B545" s="58"/>
    </row>
    <row r="546" hidden="1">
      <c r="A546" s="58"/>
      <c r="B546" s="58"/>
    </row>
    <row r="547" hidden="1">
      <c r="A547" s="58"/>
      <c r="B547" s="58"/>
    </row>
    <row r="548" hidden="1">
      <c r="A548" s="58"/>
      <c r="B548" s="58"/>
    </row>
    <row r="549" hidden="1">
      <c r="A549" s="58"/>
      <c r="B549" s="58"/>
    </row>
    <row r="550" hidden="1">
      <c r="A550" s="58"/>
      <c r="B550" s="58"/>
    </row>
    <row r="551" hidden="1">
      <c r="A551" s="58"/>
      <c r="B551" s="58"/>
    </row>
    <row r="552" hidden="1">
      <c r="A552" s="58"/>
      <c r="B552" s="58"/>
    </row>
    <row r="553" hidden="1">
      <c r="A553" s="58"/>
      <c r="B553" s="58"/>
    </row>
    <row r="554" hidden="1">
      <c r="A554" s="58"/>
      <c r="B554" s="58"/>
    </row>
    <row r="555" hidden="1">
      <c r="A555" s="58"/>
      <c r="B555" s="58"/>
    </row>
    <row r="556" hidden="1">
      <c r="A556" s="58"/>
      <c r="B556" s="58"/>
    </row>
    <row r="557" hidden="1">
      <c r="A557" s="58"/>
      <c r="B557" s="58"/>
    </row>
    <row r="558" hidden="1">
      <c r="A558" s="58"/>
      <c r="B558" s="58"/>
    </row>
    <row r="559" hidden="1">
      <c r="A559" s="58"/>
      <c r="B559" s="58"/>
    </row>
    <row r="560" hidden="1">
      <c r="A560" s="58"/>
      <c r="B560" s="58"/>
    </row>
    <row r="561" hidden="1">
      <c r="A561" s="58"/>
      <c r="B561" s="58"/>
    </row>
    <row r="562" hidden="1">
      <c r="A562" s="58"/>
      <c r="B562" s="58"/>
    </row>
    <row r="563" hidden="1">
      <c r="A563" s="58"/>
      <c r="B563" s="58"/>
    </row>
    <row r="564" hidden="1">
      <c r="A564" s="58"/>
      <c r="B564" s="58"/>
    </row>
    <row r="565" hidden="1">
      <c r="A565" s="58"/>
      <c r="B565" s="58"/>
    </row>
    <row r="566" hidden="1">
      <c r="A566" s="58"/>
      <c r="B566" s="58"/>
    </row>
    <row r="567" hidden="1">
      <c r="A567" s="58"/>
      <c r="B567" s="58"/>
    </row>
    <row r="568" hidden="1">
      <c r="A568" s="58"/>
      <c r="B568" s="58"/>
    </row>
    <row r="569" hidden="1">
      <c r="A569" s="58"/>
      <c r="B569" s="58"/>
    </row>
    <row r="570" hidden="1">
      <c r="A570" s="58"/>
      <c r="B570" s="58"/>
    </row>
    <row r="571" hidden="1">
      <c r="A571" s="58"/>
      <c r="B571" s="58"/>
    </row>
    <row r="572" hidden="1">
      <c r="A572" s="58"/>
      <c r="B572" s="58"/>
    </row>
    <row r="573" hidden="1">
      <c r="A573" s="58"/>
      <c r="B573" s="58"/>
    </row>
    <row r="574" hidden="1">
      <c r="A574" s="58"/>
      <c r="B574" s="58"/>
    </row>
    <row r="575" hidden="1">
      <c r="A575" s="58"/>
      <c r="B575" s="58"/>
    </row>
    <row r="576" hidden="1">
      <c r="A576" s="58"/>
      <c r="B576" s="58"/>
    </row>
    <row r="577" hidden="1">
      <c r="A577" s="58"/>
      <c r="B577" s="58"/>
    </row>
    <row r="578" hidden="1">
      <c r="A578" s="58"/>
      <c r="B578" s="58"/>
    </row>
    <row r="579" hidden="1">
      <c r="A579" s="58"/>
      <c r="B579" s="58"/>
    </row>
    <row r="580" hidden="1">
      <c r="A580" s="58"/>
      <c r="B580" s="58"/>
    </row>
    <row r="581" hidden="1">
      <c r="A581" s="58"/>
      <c r="B581" s="58"/>
    </row>
    <row r="582" hidden="1">
      <c r="A582" s="58"/>
      <c r="B582" s="58"/>
    </row>
    <row r="583" hidden="1">
      <c r="A583" s="58"/>
      <c r="B583" s="58"/>
    </row>
    <row r="584" hidden="1">
      <c r="A584" s="58"/>
      <c r="B584" s="58"/>
    </row>
    <row r="585" hidden="1">
      <c r="A585" s="58"/>
      <c r="B585" s="58"/>
    </row>
    <row r="586" hidden="1">
      <c r="A586" s="58"/>
      <c r="B586" s="58"/>
    </row>
    <row r="587" hidden="1">
      <c r="A587" s="58"/>
      <c r="B587" s="58"/>
    </row>
    <row r="588" hidden="1">
      <c r="A588" s="58"/>
      <c r="B588" s="58"/>
    </row>
    <row r="589" hidden="1">
      <c r="A589" s="58"/>
      <c r="B589" s="58"/>
    </row>
    <row r="590" hidden="1">
      <c r="A590" s="58"/>
      <c r="B590" s="58"/>
    </row>
    <row r="591" hidden="1">
      <c r="A591" s="58"/>
      <c r="B591" s="58"/>
    </row>
    <row r="592" hidden="1">
      <c r="A592" s="58"/>
      <c r="B592" s="58"/>
    </row>
    <row r="593" hidden="1">
      <c r="A593" s="58"/>
      <c r="B593" s="58"/>
    </row>
    <row r="594" hidden="1">
      <c r="A594" s="58"/>
      <c r="B594" s="58"/>
    </row>
    <row r="595" hidden="1">
      <c r="A595" s="58"/>
      <c r="B595" s="58"/>
    </row>
    <row r="596" hidden="1">
      <c r="A596" s="58"/>
      <c r="B596" s="58"/>
    </row>
    <row r="597" hidden="1">
      <c r="A597" s="58"/>
      <c r="B597" s="58"/>
    </row>
    <row r="598" hidden="1">
      <c r="A598" s="58"/>
      <c r="B598" s="58"/>
    </row>
    <row r="599" hidden="1">
      <c r="A599" s="58"/>
      <c r="B599" s="58"/>
    </row>
    <row r="600" hidden="1">
      <c r="A600" s="58"/>
      <c r="B600" s="58"/>
    </row>
    <row r="601" hidden="1">
      <c r="A601" s="58"/>
      <c r="B601" s="58"/>
    </row>
    <row r="602" hidden="1">
      <c r="A602" s="58"/>
      <c r="B602" s="58"/>
    </row>
    <row r="603" hidden="1">
      <c r="A603" s="58"/>
      <c r="B603" s="58"/>
    </row>
    <row r="604" hidden="1">
      <c r="A604" s="58"/>
      <c r="B604" s="58"/>
    </row>
    <row r="605" hidden="1">
      <c r="A605" s="58"/>
      <c r="B605" s="58"/>
    </row>
    <row r="606" hidden="1">
      <c r="A606" s="58"/>
      <c r="B606" s="58"/>
    </row>
    <row r="607" hidden="1">
      <c r="A607" s="58"/>
      <c r="B607" s="58"/>
    </row>
    <row r="608" hidden="1">
      <c r="A608" s="58"/>
      <c r="B608" s="58"/>
    </row>
    <row r="609" hidden="1">
      <c r="A609" s="58"/>
      <c r="B609" s="58"/>
    </row>
    <row r="610" hidden="1">
      <c r="A610" s="58"/>
      <c r="B610" s="58"/>
    </row>
    <row r="611" hidden="1">
      <c r="A611" s="58"/>
      <c r="B611" s="58"/>
    </row>
    <row r="612" hidden="1">
      <c r="A612" s="58"/>
      <c r="B612" s="58"/>
    </row>
    <row r="613" hidden="1">
      <c r="A613" s="58"/>
      <c r="B613" s="58"/>
    </row>
    <row r="614" hidden="1">
      <c r="A614" s="58"/>
      <c r="B614" s="58"/>
    </row>
    <row r="615" hidden="1">
      <c r="A615" s="58"/>
      <c r="B615" s="58"/>
    </row>
    <row r="616" hidden="1">
      <c r="A616" s="58"/>
      <c r="B616" s="58"/>
    </row>
    <row r="617" hidden="1">
      <c r="A617" s="58"/>
      <c r="B617" s="58"/>
    </row>
    <row r="618" hidden="1">
      <c r="A618" s="58"/>
      <c r="B618" s="58"/>
    </row>
    <row r="619" hidden="1">
      <c r="A619" s="58"/>
      <c r="B619" s="58"/>
    </row>
    <row r="620" hidden="1">
      <c r="A620" s="58"/>
      <c r="B620" s="58"/>
    </row>
    <row r="621" hidden="1">
      <c r="A621" s="58"/>
      <c r="B621" s="58"/>
    </row>
    <row r="622" hidden="1">
      <c r="A622" s="58"/>
      <c r="B622" s="58"/>
    </row>
    <row r="623" hidden="1">
      <c r="A623" s="58"/>
      <c r="B623" s="58"/>
    </row>
    <row r="624" hidden="1">
      <c r="A624" s="58"/>
      <c r="B624" s="58"/>
    </row>
    <row r="625" hidden="1">
      <c r="A625" s="58"/>
      <c r="B625" s="58"/>
    </row>
    <row r="626" hidden="1">
      <c r="A626" s="58"/>
      <c r="B626" s="58"/>
    </row>
    <row r="627" hidden="1">
      <c r="A627" s="58"/>
      <c r="B627" s="58"/>
    </row>
    <row r="628" hidden="1">
      <c r="A628" s="58"/>
      <c r="B628" s="58"/>
    </row>
    <row r="629" hidden="1">
      <c r="A629" s="58"/>
      <c r="B629" s="58"/>
    </row>
    <row r="630" hidden="1">
      <c r="A630" s="58"/>
      <c r="B630" s="58"/>
    </row>
    <row r="631" hidden="1">
      <c r="A631" s="58"/>
      <c r="B631" s="58"/>
    </row>
    <row r="632" hidden="1">
      <c r="A632" s="58"/>
      <c r="B632" s="58"/>
    </row>
    <row r="633" hidden="1">
      <c r="A633" s="58"/>
      <c r="B633" s="58"/>
    </row>
    <row r="634" hidden="1">
      <c r="A634" s="58"/>
      <c r="B634" s="58"/>
    </row>
    <row r="635" hidden="1">
      <c r="A635" s="58"/>
      <c r="B635" s="58"/>
    </row>
    <row r="636" hidden="1">
      <c r="A636" s="58"/>
      <c r="B636" s="58"/>
    </row>
    <row r="637" hidden="1">
      <c r="A637" s="58"/>
      <c r="B637" s="58"/>
    </row>
    <row r="638" hidden="1">
      <c r="A638" s="58"/>
      <c r="B638" s="58"/>
    </row>
    <row r="639" hidden="1">
      <c r="A639" s="58"/>
      <c r="B639" s="58"/>
    </row>
    <row r="640" hidden="1">
      <c r="A640" s="58"/>
      <c r="B640" s="58"/>
    </row>
    <row r="641" hidden="1">
      <c r="A641" s="58"/>
      <c r="B641" s="58"/>
    </row>
    <row r="642" hidden="1">
      <c r="A642" s="58"/>
      <c r="B642" s="58"/>
    </row>
    <row r="643" hidden="1">
      <c r="A643" s="58"/>
      <c r="B643" s="58"/>
    </row>
    <row r="644" hidden="1">
      <c r="A644" s="58"/>
      <c r="B644" s="58"/>
    </row>
    <row r="645" hidden="1">
      <c r="A645" s="58"/>
      <c r="B645" s="58"/>
    </row>
    <row r="646" hidden="1">
      <c r="A646" s="58"/>
      <c r="B646" s="58"/>
    </row>
    <row r="647" hidden="1">
      <c r="A647" s="58"/>
      <c r="B647" s="58"/>
    </row>
    <row r="648" hidden="1">
      <c r="A648" s="58"/>
      <c r="B648" s="58"/>
    </row>
    <row r="649" hidden="1">
      <c r="A649" s="58"/>
      <c r="B649" s="58"/>
    </row>
    <row r="650" hidden="1">
      <c r="A650" s="58"/>
      <c r="B650" s="58"/>
    </row>
    <row r="651" hidden="1">
      <c r="A651" s="58"/>
      <c r="B651" s="58"/>
    </row>
    <row r="652" hidden="1">
      <c r="A652" s="58"/>
      <c r="B652" s="58"/>
    </row>
    <row r="653" hidden="1">
      <c r="A653" s="58"/>
      <c r="B653" s="58"/>
    </row>
    <row r="654" hidden="1">
      <c r="A654" s="58"/>
      <c r="B654" s="58"/>
    </row>
    <row r="655" hidden="1">
      <c r="A655" s="58"/>
      <c r="B655" s="58"/>
    </row>
    <row r="656" hidden="1">
      <c r="A656" s="58"/>
      <c r="B656" s="58"/>
    </row>
    <row r="657" hidden="1">
      <c r="A657" s="58"/>
      <c r="B657" s="58"/>
    </row>
    <row r="658" hidden="1">
      <c r="A658" s="58"/>
      <c r="B658" s="58"/>
    </row>
    <row r="659" hidden="1">
      <c r="A659" s="58"/>
      <c r="B659" s="58"/>
    </row>
    <row r="660" hidden="1">
      <c r="A660" s="58"/>
      <c r="B660" s="58"/>
    </row>
    <row r="661" hidden="1">
      <c r="A661" s="58"/>
      <c r="B661" s="58"/>
    </row>
    <row r="662" hidden="1">
      <c r="A662" s="58"/>
      <c r="B662" s="58"/>
    </row>
    <row r="663" hidden="1">
      <c r="A663" s="58"/>
      <c r="B663" s="58"/>
    </row>
    <row r="664" hidden="1">
      <c r="A664" s="58"/>
      <c r="B664" s="58"/>
    </row>
    <row r="665" hidden="1">
      <c r="A665" s="58"/>
      <c r="B665" s="58"/>
    </row>
    <row r="666" hidden="1">
      <c r="A666" s="58"/>
      <c r="B666" s="58"/>
    </row>
    <row r="667" hidden="1">
      <c r="A667" s="58"/>
      <c r="B667" s="58"/>
    </row>
    <row r="668" hidden="1">
      <c r="A668" s="58"/>
      <c r="B668" s="58"/>
    </row>
    <row r="669" hidden="1">
      <c r="A669" s="58"/>
      <c r="B669" s="58"/>
    </row>
    <row r="670" hidden="1">
      <c r="A670" s="58"/>
      <c r="B670" s="58"/>
    </row>
    <row r="671" hidden="1">
      <c r="A671" s="58"/>
      <c r="B671" s="58"/>
    </row>
    <row r="672" hidden="1">
      <c r="A672" s="58"/>
      <c r="B672" s="58"/>
    </row>
    <row r="673" hidden="1">
      <c r="A673" s="58"/>
      <c r="B673" s="58"/>
    </row>
    <row r="674" hidden="1">
      <c r="A674" s="58"/>
      <c r="B674" s="58"/>
    </row>
    <row r="675" hidden="1">
      <c r="A675" s="58"/>
      <c r="B675" s="58"/>
    </row>
    <row r="676" hidden="1">
      <c r="A676" s="58"/>
      <c r="B676" s="58"/>
    </row>
    <row r="677" hidden="1">
      <c r="A677" s="58"/>
      <c r="B677" s="58"/>
    </row>
    <row r="678" hidden="1">
      <c r="A678" s="58"/>
      <c r="B678" s="58"/>
    </row>
    <row r="679" hidden="1">
      <c r="A679" s="58"/>
      <c r="B679" s="58"/>
    </row>
    <row r="680" hidden="1">
      <c r="A680" s="58"/>
      <c r="B680" s="58"/>
    </row>
    <row r="681" hidden="1">
      <c r="A681" s="58"/>
      <c r="B681" s="58"/>
    </row>
    <row r="682" hidden="1">
      <c r="A682" s="58"/>
      <c r="B682" s="58"/>
    </row>
    <row r="683" hidden="1">
      <c r="A683" s="58"/>
      <c r="B683" s="58"/>
    </row>
    <row r="684" hidden="1">
      <c r="A684" s="58"/>
      <c r="B684" s="58"/>
    </row>
    <row r="685" hidden="1">
      <c r="A685" s="58"/>
      <c r="B685" s="58"/>
    </row>
    <row r="686" hidden="1">
      <c r="A686" s="58"/>
      <c r="B686" s="58"/>
    </row>
    <row r="687" hidden="1">
      <c r="A687" s="58"/>
      <c r="B687" s="58"/>
    </row>
    <row r="688" hidden="1">
      <c r="A688" s="58"/>
      <c r="B688" s="58"/>
    </row>
    <row r="689" hidden="1">
      <c r="A689" s="58"/>
      <c r="B689" s="58"/>
    </row>
    <row r="690" hidden="1">
      <c r="A690" s="58"/>
      <c r="B690" s="58"/>
    </row>
    <row r="691" hidden="1">
      <c r="A691" s="58"/>
      <c r="B691" s="58"/>
    </row>
    <row r="692" hidden="1">
      <c r="A692" s="58"/>
      <c r="B692" s="58"/>
    </row>
    <row r="693" hidden="1">
      <c r="A693" s="58"/>
      <c r="B693" s="58"/>
    </row>
    <row r="694" hidden="1">
      <c r="A694" s="58"/>
      <c r="B694" s="58"/>
    </row>
    <row r="695" hidden="1">
      <c r="A695" s="58"/>
      <c r="B695" s="58"/>
    </row>
    <row r="696" hidden="1">
      <c r="A696" s="58"/>
      <c r="B696" s="58"/>
    </row>
    <row r="697" hidden="1">
      <c r="A697" s="58"/>
      <c r="B697" s="58"/>
    </row>
    <row r="698" hidden="1">
      <c r="A698" s="58"/>
      <c r="B698" s="58"/>
    </row>
    <row r="699" hidden="1">
      <c r="A699" s="58"/>
      <c r="B699" s="58"/>
    </row>
    <row r="700" hidden="1">
      <c r="A700" s="58"/>
      <c r="B700" s="58"/>
    </row>
    <row r="701" hidden="1">
      <c r="A701" s="58"/>
      <c r="B701" s="58"/>
    </row>
    <row r="702" hidden="1">
      <c r="A702" s="58"/>
      <c r="B702" s="58"/>
    </row>
    <row r="703" hidden="1">
      <c r="A703" s="58"/>
      <c r="B703" s="58"/>
    </row>
    <row r="704" hidden="1">
      <c r="A704" s="58"/>
      <c r="B704" s="58"/>
    </row>
    <row r="705" hidden="1">
      <c r="A705" s="58"/>
      <c r="B705" s="58"/>
    </row>
    <row r="706" hidden="1">
      <c r="A706" s="58"/>
      <c r="B706" s="58"/>
    </row>
    <row r="707" hidden="1">
      <c r="A707" s="58"/>
      <c r="B707" s="58"/>
    </row>
    <row r="708" hidden="1">
      <c r="A708" s="58"/>
      <c r="B708" s="58"/>
    </row>
    <row r="709" hidden="1">
      <c r="A709" s="58"/>
      <c r="B709" s="58"/>
    </row>
    <row r="710" hidden="1">
      <c r="A710" s="58"/>
      <c r="B710" s="58"/>
    </row>
    <row r="711" hidden="1">
      <c r="A711" s="58"/>
      <c r="B711" s="58"/>
    </row>
    <row r="712" hidden="1">
      <c r="A712" s="58"/>
      <c r="B712" s="58"/>
    </row>
    <row r="713" hidden="1">
      <c r="A713" s="58"/>
      <c r="B713" s="58"/>
    </row>
    <row r="714" hidden="1">
      <c r="A714" s="58"/>
      <c r="B714" s="58"/>
    </row>
    <row r="715" hidden="1">
      <c r="A715" s="58"/>
      <c r="B715" s="58"/>
    </row>
    <row r="716" hidden="1">
      <c r="A716" s="58"/>
      <c r="B716" s="58"/>
    </row>
    <row r="717" hidden="1">
      <c r="A717" s="58"/>
      <c r="B717" s="58"/>
    </row>
    <row r="718" hidden="1">
      <c r="A718" s="58"/>
      <c r="B718" s="58"/>
    </row>
    <row r="719" hidden="1">
      <c r="A719" s="58"/>
      <c r="B719" s="58"/>
    </row>
    <row r="720" hidden="1">
      <c r="A720" s="58"/>
      <c r="B720" s="58"/>
    </row>
    <row r="721" hidden="1">
      <c r="A721" s="58"/>
      <c r="B721" s="58"/>
    </row>
    <row r="722" hidden="1">
      <c r="A722" s="58"/>
      <c r="B722" s="58"/>
    </row>
    <row r="723" hidden="1">
      <c r="A723" s="58"/>
      <c r="B723" s="58"/>
    </row>
    <row r="724" hidden="1">
      <c r="A724" s="58"/>
      <c r="B724" s="58"/>
    </row>
    <row r="725" hidden="1">
      <c r="A725" s="58"/>
      <c r="B725" s="58"/>
    </row>
    <row r="726" hidden="1">
      <c r="A726" s="58"/>
      <c r="B726" s="58"/>
    </row>
    <row r="727" hidden="1">
      <c r="A727" s="58"/>
      <c r="B727" s="58"/>
    </row>
    <row r="728" hidden="1">
      <c r="A728" s="58"/>
      <c r="B728" s="58"/>
    </row>
    <row r="729" hidden="1">
      <c r="A729" s="58"/>
      <c r="B729" s="58"/>
    </row>
    <row r="730" hidden="1">
      <c r="A730" s="58"/>
      <c r="B730" s="58"/>
    </row>
    <row r="731" hidden="1">
      <c r="A731" s="58"/>
      <c r="B731" s="58"/>
    </row>
    <row r="732" hidden="1">
      <c r="A732" s="58"/>
      <c r="B732" s="58"/>
    </row>
    <row r="733" hidden="1">
      <c r="A733" s="58"/>
      <c r="B733" s="58"/>
    </row>
    <row r="734" hidden="1">
      <c r="A734" s="58"/>
      <c r="B734" s="58"/>
    </row>
    <row r="735" hidden="1">
      <c r="A735" s="58"/>
      <c r="B735" s="58"/>
    </row>
    <row r="736" hidden="1">
      <c r="A736" s="58"/>
      <c r="B736" s="58"/>
    </row>
    <row r="737" hidden="1">
      <c r="A737" s="58"/>
      <c r="B737" s="58"/>
    </row>
    <row r="738" hidden="1">
      <c r="A738" s="58"/>
      <c r="B738" s="58"/>
    </row>
    <row r="739" hidden="1">
      <c r="A739" s="58"/>
      <c r="B739" s="58"/>
    </row>
    <row r="740" hidden="1">
      <c r="A740" s="58"/>
      <c r="B740" s="58"/>
    </row>
    <row r="741" hidden="1">
      <c r="A741" s="58"/>
      <c r="B741" s="58"/>
    </row>
    <row r="742" hidden="1">
      <c r="A742" s="58"/>
      <c r="B742" s="58"/>
    </row>
    <row r="743" hidden="1">
      <c r="A743" s="58"/>
      <c r="B743" s="58"/>
    </row>
    <row r="744" hidden="1">
      <c r="A744" s="58"/>
      <c r="B744" s="58"/>
    </row>
    <row r="745" hidden="1">
      <c r="A745" s="58"/>
      <c r="B745" s="58"/>
    </row>
    <row r="746" hidden="1">
      <c r="A746" s="58"/>
      <c r="B746" s="58"/>
    </row>
    <row r="747" hidden="1">
      <c r="A747" s="58"/>
      <c r="B747" s="58"/>
    </row>
    <row r="748" hidden="1">
      <c r="A748" s="58"/>
      <c r="B748" s="58"/>
    </row>
    <row r="749" hidden="1">
      <c r="A749" s="58"/>
      <c r="B749" s="58"/>
    </row>
    <row r="750" hidden="1">
      <c r="A750" s="58"/>
      <c r="B750" s="58"/>
    </row>
  </sheetData>
  <autoFilter ref="$A$2:$G$125"/>
  <mergeCells count="1">
    <mergeCell ref="A1:G1"/>
  </mergeCells>
  <hyperlinks>
    <hyperlink r:id="rId2" ref="A1"/>
  </hyperlinks>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25"/>
    <col customWidth="1" min="2" max="2" width="20.88"/>
    <col customWidth="1" min="3" max="3" width="3.75"/>
    <col customWidth="1" min="4" max="5" width="9.88"/>
    <col customWidth="1" min="6" max="6" width="74.25"/>
    <col hidden="1" min="7" max="25" width="12.63"/>
  </cols>
  <sheetData>
    <row r="1">
      <c r="A1" s="59" t="s">
        <v>857</v>
      </c>
    </row>
    <row r="2" ht="38.25" customHeight="1">
      <c r="A2" s="861" t="s">
        <v>858</v>
      </c>
      <c r="B2" s="345" t="s">
        <v>859</v>
      </c>
      <c r="C2" s="63"/>
      <c r="D2" s="862" t="s">
        <v>860</v>
      </c>
      <c r="E2" s="345" t="s">
        <v>861</v>
      </c>
      <c r="G2" s="58"/>
      <c r="H2" s="58"/>
      <c r="I2" s="58"/>
      <c r="J2" s="58"/>
      <c r="K2" s="58"/>
      <c r="L2" s="58"/>
      <c r="M2" s="58"/>
      <c r="N2" s="58"/>
      <c r="O2" s="58"/>
      <c r="P2" s="58"/>
      <c r="Q2" s="58"/>
      <c r="R2" s="58"/>
      <c r="S2" s="58"/>
      <c r="T2" s="58"/>
      <c r="U2" s="58"/>
      <c r="V2" s="58"/>
      <c r="W2" s="58"/>
      <c r="X2" s="58"/>
      <c r="Y2" s="58"/>
    </row>
    <row r="3">
      <c r="A3" s="863" t="s">
        <v>862</v>
      </c>
      <c r="B3" s="864" t="s">
        <v>863</v>
      </c>
      <c r="C3" s="57"/>
      <c r="D3" s="865"/>
      <c r="E3" s="289">
        <v>199.0</v>
      </c>
      <c r="F3" s="95" t="s">
        <v>864</v>
      </c>
    </row>
    <row r="4">
      <c r="A4" s="866" t="s">
        <v>865</v>
      </c>
      <c r="B4" s="867" t="s">
        <v>866</v>
      </c>
      <c r="C4" s="57"/>
      <c r="D4" s="868"/>
      <c r="E4" s="231">
        <v>743.0</v>
      </c>
    </row>
    <row r="5">
      <c r="A5" s="866" t="s">
        <v>867</v>
      </c>
      <c r="B5" s="867" t="s">
        <v>868</v>
      </c>
      <c r="C5" s="57"/>
      <c r="D5" s="869"/>
      <c r="E5" s="203">
        <v>100.0</v>
      </c>
    </row>
    <row r="6">
      <c r="A6" s="870" t="s">
        <v>869</v>
      </c>
      <c r="B6" s="871" t="s">
        <v>870</v>
      </c>
      <c r="C6" s="57"/>
      <c r="D6" s="872"/>
      <c r="E6" s="276">
        <f>94+1</f>
        <v>95</v>
      </c>
    </row>
    <row r="7">
      <c r="A7" s="870" t="s">
        <v>871</v>
      </c>
      <c r="B7" s="871" t="s">
        <v>872</v>
      </c>
      <c r="C7" s="57"/>
      <c r="D7" s="872"/>
      <c r="E7" s="276">
        <v>158.0</v>
      </c>
      <c r="F7" s="95"/>
    </row>
    <row r="8">
      <c r="A8" s="873" t="s">
        <v>871</v>
      </c>
      <c r="B8" s="874" t="s">
        <v>872</v>
      </c>
      <c r="C8" s="57"/>
      <c r="D8" s="875"/>
      <c r="E8" s="296">
        <v>23.0</v>
      </c>
      <c r="F8" s="95" t="s">
        <v>873</v>
      </c>
    </row>
    <row r="9">
      <c r="A9" s="876" t="s">
        <v>871</v>
      </c>
      <c r="B9" s="877" t="s">
        <v>874</v>
      </c>
      <c r="C9" s="57"/>
      <c r="D9" s="878"/>
      <c r="E9" s="279">
        <v>361.0</v>
      </c>
      <c r="F9" s="95" t="s">
        <v>875</v>
      </c>
    </row>
    <row r="10">
      <c r="A10" s="876" t="s">
        <v>871</v>
      </c>
      <c r="B10" s="877" t="s">
        <v>876</v>
      </c>
      <c r="C10" s="57"/>
      <c r="D10" s="879"/>
      <c r="E10" s="306">
        <v>396.0</v>
      </c>
      <c r="F10" s="95" t="s">
        <v>877</v>
      </c>
    </row>
    <row r="11">
      <c r="A11" s="876" t="s">
        <v>878</v>
      </c>
      <c r="B11" s="877" t="s">
        <v>879</v>
      </c>
      <c r="C11" s="57"/>
      <c r="D11" s="879"/>
      <c r="E11" s="306">
        <v>234.0</v>
      </c>
      <c r="F11" s="95"/>
    </row>
    <row r="12">
      <c r="A12" s="873" t="s">
        <v>878</v>
      </c>
      <c r="B12" s="874" t="s">
        <v>880</v>
      </c>
      <c r="C12" s="57"/>
      <c r="D12" s="879"/>
      <c r="E12" s="306">
        <v>39.0</v>
      </c>
      <c r="F12" s="95" t="s">
        <v>881</v>
      </c>
    </row>
    <row r="13">
      <c r="A13" s="880" t="s">
        <v>865</v>
      </c>
      <c r="B13" s="881" t="s">
        <v>882</v>
      </c>
      <c r="C13" s="57"/>
      <c r="D13" s="882"/>
      <c r="E13" s="334">
        <f>(4+21)/2*1/0.56</f>
        <v>22.32142857</v>
      </c>
      <c r="F13" s="95" t="s">
        <v>883</v>
      </c>
    </row>
    <row r="14">
      <c r="A14" s="335"/>
      <c r="B14" s="95"/>
      <c r="C14" s="57"/>
      <c r="D14" s="341"/>
      <c r="E14" s="339"/>
    </row>
    <row r="15" hidden="1">
      <c r="A15" s="191"/>
      <c r="D15" s="285"/>
    </row>
    <row r="16" hidden="1">
      <c r="A16" s="191"/>
      <c r="D16" s="285"/>
    </row>
    <row r="17" hidden="1">
      <c r="A17" s="191"/>
      <c r="D17" s="285"/>
    </row>
    <row r="18" hidden="1">
      <c r="A18" s="191"/>
      <c r="D18" s="285"/>
    </row>
    <row r="19" hidden="1">
      <c r="A19" s="191"/>
      <c r="D19" s="285"/>
    </row>
    <row r="20" hidden="1">
      <c r="A20" s="191"/>
      <c r="D20" s="285"/>
    </row>
    <row r="21" hidden="1">
      <c r="A21" s="191"/>
      <c r="D21" s="285"/>
    </row>
    <row r="22" hidden="1">
      <c r="A22" s="191"/>
      <c r="D22" s="285"/>
    </row>
    <row r="23" hidden="1">
      <c r="A23" s="191"/>
      <c r="D23" s="285"/>
    </row>
    <row r="24" hidden="1">
      <c r="A24" s="191"/>
      <c r="D24" s="285"/>
    </row>
    <row r="25" hidden="1">
      <c r="A25" s="191"/>
      <c r="D25" s="285"/>
    </row>
    <row r="26" hidden="1">
      <c r="A26" s="191"/>
      <c r="D26" s="285"/>
    </row>
    <row r="27" hidden="1">
      <c r="A27" s="191"/>
      <c r="D27" s="285"/>
    </row>
    <row r="28" hidden="1">
      <c r="A28" s="191"/>
      <c r="D28" s="285"/>
    </row>
    <row r="29" hidden="1">
      <c r="A29" s="191"/>
      <c r="D29" s="285"/>
    </row>
    <row r="30" hidden="1">
      <c r="A30" s="191"/>
      <c r="D30" s="285"/>
    </row>
    <row r="31" hidden="1">
      <c r="A31" s="191"/>
      <c r="D31" s="285"/>
    </row>
    <row r="32" hidden="1">
      <c r="A32" s="191"/>
      <c r="D32" s="285"/>
    </row>
    <row r="33" hidden="1">
      <c r="A33" s="191"/>
      <c r="D33" s="285"/>
    </row>
    <row r="34" hidden="1">
      <c r="A34" s="191"/>
      <c r="D34" s="285"/>
    </row>
    <row r="35" hidden="1">
      <c r="A35" s="191"/>
      <c r="D35" s="285"/>
    </row>
    <row r="36" hidden="1">
      <c r="A36" s="191"/>
      <c r="D36" s="285"/>
    </row>
    <row r="37" hidden="1">
      <c r="A37" s="191"/>
      <c r="D37" s="285"/>
    </row>
    <row r="38" hidden="1">
      <c r="A38" s="191"/>
      <c r="D38" s="285"/>
    </row>
    <row r="39" hidden="1">
      <c r="A39" s="191"/>
      <c r="D39" s="285"/>
    </row>
    <row r="40" hidden="1">
      <c r="A40" s="191"/>
      <c r="D40" s="285"/>
    </row>
    <row r="41" hidden="1">
      <c r="A41" s="191"/>
      <c r="D41" s="285"/>
    </row>
    <row r="42" hidden="1">
      <c r="A42" s="191"/>
      <c r="D42" s="285"/>
    </row>
    <row r="43" hidden="1">
      <c r="A43" s="58"/>
      <c r="D43" s="285"/>
    </row>
    <row r="44" hidden="1">
      <c r="A44" s="58"/>
      <c r="D44" s="285"/>
    </row>
    <row r="45" hidden="1">
      <c r="A45" s="58"/>
      <c r="D45" s="285"/>
    </row>
    <row r="46" hidden="1">
      <c r="A46" s="58"/>
      <c r="D46" s="285"/>
    </row>
    <row r="47" hidden="1">
      <c r="A47" s="58"/>
      <c r="D47" s="285"/>
    </row>
    <row r="48" hidden="1">
      <c r="A48" s="58"/>
      <c r="D48" s="285"/>
    </row>
    <row r="49" hidden="1">
      <c r="A49" s="58"/>
      <c r="D49" s="285"/>
    </row>
    <row r="50" hidden="1">
      <c r="A50" s="58"/>
      <c r="D50" s="285"/>
    </row>
    <row r="51" hidden="1">
      <c r="A51" s="58"/>
      <c r="D51" s="285"/>
    </row>
    <row r="52" hidden="1">
      <c r="A52" s="58"/>
      <c r="D52" s="285"/>
    </row>
    <row r="53" hidden="1">
      <c r="A53" s="58"/>
      <c r="D53" s="285"/>
    </row>
    <row r="54" hidden="1">
      <c r="A54" s="58"/>
      <c r="D54" s="285"/>
    </row>
    <row r="55" hidden="1">
      <c r="A55" s="58"/>
      <c r="D55" s="285"/>
    </row>
    <row r="56" hidden="1">
      <c r="A56" s="58"/>
      <c r="D56" s="285"/>
    </row>
    <row r="57" hidden="1">
      <c r="A57" s="58"/>
      <c r="D57" s="285"/>
    </row>
    <row r="58" hidden="1">
      <c r="A58" s="58"/>
      <c r="D58" s="285"/>
    </row>
    <row r="59" hidden="1">
      <c r="A59" s="58"/>
      <c r="D59" s="285"/>
    </row>
    <row r="60" hidden="1">
      <c r="A60" s="58"/>
      <c r="D60" s="285"/>
    </row>
    <row r="61" hidden="1">
      <c r="A61" s="58"/>
      <c r="D61" s="285"/>
    </row>
    <row r="62" hidden="1">
      <c r="A62" s="58"/>
      <c r="D62" s="285"/>
    </row>
    <row r="63" hidden="1">
      <c r="A63" s="58"/>
      <c r="D63" s="285"/>
    </row>
    <row r="64" hidden="1">
      <c r="A64" s="58"/>
      <c r="D64" s="285"/>
    </row>
    <row r="65" hidden="1">
      <c r="A65" s="58"/>
      <c r="D65" s="285"/>
    </row>
    <row r="66" hidden="1">
      <c r="A66" s="58"/>
      <c r="D66" s="285"/>
    </row>
    <row r="67" hidden="1">
      <c r="A67" s="58"/>
      <c r="D67" s="285"/>
    </row>
    <row r="68" hidden="1">
      <c r="A68" s="58"/>
      <c r="D68" s="285"/>
    </row>
    <row r="69" hidden="1">
      <c r="A69" s="58"/>
      <c r="D69" s="285"/>
    </row>
    <row r="70" hidden="1">
      <c r="A70" s="58"/>
      <c r="D70" s="285"/>
    </row>
    <row r="71" hidden="1">
      <c r="A71" s="58"/>
      <c r="D71" s="285"/>
    </row>
    <row r="72" hidden="1">
      <c r="A72" s="58"/>
      <c r="D72" s="285"/>
    </row>
    <row r="73" hidden="1">
      <c r="A73" s="58"/>
      <c r="D73" s="285"/>
    </row>
    <row r="74" hidden="1">
      <c r="A74" s="58"/>
      <c r="D74" s="285"/>
    </row>
    <row r="75" hidden="1">
      <c r="A75" s="58"/>
      <c r="D75" s="285"/>
    </row>
    <row r="76" hidden="1">
      <c r="A76" s="58"/>
      <c r="D76" s="285"/>
    </row>
    <row r="77" hidden="1">
      <c r="A77" s="58"/>
      <c r="D77" s="285"/>
    </row>
    <row r="78" hidden="1">
      <c r="A78" s="58"/>
      <c r="D78" s="285"/>
    </row>
    <row r="79" hidden="1">
      <c r="A79" s="58"/>
      <c r="D79" s="285"/>
    </row>
    <row r="80" hidden="1">
      <c r="A80" s="58"/>
      <c r="D80" s="285"/>
    </row>
    <row r="81" hidden="1">
      <c r="A81" s="58"/>
      <c r="D81" s="285"/>
    </row>
    <row r="82" hidden="1">
      <c r="A82" s="58"/>
      <c r="D82" s="285"/>
    </row>
    <row r="83" hidden="1">
      <c r="A83" s="58"/>
      <c r="D83" s="285"/>
    </row>
    <row r="84" hidden="1">
      <c r="A84" s="58"/>
      <c r="D84" s="285"/>
    </row>
    <row r="85" hidden="1">
      <c r="A85" s="58"/>
      <c r="D85" s="285"/>
    </row>
    <row r="86" hidden="1">
      <c r="A86" s="58"/>
      <c r="D86" s="285"/>
    </row>
    <row r="87" hidden="1">
      <c r="A87" s="58"/>
      <c r="D87" s="285"/>
    </row>
    <row r="88" hidden="1">
      <c r="A88" s="58"/>
      <c r="D88" s="285"/>
    </row>
    <row r="89" hidden="1">
      <c r="A89" s="58"/>
      <c r="D89" s="285"/>
    </row>
    <row r="90" hidden="1">
      <c r="A90" s="58"/>
      <c r="D90" s="285"/>
    </row>
    <row r="91" hidden="1">
      <c r="A91" s="58"/>
      <c r="D91" s="285"/>
    </row>
    <row r="92" hidden="1">
      <c r="A92" s="58"/>
      <c r="D92" s="285"/>
    </row>
    <row r="93" hidden="1">
      <c r="A93" s="58"/>
      <c r="D93" s="285"/>
    </row>
    <row r="94" hidden="1">
      <c r="A94" s="58"/>
      <c r="D94" s="285"/>
    </row>
    <row r="95" hidden="1">
      <c r="A95" s="58"/>
      <c r="D95" s="285"/>
    </row>
    <row r="96" hidden="1">
      <c r="A96" s="58"/>
      <c r="D96" s="285"/>
    </row>
    <row r="97" hidden="1">
      <c r="A97" s="58"/>
      <c r="D97" s="285"/>
    </row>
    <row r="98" hidden="1">
      <c r="A98" s="58"/>
      <c r="D98" s="285"/>
    </row>
    <row r="99" hidden="1">
      <c r="A99" s="58"/>
      <c r="D99" s="285"/>
    </row>
    <row r="100" hidden="1">
      <c r="A100" s="58"/>
      <c r="D100" s="285"/>
    </row>
    <row r="101" hidden="1">
      <c r="A101" s="58"/>
      <c r="D101" s="285"/>
    </row>
    <row r="102" hidden="1">
      <c r="A102" s="58"/>
      <c r="D102" s="285"/>
    </row>
    <row r="103" hidden="1">
      <c r="A103" s="58"/>
      <c r="D103" s="285"/>
    </row>
    <row r="104" hidden="1">
      <c r="A104" s="58"/>
      <c r="D104" s="285"/>
    </row>
    <row r="105" hidden="1">
      <c r="A105" s="58"/>
      <c r="D105" s="285"/>
    </row>
    <row r="106" hidden="1">
      <c r="A106" s="58"/>
      <c r="D106" s="285"/>
    </row>
    <row r="107" hidden="1">
      <c r="A107" s="58"/>
      <c r="D107" s="285"/>
    </row>
    <row r="108" hidden="1">
      <c r="A108" s="58"/>
      <c r="D108" s="285"/>
    </row>
    <row r="109" hidden="1">
      <c r="A109" s="58"/>
      <c r="D109" s="285"/>
    </row>
    <row r="110" hidden="1">
      <c r="A110" s="58"/>
      <c r="D110" s="285"/>
    </row>
    <row r="111" hidden="1">
      <c r="A111" s="58"/>
      <c r="D111" s="285"/>
    </row>
    <row r="112" hidden="1">
      <c r="A112" s="58"/>
      <c r="D112" s="285"/>
    </row>
    <row r="113" hidden="1">
      <c r="A113" s="58"/>
      <c r="D113" s="285"/>
    </row>
    <row r="114" hidden="1">
      <c r="A114" s="58"/>
      <c r="D114" s="285"/>
    </row>
    <row r="115" hidden="1">
      <c r="A115" s="58"/>
      <c r="D115" s="285"/>
    </row>
    <row r="116" hidden="1">
      <c r="A116" s="58"/>
      <c r="D116" s="285"/>
    </row>
    <row r="117" hidden="1">
      <c r="A117" s="58"/>
      <c r="D117" s="285"/>
    </row>
    <row r="118" hidden="1">
      <c r="A118" s="58"/>
      <c r="D118" s="285"/>
    </row>
    <row r="119" hidden="1">
      <c r="A119" s="58"/>
      <c r="D119" s="285"/>
    </row>
    <row r="120" hidden="1">
      <c r="A120" s="58"/>
      <c r="D120" s="285"/>
    </row>
    <row r="121" hidden="1">
      <c r="A121" s="58"/>
      <c r="D121" s="285"/>
    </row>
    <row r="122" hidden="1">
      <c r="A122" s="58"/>
      <c r="D122" s="285"/>
    </row>
    <row r="123" hidden="1">
      <c r="A123" s="58"/>
      <c r="D123" s="285"/>
    </row>
    <row r="124" hidden="1">
      <c r="A124" s="58"/>
      <c r="D124" s="285"/>
    </row>
    <row r="125" hidden="1">
      <c r="A125" s="58"/>
      <c r="D125" s="285"/>
    </row>
    <row r="126" hidden="1">
      <c r="A126" s="58"/>
      <c r="D126" s="285"/>
    </row>
    <row r="127" hidden="1">
      <c r="A127" s="58"/>
      <c r="D127" s="285"/>
    </row>
    <row r="128" hidden="1">
      <c r="A128" s="58"/>
      <c r="D128" s="285"/>
    </row>
    <row r="129" hidden="1">
      <c r="A129" s="58"/>
      <c r="D129" s="285"/>
    </row>
    <row r="130" hidden="1">
      <c r="A130" s="58"/>
      <c r="D130" s="285"/>
    </row>
    <row r="131" hidden="1">
      <c r="A131" s="58"/>
      <c r="D131" s="285"/>
    </row>
    <row r="132" hidden="1">
      <c r="A132" s="58"/>
      <c r="D132" s="285"/>
    </row>
    <row r="133" hidden="1">
      <c r="A133" s="58"/>
      <c r="D133" s="285"/>
    </row>
    <row r="134" hidden="1">
      <c r="A134" s="58"/>
      <c r="D134" s="285"/>
    </row>
    <row r="135" hidden="1">
      <c r="A135" s="58"/>
      <c r="D135" s="285"/>
    </row>
    <row r="136" hidden="1">
      <c r="A136" s="58"/>
      <c r="D136" s="285"/>
    </row>
    <row r="137" hidden="1">
      <c r="A137" s="58"/>
      <c r="D137" s="285"/>
    </row>
    <row r="138" hidden="1">
      <c r="A138" s="58"/>
      <c r="D138" s="285"/>
    </row>
    <row r="139" hidden="1">
      <c r="A139" s="58"/>
      <c r="D139" s="285"/>
    </row>
    <row r="140" hidden="1">
      <c r="A140" s="58"/>
      <c r="D140" s="285"/>
    </row>
    <row r="141" hidden="1">
      <c r="A141" s="58"/>
      <c r="D141" s="285"/>
    </row>
    <row r="142" hidden="1">
      <c r="A142" s="58"/>
      <c r="D142" s="285"/>
    </row>
    <row r="143" hidden="1">
      <c r="A143" s="58"/>
      <c r="D143" s="285"/>
    </row>
    <row r="144" hidden="1">
      <c r="A144" s="58"/>
      <c r="D144" s="285"/>
    </row>
    <row r="145" hidden="1">
      <c r="A145" s="58"/>
      <c r="D145" s="285"/>
    </row>
    <row r="146" hidden="1">
      <c r="A146" s="58"/>
      <c r="D146" s="285"/>
    </row>
    <row r="147" hidden="1">
      <c r="A147" s="58"/>
      <c r="D147" s="285"/>
    </row>
    <row r="148" hidden="1">
      <c r="A148" s="58"/>
      <c r="D148" s="285"/>
    </row>
    <row r="149" hidden="1">
      <c r="A149" s="58"/>
      <c r="D149" s="285"/>
    </row>
    <row r="150" hidden="1">
      <c r="A150" s="58"/>
      <c r="D150" s="285"/>
    </row>
    <row r="151" hidden="1">
      <c r="A151" s="58"/>
      <c r="D151" s="285"/>
    </row>
    <row r="152" hidden="1">
      <c r="A152" s="58"/>
      <c r="D152" s="285"/>
    </row>
    <row r="153" hidden="1">
      <c r="A153" s="58"/>
      <c r="D153" s="285"/>
    </row>
    <row r="154" hidden="1">
      <c r="A154" s="58"/>
      <c r="D154" s="285"/>
    </row>
    <row r="155" hidden="1">
      <c r="A155" s="58"/>
      <c r="D155" s="285"/>
    </row>
    <row r="156" hidden="1">
      <c r="A156" s="58"/>
      <c r="D156" s="285"/>
    </row>
    <row r="157" hidden="1">
      <c r="A157" s="58"/>
      <c r="D157" s="285"/>
    </row>
    <row r="158" hidden="1">
      <c r="A158" s="58"/>
      <c r="D158" s="285"/>
    </row>
    <row r="159" hidden="1">
      <c r="A159" s="58"/>
      <c r="D159" s="285"/>
    </row>
    <row r="160" hidden="1">
      <c r="A160" s="58"/>
      <c r="D160" s="285"/>
    </row>
    <row r="161" hidden="1">
      <c r="A161" s="58"/>
      <c r="D161" s="285"/>
    </row>
    <row r="162" hidden="1">
      <c r="A162" s="58"/>
      <c r="D162" s="285"/>
    </row>
    <row r="163" hidden="1">
      <c r="A163" s="58"/>
      <c r="D163" s="285"/>
    </row>
    <row r="164" hidden="1">
      <c r="A164" s="58"/>
      <c r="D164" s="285"/>
    </row>
    <row r="165" hidden="1">
      <c r="A165" s="58"/>
      <c r="D165" s="285"/>
    </row>
    <row r="166" hidden="1">
      <c r="A166" s="58"/>
      <c r="D166" s="285"/>
    </row>
    <row r="167" hidden="1">
      <c r="A167" s="58"/>
      <c r="D167" s="285"/>
    </row>
    <row r="168" hidden="1">
      <c r="A168" s="58"/>
      <c r="D168" s="285"/>
    </row>
    <row r="169" hidden="1">
      <c r="A169" s="58"/>
      <c r="D169" s="285"/>
    </row>
    <row r="170" hidden="1">
      <c r="A170" s="58"/>
      <c r="D170" s="285"/>
    </row>
    <row r="171" hidden="1">
      <c r="A171" s="58"/>
      <c r="D171" s="285"/>
    </row>
    <row r="172" hidden="1">
      <c r="A172" s="58"/>
      <c r="D172" s="285"/>
    </row>
    <row r="173" hidden="1">
      <c r="A173" s="58"/>
      <c r="D173" s="285"/>
    </row>
    <row r="174" hidden="1">
      <c r="A174" s="58"/>
      <c r="D174" s="285"/>
    </row>
    <row r="175" hidden="1">
      <c r="A175" s="58"/>
      <c r="D175" s="285"/>
    </row>
    <row r="176" hidden="1">
      <c r="A176" s="58"/>
      <c r="D176" s="285"/>
    </row>
    <row r="177" hidden="1">
      <c r="A177" s="58"/>
      <c r="D177" s="285"/>
    </row>
    <row r="178" hidden="1">
      <c r="A178" s="58"/>
      <c r="D178" s="285"/>
    </row>
    <row r="179" hidden="1">
      <c r="A179" s="58"/>
      <c r="D179" s="285"/>
    </row>
    <row r="180" hidden="1">
      <c r="A180" s="58"/>
      <c r="D180" s="285"/>
    </row>
    <row r="181" hidden="1">
      <c r="A181" s="58"/>
      <c r="D181" s="285"/>
    </row>
    <row r="182" hidden="1">
      <c r="A182" s="58"/>
      <c r="D182" s="285"/>
    </row>
    <row r="183" hidden="1">
      <c r="A183" s="58"/>
      <c r="D183" s="285"/>
    </row>
    <row r="184" hidden="1">
      <c r="A184" s="58"/>
      <c r="D184" s="285"/>
    </row>
    <row r="185" hidden="1">
      <c r="A185" s="58"/>
      <c r="D185" s="285"/>
    </row>
    <row r="186" hidden="1">
      <c r="A186" s="58"/>
      <c r="D186" s="285"/>
    </row>
    <row r="187" hidden="1">
      <c r="A187" s="58"/>
      <c r="D187" s="285"/>
    </row>
    <row r="188" hidden="1">
      <c r="A188" s="58"/>
      <c r="D188" s="285"/>
    </row>
    <row r="189" hidden="1">
      <c r="A189" s="58"/>
      <c r="D189" s="285"/>
    </row>
    <row r="190" hidden="1">
      <c r="A190" s="58"/>
      <c r="D190" s="285"/>
    </row>
    <row r="191" hidden="1">
      <c r="A191" s="58"/>
      <c r="D191" s="285"/>
    </row>
    <row r="192" hidden="1">
      <c r="A192" s="58"/>
      <c r="D192" s="285"/>
    </row>
    <row r="193" hidden="1">
      <c r="A193" s="58"/>
      <c r="D193" s="285"/>
    </row>
    <row r="194" hidden="1">
      <c r="A194" s="58"/>
      <c r="D194" s="285"/>
    </row>
    <row r="195" hidden="1">
      <c r="A195" s="58"/>
      <c r="D195" s="285"/>
    </row>
    <row r="196" hidden="1">
      <c r="A196" s="58"/>
      <c r="D196" s="285"/>
    </row>
    <row r="197" hidden="1">
      <c r="A197" s="58"/>
      <c r="D197" s="285"/>
    </row>
    <row r="198" hidden="1">
      <c r="A198" s="58"/>
      <c r="D198" s="285"/>
    </row>
    <row r="199" hidden="1">
      <c r="A199" s="58"/>
      <c r="D199" s="285"/>
    </row>
    <row r="200" hidden="1">
      <c r="A200" s="58"/>
      <c r="D200" s="285"/>
    </row>
    <row r="201" hidden="1">
      <c r="A201" s="58"/>
      <c r="D201" s="285"/>
    </row>
    <row r="202" hidden="1">
      <c r="A202" s="58"/>
      <c r="D202" s="285"/>
    </row>
    <row r="203" hidden="1">
      <c r="A203" s="58"/>
      <c r="D203" s="285"/>
    </row>
    <row r="204" hidden="1">
      <c r="A204" s="58"/>
      <c r="D204" s="285"/>
    </row>
    <row r="205" hidden="1">
      <c r="A205" s="58"/>
      <c r="D205" s="285"/>
    </row>
    <row r="206" hidden="1">
      <c r="A206" s="58"/>
      <c r="D206" s="285"/>
    </row>
    <row r="207" hidden="1">
      <c r="A207" s="58"/>
      <c r="D207" s="285"/>
    </row>
    <row r="208" hidden="1">
      <c r="A208" s="58"/>
      <c r="D208" s="285"/>
    </row>
    <row r="209" hidden="1">
      <c r="A209" s="58"/>
      <c r="D209" s="285"/>
    </row>
    <row r="210" hidden="1">
      <c r="A210" s="58"/>
      <c r="D210" s="285"/>
    </row>
    <row r="211" hidden="1">
      <c r="A211" s="58"/>
      <c r="D211" s="285"/>
    </row>
    <row r="212" hidden="1">
      <c r="A212" s="58"/>
      <c r="D212" s="285"/>
    </row>
    <row r="213" hidden="1">
      <c r="A213" s="58"/>
      <c r="D213" s="285"/>
    </row>
    <row r="214" hidden="1">
      <c r="A214" s="58"/>
      <c r="D214" s="285"/>
    </row>
    <row r="215" hidden="1">
      <c r="A215" s="58"/>
      <c r="D215" s="285"/>
    </row>
    <row r="216" hidden="1">
      <c r="A216" s="58"/>
      <c r="D216" s="285"/>
    </row>
    <row r="217" hidden="1">
      <c r="A217" s="58"/>
      <c r="D217" s="285"/>
    </row>
    <row r="218" hidden="1">
      <c r="A218" s="58"/>
      <c r="D218" s="285"/>
    </row>
    <row r="219" hidden="1">
      <c r="A219" s="58"/>
      <c r="D219" s="285"/>
    </row>
    <row r="220" hidden="1">
      <c r="A220" s="58"/>
      <c r="D220" s="285"/>
    </row>
    <row r="221" hidden="1">
      <c r="A221" s="58"/>
      <c r="D221" s="285"/>
    </row>
    <row r="222" hidden="1">
      <c r="A222" s="58"/>
      <c r="D222" s="285"/>
    </row>
    <row r="223" hidden="1">
      <c r="A223" s="58"/>
      <c r="D223" s="285"/>
    </row>
    <row r="224" hidden="1">
      <c r="A224" s="58"/>
      <c r="D224" s="285"/>
    </row>
    <row r="225" hidden="1">
      <c r="A225" s="58"/>
      <c r="D225" s="285"/>
    </row>
    <row r="226" hidden="1">
      <c r="A226" s="58"/>
      <c r="D226" s="285"/>
    </row>
    <row r="227" hidden="1">
      <c r="A227" s="58"/>
      <c r="D227" s="285"/>
    </row>
    <row r="228" hidden="1">
      <c r="A228" s="58"/>
      <c r="D228" s="285"/>
    </row>
    <row r="229" hidden="1">
      <c r="A229" s="58"/>
      <c r="D229" s="285"/>
    </row>
    <row r="230" hidden="1">
      <c r="A230" s="58"/>
      <c r="D230" s="285"/>
    </row>
    <row r="231" hidden="1">
      <c r="A231" s="58"/>
      <c r="D231" s="285"/>
    </row>
    <row r="232" hidden="1">
      <c r="A232" s="58"/>
      <c r="D232" s="285"/>
    </row>
    <row r="233" hidden="1">
      <c r="A233" s="58"/>
      <c r="D233" s="285"/>
    </row>
    <row r="234" hidden="1">
      <c r="A234" s="58"/>
      <c r="D234" s="285"/>
    </row>
    <row r="235" hidden="1">
      <c r="A235" s="58"/>
      <c r="D235" s="285"/>
    </row>
    <row r="236" hidden="1">
      <c r="A236" s="58"/>
      <c r="D236" s="285"/>
    </row>
    <row r="237" hidden="1">
      <c r="A237" s="58"/>
      <c r="D237" s="285"/>
    </row>
    <row r="238" hidden="1">
      <c r="A238" s="58"/>
      <c r="D238" s="285"/>
    </row>
    <row r="239" hidden="1">
      <c r="A239" s="58"/>
      <c r="D239" s="285"/>
    </row>
    <row r="240" hidden="1">
      <c r="A240" s="58"/>
      <c r="D240" s="285"/>
    </row>
    <row r="241" hidden="1">
      <c r="A241" s="58"/>
      <c r="D241" s="285"/>
    </row>
    <row r="242" hidden="1">
      <c r="A242" s="58"/>
      <c r="D242" s="285"/>
    </row>
    <row r="243" hidden="1">
      <c r="A243" s="58"/>
      <c r="D243" s="285"/>
    </row>
    <row r="244" hidden="1">
      <c r="A244" s="58"/>
      <c r="D244" s="285"/>
    </row>
    <row r="245" hidden="1">
      <c r="A245" s="58"/>
      <c r="D245" s="285"/>
    </row>
    <row r="246" hidden="1">
      <c r="A246" s="58"/>
      <c r="D246" s="285"/>
    </row>
    <row r="247" hidden="1">
      <c r="A247" s="58"/>
      <c r="D247" s="285"/>
    </row>
    <row r="248" hidden="1">
      <c r="A248" s="58"/>
      <c r="D248" s="285"/>
    </row>
    <row r="249" hidden="1">
      <c r="A249" s="58"/>
      <c r="D249" s="285"/>
    </row>
    <row r="250" hidden="1">
      <c r="A250" s="58"/>
      <c r="D250" s="285"/>
    </row>
    <row r="251" hidden="1">
      <c r="A251" s="58"/>
      <c r="D251" s="285"/>
    </row>
    <row r="252" hidden="1">
      <c r="A252" s="58"/>
      <c r="D252" s="285"/>
    </row>
    <row r="253" hidden="1">
      <c r="A253" s="58"/>
      <c r="D253" s="285"/>
    </row>
    <row r="254" hidden="1">
      <c r="A254" s="58"/>
      <c r="D254" s="285"/>
    </row>
    <row r="255" hidden="1">
      <c r="A255" s="58"/>
      <c r="D255" s="285"/>
    </row>
    <row r="256" hidden="1">
      <c r="A256" s="58"/>
      <c r="D256" s="285"/>
    </row>
    <row r="257" hidden="1">
      <c r="A257" s="58"/>
      <c r="D257" s="285"/>
    </row>
    <row r="258" hidden="1">
      <c r="A258" s="58"/>
      <c r="D258" s="285"/>
    </row>
    <row r="259" hidden="1">
      <c r="A259" s="58"/>
      <c r="D259" s="285"/>
    </row>
    <row r="260" hidden="1">
      <c r="A260" s="58"/>
      <c r="D260" s="285"/>
    </row>
    <row r="261" hidden="1">
      <c r="A261" s="58"/>
      <c r="D261" s="285"/>
    </row>
    <row r="262" hidden="1">
      <c r="A262" s="58"/>
      <c r="D262" s="285"/>
    </row>
    <row r="263" hidden="1">
      <c r="A263" s="58"/>
      <c r="D263" s="285"/>
    </row>
    <row r="264" hidden="1">
      <c r="A264" s="58"/>
      <c r="D264" s="285"/>
    </row>
    <row r="265" hidden="1">
      <c r="A265" s="58"/>
      <c r="D265" s="285"/>
    </row>
    <row r="266" hidden="1">
      <c r="A266" s="58"/>
      <c r="D266" s="285"/>
    </row>
    <row r="267" hidden="1">
      <c r="A267" s="58"/>
      <c r="D267" s="285"/>
    </row>
    <row r="268" hidden="1">
      <c r="A268" s="58"/>
      <c r="D268" s="285"/>
    </row>
    <row r="269" hidden="1">
      <c r="A269" s="58"/>
      <c r="D269" s="285"/>
    </row>
    <row r="270" hidden="1">
      <c r="A270" s="58"/>
      <c r="D270" s="285"/>
    </row>
    <row r="271" hidden="1">
      <c r="A271" s="58"/>
      <c r="D271" s="285"/>
    </row>
    <row r="272" hidden="1">
      <c r="A272" s="58"/>
      <c r="D272" s="285"/>
    </row>
    <row r="273" hidden="1">
      <c r="A273" s="58"/>
      <c r="D273" s="285"/>
    </row>
    <row r="274" hidden="1">
      <c r="A274" s="58"/>
      <c r="D274" s="285"/>
    </row>
    <row r="275" hidden="1">
      <c r="A275" s="58"/>
      <c r="D275" s="285"/>
    </row>
    <row r="276" hidden="1">
      <c r="A276" s="58"/>
      <c r="D276" s="285"/>
    </row>
    <row r="277" hidden="1">
      <c r="A277" s="58"/>
      <c r="D277" s="285"/>
    </row>
    <row r="278" hidden="1">
      <c r="A278" s="58"/>
      <c r="D278" s="285"/>
    </row>
    <row r="279" hidden="1">
      <c r="A279" s="58"/>
      <c r="D279" s="285"/>
    </row>
    <row r="280" hidden="1">
      <c r="A280" s="58"/>
      <c r="D280" s="285"/>
    </row>
    <row r="281" hidden="1">
      <c r="A281" s="58"/>
      <c r="D281" s="285"/>
    </row>
    <row r="282" hidden="1">
      <c r="A282" s="58"/>
      <c r="D282" s="285"/>
    </row>
    <row r="283" hidden="1">
      <c r="A283" s="58"/>
      <c r="D283" s="285"/>
    </row>
    <row r="284" hidden="1">
      <c r="A284" s="58"/>
      <c r="D284" s="285"/>
    </row>
    <row r="285" hidden="1">
      <c r="A285" s="58"/>
      <c r="D285" s="285"/>
    </row>
    <row r="286" hidden="1">
      <c r="A286" s="58"/>
      <c r="D286" s="285"/>
    </row>
    <row r="287" hidden="1">
      <c r="A287" s="58"/>
      <c r="D287" s="285"/>
    </row>
    <row r="288" hidden="1">
      <c r="A288" s="58"/>
      <c r="D288" s="285"/>
    </row>
    <row r="289" hidden="1">
      <c r="A289" s="58"/>
      <c r="D289" s="285"/>
    </row>
    <row r="290" hidden="1">
      <c r="A290" s="58"/>
      <c r="D290" s="285"/>
    </row>
    <row r="291" hidden="1">
      <c r="A291" s="58"/>
      <c r="D291" s="285"/>
    </row>
    <row r="292" hidden="1">
      <c r="A292" s="58"/>
      <c r="D292" s="285"/>
    </row>
    <row r="293" hidden="1">
      <c r="A293" s="58"/>
      <c r="D293" s="285"/>
    </row>
    <row r="294" hidden="1">
      <c r="A294" s="58"/>
      <c r="D294" s="285"/>
    </row>
    <row r="295" hidden="1">
      <c r="A295" s="58"/>
      <c r="D295" s="285"/>
    </row>
    <row r="296" hidden="1">
      <c r="A296" s="58"/>
      <c r="D296" s="285"/>
    </row>
    <row r="297" hidden="1">
      <c r="A297" s="58"/>
      <c r="D297" s="285"/>
    </row>
    <row r="298" hidden="1">
      <c r="A298" s="58"/>
      <c r="D298" s="285"/>
    </row>
    <row r="299" hidden="1">
      <c r="A299" s="58"/>
      <c r="D299" s="285"/>
    </row>
    <row r="300" hidden="1">
      <c r="A300" s="58"/>
      <c r="D300" s="285"/>
    </row>
    <row r="301" hidden="1">
      <c r="A301" s="58"/>
      <c r="D301" s="285"/>
    </row>
    <row r="302" hidden="1">
      <c r="A302" s="58"/>
      <c r="D302" s="285"/>
    </row>
    <row r="303" hidden="1">
      <c r="A303" s="58"/>
      <c r="D303" s="285"/>
    </row>
    <row r="304" hidden="1">
      <c r="A304" s="58"/>
      <c r="D304" s="285"/>
    </row>
    <row r="305" hidden="1">
      <c r="A305" s="58"/>
      <c r="D305" s="285"/>
    </row>
    <row r="306" hidden="1">
      <c r="A306" s="58"/>
      <c r="D306" s="285"/>
    </row>
    <row r="307" hidden="1">
      <c r="A307" s="58"/>
      <c r="D307" s="285"/>
    </row>
    <row r="308" hidden="1">
      <c r="A308" s="58"/>
      <c r="D308" s="285"/>
    </row>
    <row r="309" hidden="1">
      <c r="A309" s="58"/>
      <c r="D309" s="285"/>
    </row>
    <row r="310" hidden="1">
      <c r="A310" s="58"/>
      <c r="D310" s="285"/>
    </row>
    <row r="311" hidden="1">
      <c r="A311" s="58"/>
      <c r="D311" s="285"/>
    </row>
    <row r="312" hidden="1">
      <c r="A312" s="58"/>
      <c r="D312" s="285"/>
    </row>
    <row r="313" hidden="1">
      <c r="A313" s="58"/>
      <c r="D313" s="285"/>
    </row>
    <row r="314" hidden="1">
      <c r="A314" s="58"/>
      <c r="D314" s="285"/>
    </row>
    <row r="315" hidden="1">
      <c r="A315" s="58"/>
      <c r="D315" s="285"/>
    </row>
    <row r="316" hidden="1">
      <c r="A316" s="58"/>
      <c r="D316" s="285"/>
    </row>
    <row r="317" hidden="1">
      <c r="A317" s="58"/>
      <c r="D317" s="285"/>
    </row>
    <row r="318" hidden="1">
      <c r="A318" s="58"/>
      <c r="D318" s="285"/>
    </row>
    <row r="319" hidden="1">
      <c r="A319" s="58"/>
      <c r="D319" s="285"/>
    </row>
    <row r="320" hidden="1">
      <c r="A320" s="58"/>
      <c r="D320" s="285"/>
    </row>
    <row r="321" hidden="1">
      <c r="A321" s="58"/>
      <c r="D321" s="285"/>
    </row>
    <row r="322" hidden="1">
      <c r="A322" s="58"/>
      <c r="D322" s="285"/>
    </row>
    <row r="323" hidden="1">
      <c r="A323" s="58"/>
      <c r="D323" s="285"/>
    </row>
    <row r="324" hidden="1">
      <c r="A324" s="58"/>
      <c r="D324" s="285"/>
    </row>
    <row r="325" hidden="1">
      <c r="A325" s="58"/>
      <c r="D325" s="285"/>
    </row>
    <row r="326" hidden="1">
      <c r="A326" s="58"/>
      <c r="D326" s="285"/>
    </row>
    <row r="327" hidden="1">
      <c r="A327" s="58"/>
      <c r="D327" s="285"/>
    </row>
    <row r="328" hidden="1">
      <c r="A328" s="58"/>
      <c r="D328" s="285"/>
    </row>
    <row r="329" hidden="1">
      <c r="A329" s="58"/>
      <c r="D329" s="285"/>
    </row>
    <row r="330" hidden="1">
      <c r="A330" s="58"/>
      <c r="D330" s="285"/>
    </row>
    <row r="331" hidden="1">
      <c r="A331" s="58"/>
      <c r="D331" s="285"/>
    </row>
    <row r="332" hidden="1">
      <c r="A332" s="58"/>
      <c r="D332" s="285"/>
    </row>
    <row r="333" hidden="1">
      <c r="A333" s="58"/>
      <c r="D333" s="285"/>
    </row>
    <row r="334" hidden="1">
      <c r="A334" s="58"/>
      <c r="D334" s="285"/>
    </row>
    <row r="335" hidden="1">
      <c r="A335" s="58"/>
      <c r="D335" s="285"/>
    </row>
    <row r="336" hidden="1">
      <c r="A336" s="58"/>
      <c r="D336" s="285"/>
    </row>
    <row r="337" hidden="1">
      <c r="A337" s="58"/>
      <c r="D337" s="285"/>
    </row>
    <row r="338" hidden="1">
      <c r="A338" s="58"/>
      <c r="D338" s="285"/>
    </row>
    <row r="339" hidden="1">
      <c r="A339" s="58"/>
      <c r="D339" s="285"/>
    </row>
    <row r="340" hidden="1">
      <c r="A340" s="58"/>
      <c r="D340" s="285"/>
    </row>
    <row r="341" hidden="1">
      <c r="A341" s="58"/>
      <c r="D341" s="285"/>
    </row>
    <row r="342" hidden="1">
      <c r="A342" s="58"/>
      <c r="D342" s="285"/>
    </row>
    <row r="343" hidden="1">
      <c r="A343" s="58"/>
      <c r="D343" s="285"/>
    </row>
    <row r="344" hidden="1">
      <c r="A344" s="58"/>
      <c r="D344" s="285"/>
    </row>
    <row r="345" hidden="1">
      <c r="A345" s="58"/>
      <c r="D345" s="285"/>
    </row>
    <row r="346" hidden="1">
      <c r="A346" s="58"/>
      <c r="D346" s="285"/>
    </row>
    <row r="347" hidden="1">
      <c r="A347" s="58"/>
      <c r="D347" s="285"/>
    </row>
    <row r="348" hidden="1">
      <c r="A348" s="58"/>
      <c r="D348" s="285"/>
    </row>
    <row r="349" hidden="1">
      <c r="A349" s="58"/>
      <c r="D349" s="285"/>
    </row>
    <row r="350" hidden="1">
      <c r="A350" s="58"/>
      <c r="D350" s="285"/>
    </row>
    <row r="351" hidden="1">
      <c r="A351" s="58"/>
      <c r="D351" s="285"/>
    </row>
    <row r="352" hidden="1">
      <c r="A352" s="58"/>
      <c r="D352" s="285"/>
    </row>
    <row r="353" hidden="1">
      <c r="A353" s="58"/>
      <c r="D353" s="285"/>
    </row>
    <row r="354" hidden="1">
      <c r="A354" s="58"/>
      <c r="D354" s="285"/>
    </row>
    <row r="355" hidden="1">
      <c r="A355" s="58"/>
      <c r="D355" s="285"/>
    </row>
    <row r="356" hidden="1">
      <c r="A356" s="58"/>
      <c r="D356" s="285"/>
    </row>
    <row r="357" hidden="1">
      <c r="A357" s="58"/>
      <c r="D357" s="285"/>
    </row>
    <row r="358" hidden="1">
      <c r="A358" s="58"/>
      <c r="D358" s="285"/>
    </row>
    <row r="359" hidden="1">
      <c r="A359" s="58"/>
      <c r="D359" s="285"/>
    </row>
    <row r="360" hidden="1">
      <c r="A360" s="58"/>
      <c r="D360" s="285"/>
    </row>
    <row r="361" hidden="1">
      <c r="A361" s="58"/>
      <c r="D361" s="285"/>
    </row>
    <row r="362" hidden="1">
      <c r="A362" s="58"/>
      <c r="D362" s="285"/>
    </row>
    <row r="363" hidden="1">
      <c r="A363" s="58"/>
      <c r="D363" s="285"/>
    </row>
    <row r="364" hidden="1">
      <c r="A364" s="58"/>
      <c r="D364" s="285"/>
    </row>
    <row r="365" hidden="1">
      <c r="A365" s="58"/>
      <c r="D365" s="285"/>
    </row>
    <row r="366" hidden="1">
      <c r="A366" s="58"/>
      <c r="D366" s="285"/>
    </row>
    <row r="367" hidden="1">
      <c r="A367" s="58"/>
      <c r="D367" s="285"/>
    </row>
    <row r="368" hidden="1">
      <c r="A368" s="58"/>
      <c r="D368" s="285"/>
    </row>
    <row r="369" hidden="1">
      <c r="A369" s="58"/>
      <c r="D369" s="285"/>
    </row>
    <row r="370" hidden="1">
      <c r="A370" s="58"/>
      <c r="D370" s="285"/>
    </row>
    <row r="371" hidden="1">
      <c r="A371" s="58"/>
      <c r="D371" s="285"/>
    </row>
    <row r="372" hidden="1">
      <c r="A372" s="58"/>
      <c r="D372" s="285"/>
    </row>
    <row r="373" hidden="1">
      <c r="A373" s="58"/>
      <c r="D373" s="285"/>
    </row>
    <row r="374" hidden="1">
      <c r="A374" s="58"/>
      <c r="D374" s="285"/>
    </row>
    <row r="375" hidden="1">
      <c r="A375" s="58"/>
      <c r="D375" s="285"/>
    </row>
    <row r="376" hidden="1">
      <c r="A376" s="58"/>
      <c r="D376" s="285"/>
    </row>
    <row r="377" hidden="1">
      <c r="A377" s="58"/>
      <c r="D377" s="285"/>
    </row>
    <row r="378" hidden="1">
      <c r="A378" s="58"/>
      <c r="D378" s="285"/>
    </row>
    <row r="379" hidden="1">
      <c r="A379" s="58"/>
      <c r="D379" s="285"/>
    </row>
    <row r="380" hidden="1">
      <c r="A380" s="58"/>
      <c r="D380" s="285"/>
    </row>
    <row r="381" hidden="1">
      <c r="A381" s="58"/>
      <c r="D381" s="285"/>
    </row>
    <row r="382" hidden="1">
      <c r="A382" s="58"/>
      <c r="D382" s="285"/>
    </row>
    <row r="383" hidden="1">
      <c r="A383" s="58"/>
      <c r="D383" s="285"/>
    </row>
    <row r="384" hidden="1">
      <c r="A384" s="58"/>
      <c r="D384" s="285"/>
    </row>
    <row r="385" hidden="1">
      <c r="A385" s="58"/>
      <c r="D385" s="285"/>
    </row>
    <row r="386" hidden="1">
      <c r="A386" s="58"/>
      <c r="D386" s="285"/>
    </row>
    <row r="387" hidden="1">
      <c r="A387" s="58"/>
      <c r="D387" s="285"/>
    </row>
    <row r="388" hidden="1">
      <c r="A388" s="58"/>
      <c r="D388" s="285"/>
    </row>
    <row r="389" hidden="1">
      <c r="A389" s="58"/>
      <c r="D389" s="285"/>
    </row>
    <row r="390" hidden="1">
      <c r="A390" s="58"/>
      <c r="D390" s="285"/>
    </row>
    <row r="391" hidden="1">
      <c r="A391" s="58"/>
      <c r="D391" s="285"/>
    </row>
    <row r="392" hidden="1">
      <c r="A392" s="58"/>
      <c r="D392" s="285"/>
    </row>
    <row r="393" hidden="1">
      <c r="A393" s="58"/>
      <c r="D393" s="285"/>
    </row>
    <row r="394" hidden="1">
      <c r="A394" s="58"/>
      <c r="D394" s="285"/>
    </row>
    <row r="395" hidden="1">
      <c r="A395" s="58"/>
      <c r="D395" s="285"/>
    </row>
    <row r="396" hidden="1">
      <c r="A396" s="58"/>
      <c r="D396" s="285"/>
    </row>
    <row r="397" hidden="1">
      <c r="A397" s="58"/>
      <c r="D397" s="285"/>
    </row>
    <row r="398" hidden="1">
      <c r="A398" s="58"/>
      <c r="D398" s="285"/>
    </row>
    <row r="399" hidden="1">
      <c r="A399" s="58"/>
      <c r="D399" s="285"/>
    </row>
    <row r="400" hidden="1">
      <c r="A400" s="58"/>
      <c r="D400" s="285"/>
    </row>
    <row r="401" hidden="1">
      <c r="A401" s="58"/>
      <c r="D401" s="285"/>
    </row>
    <row r="402" hidden="1">
      <c r="A402" s="58"/>
      <c r="D402" s="285"/>
    </row>
    <row r="403" hidden="1">
      <c r="A403" s="58"/>
      <c r="D403" s="285"/>
    </row>
    <row r="404" hidden="1">
      <c r="A404" s="58"/>
      <c r="D404" s="285"/>
    </row>
    <row r="405" hidden="1">
      <c r="A405" s="58"/>
      <c r="D405" s="285"/>
    </row>
    <row r="406" hidden="1">
      <c r="A406" s="58"/>
      <c r="D406" s="285"/>
    </row>
    <row r="407" hidden="1">
      <c r="A407" s="58"/>
      <c r="D407" s="285"/>
    </row>
    <row r="408" hidden="1">
      <c r="A408" s="58"/>
      <c r="D408" s="285"/>
    </row>
    <row r="409" hidden="1">
      <c r="A409" s="58"/>
      <c r="D409" s="285"/>
    </row>
    <row r="410" hidden="1">
      <c r="A410" s="58"/>
      <c r="D410" s="285"/>
    </row>
    <row r="411" hidden="1">
      <c r="A411" s="58"/>
      <c r="D411" s="285"/>
    </row>
    <row r="412" hidden="1">
      <c r="A412" s="58"/>
      <c r="D412" s="285"/>
    </row>
    <row r="413" hidden="1">
      <c r="A413" s="58"/>
      <c r="D413" s="285"/>
    </row>
    <row r="414" hidden="1">
      <c r="A414" s="58"/>
      <c r="D414" s="285"/>
    </row>
    <row r="415" hidden="1">
      <c r="A415" s="58"/>
      <c r="D415" s="285"/>
    </row>
    <row r="416" hidden="1">
      <c r="A416" s="58"/>
      <c r="D416" s="285"/>
    </row>
    <row r="417" hidden="1">
      <c r="A417" s="58"/>
      <c r="D417" s="285"/>
    </row>
    <row r="418" hidden="1">
      <c r="A418" s="58"/>
      <c r="D418" s="285"/>
    </row>
    <row r="419" hidden="1">
      <c r="A419" s="58"/>
      <c r="D419" s="285"/>
    </row>
    <row r="420" hidden="1">
      <c r="A420" s="58"/>
      <c r="D420" s="285"/>
    </row>
    <row r="421" hidden="1">
      <c r="A421" s="58"/>
      <c r="D421" s="285"/>
    </row>
    <row r="422" hidden="1">
      <c r="A422" s="58"/>
      <c r="D422" s="285"/>
    </row>
    <row r="423" hidden="1">
      <c r="A423" s="58"/>
      <c r="D423" s="285"/>
    </row>
    <row r="424" hidden="1">
      <c r="A424" s="58"/>
      <c r="D424" s="285"/>
    </row>
    <row r="425" hidden="1">
      <c r="A425" s="58"/>
      <c r="D425" s="285"/>
    </row>
    <row r="426" hidden="1">
      <c r="A426" s="58"/>
      <c r="D426" s="285"/>
    </row>
    <row r="427" hidden="1">
      <c r="A427" s="58"/>
      <c r="D427" s="285"/>
    </row>
    <row r="428" hidden="1">
      <c r="A428" s="58"/>
      <c r="D428" s="285"/>
    </row>
    <row r="429" hidden="1">
      <c r="A429" s="58"/>
      <c r="D429" s="285"/>
    </row>
    <row r="430" hidden="1">
      <c r="A430" s="58"/>
      <c r="D430" s="285"/>
    </row>
    <row r="431" hidden="1">
      <c r="A431" s="58"/>
      <c r="D431" s="285"/>
    </row>
    <row r="432" hidden="1">
      <c r="A432" s="58"/>
      <c r="D432" s="285"/>
    </row>
    <row r="433" hidden="1">
      <c r="A433" s="58"/>
      <c r="D433" s="285"/>
    </row>
    <row r="434" hidden="1">
      <c r="A434" s="58"/>
      <c r="D434" s="285"/>
    </row>
    <row r="435" hidden="1">
      <c r="A435" s="58"/>
      <c r="D435" s="285"/>
    </row>
    <row r="436" hidden="1">
      <c r="A436" s="58"/>
      <c r="D436" s="285"/>
    </row>
    <row r="437" hidden="1">
      <c r="A437" s="58"/>
      <c r="D437" s="285"/>
    </row>
    <row r="438" hidden="1">
      <c r="A438" s="58"/>
      <c r="D438" s="285"/>
    </row>
    <row r="439" hidden="1">
      <c r="A439" s="58"/>
      <c r="D439" s="285"/>
    </row>
    <row r="440" hidden="1">
      <c r="A440" s="58"/>
      <c r="D440" s="285"/>
    </row>
    <row r="441" hidden="1">
      <c r="A441" s="58"/>
      <c r="D441" s="285"/>
    </row>
    <row r="442" hidden="1">
      <c r="A442" s="58"/>
      <c r="D442" s="285"/>
    </row>
    <row r="443" hidden="1">
      <c r="A443" s="58"/>
      <c r="D443" s="285"/>
    </row>
    <row r="444" hidden="1">
      <c r="A444" s="58"/>
      <c r="D444" s="285"/>
    </row>
    <row r="445" hidden="1">
      <c r="A445" s="58"/>
      <c r="D445" s="285"/>
    </row>
    <row r="446" hidden="1">
      <c r="A446" s="58"/>
      <c r="D446" s="285"/>
    </row>
    <row r="447" hidden="1">
      <c r="A447" s="58"/>
      <c r="D447" s="285"/>
    </row>
    <row r="448" hidden="1">
      <c r="A448" s="58"/>
      <c r="D448" s="285"/>
    </row>
    <row r="449" hidden="1">
      <c r="A449" s="58"/>
      <c r="D449" s="285"/>
    </row>
    <row r="450" hidden="1">
      <c r="A450" s="58"/>
      <c r="D450" s="285"/>
    </row>
    <row r="451" hidden="1">
      <c r="A451" s="58"/>
      <c r="D451" s="285"/>
    </row>
    <row r="452" hidden="1">
      <c r="A452" s="58"/>
      <c r="D452" s="285"/>
    </row>
    <row r="453" hidden="1">
      <c r="A453" s="58"/>
      <c r="D453" s="285"/>
    </row>
    <row r="454" hidden="1">
      <c r="A454" s="58"/>
      <c r="D454" s="285"/>
    </row>
    <row r="455" hidden="1">
      <c r="A455" s="58"/>
      <c r="D455" s="285"/>
    </row>
    <row r="456" hidden="1">
      <c r="A456" s="58"/>
      <c r="D456" s="285"/>
    </row>
    <row r="457" hidden="1">
      <c r="A457" s="58"/>
      <c r="D457" s="285"/>
    </row>
    <row r="458" hidden="1">
      <c r="A458" s="58"/>
      <c r="D458" s="285"/>
    </row>
    <row r="459" hidden="1">
      <c r="A459" s="58"/>
      <c r="D459" s="285"/>
    </row>
    <row r="460" hidden="1">
      <c r="A460" s="58"/>
      <c r="D460" s="285"/>
    </row>
    <row r="461" hidden="1">
      <c r="A461" s="58"/>
      <c r="D461" s="285"/>
    </row>
    <row r="462" hidden="1">
      <c r="A462" s="58"/>
      <c r="D462" s="285"/>
    </row>
    <row r="463" hidden="1">
      <c r="A463" s="58"/>
      <c r="D463" s="285"/>
    </row>
    <row r="464" hidden="1">
      <c r="A464" s="58"/>
      <c r="D464" s="285"/>
    </row>
    <row r="465" hidden="1">
      <c r="A465" s="58"/>
      <c r="D465" s="285"/>
    </row>
    <row r="466" hidden="1">
      <c r="A466" s="58"/>
      <c r="D466" s="285"/>
    </row>
    <row r="467" hidden="1">
      <c r="A467" s="58"/>
      <c r="D467" s="285"/>
    </row>
    <row r="468" hidden="1">
      <c r="A468" s="58"/>
      <c r="D468" s="285"/>
    </row>
    <row r="469" hidden="1">
      <c r="A469" s="58"/>
      <c r="D469" s="285"/>
    </row>
    <row r="470" hidden="1">
      <c r="A470" s="58"/>
      <c r="D470" s="285"/>
    </row>
    <row r="471" hidden="1">
      <c r="A471" s="58"/>
      <c r="D471" s="285"/>
    </row>
    <row r="472" hidden="1">
      <c r="A472" s="58"/>
      <c r="D472" s="285"/>
    </row>
    <row r="473" hidden="1">
      <c r="A473" s="58"/>
      <c r="D473" s="285"/>
    </row>
    <row r="474" hidden="1">
      <c r="A474" s="58"/>
      <c r="D474" s="285"/>
    </row>
    <row r="475" hidden="1">
      <c r="A475" s="58"/>
      <c r="D475" s="285"/>
    </row>
    <row r="476" hidden="1">
      <c r="A476" s="58"/>
      <c r="D476" s="285"/>
    </row>
    <row r="477" hidden="1">
      <c r="A477" s="58"/>
      <c r="D477" s="285"/>
    </row>
    <row r="478" hidden="1">
      <c r="A478" s="58"/>
      <c r="D478" s="285"/>
    </row>
    <row r="479" hidden="1">
      <c r="A479" s="58"/>
      <c r="D479" s="285"/>
    </row>
    <row r="480" hidden="1">
      <c r="A480" s="58"/>
      <c r="D480" s="285"/>
    </row>
    <row r="481" hidden="1">
      <c r="A481" s="58"/>
      <c r="D481" s="285"/>
    </row>
    <row r="482" hidden="1">
      <c r="A482" s="58"/>
      <c r="D482" s="285"/>
    </row>
    <row r="483" hidden="1">
      <c r="A483" s="58"/>
      <c r="D483" s="285"/>
    </row>
    <row r="484" hidden="1">
      <c r="A484" s="58"/>
      <c r="D484" s="285"/>
    </row>
    <row r="485" hidden="1">
      <c r="A485" s="58"/>
      <c r="D485" s="285"/>
    </row>
    <row r="486" hidden="1">
      <c r="A486" s="58"/>
      <c r="D486" s="285"/>
    </row>
    <row r="487" hidden="1">
      <c r="A487" s="58"/>
      <c r="D487" s="285"/>
    </row>
    <row r="488" hidden="1">
      <c r="A488" s="58"/>
      <c r="D488" s="285"/>
    </row>
    <row r="489" hidden="1">
      <c r="A489" s="58"/>
      <c r="D489" s="285"/>
    </row>
    <row r="490" hidden="1">
      <c r="A490" s="58"/>
      <c r="D490" s="285"/>
    </row>
    <row r="491" hidden="1">
      <c r="A491" s="58"/>
      <c r="D491" s="285"/>
    </row>
    <row r="492" hidden="1">
      <c r="A492" s="58"/>
      <c r="D492" s="285"/>
    </row>
    <row r="493" hidden="1">
      <c r="A493" s="58"/>
      <c r="D493" s="285"/>
    </row>
    <row r="494" hidden="1">
      <c r="A494" s="58"/>
      <c r="D494" s="285"/>
    </row>
    <row r="495" hidden="1">
      <c r="A495" s="58"/>
      <c r="D495" s="285"/>
    </row>
    <row r="496" hidden="1">
      <c r="A496" s="58"/>
      <c r="D496" s="285"/>
    </row>
    <row r="497" hidden="1">
      <c r="A497" s="58"/>
      <c r="D497" s="285"/>
    </row>
    <row r="498" hidden="1">
      <c r="A498" s="58"/>
      <c r="D498" s="285"/>
    </row>
    <row r="499" hidden="1">
      <c r="A499" s="58"/>
      <c r="D499" s="285"/>
    </row>
    <row r="500" hidden="1">
      <c r="A500" s="58"/>
      <c r="D500" s="285"/>
    </row>
    <row r="501" hidden="1">
      <c r="A501" s="58"/>
      <c r="D501" s="285"/>
    </row>
    <row r="502" hidden="1">
      <c r="A502" s="58"/>
      <c r="D502" s="285"/>
    </row>
    <row r="503" hidden="1">
      <c r="A503" s="58"/>
      <c r="D503" s="285"/>
    </row>
    <row r="504" hidden="1">
      <c r="A504" s="58"/>
      <c r="D504" s="285"/>
    </row>
    <row r="505" hidden="1">
      <c r="A505" s="58"/>
      <c r="D505" s="285"/>
    </row>
    <row r="506" hidden="1">
      <c r="A506" s="58"/>
      <c r="D506" s="285"/>
    </row>
    <row r="507" hidden="1">
      <c r="A507" s="58"/>
      <c r="D507" s="285"/>
    </row>
    <row r="508" hidden="1">
      <c r="A508" s="58"/>
      <c r="D508" s="285"/>
    </row>
    <row r="509" hidden="1">
      <c r="A509" s="58"/>
      <c r="D509" s="285"/>
    </row>
    <row r="510" hidden="1">
      <c r="A510" s="58"/>
      <c r="D510" s="285"/>
    </row>
    <row r="511" hidden="1">
      <c r="A511" s="58"/>
      <c r="D511" s="285"/>
    </row>
    <row r="512" hidden="1">
      <c r="A512" s="58"/>
      <c r="D512" s="285"/>
    </row>
    <row r="513" hidden="1">
      <c r="A513" s="58"/>
      <c r="D513" s="285"/>
    </row>
    <row r="514" hidden="1">
      <c r="A514" s="58"/>
      <c r="D514" s="285"/>
    </row>
    <row r="515" hidden="1">
      <c r="A515" s="58"/>
      <c r="D515" s="285"/>
    </row>
    <row r="516" hidden="1">
      <c r="A516" s="58"/>
      <c r="D516" s="285"/>
    </row>
    <row r="517" hidden="1">
      <c r="A517" s="58"/>
      <c r="D517" s="285"/>
    </row>
    <row r="518" hidden="1">
      <c r="A518" s="58"/>
      <c r="D518" s="285"/>
    </row>
    <row r="519" hidden="1">
      <c r="A519" s="58"/>
      <c r="D519" s="285"/>
    </row>
    <row r="520" hidden="1">
      <c r="A520" s="58"/>
      <c r="D520" s="285"/>
    </row>
    <row r="521" hidden="1">
      <c r="A521" s="58"/>
      <c r="D521" s="285"/>
    </row>
    <row r="522" hidden="1">
      <c r="A522" s="58"/>
      <c r="D522" s="285"/>
    </row>
    <row r="523" hidden="1">
      <c r="A523" s="58"/>
      <c r="D523" s="285"/>
    </row>
    <row r="524" hidden="1">
      <c r="A524" s="58"/>
      <c r="D524" s="285"/>
    </row>
    <row r="525" hidden="1">
      <c r="A525" s="58"/>
      <c r="D525" s="285"/>
    </row>
    <row r="526" hidden="1">
      <c r="A526" s="58"/>
      <c r="D526" s="285"/>
    </row>
    <row r="527" hidden="1">
      <c r="A527" s="58"/>
      <c r="D527" s="285"/>
    </row>
    <row r="528" hidden="1">
      <c r="A528" s="58"/>
      <c r="D528" s="285"/>
    </row>
    <row r="529" hidden="1">
      <c r="A529" s="58"/>
      <c r="D529" s="285"/>
    </row>
    <row r="530" hidden="1">
      <c r="A530" s="58"/>
      <c r="D530" s="285"/>
    </row>
    <row r="531" hidden="1">
      <c r="A531" s="58"/>
      <c r="D531" s="285"/>
    </row>
    <row r="532" hidden="1">
      <c r="A532" s="58"/>
      <c r="D532" s="285"/>
    </row>
    <row r="533" hidden="1">
      <c r="A533" s="58"/>
      <c r="D533" s="285"/>
    </row>
    <row r="534" hidden="1">
      <c r="A534" s="58"/>
      <c r="D534" s="285"/>
    </row>
    <row r="535" hidden="1">
      <c r="A535" s="58"/>
      <c r="D535" s="285"/>
    </row>
    <row r="536" hidden="1">
      <c r="A536" s="58"/>
      <c r="D536" s="285"/>
    </row>
    <row r="537" hidden="1">
      <c r="A537" s="58"/>
      <c r="D537" s="285"/>
    </row>
    <row r="538" hidden="1">
      <c r="A538" s="58"/>
      <c r="D538" s="285"/>
    </row>
    <row r="539" hidden="1">
      <c r="A539" s="58"/>
      <c r="D539" s="285"/>
    </row>
    <row r="540" hidden="1">
      <c r="A540" s="58"/>
      <c r="D540" s="285"/>
    </row>
    <row r="541" hidden="1">
      <c r="A541" s="58"/>
      <c r="D541" s="285"/>
    </row>
    <row r="542" hidden="1">
      <c r="A542" s="58"/>
      <c r="D542" s="285"/>
    </row>
    <row r="543" hidden="1">
      <c r="A543" s="58"/>
      <c r="D543" s="285"/>
    </row>
    <row r="544" hidden="1">
      <c r="A544" s="58"/>
      <c r="D544" s="285"/>
    </row>
    <row r="545" hidden="1">
      <c r="A545" s="58"/>
      <c r="D545" s="285"/>
    </row>
    <row r="546" hidden="1">
      <c r="A546" s="58"/>
      <c r="D546" s="285"/>
    </row>
    <row r="547" hidden="1">
      <c r="A547" s="58"/>
      <c r="D547" s="285"/>
    </row>
    <row r="548" hidden="1">
      <c r="A548" s="58"/>
      <c r="D548" s="285"/>
    </row>
    <row r="549" hidden="1">
      <c r="A549" s="58"/>
      <c r="D549" s="285"/>
    </row>
    <row r="550" hidden="1">
      <c r="A550" s="58"/>
      <c r="D550" s="285"/>
    </row>
    <row r="551" hidden="1">
      <c r="A551" s="58"/>
      <c r="D551" s="285"/>
    </row>
    <row r="552" hidden="1">
      <c r="A552" s="58"/>
      <c r="D552" s="285"/>
    </row>
    <row r="553" hidden="1">
      <c r="A553" s="58"/>
      <c r="D553" s="285"/>
    </row>
    <row r="554" hidden="1">
      <c r="A554" s="58"/>
      <c r="D554" s="285"/>
    </row>
    <row r="555" hidden="1">
      <c r="A555" s="58"/>
      <c r="D555" s="285"/>
    </row>
    <row r="556" hidden="1">
      <c r="A556" s="58"/>
      <c r="D556" s="285"/>
    </row>
    <row r="557" hidden="1">
      <c r="A557" s="58"/>
      <c r="D557" s="285"/>
    </row>
    <row r="558" hidden="1">
      <c r="A558" s="58"/>
      <c r="D558" s="285"/>
    </row>
    <row r="559" hidden="1">
      <c r="A559" s="58"/>
      <c r="D559" s="285"/>
    </row>
    <row r="560" hidden="1">
      <c r="A560" s="58"/>
      <c r="D560" s="285"/>
    </row>
    <row r="561" hidden="1">
      <c r="A561" s="58"/>
      <c r="D561" s="285"/>
    </row>
    <row r="562" hidden="1">
      <c r="A562" s="58"/>
      <c r="D562" s="285"/>
    </row>
    <row r="563" hidden="1">
      <c r="A563" s="58"/>
      <c r="D563" s="285"/>
    </row>
    <row r="564" hidden="1">
      <c r="A564" s="58"/>
      <c r="D564" s="285"/>
    </row>
    <row r="565" hidden="1">
      <c r="A565" s="58"/>
      <c r="D565" s="285"/>
    </row>
    <row r="566" hidden="1">
      <c r="A566" s="58"/>
      <c r="D566" s="285"/>
    </row>
    <row r="567" hidden="1">
      <c r="A567" s="58"/>
      <c r="D567" s="285"/>
    </row>
    <row r="568" hidden="1">
      <c r="A568" s="58"/>
      <c r="D568" s="285"/>
    </row>
    <row r="569" hidden="1">
      <c r="A569" s="58"/>
      <c r="D569" s="285"/>
    </row>
    <row r="570" hidden="1">
      <c r="A570" s="58"/>
      <c r="D570" s="285"/>
    </row>
    <row r="571" hidden="1">
      <c r="A571" s="58"/>
      <c r="D571" s="285"/>
    </row>
    <row r="572" hidden="1">
      <c r="A572" s="58"/>
      <c r="D572" s="285"/>
    </row>
    <row r="573" hidden="1">
      <c r="A573" s="58"/>
      <c r="D573" s="285"/>
    </row>
    <row r="574" hidden="1">
      <c r="A574" s="58"/>
      <c r="D574" s="285"/>
    </row>
    <row r="575" hidden="1">
      <c r="A575" s="58"/>
      <c r="D575" s="285"/>
    </row>
    <row r="576" hidden="1">
      <c r="A576" s="58"/>
      <c r="D576" s="285"/>
    </row>
    <row r="577" hidden="1">
      <c r="A577" s="58"/>
      <c r="D577" s="285"/>
    </row>
    <row r="578" hidden="1">
      <c r="A578" s="58"/>
      <c r="D578" s="285"/>
    </row>
    <row r="579" hidden="1">
      <c r="A579" s="58"/>
      <c r="D579" s="285"/>
    </row>
    <row r="580" hidden="1">
      <c r="A580" s="58"/>
      <c r="D580" s="285"/>
    </row>
    <row r="581" hidden="1">
      <c r="A581" s="58"/>
      <c r="D581" s="285"/>
    </row>
    <row r="582" hidden="1">
      <c r="A582" s="58"/>
      <c r="D582" s="285"/>
    </row>
    <row r="583" hidden="1">
      <c r="A583" s="58"/>
      <c r="D583" s="285"/>
    </row>
    <row r="584" hidden="1">
      <c r="A584" s="58"/>
      <c r="D584" s="285"/>
    </row>
    <row r="585" hidden="1">
      <c r="A585" s="58"/>
      <c r="D585" s="285"/>
    </row>
    <row r="586" hidden="1">
      <c r="A586" s="58"/>
      <c r="D586" s="285"/>
    </row>
    <row r="587" hidden="1">
      <c r="A587" s="58"/>
      <c r="D587" s="285"/>
    </row>
    <row r="588" hidden="1">
      <c r="A588" s="58"/>
      <c r="D588" s="285"/>
    </row>
    <row r="589" hidden="1">
      <c r="A589" s="58"/>
      <c r="D589" s="285"/>
    </row>
    <row r="590" hidden="1">
      <c r="A590" s="58"/>
      <c r="D590" s="285"/>
    </row>
    <row r="591" hidden="1">
      <c r="A591" s="58"/>
      <c r="D591" s="285"/>
    </row>
    <row r="592" hidden="1">
      <c r="A592" s="58"/>
      <c r="D592" s="285"/>
    </row>
    <row r="593" hidden="1">
      <c r="A593" s="58"/>
      <c r="D593" s="285"/>
    </row>
    <row r="594" hidden="1">
      <c r="A594" s="58"/>
      <c r="D594" s="285"/>
    </row>
    <row r="595" hidden="1">
      <c r="A595" s="58"/>
      <c r="D595" s="285"/>
    </row>
    <row r="596" hidden="1">
      <c r="A596" s="58"/>
      <c r="D596" s="285"/>
    </row>
    <row r="597" hidden="1">
      <c r="A597" s="58"/>
      <c r="D597" s="285"/>
    </row>
    <row r="598" hidden="1">
      <c r="A598" s="58"/>
      <c r="D598" s="285"/>
    </row>
    <row r="599" hidden="1">
      <c r="A599" s="58"/>
      <c r="D599" s="285"/>
    </row>
    <row r="600" hidden="1">
      <c r="A600" s="58"/>
      <c r="D600" s="285"/>
    </row>
    <row r="601" hidden="1">
      <c r="A601" s="58"/>
      <c r="D601" s="285"/>
    </row>
    <row r="602" hidden="1">
      <c r="A602" s="58"/>
      <c r="D602" s="285"/>
    </row>
    <row r="603" hidden="1">
      <c r="A603" s="58"/>
      <c r="D603" s="285"/>
    </row>
    <row r="604" hidden="1">
      <c r="A604" s="58"/>
      <c r="D604" s="285"/>
    </row>
    <row r="605" hidden="1">
      <c r="A605" s="58"/>
      <c r="D605" s="285"/>
    </row>
    <row r="606" hidden="1">
      <c r="A606" s="58"/>
      <c r="D606" s="285"/>
    </row>
    <row r="607" hidden="1">
      <c r="A607" s="58"/>
      <c r="D607" s="285"/>
    </row>
    <row r="608" hidden="1">
      <c r="A608" s="58"/>
      <c r="D608" s="285"/>
    </row>
    <row r="609" hidden="1">
      <c r="A609" s="58"/>
      <c r="D609" s="285"/>
    </row>
    <row r="610" hidden="1">
      <c r="A610" s="58"/>
      <c r="D610" s="285"/>
    </row>
    <row r="611" hidden="1">
      <c r="A611" s="58"/>
      <c r="D611" s="285"/>
    </row>
    <row r="612" hidden="1">
      <c r="A612" s="58"/>
      <c r="D612" s="285"/>
    </row>
    <row r="613" hidden="1">
      <c r="A613" s="58"/>
      <c r="D613" s="285"/>
    </row>
    <row r="614" hidden="1">
      <c r="A614" s="58"/>
      <c r="D614" s="285"/>
    </row>
    <row r="615" hidden="1">
      <c r="A615" s="58"/>
      <c r="D615" s="285"/>
    </row>
    <row r="616" hidden="1">
      <c r="A616" s="58"/>
      <c r="D616" s="285"/>
    </row>
    <row r="617" hidden="1">
      <c r="A617" s="58"/>
      <c r="D617" s="285"/>
    </row>
    <row r="618" hidden="1">
      <c r="A618" s="58"/>
      <c r="D618" s="285"/>
    </row>
    <row r="619" hidden="1">
      <c r="A619" s="58"/>
      <c r="D619" s="285"/>
    </row>
    <row r="620" hidden="1">
      <c r="A620" s="58"/>
      <c r="D620" s="285"/>
    </row>
    <row r="621" hidden="1">
      <c r="A621" s="58"/>
      <c r="D621" s="285"/>
    </row>
    <row r="622" hidden="1">
      <c r="A622" s="58"/>
      <c r="D622" s="285"/>
    </row>
    <row r="623" hidden="1">
      <c r="A623" s="58"/>
      <c r="D623" s="285"/>
    </row>
    <row r="624" hidden="1">
      <c r="A624" s="58"/>
      <c r="D624" s="285"/>
    </row>
    <row r="625" hidden="1">
      <c r="A625" s="58"/>
      <c r="D625" s="285"/>
    </row>
    <row r="626" hidden="1">
      <c r="A626" s="58"/>
      <c r="D626" s="285"/>
    </row>
    <row r="627" hidden="1">
      <c r="A627" s="58"/>
      <c r="D627" s="285"/>
    </row>
    <row r="628" hidden="1">
      <c r="A628" s="58"/>
      <c r="D628" s="285"/>
    </row>
    <row r="629" hidden="1">
      <c r="A629" s="58"/>
      <c r="D629" s="285"/>
    </row>
    <row r="630" hidden="1">
      <c r="A630" s="58"/>
      <c r="D630" s="285"/>
    </row>
    <row r="631" hidden="1">
      <c r="A631" s="58"/>
      <c r="D631" s="285"/>
    </row>
    <row r="632" hidden="1">
      <c r="A632" s="58"/>
      <c r="D632" s="285"/>
    </row>
    <row r="633" hidden="1">
      <c r="A633" s="58"/>
      <c r="D633" s="285"/>
    </row>
    <row r="634" hidden="1">
      <c r="A634" s="58"/>
      <c r="D634" s="285"/>
    </row>
    <row r="635" hidden="1">
      <c r="A635" s="58"/>
      <c r="D635" s="285"/>
    </row>
    <row r="636" hidden="1">
      <c r="A636" s="58"/>
      <c r="D636" s="285"/>
    </row>
    <row r="637" hidden="1">
      <c r="A637" s="58"/>
      <c r="D637" s="285"/>
    </row>
    <row r="638" hidden="1">
      <c r="A638" s="58"/>
      <c r="D638" s="285"/>
    </row>
    <row r="639" hidden="1">
      <c r="A639" s="58"/>
      <c r="D639" s="285"/>
    </row>
    <row r="640" hidden="1">
      <c r="A640" s="58"/>
      <c r="D640" s="285"/>
    </row>
    <row r="641" hidden="1">
      <c r="A641" s="58"/>
      <c r="D641" s="285"/>
    </row>
    <row r="642" hidden="1">
      <c r="A642" s="58"/>
      <c r="D642" s="285"/>
    </row>
    <row r="643" hidden="1">
      <c r="A643" s="58"/>
      <c r="D643" s="285"/>
    </row>
    <row r="644" hidden="1">
      <c r="A644" s="58"/>
      <c r="D644" s="285"/>
    </row>
    <row r="645" hidden="1">
      <c r="A645" s="58"/>
      <c r="D645" s="285"/>
    </row>
    <row r="646" hidden="1">
      <c r="A646" s="58"/>
      <c r="D646" s="285"/>
    </row>
    <row r="647" hidden="1">
      <c r="A647" s="58"/>
      <c r="D647" s="285"/>
    </row>
    <row r="648" hidden="1">
      <c r="A648" s="58"/>
      <c r="D648" s="285"/>
    </row>
    <row r="649" hidden="1">
      <c r="A649" s="58"/>
      <c r="D649" s="285"/>
    </row>
    <row r="650" hidden="1">
      <c r="A650" s="58"/>
      <c r="D650" s="285"/>
    </row>
    <row r="651" hidden="1">
      <c r="A651" s="58"/>
      <c r="D651" s="285"/>
    </row>
    <row r="652" hidden="1">
      <c r="A652" s="58"/>
      <c r="D652" s="285"/>
    </row>
    <row r="653" hidden="1">
      <c r="A653" s="58"/>
      <c r="D653" s="285"/>
    </row>
    <row r="654" hidden="1">
      <c r="A654" s="58"/>
      <c r="D654" s="285"/>
    </row>
    <row r="655" hidden="1">
      <c r="A655" s="58"/>
      <c r="D655" s="285"/>
    </row>
    <row r="656" hidden="1">
      <c r="A656" s="58"/>
      <c r="D656" s="285"/>
    </row>
    <row r="657" hidden="1">
      <c r="A657" s="58"/>
      <c r="D657" s="285"/>
    </row>
    <row r="658" hidden="1">
      <c r="A658" s="58"/>
      <c r="D658" s="285"/>
    </row>
    <row r="659" hidden="1">
      <c r="A659" s="58"/>
      <c r="D659" s="285"/>
    </row>
    <row r="660" hidden="1">
      <c r="A660" s="58"/>
      <c r="D660" s="285"/>
    </row>
    <row r="661" hidden="1">
      <c r="A661" s="58"/>
      <c r="D661" s="285"/>
    </row>
    <row r="662" hidden="1">
      <c r="A662" s="58"/>
      <c r="D662" s="285"/>
    </row>
    <row r="663" hidden="1">
      <c r="A663" s="58"/>
      <c r="D663" s="285"/>
    </row>
    <row r="664" hidden="1">
      <c r="A664" s="58"/>
      <c r="D664" s="285"/>
    </row>
    <row r="665" hidden="1">
      <c r="A665" s="58"/>
      <c r="D665" s="285"/>
    </row>
    <row r="666" hidden="1">
      <c r="A666" s="58"/>
      <c r="D666" s="285"/>
    </row>
    <row r="667" hidden="1">
      <c r="A667" s="58"/>
      <c r="D667" s="285"/>
    </row>
    <row r="668" hidden="1">
      <c r="A668" s="58"/>
      <c r="D668" s="285"/>
    </row>
    <row r="669" hidden="1">
      <c r="A669" s="58"/>
      <c r="D669" s="285"/>
    </row>
    <row r="670" hidden="1">
      <c r="A670" s="58"/>
      <c r="D670" s="285"/>
    </row>
    <row r="671" hidden="1">
      <c r="A671" s="58"/>
      <c r="D671" s="285"/>
    </row>
    <row r="672" hidden="1">
      <c r="A672" s="58"/>
      <c r="D672" s="285"/>
    </row>
    <row r="673" hidden="1">
      <c r="A673" s="58"/>
      <c r="D673" s="285"/>
    </row>
    <row r="674" hidden="1">
      <c r="A674" s="58"/>
      <c r="D674" s="285"/>
    </row>
    <row r="675" hidden="1">
      <c r="A675" s="58"/>
      <c r="D675" s="285"/>
    </row>
    <row r="676" hidden="1">
      <c r="A676" s="58"/>
      <c r="D676" s="285"/>
    </row>
    <row r="677" hidden="1">
      <c r="A677" s="58"/>
      <c r="D677" s="285"/>
    </row>
    <row r="678" hidden="1">
      <c r="A678" s="58"/>
      <c r="D678" s="285"/>
    </row>
    <row r="679" hidden="1">
      <c r="A679" s="58"/>
      <c r="D679" s="285"/>
    </row>
    <row r="680" hidden="1">
      <c r="A680" s="58"/>
      <c r="D680" s="285"/>
    </row>
    <row r="681" hidden="1">
      <c r="A681" s="58"/>
      <c r="D681" s="285"/>
    </row>
    <row r="682" hidden="1">
      <c r="A682" s="58"/>
      <c r="D682" s="285"/>
    </row>
    <row r="683" hidden="1">
      <c r="A683" s="58"/>
      <c r="D683" s="285"/>
    </row>
    <row r="684" hidden="1">
      <c r="A684" s="58"/>
      <c r="D684" s="285"/>
    </row>
    <row r="685" hidden="1">
      <c r="A685" s="58"/>
      <c r="D685" s="285"/>
    </row>
    <row r="686" hidden="1">
      <c r="A686" s="58"/>
      <c r="D686" s="285"/>
    </row>
    <row r="687" hidden="1">
      <c r="A687" s="58"/>
      <c r="D687" s="285"/>
    </row>
    <row r="688" hidden="1">
      <c r="A688" s="58"/>
      <c r="D688" s="285"/>
    </row>
    <row r="689" hidden="1">
      <c r="A689" s="58"/>
      <c r="D689" s="285"/>
    </row>
    <row r="690" hidden="1">
      <c r="A690" s="58"/>
      <c r="D690" s="285"/>
    </row>
    <row r="691" hidden="1">
      <c r="A691" s="58"/>
      <c r="D691" s="285"/>
    </row>
    <row r="692" hidden="1">
      <c r="A692" s="58"/>
      <c r="D692" s="285"/>
    </row>
    <row r="693" hidden="1">
      <c r="A693" s="58"/>
      <c r="D693" s="285"/>
    </row>
    <row r="694" hidden="1">
      <c r="A694" s="58"/>
      <c r="D694" s="285"/>
    </row>
    <row r="695" hidden="1">
      <c r="A695" s="58"/>
      <c r="D695" s="285"/>
    </row>
    <row r="696" hidden="1">
      <c r="A696" s="58"/>
      <c r="D696" s="285"/>
    </row>
    <row r="697" hidden="1">
      <c r="A697" s="58"/>
      <c r="D697" s="285"/>
    </row>
    <row r="698" hidden="1">
      <c r="A698" s="58"/>
      <c r="D698" s="285"/>
    </row>
    <row r="699" hidden="1">
      <c r="A699" s="58"/>
      <c r="D699" s="285"/>
    </row>
    <row r="700" hidden="1">
      <c r="A700" s="58"/>
      <c r="D700" s="285"/>
    </row>
    <row r="701" hidden="1">
      <c r="A701" s="58"/>
      <c r="D701" s="285"/>
    </row>
    <row r="702" hidden="1">
      <c r="A702" s="58"/>
      <c r="D702" s="285"/>
    </row>
    <row r="703" hidden="1">
      <c r="A703" s="58"/>
      <c r="D703" s="285"/>
    </row>
    <row r="704" hidden="1">
      <c r="A704" s="58"/>
      <c r="D704" s="285"/>
    </row>
    <row r="705" hidden="1">
      <c r="A705" s="58"/>
      <c r="D705" s="285"/>
    </row>
    <row r="706" hidden="1">
      <c r="A706" s="58"/>
      <c r="D706" s="285"/>
    </row>
    <row r="707" hidden="1">
      <c r="A707" s="58"/>
      <c r="D707" s="285"/>
    </row>
    <row r="708" hidden="1">
      <c r="A708" s="58"/>
      <c r="D708" s="285"/>
    </row>
    <row r="709" hidden="1">
      <c r="A709" s="58"/>
      <c r="D709" s="285"/>
    </row>
    <row r="710" hidden="1">
      <c r="A710" s="58"/>
      <c r="D710" s="285"/>
    </row>
    <row r="711" hidden="1">
      <c r="A711" s="58"/>
      <c r="D711" s="285"/>
    </row>
    <row r="712" hidden="1">
      <c r="A712" s="58"/>
      <c r="D712" s="285"/>
    </row>
    <row r="713" hidden="1">
      <c r="A713" s="58"/>
      <c r="D713" s="285"/>
    </row>
    <row r="714" hidden="1">
      <c r="A714" s="58"/>
      <c r="D714" s="285"/>
    </row>
    <row r="715" hidden="1">
      <c r="A715" s="58"/>
      <c r="D715" s="285"/>
    </row>
    <row r="716" hidden="1">
      <c r="A716" s="58"/>
      <c r="D716" s="285"/>
    </row>
    <row r="717" hidden="1">
      <c r="A717" s="58"/>
      <c r="D717" s="285"/>
    </row>
    <row r="718" hidden="1">
      <c r="A718" s="58"/>
      <c r="D718" s="285"/>
    </row>
    <row r="719" hidden="1">
      <c r="A719" s="58"/>
      <c r="D719" s="285"/>
    </row>
    <row r="720" hidden="1">
      <c r="A720" s="58"/>
      <c r="D720" s="285"/>
    </row>
    <row r="721" hidden="1">
      <c r="A721" s="58"/>
      <c r="D721" s="285"/>
    </row>
    <row r="722" hidden="1">
      <c r="A722" s="58"/>
      <c r="D722" s="285"/>
    </row>
    <row r="723" hidden="1">
      <c r="A723" s="58"/>
      <c r="D723" s="285"/>
    </row>
    <row r="724" hidden="1">
      <c r="A724" s="58"/>
      <c r="D724" s="285"/>
    </row>
    <row r="725" hidden="1">
      <c r="A725" s="58"/>
      <c r="D725" s="285"/>
    </row>
    <row r="726" hidden="1">
      <c r="A726" s="58"/>
      <c r="D726" s="285"/>
    </row>
    <row r="727" hidden="1">
      <c r="A727" s="58"/>
      <c r="D727" s="285"/>
    </row>
    <row r="728" hidden="1">
      <c r="A728" s="58"/>
      <c r="D728" s="285"/>
    </row>
    <row r="729" hidden="1">
      <c r="A729" s="58"/>
      <c r="D729" s="285"/>
    </row>
    <row r="730" hidden="1">
      <c r="A730" s="58"/>
      <c r="D730" s="285"/>
    </row>
    <row r="731" hidden="1">
      <c r="A731" s="58"/>
      <c r="D731" s="285"/>
    </row>
    <row r="732" hidden="1">
      <c r="A732" s="58"/>
      <c r="D732" s="285"/>
    </row>
    <row r="733" hidden="1">
      <c r="A733" s="58"/>
      <c r="D733" s="285"/>
    </row>
    <row r="734" hidden="1">
      <c r="A734" s="58"/>
      <c r="D734" s="285"/>
    </row>
    <row r="735" hidden="1">
      <c r="A735" s="58"/>
      <c r="D735" s="285"/>
    </row>
    <row r="736" hidden="1">
      <c r="A736" s="58"/>
      <c r="D736" s="285"/>
    </row>
    <row r="737" hidden="1">
      <c r="A737" s="58"/>
      <c r="D737" s="285"/>
    </row>
    <row r="738" hidden="1">
      <c r="A738" s="58"/>
      <c r="D738" s="285"/>
    </row>
    <row r="739" hidden="1">
      <c r="A739" s="58"/>
      <c r="D739" s="285"/>
    </row>
    <row r="740" hidden="1">
      <c r="A740" s="58"/>
      <c r="D740" s="285"/>
    </row>
    <row r="741" hidden="1">
      <c r="A741" s="58"/>
      <c r="D741" s="285"/>
    </row>
    <row r="742" hidden="1">
      <c r="A742" s="58"/>
      <c r="D742" s="285"/>
    </row>
    <row r="743" hidden="1">
      <c r="A743" s="58"/>
      <c r="D743" s="285"/>
    </row>
    <row r="744" hidden="1">
      <c r="A744" s="58"/>
      <c r="D744" s="285"/>
    </row>
    <row r="745" hidden="1">
      <c r="A745" s="58"/>
      <c r="D745" s="285"/>
    </row>
    <row r="746" hidden="1">
      <c r="A746" s="58"/>
      <c r="D746" s="285"/>
    </row>
    <row r="747" hidden="1">
      <c r="A747" s="58"/>
      <c r="D747" s="285"/>
    </row>
    <row r="748" hidden="1">
      <c r="A748" s="58"/>
      <c r="D748" s="285"/>
    </row>
    <row r="749" hidden="1">
      <c r="A749" s="58"/>
      <c r="D749" s="285"/>
    </row>
    <row r="750" hidden="1">
      <c r="A750" s="58"/>
      <c r="D750" s="285"/>
    </row>
    <row r="751" hidden="1">
      <c r="A751" s="58"/>
      <c r="D751" s="285"/>
    </row>
    <row r="752" hidden="1">
      <c r="A752" s="58"/>
      <c r="D752" s="285"/>
    </row>
    <row r="753" hidden="1">
      <c r="A753" s="58"/>
      <c r="D753" s="285"/>
    </row>
    <row r="754" hidden="1">
      <c r="A754" s="58"/>
      <c r="D754" s="285"/>
    </row>
    <row r="755" hidden="1">
      <c r="A755" s="58"/>
      <c r="D755" s="285"/>
    </row>
    <row r="756" hidden="1">
      <c r="A756" s="58"/>
      <c r="D756" s="285"/>
    </row>
    <row r="757" hidden="1">
      <c r="A757" s="58"/>
      <c r="D757" s="285"/>
    </row>
    <row r="758" hidden="1">
      <c r="A758" s="58"/>
      <c r="D758" s="285"/>
    </row>
    <row r="759" hidden="1">
      <c r="A759" s="58"/>
      <c r="D759" s="285"/>
    </row>
    <row r="760" hidden="1">
      <c r="A760" s="58"/>
      <c r="D760" s="285"/>
    </row>
    <row r="761" hidden="1">
      <c r="A761" s="58"/>
      <c r="D761" s="285"/>
    </row>
    <row r="762" hidden="1">
      <c r="A762" s="58"/>
      <c r="D762" s="285"/>
    </row>
    <row r="763" hidden="1">
      <c r="A763" s="58"/>
      <c r="D763" s="285"/>
    </row>
    <row r="764" hidden="1">
      <c r="A764" s="58"/>
      <c r="D764" s="285"/>
    </row>
    <row r="765" hidden="1">
      <c r="A765" s="58"/>
      <c r="D765" s="285"/>
    </row>
    <row r="766" hidden="1">
      <c r="A766" s="58"/>
      <c r="D766" s="285"/>
    </row>
    <row r="767" hidden="1">
      <c r="A767" s="58"/>
      <c r="D767" s="285"/>
    </row>
    <row r="768" hidden="1">
      <c r="A768" s="58"/>
      <c r="D768" s="285"/>
    </row>
    <row r="769" hidden="1">
      <c r="A769" s="58"/>
      <c r="D769" s="285"/>
    </row>
    <row r="770" hidden="1">
      <c r="A770" s="58"/>
      <c r="D770" s="285"/>
    </row>
    <row r="771" hidden="1">
      <c r="A771" s="58"/>
      <c r="D771" s="285"/>
    </row>
    <row r="772" hidden="1">
      <c r="A772" s="58"/>
      <c r="D772" s="285"/>
    </row>
    <row r="773" hidden="1">
      <c r="A773" s="58"/>
      <c r="D773" s="285"/>
    </row>
    <row r="774" hidden="1">
      <c r="A774" s="58"/>
      <c r="D774" s="285"/>
    </row>
    <row r="775" hidden="1">
      <c r="A775" s="58"/>
      <c r="D775" s="285"/>
    </row>
    <row r="776" hidden="1">
      <c r="A776" s="58"/>
      <c r="D776" s="285"/>
    </row>
    <row r="777" hidden="1">
      <c r="A777" s="58"/>
      <c r="D777" s="285"/>
    </row>
    <row r="778" hidden="1">
      <c r="A778" s="58"/>
      <c r="D778" s="285"/>
    </row>
    <row r="779" hidden="1">
      <c r="A779" s="58"/>
      <c r="D779" s="285"/>
    </row>
    <row r="780" hidden="1">
      <c r="A780" s="58"/>
      <c r="D780" s="285"/>
    </row>
    <row r="781" hidden="1">
      <c r="A781" s="58"/>
      <c r="D781" s="285"/>
    </row>
    <row r="782" hidden="1">
      <c r="A782" s="58"/>
      <c r="D782" s="285"/>
    </row>
    <row r="783" hidden="1">
      <c r="A783" s="58"/>
      <c r="D783" s="285"/>
    </row>
    <row r="784" hidden="1">
      <c r="A784" s="58"/>
      <c r="D784" s="285"/>
    </row>
    <row r="785" hidden="1">
      <c r="A785" s="58"/>
      <c r="D785" s="285"/>
    </row>
    <row r="786" hidden="1">
      <c r="A786" s="58"/>
      <c r="D786" s="285"/>
    </row>
    <row r="787" hidden="1">
      <c r="A787" s="58"/>
      <c r="D787" s="285"/>
    </row>
    <row r="788" hidden="1">
      <c r="A788" s="58"/>
      <c r="D788" s="285"/>
    </row>
    <row r="789" hidden="1">
      <c r="A789" s="58"/>
      <c r="D789" s="285"/>
    </row>
    <row r="790" hidden="1">
      <c r="A790" s="58"/>
      <c r="D790" s="285"/>
    </row>
    <row r="791" hidden="1">
      <c r="A791" s="58"/>
      <c r="D791" s="285"/>
    </row>
    <row r="792" hidden="1">
      <c r="A792" s="58"/>
      <c r="D792" s="285"/>
    </row>
    <row r="793" hidden="1">
      <c r="A793" s="58"/>
      <c r="D793" s="285"/>
    </row>
    <row r="794" hidden="1">
      <c r="A794" s="58"/>
      <c r="D794" s="285"/>
    </row>
    <row r="795" hidden="1">
      <c r="A795" s="58"/>
      <c r="D795" s="285"/>
    </row>
    <row r="796" hidden="1">
      <c r="A796" s="58"/>
      <c r="D796" s="285"/>
    </row>
    <row r="797" hidden="1">
      <c r="A797" s="58"/>
      <c r="D797" s="285"/>
    </row>
    <row r="798" hidden="1">
      <c r="A798" s="58"/>
      <c r="D798" s="285"/>
    </row>
    <row r="799" hidden="1">
      <c r="A799" s="58"/>
      <c r="D799" s="285"/>
    </row>
    <row r="800" hidden="1">
      <c r="A800" s="58"/>
      <c r="D800" s="285"/>
    </row>
    <row r="801" hidden="1">
      <c r="A801" s="58"/>
      <c r="D801" s="285"/>
    </row>
    <row r="802" hidden="1">
      <c r="A802" s="58"/>
      <c r="D802" s="285"/>
    </row>
    <row r="803" hidden="1">
      <c r="A803" s="58"/>
      <c r="D803" s="285"/>
    </row>
    <row r="804" hidden="1">
      <c r="A804" s="58"/>
      <c r="D804" s="285"/>
    </row>
    <row r="805" hidden="1">
      <c r="A805" s="58"/>
      <c r="D805" s="285"/>
    </row>
    <row r="806" hidden="1">
      <c r="A806" s="58"/>
      <c r="D806" s="285"/>
    </row>
    <row r="807" hidden="1">
      <c r="A807" s="58"/>
      <c r="D807" s="285"/>
    </row>
    <row r="808" hidden="1">
      <c r="A808" s="58"/>
      <c r="D808" s="285"/>
    </row>
    <row r="809" hidden="1">
      <c r="A809" s="58"/>
      <c r="D809" s="285"/>
    </row>
    <row r="810" hidden="1">
      <c r="A810" s="58"/>
      <c r="D810" s="285"/>
    </row>
    <row r="811" hidden="1">
      <c r="A811" s="58"/>
      <c r="D811" s="285"/>
    </row>
    <row r="812" hidden="1">
      <c r="A812" s="58"/>
      <c r="D812" s="285"/>
    </row>
    <row r="813" hidden="1">
      <c r="A813" s="58"/>
      <c r="D813" s="285"/>
    </row>
    <row r="814" hidden="1">
      <c r="A814" s="58"/>
      <c r="D814" s="285"/>
    </row>
    <row r="815" hidden="1">
      <c r="A815" s="58"/>
      <c r="D815" s="285"/>
    </row>
    <row r="816" hidden="1">
      <c r="A816" s="58"/>
      <c r="D816" s="285"/>
    </row>
    <row r="817" hidden="1">
      <c r="A817" s="58"/>
      <c r="D817" s="285"/>
    </row>
    <row r="818" hidden="1">
      <c r="A818" s="58"/>
      <c r="D818" s="285"/>
    </row>
    <row r="819" hidden="1">
      <c r="A819" s="58"/>
      <c r="D819" s="285"/>
    </row>
    <row r="820" hidden="1">
      <c r="A820" s="58"/>
      <c r="D820" s="285"/>
    </row>
    <row r="821" hidden="1">
      <c r="A821" s="58"/>
      <c r="D821" s="285"/>
    </row>
    <row r="822" hidden="1">
      <c r="A822" s="58"/>
      <c r="D822" s="285"/>
    </row>
    <row r="823" hidden="1">
      <c r="A823" s="58"/>
      <c r="D823" s="285"/>
    </row>
    <row r="824" hidden="1">
      <c r="A824" s="58"/>
      <c r="D824" s="285"/>
    </row>
    <row r="825" hidden="1">
      <c r="A825" s="58"/>
      <c r="D825" s="285"/>
    </row>
    <row r="826" hidden="1">
      <c r="A826" s="58"/>
      <c r="D826" s="285"/>
    </row>
    <row r="827" hidden="1">
      <c r="A827" s="58"/>
      <c r="D827" s="285"/>
    </row>
    <row r="828" hidden="1">
      <c r="A828" s="58"/>
      <c r="D828" s="285"/>
    </row>
    <row r="829" hidden="1">
      <c r="A829" s="58"/>
      <c r="D829" s="285"/>
    </row>
    <row r="830" hidden="1">
      <c r="A830" s="58"/>
      <c r="D830" s="285"/>
    </row>
    <row r="831" hidden="1">
      <c r="A831" s="58"/>
      <c r="D831" s="285"/>
    </row>
    <row r="832" hidden="1">
      <c r="A832" s="58"/>
      <c r="D832" s="285"/>
    </row>
    <row r="833" hidden="1">
      <c r="A833" s="58"/>
      <c r="D833" s="285"/>
    </row>
    <row r="834" hidden="1">
      <c r="A834" s="58"/>
      <c r="D834" s="285"/>
    </row>
    <row r="835" hidden="1">
      <c r="A835" s="58"/>
      <c r="D835" s="285"/>
    </row>
    <row r="836" hidden="1">
      <c r="A836" s="58"/>
      <c r="D836" s="285"/>
    </row>
    <row r="837" hidden="1">
      <c r="A837" s="58"/>
      <c r="D837" s="285"/>
    </row>
    <row r="838" hidden="1">
      <c r="A838" s="58"/>
      <c r="D838" s="285"/>
    </row>
    <row r="839" hidden="1">
      <c r="A839" s="58"/>
      <c r="D839" s="285"/>
    </row>
    <row r="840" hidden="1">
      <c r="A840" s="58"/>
      <c r="D840" s="285"/>
    </row>
    <row r="841" hidden="1">
      <c r="A841" s="58"/>
      <c r="D841" s="285"/>
    </row>
    <row r="842" hidden="1">
      <c r="A842" s="58"/>
      <c r="D842" s="285"/>
    </row>
    <row r="843" hidden="1">
      <c r="A843" s="58"/>
      <c r="D843" s="285"/>
    </row>
    <row r="844" hidden="1">
      <c r="A844" s="58"/>
      <c r="D844" s="285"/>
    </row>
    <row r="845" hidden="1">
      <c r="A845" s="58"/>
      <c r="D845" s="285"/>
    </row>
    <row r="846" hidden="1">
      <c r="A846" s="58"/>
      <c r="D846" s="285"/>
    </row>
    <row r="847" hidden="1">
      <c r="A847" s="58"/>
      <c r="D847" s="285"/>
    </row>
    <row r="848" hidden="1">
      <c r="A848" s="58"/>
      <c r="D848" s="285"/>
    </row>
    <row r="849" hidden="1">
      <c r="A849" s="58"/>
      <c r="D849" s="285"/>
    </row>
    <row r="850" hidden="1">
      <c r="A850" s="58"/>
      <c r="D850" s="285"/>
    </row>
    <row r="851" hidden="1">
      <c r="A851" s="58"/>
      <c r="D851" s="285"/>
    </row>
    <row r="852" hidden="1">
      <c r="A852" s="58"/>
      <c r="D852" s="285"/>
    </row>
    <row r="853" hidden="1">
      <c r="A853" s="58"/>
      <c r="D853" s="285"/>
    </row>
    <row r="854" hidden="1">
      <c r="A854" s="58"/>
      <c r="D854" s="285"/>
    </row>
    <row r="855" hidden="1">
      <c r="A855" s="58"/>
      <c r="D855" s="285"/>
    </row>
    <row r="856" hidden="1">
      <c r="A856" s="58"/>
      <c r="D856" s="285"/>
    </row>
    <row r="857" hidden="1">
      <c r="A857" s="58"/>
      <c r="D857" s="285"/>
    </row>
    <row r="858" hidden="1">
      <c r="A858" s="58"/>
      <c r="D858" s="285"/>
    </row>
    <row r="859" hidden="1">
      <c r="A859" s="58"/>
      <c r="D859" s="285"/>
    </row>
    <row r="860" hidden="1">
      <c r="A860" s="58"/>
      <c r="D860" s="285"/>
    </row>
    <row r="861" hidden="1">
      <c r="A861" s="58"/>
      <c r="D861" s="285"/>
    </row>
    <row r="862" hidden="1">
      <c r="A862" s="58"/>
      <c r="D862" s="285"/>
    </row>
    <row r="863" hidden="1">
      <c r="A863" s="58"/>
      <c r="D863" s="285"/>
    </row>
    <row r="864" hidden="1">
      <c r="A864" s="58"/>
      <c r="D864" s="285"/>
    </row>
    <row r="865" hidden="1">
      <c r="A865" s="58"/>
      <c r="D865" s="285"/>
    </row>
    <row r="866" hidden="1">
      <c r="A866" s="58"/>
      <c r="D866" s="285"/>
    </row>
    <row r="867" hidden="1">
      <c r="A867" s="58"/>
      <c r="D867" s="285"/>
    </row>
    <row r="868" hidden="1">
      <c r="A868" s="58"/>
      <c r="D868" s="285"/>
    </row>
    <row r="869" hidden="1">
      <c r="A869" s="58"/>
      <c r="D869" s="285"/>
    </row>
    <row r="870" hidden="1">
      <c r="A870" s="58"/>
      <c r="D870" s="285"/>
    </row>
    <row r="871" hidden="1">
      <c r="A871" s="58"/>
      <c r="D871" s="285"/>
    </row>
    <row r="872" hidden="1">
      <c r="A872" s="58"/>
      <c r="D872" s="285"/>
    </row>
    <row r="873" hidden="1">
      <c r="A873" s="58"/>
      <c r="D873" s="285"/>
    </row>
    <row r="874" hidden="1">
      <c r="A874" s="58"/>
      <c r="D874" s="285"/>
    </row>
    <row r="875" hidden="1">
      <c r="A875" s="58"/>
      <c r="D875" s="285"/>
    </row>
    <row r="876" hidden="1">
      <c r="A876" s="58"/>
      <c r="D876" s="285"/>
    </row>
    <row r="877" hidden="1">
      <c r="A877" s="58"/>
      <c r="D877" s="285"/>
    </row>
    <row r="878" hidden="1">
      <c r="A878" s="58"/>
      <c r="D878" s="285"/>
    </row>
    <row r="879" hidden="1">
      <c r="A879" s="58"/>
      <c r="D879" s="285"/>
    </row>
    <row r="880" hidden="1">
      <c r="A880" s="58"/>
      <c r="D880" s="285"/>
    </row>
    <row r="881" hidden="1">
      <c r="A881" s="58"/>
      <c r="D881" s="285"/>
    </row>
    <row r="882" hidden="1">
      <c r="A882" s="58"/>
      <c r="D882" s="285"/>
    </row>
    <row r="883" hidden="1">
      <c r="A883" s="58"/>
      <c r="D883" s="285"/>
    </row>
    <row r="884" hidden="1">
      <c r="A884" s="58"/>
      <c r="D884" s="285"/>
    </row>
    <row r="885" hidden="1">
      <c r="A885" s="58"/>
      <c r="D885" s="285"/>
    </row>
    <row r="886" hidden="1">
      <c r="A886" s="58"/>
      <c r="D886" s="285"/>
    </row>
    <row r="887" hidden="1">
      <c r="A887" s="58"/>
      <c r="D887" s="285"/>
    </row>
    <row r="888" hidden="1">
      <c r="A888" s="58"/>
      <c r="D888" s="285"/>
    </row>
    <row r="889" hidden="1">
      <c r="A889" s="58"/>
      <c r="D889" s="285"/>
    </row>
    <row r="890" hidden="1">
      <c r="A890" s="58"/>
      <c r="D890" s="285"/>
    </row>
    <row r="891" hidden="1">
      <c r="A891" s="58"/>
      <c r="D891" s="285"/>
    </row>
    <row r="892" hidden="1">
      <c r="A892" s="58"/>
      <c r="D892" s="285"/>
    </row>
    <row r="893" hidden="1">
      <c r="A893" s="58"/>
      <c r="D893" s="285"/>
    </row>
    <row r="894" hidden="1">
      <c r="A894" s="58"/>
      <c r="D894" s="285"/>
    </row>
    <row r="895" hidden="1">
      <c r="A895" s="58"/>
      <c r="D895" s="285"/>
    </row>
    <row r="896" hidden="1">
      <c r="A896" s="58"/>
      <c r="D896" s="285"/>
    </row>
    <row r="897" hidden="1">
      <c r="A897" s="58"/>
      <c r="D897" s="285"/>
    </row>
    <row r="898" hidden="1">
      <c r="A898" s="58"/>
      <c r="D898" s="285"/>
    </row>
    <row r="899" hidden="1">
      <c r="A899" s="58"/>
      <c r="D899" s="285"/>
    </row>
    <row r="900" hidden="1">
      <c r="A900" s="58"/>
      <c r="D900" s="285"/>
    </row>
    <row r="901" hidden="1">
      <c r="A901" s="58"/>
      <c r="D901" s="285"/>
    </row>
    <row r="902" hidden="1">
      <c r="A902" s="58"/>
      <c r="D902" s="285"/>
    </row>
    <row r="903" hidden="1">
      <c r="A903" s="58"/>
      <c r="D903" s="285"/>
    </row>
    <row r="904" hidden="1">
      <c r="A904" s="58"/>
      <c r="D904" s="285"/>
    </row>
    <row r="905" hidden="1">
      <c r="A905" s="58"/>
      <c r="D905" s="285"/>
    </row>
    <row r="906" hidden="1">
      <c r="A906" s="58"/>
      <c r="D906" s="285"/>
    </row>
    <row r="907" hidden="1">
      <c r="A907" s="58"/>
      <c r="D907" s="285"/>
    </row>
    <row r="908" hidden="1">
      <c r="A908" s="58"/>
      <c r="D908" s="285"/>
    </row>
    <row r="909" hidden="1">
      <c r="A909" s="58"/>
      <c r="D909" s="285"/>
    </row>
    <row r="910" hidden="1">
      <c r="A910" s="58"/>
      <c r="D910" s="285"/>
    </row>
    <row r="911" hidden="1">
      <c r="A911" s="58"/>
      <c r="D911" s="285"/>
    </row>
    <row r="912" hidden="1">
      <c r="A912" s="58"/>
      <c r="D912" s="285"/>
    </row>
    <row r="913" hidden="1">
      <c r="A913" s="58"/>
      <c r="D913" s="285"/>
    </row>
    <row r="914" hidden="1">
      <c r="A914" s="58"/>
      <c r="D914" s="285"/>
    </row>
    <row r="915" hidden="1">
      <c r="A915" s="58"/>
      <c r="D915" s="285"/>
    </row>
    <row r="916" hidden="1">
      <c r="A916" s="58"/>
      <c r="D916" s="285"/>
    </row>
    <row r="917" hidden="1">
      <c r="A917" s="58"/>
      <c r="D917" s="285"/>
    </row>
    <row r="918" hidden="1">
      <c r="A918" s="58"/>
      <c r="D918" s="285"/>
    </row>
    <row r="919" hidden="1">
      <c r="A919" s="58"/>
      <c r="D919" s="285"/>
    </row>
    <row r="920" hidden="1">
      <c r="A920" s="58"/>
      <c r="D920" s="285"/>
    </row>
    <row r="921" hidden="1">
      <c r="A921" s="58"/>
      <c r="D921" s="285"/>
    </row>
    <row r="922" hidden="1">
      <c r="A922" s="58"/>
      <c r="D922" s="285"/>
    </row>
    <row r="923" hidden="1">
      <c r="A923" s="58"/>
      <c r="D923" s="285"/>
    </row>
    <row r="924" hidden="1">
      <c r="A924" s="58"/>
      <c r="D924" s="285"/>
    </row>
    <row r="925" hidden="1">
      <c r="A925" s="58"/>
      <c r="D925" s="285"/>
    </row>
    <row r="926" hidden="1">
      <c r="A926" s="58"/>
      <c r="D926" s="285"/>
    </row>
    <row r="927" hidden="1">
      <c r="A927" s="58"/>
      <c r="D927" s="285"/>
    </row>
    <row r="928" hidden="1">
      <c r="A928" s="58"/>
      <c r="D928" s="285"/>
    </row>
    <row r="929" hidden="1">
      <c r="A929" s="58"/>
      <c r="D929" s="285"/>
    </row>
    <row r="930" hidden="1">
      <c r="A930" s="58"/>
      <c r="D930" s="285"/>
    </row>
    <row r="931" hidden="1">
      <c r="A931" s="58"/>
      <c r="D931" s="285"/>
    </row>
    <row r="932" hidden="1">
      <c r="A932" s="58"/>
      <c r="D932" s="285"/>
    </row>
    <row r="933" hidden="1">
      <c r="A933" s="58"/>
      <c r="D933" s="285"/>
    </row>
    <row r="934" hidden="1">
      <c r="A934" s="58"/>
      <c r="D934" s="285"/>
    </row>
    <row r="935" hidden="1">
      <c r="A935" s="58"/>
      <c r="D935" s="285"/>
    </row>
    <row r="936" hidden="1">
      <c r="A936" s="58"/>
      <c r="D936" s="285"/>
    </row>
    <row r="937" hidden="1">
      <c r="A937" s="58"/>
      <c r="D937" s="285"/>
    </row>
    <row r="938" hidden="1">
      <c r="A938" s="58"/>
      <c r="D938" s="285"/>
    </row>
    <row r="939" hidden="1">
      <c r="A939" s="58"/>
      <c r="D939" s="285"/>
    </row>
    <row r="940" hidden="1">
      <c r="A940" s="58"/>
      <c r="D940" s="285"/>
    </row>
    <row r="941" hidden="1">
      <c r="A941" s="58"/>
      <c r="D941" s="285"/>
    </row>
    <row r="942" hidden="1">
      <c r="A942" s="58"/>
      <c r="D942" s="285"/>
    </row>
    <row r="943" hidden="1">
      <c r="A943" s="58"/>
      <c r="D943" s="285"/>
    </row>
    <row r="944" hidden="1">
      <c r="A944" s="58"/>
      <c r="D944" s="285"/>
    </row>
    <row r="945" hidden="1">
      <c r="A945" s="58"/>
      <c r="D945" s="285"/>
    </row>
    <row r="946" hidden="1">
      <c r="A946" s="58"/>
      <c r="D946" s="285"/>
    </row>
    <row r="947" hidden="1">
      <c r="A947" s="58"/>
      <c r="D947" s="285"/>
    </row>
    <row r="948" hidden="1">
      <c r="A948" s="58"/>
      <c r="D948" s="285"/>
    </row>
  </sheetData>
  <mergeCells count="1">
    <mergeCell ref="A1:F1"/>
  </mergeCells>
  <conditionalFormatting sqref="E3:E13">
    <cfRule type="colorScale" priority="1">
      <colorScale>
        <cfvo type="min"/>
        <cfvo type="max"/>
        <color rgb="FFFFFFFF"/>
        <color rgb="FF57BB8A"/>
      </colorScale>
    </cfRule>
  </conditionalFormatting>
  <hyperlinks>
    <hyperlink display="Want to contribute? Have questions, comments, or concerns? See Home page for contact information." location="Home!C12:E13" ref="A1"/>
  </hyperlink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25"/>
    <col customWidth="1" min="2" max="2" width="25.13"/>
    <col customWidth="1" min="3" max="3" width="3.75"/>
    <col customWidth="1" min="4" max="5" width="9.88"/>
    <col customWidth="1" min="6" max="6" width="74.25"/>
    <col hidden="1" min="7" max="25" width="12.63"/>
  </cols>
  <sheetData>
    <row r="1">
      <c r="A1" s="59" t="s">
        <v>884</v>
      </c>
    </row>
    <row r="2" ht="38.25" customHeight="1">
      <c r="A2" s="861" t="s">
        <v>885</v>
      </c>
      <c r="B2" s="345" t="s">
        <v>886</v>
      </c>
      <c r="C2" s="63"/>
      <c r="D2" s="883" t="s">
        <v>887</v>
      </c>
      <c r="E2" s="884" t="s">
        <v>888</v>
      </c>
      <c r="G2" s="58"/>
      <c r="H2" s="58"/>
      <c r="I2" s="58"/>
      <c r="J2" s="58"/>
      <c r="K2" s="58"/>
      <c r="L2" s="58"/>
      <c r="M2" s="58"/>
      <c r="N2" s="58"/>
      <c r="O2" s="58"/>
      <c r="P2" s="58"/>
      <c r="Q2" s="58"/>
      <c r="R2" s="58"/>
      <c r="S2" s="58"/>
      <c r="T2" s="58"/>
      <c r="U2" s="58"/>
      <c r="V2" s="58"/>
      <c r="W2" s="58"/>
      <c r="X2" s="58"/>
      <c r="Y2" s="58"/>
    </row>
    <row r="3">
      <c r="A3" s="863" t="s">
        <v>303</v>
      </c>
      <c r="B3" s="864" t="s">
        <v>889</v>
      </c>
      <c r="C3" s="57"/>
      <c r="D3" s="287">
        <v>55.0</v>
      </c>
      <c r="E3" s="885" t="s">
        <v>861</v>
      </c>
      <c r="F3" s="95" t="s">
        <v>890</v>
      </c>
    </row>
    <row r="4">
      <c r="A4" s="866" t="s">
        <v>303</v>
      </c>
      <c r="B4" s="867" t="s">
        <v>889</v>
      </c>
      <c r="C4" s="57"/>
      <c r="D4" s="291">
        <v>74.0</v>
      </c>
      <c r="E4" s="885" t="s">
        <v>861</v>
      </c>
      <c r="F4" s="95" t="s">
        <v>891</v>
      </c>
    </row>
    <row r="5">
      <c r="A5" s="866" t="s">
        <v>249</v>
      </c>
      <c r="B5" s="867" t="s">
        <v>892</v>
      </c>
      <c r="C5" s="57"/>
      <c r="D5" s="291">
        <v>72.0</v>
      </c>
      <c r="E5" s="885" t="s">
        <v>861</v>
      </c>
    </row>
    <row r="6">
      <c r="A6" s="870" t="s">
        <v>249</v>
      </c>
      <c r="B6" s="871" t="s">
        <v>893</v>
      </c>
      <c r="C6" s="57"/>
      <c r="D6" s="320">
        <v>481.0</v>
      </c>
      <c r="E6" s="885" t="s">
        <v>861</v>
      </c>
    </row>
    <row r="7">
      <c r="A7" s="876" t="s">
        <v>435</v>
      </c>
      <c r="B7" s="877" t="s">
        <v>894</v>
      </c>
      <c r="C7" s="57"/>
      <c r="D7" s="304">
        <v>96.0</v>
      </c>
      <c r="E7" s="885" t="s">
        <v>861</v>
      </c>
    </row>
    <row r="8">
      <c r="A8" s="873" t="s">
        <v>435</v>
      </c>
      <c r="B8" s="874" t="s">
        <v>895</v>
      </c>
      <c r="C8" s="57"/>
      <c r="D8" s="294">
        <v>192.0</v>
      </c>
      <c r="E8" s="885" t="s">
        <v>861</v>
      </c>
    </row>
    <row r="9">
      <c r="A9" s="873" t="s">
        <v>896</v>
      </c>
      <c r="B9" s="874" t="s">
        <v>897</v>
      </c>
      <c r="C9" s="57"/>
      <c r="D9" s="294">
        <v>45.0</v>
      </c>
      <c r="E9" s="885" t="s">
        <v>861</v>
      </c>
    </row>
    <row r="10">
      <c r="A10" s="873" t="s">
        <v>262</v>
      </c>
      <c r="B10" s="877" t="s">
        <v>898</v>
      </c>
      <c r="C10" s="57"/>
      <c r="D10" s="294">
        <f>404+242</f>
        <v>646</v>
      </c>
      <c r="E10" s="885" t="s">
        <v>861</v>
      </c>
      <c r="F10" s="95" t="s">
        <v>899</v>
      </c>
    </row>
    <row r="11">
      <c r="A11" s="876" t="s">
        <v>291</v>
      </c>
      <c r="B11" s="877" t="s">
        <v>900</v>
      </c>
      <c r="C11" s="57"/>
      <c r="D11" s="304">
        <v>52.0</v>
      </c>
      <c r="E11" s="885" t="s">
        <v>861</v>
      </c>
    </row>
    <row r="12">
      <c r="A12" s="876" t="s">
        <v>331</v>
      </c>
      <c r="B12" s="877" t="s">
        <v>866</v>
      </c>
      <c r="C12" s="57"/>
      <c r="D12" s="304">
        <v>710.0</v>
      </c>
      <c r="E12" s="885" t="s">
        <v>861</v>
      </c>
    </row>
    <row r="13">
      <c r="A13" s="876" t="s">
        <v>331</v>
      </c>
      <c r="B13" s="877" t="s">
        <v>889</v>
      </c>
      <c r="C13" s="57"/>
      <c r="D13" s="304">
        <v>882.0</v>
      </c>
      <c r="E13" s="885" t="s">
        <v>861</v>
      </c>
      <c r="F13" s="95"/>
    </row>
    <row r="14">
      <c r="A14" s="876" t="s">
        <v>492</v>
      </c>
      <c r="B14" s="877" t="s">
        <v>890</v>
      </c>
      <c r="C14" s="57"/>
      <c r="D14" s="304">
        <v>137.0</v>
      </c>
      <c r="E14" s="885" t="s">
        <v>861</v>
      </c>
      <c r="F14" s="95" t="s">
        <v>901</v>
      </c>
    </row>
    <row r="15">
      <c r="A15" s="876" t="s">
        <v>492</v>
      </c>
      <c r="B15" s="877" t="s">
        <v>891</v>
      </c>
      <c r="C15" s="57"/>
      <c r="D15" s="304">
        <v>471.0</v>
      </c>
      <c r="E15" s="885" t="s">
        <v>861</v>
      </c>
      <c r="F15" s="95" t="s">
        <v>901</v>
      </c>
    </row>
    <row r="16">
      <c r="A16" s="876" t="s">
        <v>287</v>
      </c>
      <c r="B16" s="877" t="s">
        <v>902</v>
      </c>
      <c r="C16" s="57"/>
      <c r="D16" s="304">
        <v>738.0</v>
      </c>
      <c r="E16" s="885" t="s">
        <v>861</v>
      </c>
    </row>
    <row r="17">
      <c r="A17" s="876" t="s">
        <v>476</v>
      </c>
      <c r="B17" s="877" t="s">
        <v>903</v>
      </c>
      <c r="C17" s="57"/>
      <c r="D17" s="304">
        <v>60.0</v>
      </c>
      <c r="E17" s="885" t="s">
        <v>861</v>
      </c>
    </row>
    <row r="18">
      <c r="A18" s="876" t="s">
        <v>476</v>
      </c>
      <c r="B18" s="877" t="s">
        <v>904</v>
      </c>
      <c r="C18" s="57"/>
      <c r="D18" s="304">
        <v>34.0</v>
      </c>
      <c r="E18" s="885" t="s">
        <v>861</v>
      </c>
      <c r="F18" s="95" t="s">
        <v>905</v>
      </c>
    </row>
    <row r="19">
      <c r="A19" s="876" t="s">
        <v>476</v>
      </c>
      <c r="B19" s="877" t="s">
        <v>906</v>
      </c>
      <c r="C19" s="57"/>
      <c r="D19" s="304">
        <v>1037.0</v>
      </c>
      <c r="E19" s="885" t="s">
        <v>861</v>
      </c>
    </row>
    <row r="20">
      <c r="A20" s="876" t="s">
        <v>476</v>
      </c>
      <c r="B20" s="877" t="s">
        <v>907</v>
      </c>
      <c r="C20" s="57"/>
      <c r="D20" s="304">
        <v>1185.0</v>
      </c>
      <c r="E20" s="885" t="s">
        <v>861</v>
      </c>
    </row>
    <row r="21">
      <c r="A21" s="876" t="s">
        <v>476</v>
      </c>
      <c r="B21" s="877" t="s">
        <v>908</v>
      </c>
      <c r="C21" s="57"/>
      <c r="D21" s="304">
        <v>1333.0</v>
      </c>
      <c r="E21" s="885" t="s">
        <v>861</v>
      </c>
    </row>
    <row r="22">
      <c r="A22" s="876" t="s">
        <v>362</v>
      </c>
      <c r="B22" s="877" t="s">
        <v>909</v>
      </c>
      <c r="C22" s="57"/>
      <c r="D22" s="304">
        <v>473.0</v>
      </c>
      <c r="E22" s="885" t="s">
        <v>861</v>
      </c>
    </row>
    <row r="23">
      <c r="A23" s="876" t="s">
        <v>470</v>
      </c>
      <c r="B23" s="877" t="s">
        <v>457</v>
      </c>
      <c r="C23" s="57"/>
      <c r="D23" s="304">
        <f>19+41</f>
        <v>60</v>
      </c>
      <c r="E23" s="885" t="s">
        <v>861</v>
      </c>
    </row>
    <row r="24">
      <c r="A24" s="876" t="s">
        <v>910</v>
      </c>
      <c r="B24" s="877" t="s">
        <v>911</v>
      </c>
      <c r="C24" s="57"/>
      <c r="D24" s="304">
        <v>203.0</v>
      </c>
      <c r="E24" s="885" t="s">
        <v>861</v>
      </c>
    </row>
    <row r="25">
      <c r="A25" s="876" t="s">
        <v>426</v>
      </c>
      <c r="B25" s="877" t="s">
        <v>912</v>
      </c>
      <c r="C25" s="57"/>
      <c r="D25" s="304">
        <f>85+385</f>
        <v>470</v>
      </c>
      <c r="E25" s="885" t="s">
        <v>861</v>
      </c>
      <c r="F25" s="95" t="s">
        <v>913</v>
      </c>
    </row>
    <row r="26">
      <c r="A26" s="876" t="s">
        <v>426</v>
      </c>
      <c r="B26" s="877" t="s">
        <v>912</v>
      </c>
      <c r="C26" s="57"/>
      <c r="D26" s="304">
        <f>D25*20</f>
        <v>9400</v>
      </c>
      <c r="E26" s="885" t="s">
        <v>861</v>
      </c>
      <c r="F26" s="95" t="s">
        <v>914</v>
      </c>
    </row>
    <row r="27">
      <c r="A27" s="876" t="s">
        <v>183</v>
      </c>
      <c r="B27" s="877" t="s">
        <v>915</v>
      </c>
      <c r="C27" s="57"/>
      <c r="D27" s="304">
        <f>94+87</f>
        <v>181</v>
      </c>
      <c r="E27" s="885" t="s">
        <v>861</v>
      </c>
    </row>
    <row r="28">
      <c r="A28" s="876" t="s">
        <v>183</v>
      </c>
      <c r="B28" s="877" t="s">
        <v>916</v>
      </c>
      <c r="C28" s="57"/>
      <c r="D28" s="304">
        <v>46.0</v>
      </c>
      <c r="E28" s="885" t="s">
        <v>861</v>
      </c>
    </row>
    <row r="29">
      <c r="A29" s="876" t="s">
        <v>190</v>
      </c>
      <c r="B29" s="877" t="s">
        <v>917</v>
      </c>
      <c r="C29" s="57"/>
      <c r="D29" s="304">
        <v>1767.0</v>
      </c>
      <c r="E29" s="885" t="s">
        <v>861</v>
      </c>
    </row>
    <row r="30">
      <c r="A30" s="876" t="s">
        <v>228</v>
      </c>
      <c r="B30" s="877" t="s">
        <v>918</v>
      </c>
      <c r="C30" s="57"/>
      <c r="D30" s="304">
        <v>147.0</v>
      </c>
      <c r="E30" s="885" t="s">
        <v>861</v>
      </c>
    </row>
    <row r="31">
      <c r="A31" s="876" t="s">
        <v>919</v>
      </c>
      <c r="B31" s="877" t="s">
        <v>920</v>
      </c>
      <c r="C31" s="57"/>
      <c r="D31" s="304">
        <v>97.0</v>
      </c>
      <c r="E31" s="885" t="s">
        <v>861</v>
      </c>
      <c r="F31" s="95"/>
    </row>
    <row r="32">
      <c r="A32" s="876" t="s">
        <v>311</v>
      </c>
      <c r="B32" s="877" t="s">
        <v>921</v>
      </c>
      <c r="C32" s="57"/>
      <c r="D32" s="304">
        <v>28.0</v>
      </c>
      <c r="E32" s="885" t="s">
        <v>861</v>
      </c>
      <c r="F32" s="95" t="s">
        <v>922</v>
      </c>
    </row>
    <row r="33">
      <c r="A33" s="876" t="s">
        <v>66</v>
      </c>
      <c r="B33" s="877" t="s">
        <v>923</v>
      </c>
      <c r="C33" s="57"/>
      <c r="D33" s="304">
        <v>51.0</v>
      </c>
      <c r="E33" s="885" t="s">
        <v>861</v>
      </c>
    </row>
    <row r="34">
      <c r="A34" s="876" t="s">
        <v>238</v>
      </c>
      <c r="B34" s="877" t="s">
        <v>924</v>
      </c>
      <c r="C34" s="57"/>
      <c r="D34" s="304">
        <v>32.0</v>
      </c>
      <c r="E34" s="885" t="s">
        <v>861</v>
      </c>
    </row>
    <row r="35">
      <c r="A35" s="876" t="s">
        <v>178</v>
      </c>
      <c r="B35" s="877" t="s">
        <v>925</v>
      </c>
      <c r="C35" s="57"/>
      <c r="D35" s="304">
        <v>71.0</v>
      </c>
      <c r="E35" s="885" t="s">
        <v>861</v>
      </c>
    </row>
    <row r="36">
      <c r="A36" s="876" t="s">
        <v>307</v>
      </c>
      <c r="B36" s="877" t="s">
        <v>926</v>
      </c>
      <c r="C36" s="57"/>
      <c r="D36" s="304">
        <f>198+196+195+194+192</f>
        <v>975</v>
      </c>
      <c r="E36" s="885" t="s">
        <v>861</v>
      </c>
    </row>
    <row r="37">
      <c r="A37" s="876" t="s">
        <v>307</v>
      </c>
      <c r="B37" s="877" t="s">
        <v>927</v>
      </c>
      <c r="C37" s="57"/>
      <c r="D37" s="304">
        <f>191+190+188+187+186</f>
        <v>942</v>
      </c>
      <c r="E37" s="885" t="s">
        <v>861</v>
      </c>
    </row>
    <row r="38">
      <c r="A38" s="876" t="s">
        <v>307</v>
      </c>
      <c r="B38" s="877" t="s">
        <v>928</v>
      </c>
      <c r="C38" s="57"/>
      <c r="D38" s="304">
        <f>+184+183+182+181+179</f>
        <v>909</v>
      </c>
      <c r="E38" s="885" t="s">
        <v>861</v>
      </c>
    </row>
    <row r="39">
      <c r="A39" s="876" t="s">
        <v>307</v>
      </c>
      <c r="B39" s="877" t="s">
        <v>929</v>
      </c>
      <c r="C39" s="57"/>
      <c r="D39" s="304">
        <f>178*5</f>
        <v>890</v>
      </c>
      <c r="E39" s="885" t="s">
        <v>861</v>
      </c>
    </row>
    <row r="40">
      <c r="A40" s="876" t="s">
        <v>68</v>
      </c>
      <c r="B40" s="877" t="s">
        <v>930</v>
      </c>
      <c r="C40" s="57"/>
      <c r="D40" s="304">
        <v>2913.0</v>
      </c>
      <c r="E40" s="885" t="s">
        <v>861</v>
      </c>
    </row>
    <row r="41">
      <c r="A41" s="876" t="s">
        <v>60</v>
      </c>
      <c r="B41" s="877" t="s">
        <v>931</v>
      </c>
      <c r="C41" s="57"/>
      <c r="D41" s="886">
        <v>0.92</v>
      </c>
      <c r="E41" s="885" t="s">
        <v>932</v>
      </c>
      <c r="F41" s="95" t="s">
        <v>933</v>
      </c>
    </row>
    <row r="42">
      <c r="A42" s="876" t="s">
        <v>128</v>
      </c>
      <c r="B42" s="877" t="s">
        <v>934</v>
      </c>
      <c r="C42" s="57"/>
      <c r="D42" s="304">
        <v>26.0</v>
      </c>
      <c r="E42" s="885" t="s">
        <v>861</v>
      </c>
    </row>
    <row r="43">
      <c r="A43" s="876" t="s">
        <v>505</v>
      </c>
      <c r="B43" s="877" t="s">
        <v>935</v>
      </c>
      <c r="C43" s="57"/>
      <c r="D43" s="304">
        <v>848.0</v>
      </c>
      <c r="E43" s="885" t="s">
        <v>861</v>
      </c>
    </row>
    <row r="44">
      <c r="A44" s="876" t="s">
        <v>97</v>
      </c>
      <c r="B44" s="877" t="s">
        <v>936</v>
      </c>
      <c r="C44" s="57"/>
      <c r="D44" s="304">
        <f>32+35+38+42+45+49+52</f>
        <v>293</v>
      </c>
      <c r="E44" s="885" t="s">
        <v>861</v>
      </c>
      <c r="F44" s="95" t="s">
        <v>937</v>
      </c>
    </row>
    <row r="45">
      <c r="A45" s="876" t="s">
        <v>97</v>
      </c>
      <c r="B45" s="877" t="s">
        <v>936</v>
      </c>
      <c r="C45" s="57"/>
      <c r="D45" s="304">
        <f>32+35+38+42+45+49+52+56+59+63+66+70+73+78+92+105+119+133+147</f>
        <v>1354</v>
      </c>
      <c r="E45" s="885" t="s">
        <v>861</v>
      </c>
      <c r="F45" s="95" t="s">
        <v>938</v>
      </c>
    </row>
    <row r="46">
      <c r="A46" s="876" t="s">
        <v>110</v>
      </c>
      <c r="B46" s="877" t="s">
        <v>939</v>
      </c>
      <c r="C46" s="57"/>
      <c r="D46" s="304">
        <v>40.0</v>
      </c>
      <c r="E46" s="885" t="s">
        <v>861</v>
      </c>
    </row>
    <row r="47">
      <c r="A47" s="876" t="s">
        <v>164</v>
      </c>
      <c r="B47" s="877" t="s">
        <v>940</v>
      </c>
      <c r="C47" s="57"/>
      <c r="D47" s="304">
        <v>94.0</v>
      </c>
      <c r="E47" s="885" t="s">
        <v>861</v>
      </c>
    </row>
    <row r="48">
      <c r="A48" s="876" t="s">
        <v>57</v>
      </c>
      <c r="B48" s="877" t="s">
        <v>941</v>
      </c>
      <c r="C48" s="57"/>
      <c r="D48" s="304">
        <v>11.0</v>
      </c>
      <c r="E48" s="885" t="s">
        <v>942</v>
      </c>
      <c r="F48" s="95" t="s">
        <v>943</v>
      </c>
    </row>
    <row r="49">
      <c r="A49" s="876" t="s">
        <v>57</v>
      </c>
      <c r="B49" s="877" t="s">
        <v>912</v>
      </c>
      <c r="C49" s="57"/>
      <c r="D49" s="304">
        <f>81+3</f>
        <v>84</v>
      </c>
      <c r="E49" s="885" t="s">
        <v>861</v>
      </c>
    </row>
    <row r="50">
      <c r="A50" s="876" t="s">
        <v>57</v>
      </c>
      <c r="B50" s="877" t="s">
        <v>944</v>
      </c>
      <c r="C50" s="57"/>
      <c r="D50" s="304">
        <f>16+668</f>
        <v>684</v>
      </c>
      <c r="E50" s="885" t="s">
        <v>861</v>
      </c>
    </row>
    <row r="51">
      <c r="A51" s="876" t="s">
        <v>122</v>
      </c>
      <c r="B51" s="877" t="s">
        <v>945</v>
      </c>
      <c r="C51" s="57"/>
      <c r="D51" s="304">
        <v>294.0</v>
      </c>
      <c r="E51" s="885" t="s">
        <v>861</v>
      </c>
    </row>
    <row r="52">
      <c r="A52" s="876" t="s">
        <v>122</v>
      </c>
      <c r="B52" s="877" t="s">
        <v>946</v>
      </c>
      <c r="C52" s="57"/>
      <c r="D52" s="304">
        <v>954.0</v>
      </c>
      <c r="E52" s="885" t="s">
        <v>861</v>
      </c>
    </row>
    <row r="53">
      <c r="A53" s="876" t="s">
        <v>122</v>
      </c>
      <c r="B53" s="877" t="s">
        <v>947</v>
      </c>
      <c r="C53" s="57"/>
      <c r="D53" s="304">
        <v>224.0</v>
      </c>
      <c r="E53" s="885" t="s">
        <v>861</v>
      </c>
    </row>
    <row r="54">
      <c r="A54" s="876" t="s">
        <v>280</v>
      </c>
      <c r="B54" s="877" t="s">
        <v>948</v>
      </c>
      <c r="C54" s="57"/>
      <c r="D54" s="304">
        <v>1350.0</v>
      </c>
      <c r="E54" s="885" t="s">
        <v>861</v>
      </c>
    </row>
    <row r="55">
      <c r="A55" s="876" t="s">
        <v>444</v>
      </c>
      <c r="B55" s="877" t="s">
        <v>949</v>
      </c>
      <c r="C55" s="57"/>
      <c r="D55" s="304">
        <f>'Elemental Effects'!$E$9</f>
        <v>361</v>
      </c>
      <c r="E55" s="885" t="s">
        <v>861</v>
      </c>
    </row>
    <row r="56">
      <c r="A56" s="876" t="s">
        <v>444</v>
      </c>
      <c r="B56" s="877" t="s">
        <v>950</v>
      </c>
      <c r="C56" s="57"/>
      <c r="D56" s="304">
        <f>(158+158+133+132+129)/5</f>
        <v>142</v>
      </c>
      <c r="E56" s="885" t="s">
        <v>861</v>
      </c>
      <c r="F56" s="95" t="s">
        <v>951</v>
      </c>
    </row>
    <row r="57">
      <c r="A57" s="876" t="s">
        <v>444</v>
      </c>
      <c r="B57" s="877" t="s">
        <v>950</v>
      </c>
      <c r="C57" s="57"/>
      <c r="D57" s="304">
        <f>(174+168+167+158+158)/5</f>
        <v>165</v>
      </c>
      <c r="E57" s="885" t="s">
        <v>861</v>
      </c>
      <c r="F57" s="95" t="s">
        <v>952</v>
      </c>
    </row>
    <row r="58">
      <c r="A58" s="876" t="s">
        <v>444</v>
      </c>
      <c r="B58" s="877" t="s">
        <v>953</v>
      </c>
      <c r="C58" s="57"/>
      <c r="D58" s="304">
        <f>247+744</f>
        <v>991</v>
      </c>
      <c r="E58" s="885" t="s">
        <v>861</v>
      </c>
      <c r="F58" s="95"/>
    </row>
    <row r="59">
      <c r="A59" s="876" t="s">
        <v>266</v>
      </c>
      <c r="B59" s="877" t="s">
        <v>954</v>
      </c>
      <c r="C59" s="57"/>
      <c r="D59" s="886">
        <v>1.72</v>
      </c>
      <c r="E59" s="885" t="s">
        <v>932</v>
      </c>
      <c r="F59" s="95" t="s">
        <v>955</v>
      </c>
    </row>
    <row r="60">
      <c r="A60" s="876" t="s">
        <v>266</v>
      </c>
      <c r="B60" s="877" t="s">
        <v>956</v>
      </c>
      <c r="C60" s="57"/>
      <c r="D60" s="304">
        <f>600+600+600</f>
        <v>1800</v>
      </c>
      <c r="E60" s="885" t="s">
        <v>861</v>
      </c>
      <c r="F60" s="95" t="s">
        <v>957</v>
      </c>
    </row>
    <row r="61">
      <c r="A61" s="876" t="s">
        <v>266</v>
      </c>
      <c r="B61" s="877" t="s">
        <v>956</v>
      </c>
      <c r="C61" s="57"/>
      <c r="D61" s="304">
        <f>1205+1748+2290</f>
        <v>5243</v>
      </c>
      <c r="E61" s="885" t="s">
        <v>861</v>
      </c>
      <c r="F61" s="95" t="s">
        <v>46</v>
      </c>
    </row>
    <row r="62">
      <c r="A62" s="876" t="s">
        <v>266</v>
      </c>
      <c r="B62" s="877" t="s">
        <v>956</v>
      </c>
      <c r="C62" s="57"/>
      <c r="D62" s="304"/>
      <c r="E62" s="885" t="s">
        <v>861</v>
      </c>
      <c r="F62" s="95" t="s">
        <v>958</v>
      </c>
    </row>
    <row r="63">
      <c r="A63" s="887" t="s">
        <v>266</v>
      </c>
      <c r="B63" s="888" t="s">
        <v>956</v>
      </c>
      <c r="C63" s="57"/>
      <c r="D63" s="304">
        <v>5111.0</v>
      </c>
      <c r="E63" s="885" t="s">
        <v>861</v>
      </c>
      <c r="F63" s="95" t="s">
        <v>959</v>
      </c>
    </row>
    <row r="64">
      <c r="A64" s="870" t="s">
        <v>49</v>
      </c>
      <c r="B64" s="877" t="s">
        <v>960</v>
      </c>
      <c r="C64" s="57"/>
      <c r="D64" s="304">
        <v>27.0</v>
      </c>
      <c r="E64" s="885" t="s">
        <v>861</v>
      </c>
    </row>
    <row r="65">
      <c r="A65" s="876" t="s">
        <v>961</v>
      </c>
      <c r="B65" s="877" t="s">
        <v>962</v>
      </c>
      <c r="C65" s="57"/>
      <c r="D65" s="304">
        <f>135+2168</f>
        <v>2303</v>
      </c>
      <c r="E65" s="885" t="s">
        <v>861</v>
      </c>
    </row>
    <row r="66">
      <c r="A66" s="876" t="s">
        <v>963</v>
      </c>
      <c r="B66" s="877" t="s">
        <v>964</v>
      </c>
      <c r="C66" s="57"/>
      <c r="D66" s="304">
        <v>163.0</v>
      </c>
      <c r="E66" s="885" t="s">
        <v>861</v>
      </c>
    </row>
    <row r="67">
      <c r="A67" s="876" t="s">
        <v>431</v>
      </c>
      <c r="B67" s="877" t="s">
        <v>965</v>
      </c>
      <c r="C67" s="57"/>
      <c r="D67" s="304">
        <v>122.0</v>
      </c>
      <c r="E67" s="885" t="s">
        <v>861</v>
      </c>
      <c r="F67" s="95" t="s">
        <v>966</v>
      </c>
    </row>
    <row r="68">
      <c r="A68" s="876" t="s">
        <v>151</v>
      </c>
      <c r="B68" s="877" t="s">
        <v>967</v>
      </c>
      <c r="C68" s="57"/>
      <c r="D68" s="304">
        <f>64+65+65+65</f>
        <v>259</v>
      </c>
      <c r="E68" s="885" t="s">
        <v>861</v>
      </c>
      <c r="F68" s="95" t="s">
        <v>968</v>
      </c>
    </row>
    <row r="69">
      <c r="A69" s="876" t="s">
        <v>151</v>
      </c>
      <c r="B69" s="877" t="s">
        <v>969</v>
      </c>
      <c r="C69" s="57"/>
      <c r="D69" s="304">
        <f>439</f>
        <v>439</v>
      </c>
      <c r="E69" s="885" t="s">
        <v>861</v>
      </c>
      <c r="F69" s="95" t="s">
        <v>968</v>
      </c>
    </row>
    <row r="70">
      <c r="A70" s="876" t="s">
        <v>193</v>
      </c>
      <c r="B70" s="877" t="s">
        <v>924</v>
      </c>
      <c r="C70" s="57"/>
      <c r="D70" s="304">
        <v>10.0</v>
      </c>
      <c r="E70" s="885" t="s">
        <v>861</v>
      </c>
    </row>
    <row r="71">
      <c r="A71" s="876" t="s">
        <v>193</v>
      </c>
      <c r="B71" s="877" t="s">
        <v>924</v>
      </c>
      <c r="C71" s="57"/>
      <c r="D71" s="304">
        <v>28.0</v>
      </c>
      <c r="E71" s="885" t="s">
        <v>861</v>
      </c>
      <c r="F71" s="95" t="s">
        <v>970</v>
      </c>
    </row>
    <row r="72">
      <c r="A72" s="876" t="s">
        <v>417</v>
      </c>
      <c r="B72" s="877" t="s">
        <v>971</v>
      </c>
      <c r="C72" s="57"/>
      <c r="D72" s="304">
        <v>139.0</v>
      </c>
      <c r="E72" s="889" t="s">
        <v>861</v>
      </c>
    </row>
    <row r="73">
      <c r="A73" s="876" t="s">
        <v>233</v>
      </c>
      <c r="B73" s="877" t="s">
        <v>972</v>
      </c>
      <c r="C73" s="57"/>
      <c r="D73" s="304">
        <v>23.0</v>
      </c>
      <c r="E73" s="885" t="s">
        <v>861</v>
      </c>
      <c r="F73" s="95" t="s">
        <v>973</v>
      </c>
    </row>
    <row r="74">
      <c r="A74" s="876" t="s">
        <v>233</v>
      </c>
      <c r="B74" s="877" t="s">
        <v>960</v>
      </c>
      <c r="C74" s="57"/>
      <c r="D74" s="304">
        <v>136.0</v>
      </c>
      <c r="E74" s="885" t="s">
        <v>861</v>
      </c>
      <c r="F74" s="95" t="s">
        <v>974</v>
      </c>
    </row>
    <row r="75">
      <c r="A75" s="876" t="s">
        <v>54</v>
      </c>
      <c r="B75" s="877" t="s">
        <v>890</v>
      </c>
      <c r="C75" s="57"/>
      <c r="D75" s="304">
        <v>15.0</v>
      </c>
      <c r="E75" s="885" t="s">
        <v>861</v>
      </c>
      <c r="F75" s="95" t="s">
        <v>975</v>
      </c>
    </row>
    <row r="76">
      <c r="A76" s="876" t="s">
        <v>54</v>
      </c>
      <c r="B76" s="877" t="s">
        <v>891</v>
      </c>
      <c r="C76" s="57"/>
      <c r="D76" s="304">
        <v>25.0</v>
      </c>
      <c r="E76" s="885" t="s">
        <v>861</v>
      </c>
      <c r="F76" s="95" t="s">
        <v>976</v>
      </c>
    </row>
    <row r="77">
      <c r="A77" s="876" t="s">
        <v>141</v>
      </c>
      <c r="B77" s="877" t="s">
        <v>977</v>
      </c>
      <c r="C77" s="57"/>
      <c r="D77" s="304">
        <f>3+269</f>
        <v>272</v>
      </c>
      <c r="E77" s="885" t="s">
        <v>861</v>
      </c>
    </row>
    <row r="78">
      <c r="A78" s="876" t="s">
        <v>141</v>
      </c>
      <c r="B78" s="877" t="s">
        <v>978</v>
      </c>
      <c r="C78" s="57"/>
      <c r="D78" s="304">
        <f>29*7</f>
        <v>203</v>
      </c>
      <c r="E78" s="885" t="s">
        <v>861</v>
      </c>
    </row>
    <row r="79">
      <c r="A79" s="876" t="s">
        <v>461</v>
      </c>
      <c r="B79" s="877" t="s">
        <v>979</v>
      </c>
      <c r="C79" s="57"/>
      <c r="D79" s="304">
        <f>59+266</f>
        <v>325</v>
      </c>
      <c r="E79" s="885" t="s">
        <v>861</v>
      </c>
      <c r="F79" s="95" t="s">
        <v>980</v>
      </c>
    </row>
    <row r="80">
      <c r="A80" s="876" t="s">
        <v>63</v>
      </c>
      <c r="B80" s="877" t="s">
        <v>981</v>
      </c>
      <c r="C80" s="57"/>
      <c r="D80" s="304">
        <v>398.0</v>
      </c>
      <c r="E80" s="885" t="s">
        <v>861</v>
      </c>
    </row>
    <row r="81">
      <c r="A81" s="876" t="s">
        <v>63</v>
      </c>
      <c r="B81" s="877" t="s">
        <v>982</v>
      </c>
      <c r="C81" s="57"/>
      <c r="D81" s="304">
        <v>1274.0</v>
      </c>
      <c r="E81" s="885" t="s">
        <v>861</v>
      </c>
    </row>
    <row r="82">
      <c r="A82" s="876" t="s">
        <v>300</v>
      </c>
      <c r="B82" s="877" t="s">
        <v>983</v>
      </c>
      <c r="C82" s="57"/>
      <c r="D82" s="304">
        <v>22.0</v>
      </c>
      <c r="E82" s="885" t="s">
        <v>861</v>
      </c>
      <c r="F82" s="95" t="s">
        <v>890</v>
      </c>
    </row>
    <row r="83">
      <c r="A83" s="876" t="s">
        <v>300</v>
      </c>
      <c r="B83" s="877" t="s">
        <v>984</v>
      </c>
      <c r="C83" s="57"/>
      <c r="D83" s="304">
        <v>29.0</v>
      </c>
      <c r="E83" s="885" t="s">
        <v>861</v>
      </c>
      <c r="F83" s="95" t="s">
        <v>890</v>
      </c>
    </row>
    <row r="84">
      <c r="A84" s="876" t="s">
        <v>300</v>
      </c>
      <c r="B84" s="877" t="s">
        <v>985</v>
      </c>
      <c r="C84" s="57"/>
      <c r="D84" s="304">
        <v>36.0</v>
      </c>
      <c r="E84" s="885" t="s">
        <v>861</v>
      </c>
      <c r="F84" s="95" t="s">
        <v>890</v>
      </c>
    </row>
    <row r="85">
      <c r="A85" s="876" t="s">
        <v>300</v>
      </c>
      <c r="B85" s="877" t="s">
        <v>983</v>
      </c>
      <c r="C85" s="57"/>
      <c r="D85" s="304">
        <v>29.0</v>
      </c>
      <c r="E85" s="885" t="s">
        <v>861</v>
      </c>
      <c r="F85" s="95" t="s">
        <v>891</v>
      </c>
    </row>
    <row r="86">
      <c r="A86" s="876" t="s">
        <v>300</v>
      </c>
      <c r="B86" s="877" t="s">
        <v>984</v>
      </c>
      <c r="C86" s="57"/>
      <c r="D86" s="304">
        <v>38.0</v>
      </c>
      <c r="E86" s="885" t="s">
        <v>861</v>
      </c>
      <c r="F86" s="95" t="s">
        <v>891</v>
      </c>
    </row>
    <row r="87">
      <c r="A87" s="876" t="s">
        <v>300</v>
      </c>
      <c r="B87" s="877" t="s">
        <v>985</v>
      </c>
      <c r="C87" s="57"/>
      <c r="D87" s="304">
        <v>49.0</v>
      </c>
      <c r="E87" s="885" t="s">
        <v>861</v>
      </c>
      <c r="F87" s="95" t="s">
        <v>891</v>
      </c>
    </row>
    <row r="88">
      <c r="A88" s="876" t="s">
        <v>145</v>
      </c>
      <c r="B88" s="877" t="s">
        <v>986</v>
      </c>
      <c r="C88" s="57"/>
      <c r="D88" s="304">
        <f>Primaries!M85*0.95</f>
        <v>31.35</v>
      </c>
      <c r="E88" s="885" t="s">
        <v>861</v>
      </c>
      <c r="F88" s="95" t="s">
        <v>150</v>
      </c>
    </row>
    <row r="89">
      <c r="A89" s="876" t="s">
        <v>145</v>
      </c>
      <c r="B89" s="877" t="s">
        <v>987</v>
      </c>
      <c r="C89" s="57"/>
      <c r="D89" s="304">
        <f>Primaries!N85*0.95</f>
        <v>59.85</v>
      </c>
      <c r="E89" s="885" t="s">
        <v>861</v>
      </c>
      <c r="F89" s="95" t="s">
        <v>150</v>
      </c>
    </row>
    <row r="90">
      <c r="A90" s="876" t="s">
        <v>145</v>
      </c>
      <c r="B90" s="877" t="s">
        <v>986</v>
      </c>
      <c r="C90" s="57"/>
      <c r="D90" s="304">
        <f t="shared" ref="D90:D91" si="1">D88*1.5</f>
        <v>47.025</v>
      </c>
      <c r="E90" s="885" t="s">
        <v>861</v>
      </c>
      <c r="F90" s="95" t="s">
        <v>147</v>
      </c>
    </row>
    <row r="91">
      <c r="A91" s="876" t="s">
        <v>145</v>
      </c>
      <c r="B91" s="877" t="s">
        <v>987</v>
      </c>
      <c r="C91" s="57"/>
      <c r="D91" s="304">
        <f t="shared" si="1"/>
        <v>89.775</v>
      </c>
      <c r="E91" s="885" t="s">
        <v>861</v>
      </c>
      <c r="F91" s="95" t="s">
        <v>147</v>
      </c>
    </row>
    <row r="92">
      <c r="A92" s="876" t="s">
        <v>488</v>
      </c>
      <c r="B92" s="877" t="s">
        <v>988</v>
      </c>
      <c r="C92" s="57"/>
      <c r="D92" s="304">
        <v>60.0</v>
      </c>
      <c r="E92" s="885" t="s">
        <v>861</v>
      </c>
      <c r="F92" s="95" t="s">
        <v>989</v>
      </c>
    </row>
    <row r="93">
      <c r="A93" s="876" t="s">
        <v>488</v>
      </c>
      <c r="B93" s="877" t="s">
        <v>990</v>
      </c>
      <c r="C93" s="57"/>
      <c r="D93" s="304">
        <f>1411*0.9</f>
        <v>1269.9</v>
      </c>
      <c r="E93" s="885" t="s">
        <v>861</v>
      </c>
    </row>
    <row r="94">
      <c r="A94" s="876" t="s">
        <v>488</v>
      </c>
      <c r="B94" s="877" t="s">
        <v>953</v>
      </c>
      <c r="C94" s="57"/>
      <c r="D94" s="304">
        <f>1552*0.9</f>
        <v>1396.8</v>
      </c>
      <c r="E94" s="885" t="s">
        <v>861</v>
      </c>
    </row>
    <row r="95">
      <c r="A95" s="876" t="s">
        <v>239</v>
      </c>
      <c r="B95" s="877" t="s">
        <v>991</v>
      </c>
      <c r="C95" s="57"/>
      <c r="D95" s="304">
        <v>157.0</v>
      </c>
      <c r="E95" s="885" t="s">
        <v>861</v>
      </c>
    </row>
    <row r="96">
      <c r="A96" s="876" t="s">
        <v>239</v>
      </c>
      <c r="B96" s="877" t="s">
        <v>992</v>
      </c>
      <c r="C96" s="57"/>
      <c r="D96" s="304">
        <v>284.0</v>
      </c>
      <c r="E96" s="885" t="s">
        <v>861</v>
      </c>
    </row>
    <row r="97">
      <c r="A97" s="876" t="s">
        <v>365</v>
      </c>
      <c r="B97" s="877" t="s">
        <v>990</v>
      </c>
      <c r="C97" s="57"/>
      <c r="D97" s="304">
        <v>36.0</v>
      </c>
      <c r="E97" s="885" t="s">
        <v>861</v>
      </c>
    </row>
    <row r="98">
      <c r="A98" s="876" t="s">
        <v>365</v>
      </c>
      <c r="B98" s="877" t="s">
        <v>993</v>
      </c>
      <c r="C98" s="57"/>
      <c r="D98" s="304">
        <v>534.0</v>
      </c>
      <c r="E98" s="885" t="s">
        <v>861</v>
      </c>
    </row>
    <row r="99">
      <c r="A99" s="876" t="s">
        <v>365</v>
      </c>
      <c r="B99" s="877" t="s">
        <v>994</v>
      </c>
      <c r="C99" s="57"/>
      <c r="D99" s="304">
        <v>119.0</v>
      </c>
      <c r="E99" s="885" t="s">
        <v>861</v>
      </c>
    </row>
    <row r="100">
      <c r="A100" s="890" t="s">
        <v>365</v>
      </c>
      <c r="B100" s="891" t="s">
        <v>995</v>
      </c>
      <c r="C100" s="117"/>
      <c r="D100" s="304">
        <v>119.0</v>
      </c>
      <c r="E100" s="889" t="s">
        <v>861</v>
      </c>
    </row>
    <row r="101">
      <c r="A101" s="890" t="s">
        <v>365</v>
      </c>
      <c r="B101" s="891" t="s">
        <v>996</v>
      </c>
      <c r="C101" s="117"/>
      <c r="D101" s="304">
        <v>60.0</v>
      </c>
      <c r="E101" s="889" t="s">
        <v>861</v>
      </c>
      <c r="F101" s="95" t="s">
        <v>997</v>
      </c>
    </row>
    <row r="102">
      <c r="A102" s="880"/>
      <c r="B102" s="881"/>
      <c r="C102" s="57"/>
      <c r="D102" s="328"/>
      <c r="E102" s="892"/>
    </row>
    <row r="103">
      <c r="A103" s="335"/>
      <c r="B103" s="95"/>
      <c r="C103" s="57"/>
      <c r="D103" s="339"/>
      <c r="E103" s="339"/>
    </row>
    <row r="104" hidden="1">
      <c r="A104" s="191"/>
    </row>
    <row r="105" hidden="1">
      <c r="A105" s="191"/>
    </row>
    <row r="106" hidden="1">
      <c r="A106" s="191"/>
    </row>
    <row r="107" hidden="1">
      <c r="A107" s="191"/>
    </row>
    <row r="108" hidden="1">
      <c r="A108" s="191"/>
    </row>
    <row r="109" hidden="1">
      <c r="A109" s="191"/>
    </row>
    <row r="110" hidden="1">
      <c r="A110" s="191"/>
    </row>
    <row r="111" hidden="1">
      <c r="A111" s="191"/>
    </row>
    <row r="112" hidden="1">
      <c r="A112" s="191"/>
    </row>
    <row r="113" hidden="1">
      <c r="A113" s="191"/>
    </row>
    <row r="114" hidden="1">
      <c r="A114" s="191"/>
    </row>
    <row r="115" hidden="1">
      <c r="A115" s="191"/>
    </row>
    <row r="116" hidden="1">
      <c r="A116" s="191"/>
    </row>
    <row r="117" hidden="1">
      <c r="A117" s="191"/>
    </row>
    <row r="118" hidden="1">
      <c r="A118" s="191"/>
    </row>
    <row r="119" hidden="1">
      <c r="A119" s="191"/>
    </row>
    <row r="120" hidden="1">
      <c r="A120" s="191"/>
    </row>
    <row r="121" hidden="1">
      <c r="A121" s="191"/>
    </row>
    <row r="122" hidden="1">
      <c r="A122" s="191"/>
    </row>
    <row r="123" hidden="1">
      <c r="A123" s="191"/>
    </row>
    <row r="124" hidden="1">
      <c r="A124" s="191"/>
    </row>
    <row r="125" hidden="1">
      <c r="A125" s="191"/>
    </row>
    <row r="126" hidden="1">
      <c r="A126" s="191"/>
    </row>
    <row r="127" hidden="1">
      <c r="A127" s="191"/>
    </row>
    <row r="128" hidden="1">
      <c r="A128" s="191"/>
    </row>
    <row r="129" hidden="1">
      <c r="A129" s="191"/>
    </row>
    <row r="130" hidden="1">
      <c r="A130" s="191"/>
    </row>
    <row r="131" hidden="1">
      <c r="A131" s="191"/>
    </row>
    <row r="132" hidden="1">
      <c r="A132" s="58"/>
    </row>
    <row r="133" hidden="1">
      <c r="A133" s="58"/>
    </row>
    <row r="134" hidden="1">
      <c r="A134" s="58"/>
    </row>
    <row r="135" hidden="1">
      <c r="A135" s="58"/>
    </row>
    <row r="136" hidden="1">
      <c r="A136" s="58"/>
    </row>
    <row r="137" hidden="1">
      <c r="A137" s="58"/>
    </row>
    <row r="138" hidden="1">
      <c r="A138" s="58"/>
    </row>
    <row r="139" hidden="1">
      <c r="A139" s="58"/>
    </row>
    <row r="140" hidden="1">
      <c r="A140" s="58"/>
    </row>
    <row r="141" hidden="1">
      <c r="A141" s="58"/>
    </row>
    <row r="142" hidden="1">
      <c r="A142" s="58"/>
    </row>
    <row r="143" hidden="1">
      <c r="A143" s="58"/>
    </row>
    <row r="144" hidden="1">
      <c r="A144" s="58"/>
    </row>
    <row r="145" hidden="1">
      <c r="A145" s="58"/>
    </row>
    <row r="146" hidden="1">
      <c r="A146" s="58"/>
    </row>
    <row r="147" hidden="1">
      <c r="A147" s="58"/>
    </row>
    <row r="148" hidden="1">
      <c r="A148" s="58"/>
    </row>
    <row r="149" hidden="1">
      <c r="A149" s="58"/>
    </row>
    <row r="150" hidden="1">
      <c r="A150" s="58"/>
    </row>
    <row r="151" hidden="1">
      <c r="A151" s="58"/>
    </row>
    <row r="152" hidden="1">
      <c r="A152" s="58"/>
    </row>
    <row r="153" hidden="1">
      <c r="A153" s="58"/>
    </row>
    <row r="154" hidden="1">
      <c r="A154" s="58"/>
    </row>
    <row r="155" hidden="1">
      <c r="A155" s="58"/>
    </row>
    <row r="156" hidden="1">
      <c r="A156" s="58"/>
    </row>
    <row r="157" hidden="1">
      <c r="A157" s="58"/>
    </row>
    <row r="158" hidden="1">
      <c r="A158" s="58"/>
    </row>
    <row r="159" hidden="1">
      <c r="A159" s="58"/>
    </row>
    <row r="160" hidden="1">
      <c r="A160" s="58"/>
    </row>
    <row r="161" hidden="1">
      <c r="A161" s="58"/>
    </row>
    <row r="162" hidden="1">
      <c r="A162" s="58"/>
    </row>
    <row r="163" hidden="1">
      <c r="A163" s="58"/>
    </row>
    <row r="164" hidden="1">
      <c r="A164" s="58"/>
    </row>
    <row r="165" hidden="1">
      <c r="A165" s="58"/>
    </row>
    <row r="166" hidden="1">
      <c r="A166" s="58"/>
    </row>
    <row r="167" hidden="1">
      <c r="A167" s="58"/>
    </row>
    <row r="168" hidden="1">
      <c r="A168" s="58"/>
    </row>
    <row r="169" hidden="1">
      <c r="A169" s="58"/>
    </row>
    <row r="170" hidden="1">
      <c r="A170" s="58"/>
    </row>
    <row r="171" hidden="1">
      <c r="A171" s="58"/>
    </row>
    <row r="172" hidden="1">
      <c r="A172" s="58"/>
    </row>
    <row r="173" hidden="1">
      <c r="A173" s="58"/>
    </row>
    <row r="174" hidden="1">
      <c r="A174" s="58"/>
    </row>
    <row r="175" hidden="1">
      <c r="A175" s="58"/>
    </row>
    <row r="176" hidden="1">
      <c r="A176" s="58"/>
    </row>
    <row r="177" hidden="1">
      <c r="A177" s="58"/>
    </row>
    <row r="178" hidden="1">
      <c r="A178" s="58"/>
    </row>
    <row r="179" hidden="1">
      <c r="A179" s="58"/>
    </row>
    <row r="180" hidden="1">
      <c r="A180" s="58"/>
    </row>
    <row r="181" hidden="1">
      <c r="A181" s="58"/>
    </row>
    <row r="182" hidden="1">
      <c r="A182" s="58"/>
    </row>
    <row r="183" hidden="1">
      <c r="A183" s="58"/>
    </row>
    <row r="184" hidden="1">
      <c r="A184" s="58"/>
    </row>
    <row r="185" hidden="1">
      <c r="A185" s="58"/>
    </row>
    <row r="186" hidden="1">
      <c r="A186" s="58"/>
    </row>
    <row r="187" hidden="1">
      <c r="A187" s="58"/>
    </row>
    <row r="188" hidden="1">
      <c r="A188" s="58"/>
    </row>
    <row r="189" hidden="1">
      <c r="A189" s="58"/>
    </row>
    <row r="190" hidden="1">
      <c r="A190" s="58"/>
    </row>
    <row r="191" hidden="1">
      <c r="A191" s="58"/>
    </row>
    <row r="192" hidden="1">
      <c r="A192" s="58"/>
    </row>
    <row r="193" hidden="1">
      <c r="A193" s="58"/>
    </row>
    <row r="194" hidden="1">
      <c r="A194" s="58"/>
    </row>
    <row r="195" hidden="1">
      <c r="A195" s="58"/>
    </row>
    <row r="196" hidden="1">
      <c r="A196" s="58"/>
    </row>
    <row r="197" hidden="1">
      <c r="A197" s="58"/>
    </row>
    <row r="198" hidden="1">
      <c r="A198" s="58"/>
    </row>
    <row r="199" hidden="1">
      <c r="A199" s="58"/>
    </row>
    <row r="200" hidden="1">
      <c r="A200" s="58"/>
    </row>
    <row r="201" hidden="1">
      <c r="A201" s="58"/>
    </row>
    <row r="202" hidden="1">
      <c r="A202" s="58"/>
    </row>
    <row r="203" hidden="1">
      <c r="A203" s="58"/>
    </row>
    <row r="204" hidden="1">
      <c r="A204" s="58"/>
    </row>
    <row r="205" hidden="1">
      <c r="A205" s="58"/>
    </row>
    <row r="206" hidden="1">
      <c r="A206" s="58"/>
    </row>
    <row r="207" hidden="1">
      <c r="A207" s="58"/>
    </row>
    <row r="208" hidden="1">
      <c r="A208" s="58"/>
    </row>
    <row r="209" hidden="1">
      <c r="A209" s="58"/>
    </row>
    <row r="210" hidden="1">
      <c r="A210" s="58"/>
    </row>
    <row r="211" hidden="1">
      <c r="A211" s="58"/>
    </row>
    <row r="212" hidden="1">
      <c r="A212" s="58"/>
    </row>
    <row r="213" hidden="1">
      <c r="A213" s="58"/>
    </row>
    <row r="214" hidden="1">
      <c r="A214" s="58"/>
    </row>
    <row r="215" hidden="1">
      <c r="A215" s="58"/>
    </row>
    <row r="216" hidden="1">
      <c r="A216" s="58"/>
    </row>
    <row r="217" hidden="1">
      <c r="A217" s="58"/>
    </row>
    <row r="218" hidden="1">
      <c r="A218" s="58"/>
    </row>
    <row r="219" hidden="1">
      <c r="A219" s="58"/>
    </row>
    <row r="220" hidden="1">
      <c r="A220" s="58"/>
    </row>
    <row r="221" hidden="1">
      <c r="A221" s="58"/>
    </row>
    <row r="222" hidden="1">
      <c r="A222" s="58"/>
    </row>
    <row r="223" hidden="1">
      <c r="A223" s="58"/>
    </row>
    <row r="224" hidden="1">
      <c r="A224" s="58"/>
    </row>
    <row r="225" hidden="1">
      <c r="A225" s="58"/>
    </row>
    <row r="226" hidden="1">
      <c r="A226" s="58"/>
    </row>
    <row r="227" hidden="1">
      <c r="A227" s="58"/>
    </row>
    <row r="228" hidden="1">
      <c r="A228" s="58"/>
    </row>
    <row r="229" hidden="1">
      <c r="A229" s="58"/>
    </row>
    <row r="230" hidden="1">
      <c r="A230" s="58"/>
    </row>
    <row r="231" hidden="1">
      <c r="A231" s="58"/>
    </row>
    <row r="232" hidden="1">
      <c r="A232" s="58"/>
    </row>
    <row r="233" hidden="1">
      <c r="A233" s="58"/>
    </row>
    <row r="234" hidden="1">
      <c r="A234" s="58"/>
    </row>
    <row r="235" hidden="1">
      <c r="A235" s="58"/>
    </row>
    <row r="236" hidden="1">
      <c r="A236" s="58"/>
    </row>
    <row r="237" hidden="1">
      <c r="A237" s="58"/>
    </row>
    <row r="238" hidden="1">
      <c r="A238" s="58"/>
    </row>
    <row r="239" hidden="1">
      <c r="A239" s="58"/>
    </row>
    <row r="240" hidden="1">
      <c r="A240" s="58"/>
    </row>
    <row r="241" hidden="1">
      <c r="A241" s="58"/>
    </row>
    <row r="242" hidden="1">
      <c r="A242" s="58"/>
    </row>
    <row r="243" hidden="1">
      <c r="A243" s="58"/>
    </row>
    <row r="244" hidden="1">
      <c r="A244" s="58"/>
    </row>
    <row r="245" hidden="1">
      <c r="A245" s="58"/>
    </row>
    <row r="246" hidden="1">
      <c r="A246" s="58"/>
    </row>
    <row r="247" hidden="1">
      <c r="A247" s="58"/>
    </row>
    <row r="248" hidden="1">
      <c r="A248" s="58"/>
    </row>
    <row r="249" hidden="1">
      <c r="A249" s="58"/>
    </row>
    <row r="250" hidden="1">
      <c r="A250" s="58"/>
    </row>
    <row r="251" hidden="1">
      <c r="A251" s="58"/>
    </row>
    <row r="252" hidden="1">
      <c r="A252" s="58"/>
    </row>
    <row r="253" hidden="1">
      <c r="A253" s="58"/>
    </row>
    <row r="254" hidden="1">
      <c r="A254" s="58"/>
    </row>
    <row r="255" hidden="1">
      <c r="A255" s="58"/>
    </row>
    <row r="256" hidden="1">
      <c r="A256" s="58"/>
    </row>
    <row r="257" hidden="1">
      <c r="A257" s="58"/>
    </row>
    <row r="258" hidden="1">
      <c r="A258" s="58"/>
    </row>
    <row r="259" hidden="1">
      <c r="A259" s="58"/>
    </row>
    <row r="260" hidden="1">
      <c r="A260" s="58"/>
    </row>
    <row r="261" hidden="1">
      <c r="A261" s="58"/>
    </row>
    <row r="262" hidden="1">
      <c r="A262" s="58"/>
    </row>
    <row r="263" hidden="1">
      <c r="A263" s="58"/>
    </row>
    <row r="264" hidden="1">
      <c r="A264" s="58"/>
    </row>
    <row r="265" hidden="1">
      <c r="A265" s="58"/>
    </row>
    <row r="266" hidden="1">
      <c r="A266" s="58"/>
    </row>
    <row r="267" hidden="1">
      <c r="A267" s="58"/>
    </row>
    <row r="268" hidden="1">
      <c r="A268" s="58"/>
    </row>
    <row r="269" hidden="1">
      <c r="A269" s="58"/>
    </row>
    <row r="270" hidden="1">
      <c r="A270" s="58"/>
    </row>
    <row r="271" hidden="1">
      <c r="A271" s="58"/>
    </row>
    <row r="272" hidden="1">
      <c r="A272" s="58"/>
    </row>
    <row r="273" hidden="1">
      <c r="A273" s="58"/>
    </row>
    <row r="274" hidden="1">
      <c r="A274" s="58"/>
    </row>
    <row r="275" hidden="1">
      <c r="A275" s="58"/>
    </row>
    <row r="276" hidden="1">
      <c r="A276" s="58"/>
    </row>
    <row r="277" hidden="1">
      <c r="A277" s="58"/>
    </row>
    <row r="278" hidden="1">
      <c r="A278" s="58"/>
    </row>
    <row r="279" hidden="1">
      <c r="A279" s="58"/>
    </row>
    <row r="280" hidden="1">
      <c r="A280" s="58"/>
    </row>
    <row r="281" hidden="1">
      <c r="A281" s="58"/>
    </row>
    <row r="282" hidden="1">
      <c r="A282" s="58"/>
    </row>
    <row r="283" hidden="1">
      <c r="A283" s="58"/>
    </row>
    <row r="284" hidden="1">
      <c r="A284" s="58"/>
    </row>
    <row r="285" hidden="1">
      <c r="A285" s="58"/>
    </row>
    <row r="286" hidden="1">
      <c r="A286" s="58"/>
    </row>
    <row r="287" hidden="1">
      <c r="A287" s="58"/>
    </row>
    <row r="288" hidden="1">
      <c r="A288" s="58"/>
    </row>
    <row r="289" hidden="1">
      <c r="A289" s="58"/>
    </row>
    <row r="290" hidden="1">
      <c r="A290" s="58"/>
    </row>
    <row r="291" hidden="1">
      <c r="A291" s="58"/>
    </row>
    <row r="292" hidden="1">
      <c r="A292" s="58"/>
    </row>
    <row r="293" hidden="1">
      <c r="A293" s="58"/>
    </row>
    <row r="294" hidden="1">
      <c r="A294" s="58"/>
    </row>
    <row r="295" hidden="1">
      <c r="A295" s="58"/>
    </row>
    <row r="296" hidden="1">
      <c r="A296" s="58"/>
    </row>
    <row r="297" hidden="1">
      <c r="A297" s="58"/>
    </row>
    <row r="298" hidden="1">
      <c r="A298" s="58"/>
    </row>
    <row r="299" hidden="1">
      <c r="A299" s="58"/>
    </row>
    <row r="300" hidden="1">
      <c r="A300" s="58"/>
    </row>
    <row r="301" hidden="1">
      <c r="A301" s="58"/>
    </row>
    <row r="302" hidden="1">
      <c r="A302" s="58"/>
    </row>
    <row r="303" hidden="1">
      <c r="A303" s="58"/>
    </row>
    <row r="304" hidden="1">
      <c r="A304" s="58"/>
    </row>
    <row r="305" hidden="1">
      <c r="A305" s="58"/>
    </row>
    <row r="306" hidden="1">
      <c r="A306" s="58"/>
    </row>
    <row r="307" hidden="1">
      <c r="A307" s="58"/>
    </row>
    <row r="308" hidden="1">
      <c r="A308" s="58"/>
    </row>
    <row r="309" hidden="1">
      <c r="A309" s="58"/>
    </row>
    <row r="310" hidden="1">
      <c r="A310" s="58"/>
    </row>
    <row r="311" hidden="1">
      <c r="A311" s="58"/>
    </row>
    <row r="312" hidden="1">
      <c r="A312" s="58"/>
    </row>
    <row r="313" hidden="1">
      <c r="A313" s="58"/>
    </row>
    <row r="314" hidden="1">
      <c r="A314" s="58"/>
    </row>
    <row r="315" hidden="1">
      <c r="A315" s="58"/>
    </row>
    <row r="316" hidden="1">
      <c r="A316" s="58"/>
    </row>
    <row r="317" hidden="1">
      <c r="A317" s="58"/>
    </row>
    <row r="318" hidden="1">
      <c r="A318" s="58"/>
    </row>
    <row r="319" hidden="1">
      <c r="A319" s="58"/>
    </row>
    <row r="320" hidden="1">
      <c r="A320" s="58"/>
    </row>
    <row r="321" hidden="1">
      <c r="A321" s="58"/>
    </row>
    <row r="322" hidden="1">
      <c r="A322" s="58"/>
    </row>
    <row r="323" hidden="1">
      <c r="A323" s="58"/>
    </row>
    <row r="324" hidden="1">
      <c r="A324" s="58"/>
    </row>
    <row r="325" hidden="1">
      <c r="A325" s="58"/>
    </row>
    <row r="326" hidden="1">
      <c r="A326" s="58"/>
    </row>
    <row r="327" hidden="1">
      <c r="A327" s="58"/>
    </row>
    <row r="328" hidden="1">
      <c r="A328" s="58"/>
    </row>
    <row r="329" hidden="1">
      <c r="A329" s="58"/>
    </row>
    <row r="330" hidden="1">
      <c r="A330" s="58"/>
    </row>
    <row r="331" hidden="1">
      <c r="A331" s="58"/>
    </row>
    <row r="332" hidden="1">
      <c r="A332" s="58"/>
    </row>
    <row r="333" hidden="1">
      <c r="A333" s="58"/>
    </row>
    <row r="334" hidden="1">
      <c r="A334" s="58"/>
    </row>
    <row r="335" hidden="1">
      <c r="A335" s="58"/>
    </row>
    <row r="336" hidden="1">
      <c r="A336" s="58"/>
    </row>
    <row r="337" hidden="1">
      <c r="A337" s="58"/>
    </row>
    <row r="338" hidden="1">
      <c r="A338" s="58"/>
    </row>
    <row r="339" hidden="1">
      <c r="A339" s="58"/>
    </row>
    <row r="340" hidden="1">
      <c r="A340" s="58"/>
    </row>
    <row r="341" hidden="1">
      <c r="A341" s="58"/>
    </row>
    <row r="342" hidden="1">
      <c r="A342" s="58"/>
    </row>
    <row r="343" hidden="1">
      <c r="A343" s="58"/>
    </row>
    <row r="344" hidden="1">
      <c r="A344" s="58"/>
    </row>
    <row r="345" hidden="1">
      <c r="A345" s="58"/>
    </row>
    <row r="346" hidden="1">
      <c r="A346" s="58"/>
    </row>
    <row r="347" hidden="1">
      <c r="A347" s="58"/>
    </row>
    <row r="348" hidden="1">
      <c r="A348" s="58"/>
    </row>
    <row r="349" hidden="1">
      <c r="A349" s="58"/>
    </row>
    <row r="350" hidden="1">
      <c r="A350" s="58"/>
    </row>
    <row r="351" hidden="1">
      <c r="A351" s="58"/>
    </row>
    <row r="352" hidden="1">
      <c r="A352" s="58"/>
    </row>
    <row r="353" hidden="1">
      <c r="A353" s="58"/>
    </row>
    <row r="354" hidden="1">
      <c r="A354" s="58"/>
    </row>
    <row r="355" hidden="1">
      <c r="A355" s="58"/>
    </row>
    <row r="356" hidden="1">
      <c r="A356" s="58"/>
    </row>
    <row r="357" hidden="1">
      <c r="A357" s="58"/>
    </row>
    <row r="358" hidden="1">
      <c r="A358" s="58"/>
    </row>
    <row r="359" hidden="1">
      <c r="A359" s="58"/>
    </row>
    <row r="360" hidden="1">
      <c r="A360" s="58"/>
    </row>
    <row r="361" hidden="1">
      <c r="A361" s="58"/>
    </row>
    <row r="362" hidden="1">
      <c r="A362" s="58"/>
    </row>
    <row r="363" hidden="1">
      <c r="A363" s="58"/>
    </row>
    <row r="364" hidden="1">
      <c r="A364" s="58"/>
    </row>
    <row r="365" hidden="1">
      <c r="A365" s="58"/>
    </row>
    <row r="366" hidden="1">
      <c r="A366" s="58"/>
    </row>
    <row r="367" hidden="1">
      <c r="A367" s="58"/>
    </row>
    <row r="368" hidden="1">
      <c r="A368" s="58"/>
    </row>
    <row r="369" hidden="1">
      <c r="A369" s="58"/>
    </row>
    <row r="370" hidden="1">
      <c r="A370" s="58"/>
    </row>
    <row r="371" hidden="1">
      <c r="A371" s="58"/>
    </row>
    <row r="372" hidden="1">
      <c r="A372" s="58"/>
    </row>
    <row r="373" hidden="1">
      <c r="A373" s="58"/>
    </row>
    <row r="374" hidden="1">
      <c r="A374" s="58"/>
    </row>
    <row r="375" hidden="1">
      <c r="A375" s="58"/>
    </row>
    <row r="376" hidden="1">
      <c r="A376" s="58"/>
    </row>
    <row r="377" hidden="1">
      <c r="A377" s="58"/>
    </row>
    <row r="378" hidden="1">
      <c r="A378" s="58"/>
    </row>
    <row r="379" hidden="1">
      <c r="A379" s="58"/>
    </row>
    <row r="380" hidden="1">
      <c r="A380" s="58"/>
    </row>
    <row r="381" hidden="1">
      <c r="A381" s="58"/>
    </row>
    <row r="382" hidden="1">
      <c r="A382" s="58"/>
    </row>
    <row r="383" hidden="1">
      <c r="A383" s="58"/>
    </row>
    <row r="384" hidden="1">
      <c r="A384" s="58"/>
    </row>
    <row r="385" hidden="1">
      <c r="A385" s="58"/>
    </row>
    <row r="386" hidden="1">
      <c r="A386" s="58"/>
    </row>
    <row r="387" hidden="1">
      <c r="A387" s="58"/>
    </row>
    <row r="388" hidden="1">
      <c r="A388" s="58"/>
    </row>
    <row r="389" hidden="1">
      <c r="A389" s="58"/>
    </row>
    <row r="390" hidden="1">
      <c r="A390" s="58"/>
    </row>
    <row r="391" hidden="1">
      <c r="A391" s="58"/>
    </row>
    <row r="392" hidden="1">
      <c r="A392" s="58"/>
    </row>
    <row r="393" hidden="1">
      <c r="A393" s="58"/>
    </row>
    <row r="394" hidden="1">
      <c r="A394" s="58"/>
    </row>
    <row r="395" hidden="1">
      <c r="A395" s="58"/>
    </row>
    <row r="396" hidden="1">
      <c r="A396" s="58"/>
    </row>
    <row r="397" hidden="1">
      <c r="A397" s="58"/>
    </row>
    <row r="398" hidden="1">
      <c r="A398" s="58"/>
    </row>
    <row r="399" hidden="1">
      <c r="A399" s="58"/>
    </row>
    <row r="400" hidden="1">
      <c r="A400" s="58"/>
    </row>
    <row r="401" hidden="1">
      <c r="A401" s="58"/>
    </row>
    <row r="402" hidden="1">
      <c r="A402" s="58"/>
    </row>
    <row r="403" hidden="1">
      <c r="A403" s="58"/>
    </row>
    <row r="404" hidden="1">
      <c r="A404" s="58"/>
    </row>
    <row r="405" hidden="1">
      <c r="A405" s="58"/>
    </row>
    <row r="406" hidden="1">
      <c r="A406" s="58"/>
    </row>
    <row r="407" hidden="1">
      <c r="A407" s="58"/>
    </row>
    <row r="408" hidden="1">
      <c r="A408" s="58"/>
    </row>
    <row r="409" hidden="1">
      <c r="A409" s="58"/>
    </row>
    <row r="410" hidden="1">
      <c r="A410" s="58"/>
    </row>
    <row r="411" hidden="1">
      <c r="A411" s="58"/>
    </row>
    <row r="412" hidden="1">
      <c r="A412" s="58"/>
    </row>
    <row r="413" hidden="1">
      <c r="A413" s="58"/>
    </row>
    <row r="414" hidden="1">
      <c r="A414" s="58"/>
    </row>
    <row r="415" hidden="1">
      <c r="A415" s="58"/>
    </row>
    <row r="416" hidden="1">
      <c r="A416" s="58"/>
    </row>
    <row r="417" hidden="1">
      <c r="A417" s="58"/>
    </row>
    <row r="418" hidden="1">
      <c r="A418" s="58"/>
    </row>
    <row r="419" hidden="1">
      <c r="A419" s="58"/>
    </row>
    <row r="420" hidden="1">
      <c r="A420" s="58"/>
    </row>
    <row r="421" hidden="1">
      <c r="A421" s="58"/>
    </row>
    <row r="422" hidden="1">
      <c r="A422" s="58"/>
    </row>
    <row r="423" hidden="1">
      <c r="A423" s="58"/>
    </row>
    <row r="424" hidden="1">
      <c r="A424" s="58"/>
    </row>
    <row r="425" hidden="1">
      <c r="A425" s="58"/>
    </row>
    <row r="426" hidden="1">
      <c r="A426" s="58"/>
    </row>
    <row r="427" hidden="1">
      <c r="A427" s="58"/>
    </row>
    <row r="428" hidden="1">
      <c r="A428" s="58"/>
    </row>
    <row r="429" hidden="1">
      <c r="A429" s="58"/>
    </row>
    <row r="430" hidden="1">
      <c r="A430" s="58"/>
    </row>
    <row r="431" hidden="1">
      <c r="A431" s="58"/>
    </row>
    <row r="432" hidden="1">
      <c r="A432" s="58"/>
    </row>
    <row r="433" hidden="1">
      <c r="A433" s="58"/>
    </row>
    <row r="434" hidden="1">
      <c r="A434" s="58"/>
    </row>
    <row r="435" hidden="1">
      <c r="A435" s="58"/>
    </row>
    <row r="436" hidden="1">
      <c r="A436" s="58"/>
    </row>
    <row r="437" hidden="1">
      <c r="A437" s="58"/>
    </row>
    <row r="438" hidden="1">
      <c r="A438" s="58"/>
    </row>
    <row r="439" hidden="1">
      <c r="A439" s="58"/>
    </row>
    <row r="440" hidden="1">
      <c r="A440" s="58"/>
    </row>
    <row r="441" hidden="1">
      <c r="A441" s="58"/>
    </row>
    <row r="442" hidden="1">
      <c r="A442" s="58"/>
    </row>
    <row r="443" hidden="1">
      <c r="A443" s="58"/>
    </row>
    <row r="444" hidden="1">
      <c r="A444" s="58"/>
    </row>
    <row r="445" hidden="1">
      <c r="A445" s="58"/>
    </row>
    <row r="446" hidden="1">
      <c r="A446" s="58"/>
    </row>
    <row r="447" hidden="1">
      <c r="A447" s="58"/>
    </row>
    <row r="448" hidden="1">
      <c r="A448" s="58"/>
    </row>
    <row r="449" hidden="1">
      <c r="A449" s="58"/>
    </row>
    <row r="450" hidden="1">
      <c r="A450" s="58"/>
    </row>
    <row r="451" hidden="1">
      <c r="A451" s="58"/>
    </row>
    <row r="452" hidden="1">
      <c r="A452" s="58"/>
    </row>
    <row r="453" hidden="1">
      <c r="A453" s="58"/>
    </row>
    <row r="454" hidden="1">
      <c r="A454" s="58"/>
    </row>
    <row r="455" hidden="1">
      <c r="A455" s="58"/>
    </row>
    <row r="456" hidden="1">
      <c r="A456" s="58"/>
    </row>
    <row r="457" hidden="1">
      <c r="A457" s="58"/>
    </row>
    <row r="458" hidden="1">
      <c r="A458" s="58"/>
    </row>
    <row r="459" hidden="1">
      <c r="A459" s="58"/>
    </row>
    <row r="460" hidden="1">
      <c r="A460" s="58"/>
    </row>
    <row r="461" hidden="1">
      <c r="A461" s="58"/>
    </row>
    <row r="462" hidden="1">
      <c r="A462" s="58"/>
    </row>
    <row r="463" hidden="1">
      <c r="A463" s="58"/>
    </row>
    <row r="464" hidden="1">
      <c r="A464" s="58"/>
    </row>
    <row r="465" hidden="1">
      <c r="A465" s="58"/>
    </row>
    <row r="466" hidden="1">
      <c r="A466" s="58"/>
    </row>
    <row r="467" hidden="1">
      <c r="A467" s="58"/>
    </row>
    <row r="468" hidden="1">
      <c r="A468" s="58"/>
    </row>
    <row r="469" hidden="1">
      <c r="A469" s="58"/>
    </row>
    <row r="470" hidden="1">
      <c r="A470" s="58"/>
    </row>
    <row r="471" hidden="1">
      <c r="A471" s="58"/>
    </row>
    <row r="472" hidden="1">
      <c r="A472" s="58"/>
    </row>
    <row r="473" hidden="1">
      <c r="A473" s="58"/>
    </row>
    <row r="474" hidden="1">
      <c r="A474" s="58"/>
    </row>
    <row r="475" hidden="1">
      <c r="A475" s="58"/>
    </row>
    <row r="476" hidden="1">
      <c r="A476" s="58"/>
    </row>
    <row r="477" hidden="1">
      <c r="A477" s="58"/>
    </row>
    <row r="478" hidden="1">
      <c r="A478" s="58"/>
    </row>
    <row r="479" hidden="1">
      <c r="A479" s="58"/>
    </row>
    <row r="480" hidden="1">
      <c r="A480" s="58"/>
    </row>
    <row r="481" hidden="1">
      <c r="A481" s="58"/>
    </row>
    <row r="482" hidden="1">
      <c r="A482" s="58"/>
    </row>
    <row r="483" hidden="1">
      <c r="A483" s="58"/>
    </row>
    <row r="484" hidden="1">
      <c r="A484" s="58"/>
    </row>
    <row r="485" hidden="1">
      <c r="A485" s="58"/>
    </row>
    <row r="486" hidden="1">
      <c r="A486" s="58"/>
    </row>
    <row r="487" hidden="1">
      <c r="A487" s="58"/>
    </row>
    <row r="488" hidden="1">
      <c r="A488" s="58"/>
    </row>
    <row r="489" hidden="1">
      <c r="A489" s="58"/>
    </row>
    <row r="490" hidden="1">
      <c r="A490" s="58"/>
    </row>
    <row r="491" hidden="1">
      <c r="A491" s="58"/>
    </row>
    <row r="492" hidden="1">
      <c r="A492" s="58"/>
    </row>
    <row r="493" hidden="1">
      <c r="A493" s="58"/>
    </row>
    <row r="494" hidden="1">
      <c r="A494" s="58"/>
    </row>
    <row r="495" hidden="1">
      <c r="A495" s="58"/>
    </row>
    <row r="496" hidden="1">
      <c r="A496" s="58"/>
    </row>
    <row r="497" hidden="1">
      <c r="A497" s="58"/>
    </row>
    <row r="498" hidden="1">
      <c r="A498" s="58"/>
    </row>
    <row r="499" hidden="1">
      <c r="A499" s="58"/>
    </row>
    <row r="500" hidden="1">
      <c r="A500" s="58"/>
    </row>
    <row r="501" hidden="1">
      <c r="A501" s="58"/>
    </row>
    <row r="502" hidden="1">
      <c r="A502" s="58"/>
    </row>
    <row r="503" hidden="1">
      <c r="A503" s="58"/>
    </row>
    <row r="504" hidden="1">
      <c r="A504" s="58"/>
    </row>
    <row r="505" hidden="1">
      <c r="A505" s="58"/>
    </row>
    <row r="506" hidden="1">
      <c r="A506" s="58"/>
    </row>
    <row r="507" hidden="1">
      <c r="A507" s="58"/>
    </row>
    <row r="508" hidden="1">
      <c r="A508" s="58"/>
    </row>
    <row r="509" hidden="1">
      <c r="A509" s="58"/>
    </row>
    <row r="510" hidden="1">
      <c r="A510" s="58"/>
    </row>
    <row r="511" hidden="1">
      <c r="A511" s="58"/>
    </row>
    <row r="512" hidden="1">
      <c r="A512" s="58"/>
    </row>
    <row r="513" hidden="1">
      <c r="A513" s="58"/>
    </row>
    <row r="514" hidden="1">
      <c r="A514" s="58"/>
    </row>
    <row r="515" hidden="1">
      <c r="A515" s="58"/>
    </row>
    <row r="516" hidden="1">
      <c r="A516" s="58"/>
    </row>
    <row r="517" hidden="1">
      <c r="A517" s="58"/>
    </row>
    <row r="518" hidden="1">
      <c r="A518" s="58"/>
    </row>
    <row r="519" hidden="1">
      <c r="A519" s="58"/>
    </row>
    <row r="520" hidden="1">
      <c r="A520" s="58"/>
    </row>
    <row r="521" hidden="1">
      <c r="A521" s="58"/>
    </row>
    <row r="522" hidden="1">
      <c r="A522" s="58"/>
    </row>
    <row r="523" hidden="1">
      <c r="A523" s="58"/>
    </row>
    <row r="524" hidden="1">
      <c r="A524" s="58"/>
    </row>
    <row r="525" hidden="1">
      <c r="A525" s="58"/>
    </row>
    <row r="526" hidden="1">
      <c r="A526" s="58"/>
    </row>
    <row r="527" hidden="1">
      <c r="A527" s="58"/>
    </row>
    <row r="528" hidden="1">
      <c r="A528" s="58"/>
    </row>
    <row r="529" hidden="1">
      <c r="A529" s="58"/>
    </row>
    <row r="530" hidden="1">
      <c r="A530" s="58"/>
    </row>
    <row r="531" hidden="1">
      <c r="A531" s="58"/>
    </row>
    <row r="532" hidden="1">
      <c r="A532" s="58"/>
    </row>
    <row r="533" hidden="1">
      <c r="A533" s="58"/>
    </row>
    <row r="534" hidden="1">
      <c r="A534" s="58"/>
    </row>
    <row r="535" hidden="1">
      <c r="A535" s="58"/>
    </row>
    <row r="536" hidden="1">
      <c r="A536" s="58"/>
    </row>
    <row r="537" hidden="1">
      <c r="A537" s="58"/>
    </row>
    <row r="538" hidden="1">
      <c r="A538" s="58"/>
    </row>
    <row r="539" hidden="1">
      <c r="A539" s="58"/>
    </row>
    <row r="540" hidden="1">
      <c r="A540" s="58"/>
    </row>
    <row r="541" hidden="1">
      <c r="A541" s="58"/>
    </row>
    <row r="542" hidden="1">
      <c r="A542" s="58"/>
    </row>
    <row r="543" hidden="1">
      <c r="A543" s="58"/>
    </row>
    <row r="544" hidden="1">
      <c r="A544" s="58"/>
    </row>
    <row r="545" hidden="1">
      <c r="A545" s="58"/>
    </row>
    <row r="546" hidden="1">
      <c r="A546" s="58"/>
    </row>
    <row r="547" hidden="1">
      <c r="A547" s="58"/>
    </row>
    <row r="548" hidden="1">
      <c r="A548" s="58"/>
    </row>
    <row r="549" hidden="1">
      <c r="A549" s="58"/>
    </row>
    <row r="550" hidden="1">
      <c r="A550" s="58"/>
    </row>
    <row r="551" hidden="1">
      <c r="A551" s="58"/>
    </row>
    <row r="552" hidden="1">
      <c r="A552" s="58"/>
    </row>
    <row r="553" hidden="1">
      <c r="A553" s="58"/>
    </row>
    <row r="554" hidden="1">
      <c r="A554" s="58"/>
    </row>
    <row r="555" hidden="1">
      <c r="A555" s="58"/>
    </row>
    <row r="556" hidden="1">
      <c r="A556" s="58"/>
    </row>
    <row r="557" hidden="1">
      <c r="A557" s="58"/>
    </row>
    <row r="558" hidden="1">
      <c r="A558" s="58"/>
    </row>
    <row r="559" hidden="1">
      <c r="A559" s="58"/>
    </row>
    <row r="560" hidden="1">
      <c r="A560" s="58"/>
    </row>
    <row r="561" hidden="1">
      <c r="A561" s="58"/>
    </row>
    <row r="562" hidden="1">
      <c r="A562" s="58"/>
    </row>
    <row r="563" hidden="1">
      <c r="A563" s="58"/>
    </row>
    <row r="564" hidden="1">
      <c r="A564" s="58"/>
    </row>
    <row r="565" hidden="1">
      <c r="A565" s="58"/>
    </row>
    <row r="566" hidden="1">
      <c r="A566" s="58"/>
    </row>
    <row r="567" hidden="1">
      <c r="A567" s="58"/>
    </row>
    <row r="568" hidden="1">
      <c r="A568" s="58"/>
    </row>
    <row r="569" hidden="1">
      <c r="A569" s="58"/>
    </row>
    <row r="570" hidden="1">
      <c r="A570" s="58"/>
    </row>
    <row r="571" hidden="1">
      <c r="A571" s="58"/>
    </row>
    <row r="572" hidden="1">
      <c r="A572" s="58"/>
    </row>
    <row r="573" hidden="1">
      <c r="A573" s="58"/>
    </row>
    <row r="574" hidden="1">
      <c r="A574" s="58"/>
    </row>
    <row r="575" hidden="1">
      <c r="A575" s="58"/>
    </row>
    <row r="576" hidden="1">
      <c r="A576" s="58"/>
    </row>
    <row r="577" hidden="1">
      <c r="A577" s="58"/>
    </row>
    <row r="578" hidden="1">
      <c r="A578" s="58"/>
    </row>
    <row r="579" hidden="1">
      <c r="A579" s="58"/>
    </row>
    <row r="580" hidden="1">
      <c r="A580" s="58"/>
    </row>
    <row r="581" hidden="1">
      <c r="A581" s="58"/>
    </row>
    <row r="582" hidden="1">
      <c r="A582" s="58"/>
    </row>
    <row r="583" hidden="1">
      <c r="A583" s="58"/>
    </row>
    <row r="584" hidden="1">
      <c r="A584" s="58"/>
    </row>
    <row r="585" hidden="1">
      <c r="A585" s="58"/>
    </row>
    <row r="586" hidden="1">
      <c r="A586" s="58"/>
    </row>
    <row r="587" hidden="1">
      <c r="A587" s="58"/>
    </row>
    <row r="588" hidden="1">
      <c r="A588" s="58"/>
    </row>
    <row r="589" hidden="1">
      <c r="A589" s="58"/>
    </row>
    <row r="590" hidden="1">
      <c r="A590" s="58"/>
    </row>
    <row r="591" hidden="1">
      <c r="A591" s="58"/>
    </row>
    <row r="592" hidden="1">
      <c r="A592" s="58"/>
    </row>
    <row r="593" hidden="1">
      <c r="A593" s="58"/>
    </row>
    <row r="594" hidden="1">
      <c r="A594" s="58"/>
    </row>
    <row r="595" hidden="1">
      <c r="A595" s="58"/>
    </row>
    <row r="596" hidden="1">
      <c r="A596" s="58"/>
    </row>
    <row r="597" hidden="1">
      <c r="A597" s="58"/>
    </row>
    <row r="598" hidden="1">
      <c r="A598" s="58"/>
    </row>
    <row r="599" hidden="1">
      <c r="A599" s="58"/>
    </row>
    <row r="600" hidden="1">
      <c r="A600" s="58"/>
    </row>
    <row r="601" hidden="1">
      <c r="A601" s="58"/>
    </row>
    <row r="602" hidden="1">
      <c r="A602" s="58"/>
    </row>
    <row r="603" hidden="1">
      <c r="A603" s="58"/>
    </row>
    <row r="604" hidden="1">
      <c r="A604" s="58"/>
    </row>
    <row r="605" hidden="1">
      <c r="A605" s="58"/>
    </row>
    <row r="606" hidden="1">
      <c r="A606" s="58"/>
    </row>
    <row r="607" hidden="1">
      <c r="A607" s="58"/>
    </row>
    <row r="608" hidden="1">
      <c r="A608" s="58"/>
    </row>
    <row r="609" hidden="1">
      <c r="A609" s="58"/>
    </row>
    <row r="610" hidden="1">
      <c r="A610" s="58"/>
    </row>
    <row r="611" hidden="1">
      <c r="A611" s="58"/>
    </row>
    <row r="612" hidden="1">
      <c r="A612" s="58"/>
    </row>
    <row r="613" hidden="1">
      <c r="A613" s="58"/>
    </row>
    <row r="614" hidden="1">
      <c r="A614" s="58"/>
    </row>
    <row r="615" hidden="1">
      <c r="A615" s="58"/>
    </row>
    <row r="616" hidden="1">
      <c r="A616" s="58"/>
    </row>
    <row r="617" hidden="1">
      <c r="A617" s="58"/>
    </row>
    <row r="618" hidden="1">
      <c r="A618" s="58"/>
    </row>
    <row r="619" hidden="1">
      <c r="A619" s="58"/>
    </row>
    <row r="620" hidden="1">
      <c r="A620" s="58"/>
    </row>
    <row r="621" hidden="1">
      <c r="A621" s="58"/>
    </row>
    <row r="622" hidden="1">
      <c r="A622" s="58"/>
    </row>
    <row r="623" hidden="1">
      <c r="A623" s="58"/>
    </row>
    <row r="624" hidden="1">
      <c r="A624" s="58"/>
    </row>
    <row r="625" hidden="1">
      <c r="A625" s="58"/>
    </row>
    <row r="626" hidden="1">
      <c r="A626" s="58"/>
    </row>
    <row r="627" hidden="1">
      <c r="A627" s="58"/>
    </row>
    <row r="628" hidden="1">
      <c r="A628" s="58"/>
    </row>
    <row r="629" hidden="1">
      <c r="A629" s="58"/>
    </row>
    <row r="630" hidden="1">
      <c r="A630" s="58"/>
    </row>
    <row r="631" hidden="1">
      <c r="A631" s="58"/>
    </row>
    <row r="632" hidden="1">
      <c r="A632" s="58"/>
    </row>
    <row r="633" hidden="1">
      <c r="A633" s="58"/>
    </row>
    <row r="634" hidden="1">
      <c r="A634" s="58"/>
    </row>
    <row r="635" hidden="1">
      <c r="A635" s="58"/>
    </row>
    <row r="636" hidden="1">
      <c r="A636" s="58"/>
    </row>
    <row r="637" hidden="1">
      <c r="A637" s="58"/>
    </row>
    <row r="638" hidden="1">
      <c r="A638" s="58"/>
    </row>
    <row r="639" hidden="1">
      <c r="A639" s="58"/>
    </row>
    <row r="640" hidden="1">
      <c r="A640" s="58"/>
    </row>
    <row r="641" hidden="1">
      <c r="A641" s="58"/>
    </row>
    <row r="642" hidden="1">
      <c r="A642" s="58"/>
    </row>
    <row r="643" hidden="1">
      <c r="A643" s="58"/>
    </row>
    <row r="644" hidden="1">
      <c r="A644" s="58"/>
    </row>
    <row r="645" hidden="1">
      <c r="A645" s="58"/>
    </row>
    <row r="646" hidden="1">
      <c r="A646" s="58"/>
    </row>
    <row r="647" hidden="1">
      <c r="A647" s="58"/>
    </row>
    <row r="648" hidden="1">
      <c r="A648" s="58"/>
    </row>
    <row r="649" hidden="1">
      <c r="A649" s="58"/>
    </row>
    <row r="650" hidden="1">
      <c r="A650" s="58"/>
    </row>
    <row r="651" hidden="1">
      <c r="A651" s="58"/>
    </row>
    <row r="652" hidden="1">
      <c r="A652" s="58"/>
    </row>
    <row r="653" hidden="1">
      <c r="A653" s="58"/>
    </row>
    <row r="654" hidden="1">
      <c r="A654" s="58"/>
    </row>
    <row r="655" hidden="1">
      <c r="A655" s="58"/>
    </row>
    <row r="656" hidden="1">
      <c r="A656" s="58"/>
    </row>
    <row r="657" hidden="1">
      <c r="A657" s="58"/>
    </row>
    <row r="658" hidden="1">
      <c r="A658" s="58"/>
    </row>
    <row r="659" hidden="1">
      <c r="A659" s="58"/>
    </row>
    <row r="660" hidden="1">
      <c r="A660" s="58"/>
    </row>
    <row r="661" hidden="1">
      <c r="A661" s="58"/>
    </row>
    <row r="662" hidden="1">
      <c r="A662" s="58"/>
    </row>
    <row r="663" hidden="1">
      <c r="A663" s="58"/>
    </row>
    <row r="664" hidden="1">
      <c r="A664" s="58"/>
    </row>
    <row r="665" hidden="1">
      <c r="A665" s="58"/>
    </row>
    <row r="666" hidden="1">
      <c r="A666" s="58"/>
    </row>
    <row r="667" hidden="1">
      <c r="A667" s="58"/>
    </row>
    <row r="668" hidden="1">
      <c r="A668" s="58"/>
    </row>
    <row r="669" hidden="1">
      <c r="A669" s="58"/>
    </row>
    <row r="670" hidden="1">
      <c r="A670" s="58"/>
    </row>
    <row r="671" hidden="1">
      <c r="A671" s="58"/>
    </row>
    <row r="672" hidden="1">
      <c r="A672" s="58"/>
    </row>
    <row r="673" hidden="1">
      <c r="A673" s="58"/>
    </row>
    <row r="674" hidden="1">
      <c r="A674" s="58"/>
    </row>
    <row r="675" hidden="1">
      <c r="A675" s="58"/>
    </row>
    <row r="676" hidden="1">
      <c r="A676" s="58"/>
    </row>
    <row r="677" hidden="1">
      <c r="A677" s="58"/>
    </row>
    <row r="678" hidden="1">
      <c r="A678" s="58"/>
    </row>
    <row r="679" hidden="1">
      <c r="A679" s="58"/>
    </row>
    <row r="680" hidden="1">
      <c r="A680" s="58"/>
    </row>
    <row r="681" hidden="1">
      <c r="A681" s="58"/>
    </row>
    <row r="682" hidden="1">
      <c r="A682" s="58"/>
    </row>
    <row r="683" hidden="1">
      <c r="A683" s="58"/>
    </row>
    <row r="684" hidden="1">
      <c r="A684" s="58"/>
    </row>
    <row r="685" hidden="1">
      <c r="A685" s="58"/>
    </row>
    <row r="686" hidden="1">
      <c r="A686" s="58"/>
    </row>
    <row r="687" hidden="1">
      <c r="A687" s="58"/>
    </row>
    <row r="688" hidden="1">
      <c r="A688" s="58"/>
    </row>
    <row r="689" hidden="1">
      <c r="A689" s="58"/>
    </row>
    <row r="690" hidden="1">
      <c r="A690" s="58"/>
    </row>
    <row r="691" hidden="1">
      <c r="A691" s="58"/>
    </row>
    <row r="692" hidden="1">
      <c r="A692" s="58"/>
    </row>
    <row r="693" hidden="1">
      <c r="A693" s="58"/>
    </row>
    <row r="694" hidden="1">
      <c r="A694" s="58"/>
    </row>
    <row r="695" hidden="1">
      <c r="A695" s="58"/>
    </row>
    <row r="696" hidden="1">
      <c r="A696" s="58"/>
    </row>
    <row r="697" hidden="1">
      <c r="A697" s="58"/>
    </row>
    <row r="698" hidden="1">
      <c r="A698" s="58"/>
    </row>
    <row r="699" hidden="1">
      <c r="A699" s="58"/>
    </row>
    <row r="700" hidden="1">
      <c r="A700" s="58"/>
    </row>
    <row r="701" hidden="1">
      <c r="A701" s="58"/>
    </row>
    <row r="702" hidden="1">
      <c r="A702" s="58"/>
    </row>
    <row r="703" hidden="1">
      <c r="A703" s="58"/>
    </row>
    <row r="704" hidden="1">
      <c r="A704" s="58"/>
    </row>
    <row r="705" hidden="1">
      <c r="A705" s="58"/>
    </row>
    <row r="706" hidden="1">
      <c r="A706" s="58"/>
    </row>
    <row r="707" hidden="1">
      <c r="A707" s="58"/>
    </row>
    <row r="708" hidden="1">
      <c r="A708" s="58"/>
    </row>
    <row r="709" hidden="1">
      <c r="A709" s="58"/>
    </row>
    <row r="710" hidden="1">
      <c r="A710" s="58"/>
    </row>
    <row r="711" hidden="1">
      <c r="A711" s="58"/>
    </row>
    <row r="712" hidden="1">
      <c r="A712" s="58"/>
    </row>
    <row r="713" hidden="1">
      <c r="A713" s="58"/>
    </row>
    <row r="714" hidden="1">
      <c r="A714" s="58"/>
    </row>
    <row r="715" hidden="1">
      <c r="A715" s="58"/>
    </row>
    <row r="716" hidden="1">
      <c r="A716" s="58"/>
    </row>
    <row r="717" hidden="1">
      <c r="A717" s="58"/>
    </row>
    <row r="718" hidden="1">
      <c r="A718" s="58"/>
    </row>
    <row r="719" hidden="1">
      <c r="A719" s="58"/>
    </row>
    <row r="720" hidden="1">
      <c r="A720" s="58"/>
    </row>
    <row r="721" hidden="1">
      <c r="A721" s="58"/>
    </row>
    <row r="722" hidden="1">
      <c r="A722" s="58"/>
    </row>
    <row r="723" hidden="1">
      <c r="A723" s="58"/>
    </row>
    <row r="724" hidden="1">
      <c r="A724" s="58"/>
    </row>
    <row r="725" hidden="1">
      <c r="A725" s="58"/>
    </row>
    <row r="726" hidden="1">
      <c r="A726" s="58"/>
    </row>
    <row r="727" hidden="1">
      <c r="A727" s="58"/>
    </row>
    <row r="728" hidden="1">
      <c r="A728" s="58"/>
    </row>
    <row r="729" hidden="1">
      <c r="A729" s="58"/>
    </row>
    <row r="730" hidden="1">
      <c r="A730" s="58"/>
    </row>
    <row r="731" hidden="1">
      <c r="A731" s="58"/>
    </row>
    <row r="732" hidden="1">
      <c r="A732" s="58"/>
    </row>
    <row r="733" hidden="1">
      <c r="A733" s="58"/>
    </row>
    <row r="734" hidden="1">
      <c r="A734" s="58"/>
    </row>
    <row r="735" hidden="1">
      <c r="A735" s="58"/>
    </row>
    <row r="736" hidden="1">
      <c r="A736" s="58"/>
    </row>
    <row r="737" hidden="1">
      <c r="A737" s="58"/>
    </row>
    <row r="738" hidden="1">
      <c r="A738" s="58"/>
    </row>
    <row r="739" hidden="1">
      <c r="A739" s="58"/>
    </row>
    <row r="740" hidden="1">
      <c r="A740" s="58"/>
    </row>
    <row r="741" hidden="1">
      <c r="A741" s="58"/>
    </row>
    <row r="742" hidden="1">
      <c r="A742" s="58"/>
    </row>
    <row r="743" hidden="1">
      <c r="A743" s="58"/>
    </row>
    <row r="744" hidden="1">
      <c r="A744" s="58"/>
    </row>
    <row r="745" hidden="1">
      <c r="A745" s="58"/>
    </row>
    <row r="746" hidden="1">
      <c r="A746" s="58"/>
    </row>
    <row r="747" hidden="1">
      <c r="A747" s="58"/>
    </row>
    <row r="748" hidden="1">
      <c r="A748" s="58"/>
    </row>
    <row r="749" hidden="1">
      <c r="A749" s="58"/>
    </row>
    <row r="750" hidden="1">
      <c r="A750" s="58"/>
    </row>
    <row r="751" hidden="1">
      <c r="A751" s="58"/>
    </row>
    <row r="752" hidden="1">
      <c r="A752" s="58"/>
    </row>
    <row r="753" hidden="1">
      <c r="A753" s="58"/>
    </row>
    <row r="754" hidden="1">
      <c r="A754" s="58"/>
    </row>
    <row r="755" hidden="1">
      <c r="A755" s="58"/>
    </row>
    <row r="756" hidden="1">
      <c r="A756" s="58"/>
    </row>
    <row r="757" hidden="1">
      <c r="A757" s="58"/>
    </row>
    <row r="758" hidden="1">
      <c r="A758" s="58"/>
    </row>
    <row r="759" hidden="1">
      <c r="A759" s="58"/>
    </row>
    <row r="760" hidden="1">
      <c r="A760" s="58"/>
    </row>
    <row r="761" hidden="1">
      <c r="A761" s="58"/>
    </row>
    <row r="762" hidden="1">
      <c r="A762" s="58"/>
    </row>
    <row r="763" hidden="1">
      <c r="A763" s="58"/>
    </row>
    <row r="764" hidden="1">
      <c r="A764" s="58"/>
    </row>
    <row r="765" hidden="1">
      <c r="A765" s="58"/>
    </row>
    <row r="766" hidden="1">
      <c r="A766" s="58"/>
    </row>
    <row r="767" hidden="1">
      <c r="A767" s="58"/>
    </row>
    <row r="768" hidden="1">
      <c r="A768" s="58"/>
    </row>
    <row r="769" hidden="1">
      <c r="A769" s="58"/>
    </row>
    <row r="770" hidden="1">
      <c r="A770" s="58"/>
    </row>
    <row r="771" hidden="1">
      <c r="A771" s="58"/>
    </row>
    <row r="772" hidden="1">
      <c r="A772" s="58"/>
    </row>
    <row r="773" hidden="1">
      <c r="A773" s="58"/>
    </row>
    <row r="774" hidden="1">
      <c r="A774" s="58"/>
    </row>
    <row r="775" hidden="1">
      <c r="A775" s="58"/>
    </row>
    <row r="776" hidden="1">
      <c r="A776" s="58"/>
    </row>
    <row r="777" hidden="1">
      <c r="A777" s="58"/>
    </row>
    <row r="778" hidden="1">
      <c r="A778" s="58"/>
    </row>
    <row r="779" hidden="1">
      <c r="A779" s="58"/>
    </row>
    <row r="780" hidden="1">
      <c r="A780" s="58"/>
    </row>
    <row r="781" hidden="1">
      <c r="A781" s="58"/>
    </row>
    <row r="782" hidden="1">
      <c r="A782" s="58"/>
    </row>
    <row r="783" hidden="1">
      <c r="A783" s="58"/>
    </row>
    <row r="784" hidden="1">
      <c r="A784" s="58"/>
    </row>
    <row r="785" hidden="1">
      <c r="A785" s="58"/>
    </row>
    <row r="786" hidden="1">
      <c r="A786" s="58"/>
    </row>
    <row r="787" hidden="1">
      <c r="A787" s="58"/>
    </row>
    <row r="788" hidden="1">
      <c r="A788" s="58"/>
    </row>
    <row r="789" hidden="1">
      <c r="A789" s="58"/>
    </row>
    <row r="790" hidden="1">
      <c r="A790" s="58"/>
    </row>
    <row r="791" hidden="1">
      <c r="A791" s="58"/>
    </row>
    <row r="792" hidden="1">
      <c r="A792" s="58"/>
    </row>
    <row r="793" hidden="1">
      <c r="A793" s="58"/>
    </row>
    <row r="794" hidden="1">
      <c r="A794" s="58"/>
    </row>
    <row r="795" hidden="1">
      <c r="A795" s="58"/>
    </row>
    <row r="796" hidden="1">
      <c r="A796" s="58"/>
    </row>
    <row r="797" hidden="1">
      <c r="A797" s="58"/>
    </row>
    <row r="798" hidden="1">
      <c r="A798" s="58"/>
    </row>
    <row r="799" hidden="1">
      <c r="A799" s="58"/>
    </row>
    <row r="800" hidden="1">
      <c r="A800" s="58"/>
    </row>
    <row r="801" hidden="1">
      <c r="A801" s="58"/>
    </row>
    <row r="802" hidden="1">
      <c r="A802" s="58"/>
    </row>
    <row r="803" hidden="1">
      <c r="A803" s="58"/>
    </row>
    <row r="804" hidden="1">
      <c r="A804" s="58"/>
    </row>
    <row r="805" hidden="1">
      <c r="A805" s="58"/>
    </row>
    <row r="806" hidden="1">
      <c r="A806" s="58"/>
    </row>
    <row r="807" hidden="1">
      <c r="A807" s="58"/>
    </row>
    <row r="808" hidden="1">
      <c r="A808" s="58"/>
    </row>
    <row r="809" hidden="1">
      <c r="A809" s="58"/>
    </row>
    <row r="810" hidden="1">
      <c r="A810" s="58"/>
    </row>
    <row r="811" hidden="1">
      <c r="A811" s="58"/>
    </row>
    <row r="812" hidden="1">
      <c r="A812" s="58"/>
    </row>
    <row r="813" hidden="1">
      <c r="A813" s="58"/>
    </row>
    <row r="814" hidden="1">
      <c r="A814" s="58"/>
    </row>
    <row r="815" hidden="1">
      <c r="A815" s="58"/>
    </row>
    <row r="816" hidden="1">
      <c r="A816" s="58"/>
    </row>
    <row r="817" hidden="1">
      <c r="A817" s="58"/>
    </row>
    <row r="818" hidden="1">
      <c r="A818" s="58"/>
    </row>
    <row r="819" hidden="1">
      <c r="A819" s="58"/>
    </row>
    <row r="820" hidden="1">
      <c r="A820" s="58"/>
    </row>
    <row r="821" hidden="1">
      <c r="A821" s="58"/>
    </row>
    <row r="822" hidden="1">
      <c r="A822" s="58"/>
    </row>
    <row r="823" hidden="1">
      <c r="A823" s="58"/>
    </row>
    <row r="824" hidden="1">
      <c r="A824" s="58"/>
    </row>
    <row r="825" hidden="1">
      <c r="A825" s="58"/>
    </row>
    <row r="826" hidden="1">
      <c r="A826" s="58"/>
    </row>
    <row r="827" hidden="1">
      <c r="A827" s="58"/>
    </row>
    <row r="828" hidden="1">
      <c r="A828" s="58"/>
    </row>
    <row r="829" hidden="1">
      <c r="A829" s="58"/>
    </row>
    <row r="830" hidden="1">
      <c r="A830" s="58"/>
    </row>
    <row r="831" hidden="1">
      <c r="A831" s="58"/>
    </row>
    <row r="832" hidden="1">
      <c r="A832" s="58"/>
    </row>
    <row r="833" hidden="1">
      <c r="A833" s="58"/>
    </row>
    <row r="834" hidden="1">
      <c r="A834" s="58"/>
    </row>
    <row r="835" hidden="1">
      <c r="A835" s="58"/>
    </row>
    <row r="836" hidden="1">
      <c r="A836" s="58"/>
    </row>
    <row r="837" hidden="1">
      <c r="A837" s="58"/>
    </row>
    <row r="838" hidden="1">
      <c r="A838" s="58"/>
    </row>
    <row r="839" hidden="1">
      <c r="A839" s="58"/>
    </row>
    <row r="840" hidden="1">
      <c r="A840" s="58"/>
    </row>
    <row r="841" hidden="1">
      <c r="A841" s="58"/>
    </row>
    <row r="842" hidden="1">
      <c r="A842" s="58"/>
    </row>
    <row r="843" hidden="1">
      <c r="A843" s="58"/>
    </row>
    <row r="844" hidden="1">
      <c r="A844" s="58"/>
    </row>
    <row r="845" hidden="1">
      <c r="A845" s="58"/>
    </row>
    <row r="846" hidden="1">
      <c r="A846" s="58"/>
    </row>
    <row r="847" hidden="1">
      <c r="A847" s="58"/>
    </row>
    <row r="848" hidden="1">
      <c r="A848" s="58"/>
    </row>
    <row r="849" hidden="1">
      <c r="A849" s="58"/>
    </row>
    <row r="850" hidden="1">
      <c r="A850" s="58"/>
    </row>
    <row r="851" hidden="1">
      <c r="A851" s="58"/>
    </row>
    <row r="852" hidden="1">
      <c r="A852" s="58"/>
    </row>
    <row r="853" hidden="1">
      <c r="A853" s="58"/>
    </row>
    <row r="854" hidden="1">
      <c r="A854" s="58"/>
    </row>
    <row r="855" hidden="1">
      <c r="A855" s="58"/>
    </row>
    <row r="856" hidden="1">
      <c r="A856" s="58"/>
    </row>
    <row r="857" hidden="1">
      <c r="A857" s="58"/>
    </row>
    <row r="858" hidden="1">
      <c r="A858" s="58"/>
    </row>
    <row r="859" hidden="1">
      <c r="A859" s="58"/>
    </row>
    <row r="860" hidden="1">
      <c r="A860" s="58"/>
    </row>
    <row r="861" hidden="1">
      <c r="A861" s="58"/>
    </row>
    <row r="862" hidden="1">
      <c r="A862" s="58"/>
    </row>
    <row r="863" hidden="1">
      <c r="A863" s="58"/>
    </row>
    <row r="864" hidden="1">
      <c r="A864" s="58"/>
    </row>
    <row r="865" hidden="1">
      <c r="A865" s="58"/>
    </row>
    <row r="866" hidden="1">
      <c r="A866" s="58"/>
    </row>
    <row r="867" hidden="1">
      <c r="A867" s="58"/>
    </row>
    <row r="868" hidden="1">
      <c r="A868" s="58"/>
    </row>
    <row r="869" hidden="1">
      <c r="A869" s="58"/>
    </row>
    <row r="870" hidden="1">
      <c r="A870" s="58"/>
    </row>
    <row r="871" hidden="1">
      <c r="A871" s="58"/>
    </row>
    <row r="872" hidden="1">
      <c r="A872" s="58"/>
    </row>
    <row r="873" hidden="1">
      <c r="A873" s="58"/>
    </row>
    <row r="874" hidden="1">
      <c r="A874" s="58"/>
    </row>
    <row r="875" hidden="1">
      <c r="A875" s="58"/>
    </row>
    <row r="876" hidden="1">
      <c r="A876" s="58"/>
    </row>
    <row r="877" hidden="1">
      <c r="A877" s="58"/>
    </row>
    <row r="878" hidden="1">
      <c r="A878" s="58"/>
    </row>
    <row r="879" hidden="1">
      <c r="A879" s="58"/>
    </row>
    <row r="880" hidden="1">
      <c r="A880" s="58"/>
    </row>
    <row r="881" hidden="1">
      <c r="A881" s="58"/>
    </row>
    <row r="882" hidden="1">
      <c r="A882" s="58"/>
    </row>
    <row r="883" hidden="1">
      <c r="A883" s="58"/>
    </row>
    <row r="884" hidden="1">
      <c r="A884" s="58"/>
    </row>
    <row r="885" hidden="1">
      <c r="A885" s="58"/>
    </row>
    <row r="886" hidden="1">
      <c r="A886" s="58"/>
    </row>
    <row r="887" hidden="1">
      <c r="A887" s="58"/>
    </row>
    <row r="888" hidden="1">
      <c r="A888" s="58"/>
    </row>
    <row r="889" hidden="1">
      <c r="A889" s="58"/>
    </row>
    <row r="890" hidden="1">
      <c r="A890" s="58"/>
    </row>
    <row r="891" hidden="1">
      <c r="A891" s="58"/>
    </row>
    <row r="892" hidden="1">
      <c r="A892" s="58"/>
    </row>
    <row r="893" hidden="1">
      <c r="A893" s="58"/>
    </row>
    <row r="894" hidden="1">
      <c r="A894" s="58"/>
    </row>
    <row r="895" hidden="1">
      <c r="A895" s="58"/>
    </row>
    <row r="896" hidden="1">
      <c r="A896" s="58"/>
    </row>
    <row r="897" hidden="1">
      <c r="A897" s="58"/>
    </row>
    <row r="898" hidden="1">
      <c r="A898" s="58"/>
    </row>
    <row r="899" hidden="1">
      <c r="A899" s="58"/>
    </row>
    <row r="900" hidden="1">
      <c r="A900" s="58"/>
    </row>
    <row r="901" hidden="1">
      <c r="A901" s="58"/>
    </row>
    <row r="902" hidden="1">
      <c r="A902" s="58"/>
    </row>
    <row r="903" hidden="1">
      <c r="A903" s="58"/>
    </row>
    <row r="904" hidden="1">
      <c r="A904" s="58"/>
    </row>
    <row r="905" hidden="1">
      <c r="A905" s="58"/>
    </row>
    <row r="906" hidden="1">
      <c r="A906" s="58"/>
    </row>
    <row r="907" hidden="1">
      <c r="A907" s="58"/>
    </row>
    <row r="908" hidden="1">
      <c r="A908" s="58"/>
    </row>
    <row r="909" hidden="1">
      <c r="A909" s="58"/>
    </row>
    <row r="910" hidden="1">
      <c r="A910" s="58"/>
    </row>
    <row r="911" hidden="1">
      <c r="A911" s="58"/>
    </row>
    <row r="912" hidden="1">
      <c r="A912" s="58"/>
    </row>
    <row r="913" hidden="1">
      <c r="A913" s="58"/>
    </row>
    <row r="914" hidden="1">
      <c r="A914" s="58"/>
    </row>
    <row r="915" hidden="1">
      <c r="A915" s="58"/>
    </row>
    <row r="916" hidden="1">
      <c r="A916" s="58"/>
    </row>
    <row r="917" hidden="1">
      <c r="A917" s="58"/>
    </row>
    <row r="918" hidden="1">
      <c r="A918" s="58"/>
    </row>
    <row r="919" hidden="1">
      <c r="A919" s="58"/>
    </row>
    <row r="920" hidden="1">
      <c r="A920" s="58"/>
    </row>
    <row r="921" hidden="1">
      <c r="A921" s="58"/>
    </row>
    <row r="922" hidden="1">
      <c r="A922" s="58"/>
    </row>
    <row r="923" hidden="1">
      <c r="A923" s="58"/>
    </row>
    <row r="924" hidden="1">
      <c r="A924" s="58"/>
    </row>
    <row r="925" hidden="1">
      <c r="A925" s="58"/>
    </row>
    <row r="926" hidden="1">
      <c r="A926" s="58"/>
    </row>
    <row r="927" hidden="1">
      <c r="A927" s="58"/>
    </row>
    <row r="928" hidden="1">
      <c r="A928" s="58"/>
    </row>
    <row r="929" hidden="1">
      <c r="A929" s="58"/>
    </row>
    <row r="930" hidden="1">
      <c r="A930" s="58"/>
    </row>
    <row r="931" hidden="1">
      <c r="A931" s="58"/>
    </row>
    <row r="932" hidden="1">
      <c r="A932" s="58"/>
    </row>
    <row r="933" hidden="1">
      <c r="A933" s="58"/>
    </row>
    <row r="934" hidden="1">
      <c r="A934" s="58"/>
    </row>
    <row r="935" hidden="1">
      <c r="A935" s="58"/>
    </row>
    <row r="936" hidden="1">
      <c r="A936" s="58"/>
    </row>
    <row r="937" hidden="1">
      <c r="A937" s="58"/>
    </row>
    <row r="938" hidden="1">
      <c r="A938" s="58"/>
    </row>
    <row r="939" hidden="1">
      <c r="A939" s="58"/>
    </row>
    <row r="940" hidden="1">
      <c r="A940" s="58"/>
    </row>
    <row r="941" hidden="1">
      <c r="A941" s="58"/>
    </row>
    <row r="942" hidden="1">
      <c r="A942" s="58"/>
    </row>
    <row r="943" hidden="1">
      <c r="A943" s="58"/>
    </row>
    <row r="944" hidden="1">
      <c r="A944" s="58"/>
    </row>
    <row r="945" hidden="1">
      <c r="A945" s="58"/>
    </row>
    <row r="946" hidden="1">
      <c r="A946" s="58"/>
    </row>
    <row r="947" hidden="1">
      <c r="A947" s="58"/>
    </row>
    <row r="948" hidden="1">
      <c r="A948" s="58"/>
    </row>
    <row r="949" hidden="1">
      <c r="A949" s="58"/>
    </row>
    <row r="950" hidden="1">
      <c r="A950" s="58"/>
    </row>
    <row r="951" hidden="1">
      <c r="A951" s="58"/>
    </row>
    <row r="952" hidden="1">
      <c r="A952" s="58"/>
    </row>
    <row r="953" hidden="1">
      <c r="A953" s="58"/>
    </row>
    <row r="954" hidden="1">
      <c r="A954" s="58"/>
    </row>
    <row r="955" hidden="1">
      <c r="A955" s="58"/>
    </row>
    <row r="956" hidden="1">
      <c r="A956" s="58"/>
    </row>
    <row r="957" hidden="1">
      <c r="A957" s="58"/>
    </row>
    <row r="958" hidden="1">
      <c r="A958" s="58"/>
    </row>
    <row r="959" hidden="1">
      <c r="A959" s="58"/>
    </row>
    <row r="960" hidden="1">
      <c r="A960" s="58"/>
    </row>
    <row r="961" hidden="1">
      <c r="A961" s="58"/>
    </row>
    <row r="962" hidden="1">
      <c r="A962" s="58"/>
    </row>
    <row r="963" hidden="1">
      <c r="A963" s="58"/>
    </row>
    <row r="964" hidden="1">
      <c r="A964" s="58"/>
    </row>
    <row r="965" hidden="1">
      <c r="A965" s="58"/>
    </row>
    <row r="966" hidden="1">
      <c r="A966" s="58"/>
    </row>
    <row r="967" hidden="1">
      <c r="A967" s="58"/>
    </row>
    <row r="968" hidden="1">
      <c r="A968" s="58"/>
    </row>
    <row r="969" hidden="1">
      <c r="A969" s="58"/>
    </row>
    <row r="970" hidden="1">
      <c r="A970" s="58"/>
    </row>
    <row r="971" hidden="1">
      <c r="A971" s="58"/>
    </row>
    <row r="972" hidden="1">
      <c r="A972" s="58"/>
    </row>
    <row r="973" hidden="1">
      <c r="A973" s="58"/>
    </row>
    <row r="974" hidden="1">
      <c r="A974" s="58"/>
    </row>
    <row r="975" hidden="1">
      <c r="A975" s="58"/>
    </row>
    <row r="976" hidden="1">
      <c r="A976" s="58"/>
    </row>
    <row r="977" hidden="1">
      <c r="A977" s="58"/>
    </row>
    <row r="978" hidden="1">
      <c r="A978" s="58"/>
    </row>
    <row r="979" hidden="1">
      <c r="A979" s="58"/>
    </row>
    <row r="980" hidden="1">
      <c r="A980" s="58"/>
    </row>
    <row r="981" hidden="1">
      <c r="A981" s="58"/>
    </row>
    <row r="982" hidden="1">
      <c r="A982" s="58"/>
    </row>
    <row r="983" hidden="1">
      <c r="A983" s="58"/>
    </row>
    <row r="984" hidden="1">
      <c r="A984" s="58"/>
    </row>
    <row r="985" hidden="1">
      <c r="A985" s="58"/>
    </row>
    <row r="986" hidden="1">
      <c r="A986" s="58"/>
    </row>
    <row r="987" hidden="1">
      <c r="A987" s="58"/>
    </row>
    <row r="988" hidden="1">
      <c r="A988" s="58"/>
    </row>
    <row r="989" hidden="1">
      <c r="A989" s="58"/>
    </row>
    <row r="990" hidden="1">
      <c r="A990" s="58"/>
    </row>
    <row r="991" hidden="1">
      <c r="A991" s="58"/>
    </row>
    <row r="992" hidden="1">
      <c r="A992" s="58"/>
    </row>
    <row r="993" hidden="1">
      <c r="A993" s="58"/>
    </row>
    <row r="994" hidden="1">
      <c r="A994" s="58"/>
    </row>
    <row r="995" hidden="1">
      <c r="A995" s="58"/>
    </row>
    <row r="996" hidden="1">
      <c r="A996" s="58"/>
    </row>
    <row r="997" hidden="1">
      <c r="A997" s="58"/>
    </row>
    <row r="998" hidden="1">
      <c r="A998" s="58"/>
    </row>
    <row r="999" hidden="1">
      <c r="A999" s="58"/>
    </row>
    <row r="1000" hidden="1">
      <c r="A1000" s="58"/>
    </row>
    <row r="1001" hidden="1">
      <c r="A1001" s="58"/>
    </row>
    <row r="1002" hidden="1">
      <c r="A1002" s="58"/>
    </row>
    <row r="1003" hidden="1">
      <c r="A1003" s="58"/>
    </row>
    <row r="1004" hidden="1">
      <c r="A1004" s="58"/>
    </row>
    <row r="1005" hidden="1">
      <c r="A1005" s="58"/>
    </row>
    <row r="1006" hidden="1">
      <c r="A1006" s="58"/>
    </row>
    <row r="1007" hidden="1">
      <c r="A1007" s="58"/>
    </row>
    <row r="1008" hidden="1">
      <c r="A1008" s="58"/>
    </row>
    <row r="1009" hidden="1">
      <c r="A1009" s="58"/>
    </row>
    <row r="1010" hidden="1">
      <c r="A1010" s="58"/>
    </row>
    <row r="1011" hidden="1">
      <c r="A1011" s="58"/>
    </row>
    <row r="1012" hidden="1">
      <c r="A1012" s="58"/>
    </row>
    <row r="1013" hidden="1">
      <c r="A1013" s="58"/>
    </row>
    <row r="1014" hidden="1">
      <c r="A1014" s="58"/>
    </row>
    <row r="1015" hidden="1">
      <c r="A1015" s="58"/>
    </row>
    <row r="1016" hidden="1">
      <c r="A1016" s="58"/>
    </row>
    <row r="1017" hidden="1">
      <c r="A1017" s="58"/>
    </row>
    <row r="1018" hidden="1">
      <c r="A1018" s="58"/>
    </row>
    <row r="1019" hidden="1">
      <c r="A1019" s="58"/>
    </row>
    <row r="1020" hidden="1">
      <c r="A1020" s="58"/>
    </row>
    <row r="1021" hidden="1">
      <c r="A1021" s="58"/>
    </row>
    <row r="1022" hidden="1">
      <c r="A1022" s="58"/>
    </row>
    <row r="1023" hidden="1">
      <c r="A1023" s="58"/>
    </row>
    <row r="1024" hidden="1">
      <c r="A1024" s="58"/>
    </row>
    <row r="1025" hidden="1">
      <c r="A1025" s="58"/>
    </row>
    <row r="1026" hidden="1">
      <c r="A1026" s="58"/>
    </row>
    <row r="1027" hidden="1">
      <c r="A1027" s="58"/>
    </row>
    <row r="1028" hidden="1">
      <c r="A1028" s="58"/>
    </row>
    <row r="1029" hidden="1">
      <c r="A1029" s="58"/>
    </row>
    <row r="1030" hidden="1">
      <c r="A1030" s="58"/>
    </row>
    <row r="1031" hidden="1">
      <c r="A1031" s="58"/>
    </row>
    <row r="1032" hidden="1">
      <c r="A1032" s="58"/>
    </row>
    <row r="1033" hidden="1">
      <c r="A1033" s="58"/>
    </row>
    <row r="1034" hidden="1">
      <c r="A1034" s="58"/>
    </row>
    <row r="1035" hidden="1">
      <c r="A1035" s="58"/>
    </row>
    <row r="1036" hidden="1">
      <c r="A1036" s="58"/>
    </row>
    <row r="1037" hidden="1">
      <c r="A1037" s="58"/>
    </row>
  </sheetData>
  <mergeCells count="1">
    <mergeCell ref="A1:F1"/>
  </mergeCells>
  <hyperlinks>
    <hyperlink display="Want to contribute? Have questions, comments, or concerns? See Home page for contact information." location="Home!C12:E13" ref="A1"/>
  </hyperlink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22.25"/>
    <col customWidth="1" min="2" max="2" width="94.13"/>
    <col customWidth="1" min="3" max="3" width="79.38"/>
    <col hidden="1" min="4" max="26" width="12.63"/>
  </cols>
  <sheetData>
    <row r="1">
      <c r="A1" s="893" t="s">
        <v>998</v>
      </c>
    </row>
    <row r="2" ht="33.75" customHeight="1">
      <c r="A2" s="894" t="s">
        <v>999</v>
      </c>
      <c r="B2" s="895" t="s">
        <v>1000</v>
      </c>
      <c r="C2" s="896" t="s">
        <v>611</v>
      </c>
    </row>
    <row r="3" ht="33.75" customHeight="1">
      <c r="A3" s="897" t="s">
        <v>1001</v>
      </c>
      <c r="B3" s="898"/>
      <c r="C3" s="899" t="s">
        <v>1002</v>
      </c>
    </row>
    <row r="4" ht="33.75" customHeight="1">
      <c r="A4" s="900" t="s">
        <v>1003</v>
      </c>
      <c r="B4" s="901" t="s">
        <v>1004</v>
      </c>
      <c r="C4" s="902" t="s">
        <v>1005</v>
      </c>
    </row>
    <row r="5" ht="33.75" customHeight="1">
      <c r="A5" s="903" t="s">
        <v>1006</v>
      </c>
      <c r="B5" s="904"/>
      <c r="C5" s="905"/>
    </row>
    <row r="6" ht="33.75" customHeight="1">
      <c r="A6" s="906" t="s">
        <v>1007</v>
      </c>
      <c r="B6" s="907"/>
      <c r="C6" s="908" t="s">
        <v>1008</v>
      </c>
    </row>
    <row r="7" ht="23.25" customHeight="1">
      <c r="A7" s="906" t="s">
        <v>1009</v>
      </c>
      <c r="B7" s="907"/>
      <c r="C7" s="908" t="s">
        <v>1010</v>
      </c>
    </row>
    <row r="8" ht="33.75" customHeight="1">
      <c r="A8" s="906" t="s">
        <v>1011</v>
      </c>
      <c r="B8" s="907"/>
      <c r="C8" s="908" t="s">
        <v>1012</v>
      </c>
    </row>
    <row r="9" ht="33.75" customHeight="1">
      <c r="A9" s="909" t="s">
        <v>1013</v>
      </c>
      <c r="B9" s="910" t="s">
        <v>1004</v>
      </c>
      <c r="C9" s="911" t="s">
        <v>1014</v>
      </c>
    </row>
    <row r="10">
      <c r="A10" s="912" t="s">
        <v>1015</v>
      </c>
      <c r="B10" s="913"/>
      <c r="C10" s="914"/>
    </row>
    <row r="11" ht="33.75" customHeight="1">
      <c r="A11" s="915" t="s">
        <v>1016</v>
      </c>
      <c r="B11" s="913"/>
      <c r="C11" s="914"/>
    </row>
    <row r="12" ht="33.75" customHeight="1">
      <c r="A12" s="915" t="s">
        <v>1017</v>
      </c>
      <c r="B12" s="913"/>
      <c r="C12" s="914"/>
    </row>
    <row r="13" ht="33.75" customHeight="1">
      <c r="A13" s="916"/>
      <c r="B13" s="917"/>
      <c r="C13" s="918"/>
    </row>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sheetData>
  <mergeCells count="5">
    <mergeCell ref="A1:C1"/>
    <mergeCell ref="A5:C5"/>
    <mergeCell ref="A10:C10"/>
    <mergeCell ref="A11:C11"/>
    <mergeCell ref="A12:C12"/>
  </mergeCells>
  <hyperlinks>
    <hyperlink r:id="rId1" ref="A5"/>
    <hyperlink r:id="rId2" ref="A11"/>
    <hyperlink r:id="rId3" ref="A12"/>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0.13"/>
    <col customWidth="1" min="2" max="2" width="25.13"/>
    <col customWidth="1" min="3" max="3" width="18.88"/>
    <col hidden="1" min="4" max="27" width="12.63"/>
  </cols>
  <sheetData>
    <row r="1">
      <c r="A1" s="893" t="s">
        <v>1018</v>
      </c>
    </row>
    <row r="2">
      <c r="A2" s="919" t="s">
        <v>1019</v>
      </c>
      <c r="B2" s="919" t="s">
        <v>1020</v>
      </c>
      <c r="C2" s="920" t="s">
        <v>1021</v>
      </c>
    </row>
    <row r="3">
      <c r="A3" s="921" t="s">
        <v>1022</v>
      </c>
    </row>
    <row r="4">
      <c r="A4" s="95" t="s">
        <v>1023</v>
      </c>
      <c r="B4" s="95" t="s">
        <v>1024</v>
      </c>
      <c r="C4" s="922"/>
    </row>
    <row r="5">
      <c r="A5" s="95" t="s">
        <v>1025</v>
      </c>
      <c r="B5" s="95" t="s">
        <v>1024</v>
      </c>
      <c r="C5" s="922"/>
    </row>
    <row r="6">
      <c r="A6" s="95" t="s">
        <v>1026</v>
      </c>
      <c r="B6" s="95" t="s">
        <v>1024</v>
      </c>
      <c r="C6" s="922"/>
    </row>
    <row r="7">
      <c r="A7" s="95" t="s">
        <v>1027</v>
      </c>
      <c r="B7" s="95" t="s">
        <v>1024</v>
      </c>
      <c r="C7" s="922"/>
    </row>
    <row r="8">
      <c r="C8" s="922"/>
    </row>
    <row r="9">
      <c r="A9" s="921" t="s">
        <v>1028</v>
      </c>
    </row>
    <row r="10">
      <c r="A10" s="923" t="s">
        <v>1029</v>
      </c>
      <c r="B10" s="95" t="s">
        <v>1030</v>
      </c>
      <c r="C10" s="922">
        <v>46159.0</v>
      </c>
    </row>
    <row r="11">
      <c r="A11" s="923" t="s">
        <v>1031</v>
      </c>
      <c r="B11" s="95" t="s">
        <v>1030</v>
      </c>
      <c r="C11" s="922">
        <v>46159.0</v>
      </c>
    </row>
    <row r="12">
      <c r="A12" s="923" t="s">
        <v>1032</v>
      </c>
      <c r="B12" s="95" t="s">
        <v>1030</v>
      </c>
      <c r="C12" s="922">
        <v>46159.0</v>
      </c>
    </row>
    <row r="13">
      <c r="A13" s="923" t="s">
        <v>1033</v>
      </c>
      <c r="B13" s="95" t="s">
        <v>1030</v>
      </c>
      <c r="C13" s="922">
        <v>46159.0</v>
      </c>
    </row>
    <row r="14">
      <c r="A14" s="923" t="s">
        <v>1034</v>
      </c>
      <c r="B14" s="95" t="s">
        <v>1030</v>
      </c>
      <c r="C14" s="922">
        <v>46159.0</v>
      </c>
    </row>
    <row r="15">
      <c r="A15" s="923" t="s">
        <v>1035</v>
      </c>
      <c r="B15" s="95" t="s">
        <v>1030</v>
      </c>
      <c r="C15" s="922">
        <v>46159.0</v>
      </c>
    </row>
    <row r="16">
      <c r="A16" s="923" t="s">
        <v>1036</v>
      </c>
      <c r="B16" s="95" t="s">
        <v>1030</v>
      </c>
      <c r="C16" s="922">
        <v>46159.0</v>
      </c>
    </row>
    <row r="17">
      <c r="A17" s="924"/>
      <c r="C17" s="922"/>
    </row>
    <row r="18">
      <c r="A18" s="923" t="s">
        <v>1037</v>
      </c>
      <c r="B18" s="95" t="s">
        <v>1038</v>
      </c>
      <c r="C18" s="922"/>
    </row>
    <row r="19">
      <c r="A19" s="923" t="s">
        <v>1039</v>
      </c>
      <c r="B19" s="95" t="s">
        <v>1038</v>
      </c>
      <c r="C19" s="922"/>
    </row>
    <row r="20">
      <c r="A20" s="923" t="s">
        <v>1040</v>
      </c>
      <c r="B20" s="95" t="s">
        <v>1038</v>
      </c>
      <c r="C20" s="922"/>
    </row>
    <row r="21">
      <c r="A21" s="923" t="s">
        <v>1041</v>
      </c>
      <c r="B21" s="95" t="s">
        <v>1038</v>
      </c>
      <c r="C21" s="922"/>
    </row>
    <row r="22">
      <c r="A22" s="923" t="s">
        <v>1042</v>
      </c>
      <c r="B22" s="95" t="s">
        <v>1038</v>
      </c>
      <c r="C22" s="922"/>
    </row>
    <row r="23">
      <c r="A23" s="923" t="s">
        <v>1043</v>
      </c>
      <c r="B23" s="95" t="s">
        <v>1038</v>
      </c>
      <c r="C23" s="922"/>
    </row>
    <row r="24">
      <c r="A24" s="923" t="s">
        <v>1044</v>
      </c>
      <c r="B24" s="95" t="s">
        <v>1038</v>
      </c>
      <c r="C24" s="922"/>
    </row>
    <row r="25">
      <c r="A25" s="923" t="s">
        <v>1045</v>
      </c>
      <c r="B25" s="95" t="s">
        <v>1038</v>
      </c>
      <c r="C25" s="922"/>
    </row>
    <row r="26">
      <c r="A26" s="923" t="s">
        <v>1046</v>
      </c>
      <c r="B26" s="95" t="s">
        <v>1038</v>
      </c>
      <c r="C26" s="922"/>
    </row>
    <row r="27">
      <c r="A27" s="924"/>
      <c r="C27" s="922"/>
    </row>
    <row r="28">
      <c r="A28" s="921" t="s">
        <v>1047</v>
      </c>
    </row>
    <row r="29">
      <c r="A29" s="923" t="s">
        <v>1048</v>
      </c>
      <c r="B29" s="95" t="s">
        <v>1030</v>
      </c>
      <c r="C29" s="922">
        <v>46160.0</v>
      </c>
    </row>
    <row r="30">
      <c r="A30" s="923" t="s">
        <v>1049</v>
      </c>
      <c r="B30" s="95" t="s">
        <v>1030</v>
      </c>
      <c r="C30" s="922">
        <v>46160.0</v>
      </c>
    </row>
    <row r="31">
      <c r="A31" s="923" t="s">
        <v>1050</v>
      </c>
      <c r="B31" s="95" t="s">
        <v>1030</v>
      </c>
      <c r="C31" s="922">
        <v>46160.0</v>
      </c>
    </row>
    <row r="32">
      <c r="A32" s="923" t="s">
        <v>1051</v>
      </c>
      <c r="B32" s="95" t="s">
        <v>1030</v>
      </c>
      <c r="C32" s="922">
        <v>46160.0</v>
      </c>
    </row>
    <row r="33">
      <c r="A33" s="923" t="s">
        <v>1052</v>
      </c>
      <c r="B33" s="95" t="s">
        <v>1030</v>
      </c>
      <c r="C33" s="922">
        <v>46160.0</v>
      </c>
    </row>
    <row r="34">
      <c r="A34" s="923" t="s">
        <v>1053</v>
      </c>
      <c r="B34" s="95" t="s">
        <v>1030</v>
      </c>
      <c r="C34" s="922">
        <v>46160.0</v>
      </c>
    </row>
    <row r="35">
      <c r="A35" s="923" t="s">
        <v>1032</v>
      </c>
      <c r="B35" s="95" t="s">
        <v>1030</v>
      </c>
      <c r="C35" s="922">
        <v>46160.0</v>
      </c>
    </row>
    <row r="36">
      <c r="A36" s="923" t="s">
        <v>1035</v>
      </c>
      <c r="B36" s="95" t="s">
        <v>1030</v>
      </c>
      <c r="C36" s="922">
        <v>46160.0</v>
      </c>
    </row>
    <row r="37">
      <c r="A37" s="923"/>
      <c r="C37" s="922"/>
    </row>
    <row r="38">
      <c r="A38" s="923" t="s">
        <v>1054</v>
      </c>
      <c r="B38" s="95" t="s">
        <v>1038</v>
      </c>
      <c r="C38" s="922"/>
    </row>
    <row r="39">
      <c r="A39" s="923" t="s">
        <v>1046</v>
      </c>
      <c r="B39" s="95" t="s">
        <v>1038</v>
      </c>
      <c r="C39" s="922"/>
    </row>
    <row r="40">
      <c r="A40" s="923" t="s">
        <v>1055</v>
      </c>
      <c r="B40" s="95" t="s">
        <v>1038</v>
      </c>
      <c r="C40" s="922"/>
    </row>
    <row r="41">
      <c r="A41" s="923" t="s">
        <v>1056</v>
      </c>
      <c r="B41" s="95" t="s">
        <v>1038</v>
      </c>
      <c r="C41" s="922"/>
    </row>
    <row r="42">
      <c r="A42" s="923" t="s">
        <v>1045</v>
      </c>
      <c r="B42" s="95" t="s">
        <v>1038</v>
      </c>
      <c r="C42" s="922"/>
    </row>
    <row r="43">
      <c r="A43" s="923" t="s">
        <v>1057</v>
      </c>
      <c r="B43" s="95" t="s">
        <v>1038</v>
      </c>
      <c r="C43" s="922"/>
    </row>
    <row r="44">
      <c r="A44" s="923" t="s">
        <v>1040</v>
      </c>
      <c r="B44" s="95" t="s">
        <v>1038</v>
      </c>
      <c r="C44" s="922"/>
    </row>
    <row r="45">
      <c r="A45" s="923" t="s">
        <v>1043</v>
      </c>
      <c r="B45" s="95" t="s">
        <v>1038</v>
      </c>
      <c r="C45" s="922"/>
    </row>
    <row r="46">
      <c r="A46" s="923" t="s">
        <v>1058</v>
      </c>
      <c r="B46" s="95" t="s">
        <v>1038</v>
      </c>
      <c r="C46" s="922"/>
    </row>
    <row r="47">
      <c r="A47" s="923" t="s">
        <v>1037</v>
      </c>
      <c r="B47" s="95" t="s">
        <v>1038</v>
      </c>
      <c r="C47" s="922"/>
    </row>
    <row r="48">
      <c r="A48" s="923" t="s">
        <v>1042</v>
      </c>
      <c r="B48" s="95" t="s">
        <v>1038</v>
      </c>
      <c r="C48" s="922"/>
    </row>
    <row r="49">
      <c r="A49" s="923" t="s">
        <v>1059</v>
      </c>
      <c r="B49" s="95" t="s">
        <v>1038</v>
      </c>
      <c r="C49" s="922"/>
    </row>
    <row r="50">
      <c r="A50" s="924"/>
      <c r="C50" s="922"/>
    </row>
    <row r="51">
      <c r="A51" s="921" t="s">
        <v>1060</v>
      </c>
    </row>
    <row r="52">
      <c r="A52" s="923" t="s">
        <v>1061</v>
      </c>
      <c r="B52" s="95" t="s">
        <v>1030</v>
      </c>
      <c r="C52" s="922">
        <v>46161.0</v>
      </c>
    </row>
    <row r="53">
      <c r="A53" s="923" t="s">
        <v>1062</v>
      </c>
      <c r="B53" s="95" t="s">
        <v>1030</v>
      </c>
      <c r="C53" s="922">
        <v>46161.0</v>
      </c>
    </row>
    <row r="54">
      <c r="A54" s="923" t="s">
        <v>1063</v>
      </c>
      <c r="B54" s="95" t="s">
        <v>1030</v>
      </c>
      <c r="C54" s="922">
        <v>46161.0</v>
      </c>
    </row>
    <row r="55">
      <c r="A55" s="923" t="s">
        <v>1064</v>
      </c>
      <c r="B55" s="95" t="s">
        <v>1030</v>
      </c>
      <c r="C55" s="922">
        <v>46161.0</v>
      </c>
    </row>
    <row r="56">
      <c r="A56" s="923" t="s">
        <v>1065</v>
      </c>
      <c r="B56" s="95" t="s">
        <v>1030</v>
      </c>
      <c r="C56" s="922">
        <v>46161.0</v>
      </c>
    </row>
    <row r="57">
      <c r="A57" s="924"/>
      <c r="C57" s="922"/>
    </row>
    <row r="58">
      <c r="A58" s="923" t="s">
        <v>1066</v>
      </c>
      <c r="B58" s="95" t="s">
        <v>1038</v>
      </c>
      <c r="C58" s="922"/>
    </row>
    <row r="59">
      <c r="A59" s="923" t="s">
        <v>1067</v>
      </c>
      <c r="B59" s="95" t="s">
        <v>1038</v>
      </c>
      <c r="C59" s="922"/>
    </row>
    <row r="60">
      <c r="A60" s="923" t="s">
        <v>1068</v>
      </c>
      <c r="B60" s="95" t="s">
        <v>1038</v>
      </c>
      <c r="C60" s="922"/>
    </row>
    <row r="61">
      <c r="A61" s="923" t="s">
        <v>1058</v>
      </c>
      <c r="B61" s="95" t="s">
        <v>1038</v>
      </c>
      <c r="C61" s="922"/>
    </row>
    <row r="62">
      <c r="A62" s="923" t="s">
        <v>1059</v>
      </c>
      <c r="B62" s="95" t="s">
        <v>1038</v>
      </c>
      <c r="C62" s="922"/>
    </row>
    <row r="63">
      <c r="A63" s="923" t="s">
        <v>1057</v>
      </c>
      <c r="B63" s="95" t="s">
        <v>1038</v>
      </c>
      <c r="C63" s="922"/>
    </row>
    <row r="64">
      <c r="A64" s="923" t="s">
        <v>1054</v>
      </c>
      <c r="B64" s="95" t="s">
        <v>1038</v>
      </c>
      <c r="C64" s="922"/>
    </row>
    <row r="65">
      <c r="A65" s="923" t="s">
        <v>1056</v>
      </c>
      <c r="B65" s="95" t="s">
        <v>1038</v>
      </c>
      <c r="C65" s="922"/>
    </row>
    <row r="66">
      <c r="A66" s="923" t="s">
        <v>1055</v>
      </c>
      <c r="B66" s="95" t="s">
        <v>1038</v>
      </c>
      <c r="C66" s="922"/>
    </row>
    <row r="67">
      <c r="A67" s="923" t="s">
        <v>1069</v>
      </c>
      <c r="B67" s="95" t="s">
        <v>1038</v>
      </c>
      <c r="C67" s="922"/>
    </row>
    <row r="68">
      <c r="A68" s="923" t="s">
        <v>1046</v>
      </c>
      <c r="B68" s="95" t="s">
        <v>1038</v>
      </c>
      <c r="C68" s="922"/>
    </row>
    <row r="69">
      <c r="A69" s="924"/>
      <c r="C69" s="922"/>
    </row>
    <row r="70">
      <c r="A70" s="921" t="s">
        <v>1070</v>
      </c>
    </row>
    <row r="71">
      <c r="A71" s="923" t="s">
        <v>1071</v>
      </c>
      <c r="B71" s="95" t="s">
        <v>1038</v>
      </c>
      <c r="C71" s="922"/>
    </row>
    <row r="72">
      <c r="A72" s="923" t="s">
        <v>1072</v>
      </c>
      <c r="B72" s="95" t="s">
        <v>1038</v>
      </c>
      <c r="C72" s="922"/>
    </row>
    <row r="73">
      <c r="A73" s="923" t="s">
        <v>1073</v>
      </c>
      <c r="B73" s="95" t="s">
        <v>1038</v>
      </c>
      <c r="C73" s="922"/>
    </row>
    <row r="74">
      <c r="A74" s="923" t="s">
        <v>1074</v>
      </c>
      <c r="B74" s="95" t="s">
        <v>1038</v>
      </c>
      <c r="C74" s="922"/>
    </row>
    <row r="75">
      <c r="A75" s="923" t="s">
        <v>1075</v>
      </c>
      <c r="B75" s="95" t="s">
        <v>1038</v>
      </c>
      <c r="C75" s="922"/>
    </row>
    <row r="76">
      <c r="A76" s="923" t="s">
        <v>1076</v>
      </c>
      <c r="B76" s="95" t="s">
        <v>1038</v>
      </c>
      <c r="C76" s="922"/>
    </row>
    <row r="77">
      <c r="A77" s="923" t="s">
        <v>1077</v>
      </c>
      <c r="B77" s="95" t="s">
        <v>1038</v>
      </c>
      <c r="C77" s="922"/>
    </row>
    <row r="78">
      <c r="A78" s="923" t="s">
        <v>1078</v>
      </c>
      <c r="B78" s="95" t="s">
        <v>1038</v>
      </c>
      <c r="C78" s="922"/>
    </row>
    <row r="79">
      <c r="A79" s="923" t="s">
        <v>1079</v>
      </c>
      <c r="B79" s="95" t="s">
        <v>1038</v>
      </c>
      <c r="C79" s="922"/>
    </row>
    <row r="80">
      <c r="A80" s="923" t="s">
        <v>1080</v>
      </c>
      <c r="B80" s="95" t="s">
        <v>1038</v>
      </c>
      <c r="C80" s="922"/>
    </row>
    <row r="81">
      <c r="A81" s="924"/>
      <c r="C81" s="922"/>
    </row>
    <row r="82">
      <c r="A82" s="921" t="s">
        <v>1081</v>
      </c>
    </row>
    <row r="83">
      <c r="A83" s="923" t="s">
        <v>1082</v>
      </c>
      <c r="B83" s="95" t="s">
        <v>1030</v>
      </c>
      <c r="C83" s="925">
        <v>45998.0</v>
      </c>
    </row>
    <row r="84">
      <c r="A84" s="923" t="s">
        <v>1083</v>
      </c>
      <c r="B84" s="95" t="s">
        <v>1038</v>
      </c>
      <c r="C84" s="922"/>
    </row>
    <row r="85">
      <c r="A85" s="923" t="s">
        <v>1084</v>
      </c>
      <c r="B85" s="95" t="s">
        <v>1038</v>
      </c>
      <c r="C85" s="922"/>
    </row>
    <row r="86">
      <c r="A86" s="923" t="s">
        <v>1085</v>
      </c>
      <c r="B86" s="95" t="s">
        <v>1038</v>
      </c>
      <c r="C86" s="922"/>
    </row>
    <row r="87">
      <c r="A87" s="923" t="s">
        <v>1086</v>
      </c>
      <c r="B87" s="95" t="s">
        <v>1038</v>
      </c>
      <c r="C87" s="922"/>
    </row>
    <row r="88">
      <c r="A88" s="923" t="s">
        <v>1087</v>
      </c>
      <c r="B88" s="95" t="s">
        <v>1024</v>
      </c>
      <c r="C88" s="922"/>
    </row>
    <row r="89">
      <c r="A89" s="923" t="s">
        <v>1088</v>
      </c>
      <c r="B89" s="95" t="s">
        <v>1038</v>
      </c>
      <c r="C89" s="922"/>
    </row>
    <row r="90">
      <c r="A90" s="923" t="s">
        <v>1089</v>
      </c>
      <c r="B90" s="95" t="s">
        <v>1038</v>
      </c>
      <c r="C90" s="922"/>
    </row>
    <row r="91">
      <c r="A91" s="923"/>
      <c r="B91" s="400"/>
      <c r="C91" s="922"/>
    </row>
    <row r="92">
      <c r="A92" s="924"/>
      <c r="C92" s="922"/>
    </row>
    <row r="93">
      <c r="A93" s="924"/>
      <c r="C93" s="922"/>
    </row>
    <row r="94">
      <c r="A94" s="924"/>
      <c r="C94" s="922"/>
    </row>
    <row r="95">
      <c r="A95" s="924"/>
      <c r="C95" s="922"/>
    </row>
    <row r="96">
      <c r="A96" s="924"/>
      <c r="C96" s="922"/>
    </row>
    <row r="97">
      <c r="C97" s="922"/>
    </row>
    <row r="98" hidden="1">
      <c r="C98" s="922"/>
    </row>
    <row r="99" hidden="1">
      <c r="C99" s="922"/>
    </row>
    <row r="100" hidden="1">
      <c r="C100" s="922"/>
    </row>
    <row r="101" hidden="1">
      <c r="C101" s="922"/>
    </row>
    <row r="102" hidden="1">
      <c r="C102" s="922"/>
    </row>
    <row r="103" hidden="1">
      <c r="C103" s="922"/>
    </row>
    <row r="104" hidden="1">
      <c r="C104" s="922"/>
    </row>
    <row r="105" hidden="1">
      <c r="C105" s="922"/>
    </row>
    <row r="106" hidden="1">
      <c r="C106" s="922"/>
    </row>
    <row r="107" hidden="1">
      <c r="C107" s="922"/>
    </row>
    <row r="108" hidden="1">
      <c r="C108" s="922"/>
    </row>
    <row r="109" hidden="1">
      <c r="C109" s="922"/>
    </row>
    <row r="110" hidden="1">
      <c r="C110" s="922"/>
    </row>
    <row r="111" hidden="1">
      <c r="C111" s="922"/>
    </row>
    <row r="112" hidden="1">
      <c r="C112" s="922"/>
    </row>
    <row r="113" hidden="1">
      <c r="C113" s="922"/>
    </row>
    <row r="114" hidden="1">
      <c r="C114" s="922"/>
    </row>
    <row r="115" hidden="1">
      <c r="C115" s="922"/>
    </row>
    <row r="116" hidden="1">
      <c r="C116" s="922"/>
    </row>
    <row r="117" hidden="1">
      <c r="C117" s="922"/>
    </row>
    <row r="118" hidden="1">
      <c r="C118" s="922"/>
    </row>
    <row r="119" hidden="1">
      <c r="C119" s="922"/>
    </row>
    <row r="120" hidden="1">
      <c r="C120" s="922"/>
    </row>
    <row r="121" hidden="1">
      <c r="C121" s="922"/>
    </row>
    <row r="122" hidden="1">
      <c r="C122" s="922"/>
    </row>
    <row r="123" hidden="1">
      <c r="C123" s="922"/>
    </row>
    <row r="124" hidden="1">
      <c r="C124" s="922"/>
    </row>
    <row r="125" hidden="1">
      <c r="C125" s="922"/>
    </row>
    <row r="126" hidden="1">
      <c r="C126" s="922"/>
    </row>
    <row r="127" hidden="1">
      <c r="C127" s="922"/>
    </row>
    <row r="128" hidden="1">
      <c r="C128" s="922"/>
    </row>
    <row r="129" hidden="1">
      <c r="C129" s="922"/>
    </row>
    <row r="130" hidden="1">
      <c r="C130" s="922"/>
    </row>
    <row r="131" hidden="1">
      <c r="C131" s="922"/>
    </row>
    <row r="132" hidden="1">
      <c r="C132" s="922"/>
    </row>
    <row r="133" hidden="1">
      <c r="C133" s="922"/>
    </row>
    <row r="134" hidden="1">
      <c r="C134" s="922"/>
    </row>
    <row r="135" hidden="1">
      <c r="C135" s="922"/>
    </row>
    <row r="136" hidden="1">
      <c r="C136" s="922"/>
    </row>
    <row r="137" hidden="1">
      <c r="C137" s="922"/>
    </row>
    <row r="138" hidden="1">
      <c r="C138" s="922"/>
    </row>
    <row r="139" hidden="1">
      <c r="C139" s="922"/>
    </row>
    <row r="140" hidden="1">
      <c r="C140" s="922"/>
    </row>
    <row r="141" hidden="1">
      <c r="C141" s="922"/>
    </row>
    <row r="142" hidden="1">
      <c r="C142" s="922"/>
    </row>
    <row r="143" hidden="1">
      <c r="C143" s="922"/>
    </row>
    <row r="144" hidden="1">
      <c r="C144" s="922"/>
    </row>
    <row r="145" hidden="1">
      <c r="C145" s="922"/>
    </row>
    <row r="146" hidden="1">
      <c r="C146" s="922"/>
    </row>
    <row r="147" hidden="1">
      <c r="C147" s="922"/>
    </row>
    <row r="148" hidden="1">
      <c r="C148" s="922"/>
    </row>
    <row r="149" hidden="1">
      <c r="C149" s="922"/>
    </row>
    <row r="150" hidden="1">
      <c r="C150" s="922"/>
    </row>
    <row r="151" hidden="1">
      <c r="C151" s="922"/>
    </row>
    <row r="152" hidden="1">
      <c r="C152" s="922"/>
    </row>
    <row r="153" hidden="1">
      <c r="C153" s="922"/>
    </row>
    <row r="154" hidden="1">
      <c r="C154" s="922"/>
    </row>
    <row r="155" hidden="1">
      <c r="C155" s="922"/>
    </row>
    <row r="156" hidden="1">
      <c r="C156" s="922"/>
    </row>
    <row r="157" hidden="1">
      <c r="C157" s="922"/>
    </row>
    <row r="158" hidden="1">
      <c r="C158" s="922"/>
    </row>
    <row r="159" hidden="1">
      <c r="C159" s="922"/>
    </row>
    <row r="160" hidden="1">
      <c r="C160" s="922"/>
    </row>
    <row r="161" hidden="1">
      <c r="C161" s="922"/>
    </row>
    <row r="162" hidden="1">
      <c r="C162" s="922"/>
    </row>
    <row r="163" hidden="1">
      <c r="C163" s="922"/>
    </row>
    <row r="164" hidden="1">
      <c r="C164" s="922"/>
    </row>
    <row r="165" hidden="1">
      <c r="C165" s="922"/>
    </row>
    <row r="166" hidden="1">
      <c r="C166" s="922"/>
    </row>
    <row r="167" hidden="1">
      <c r="C167" s="922"/>
    </row>
    <row r="168" hidden="1">
      <c r="C168" s="922"/>
    </row>
    <row r="169" hidden="1">
      <c r="C169" s="922"/>
    </row>
    <row r="170" hidden="1">
      <c r="C170" s="922"/>
    </row>
    <row r="171" hidden="1">
      <c r="C171" s="922"/>
    </row>
    <row r="172" hidden="1">
      <c r="C172" s="922"/>
    </row>
    <row r="173" hidden="1">
      <c r="C173" s="922"/>
    </row>
    <row r="174" hidden="1">
      <c r="C174" s="922"/>
    </row>
    <row r="175" hidden="1">
      <c r="C175" s="922"/>
    </row>
    <row r="176" hidden="1">
      <c r="C176" s="922"/>
    </row>
    <row r="177" hidden="1">
      <c r="C177" s="922"/>
    </row>
    <row r="178" hidden="1">
      <c r="C178" s="922"/>
    </row>
    <row r="179" hidden="1">
      <c r="C179" s="922"/>
    </row>
    <row r="180" hidden="1">
      <c r="C180" s="922"/>
    </row>
    <row r="181" hidden="1">
      <c r="C181" s="922"/>
    </row>
    <row r="182" hidden="1">
      <c r="C182" s="922"/>
    </row>
    <row r="183" hidden="1">
      <c r="C183" s="922"/>
    </row>
    <row r="184" hidden="1">
      <c r="C184" s="922"/>
    </row>
    <row r="185" hidden="1">
      <c r="C185" s="922"/>
    </row>
    <row r="186" hidden="1">
      <c r="C186" s="922"/>
    </row>
    <row r="187" hidden="1">
      <c r="C187" s="922"/>
    </row>
    <row r="188" hidden="1">
      <c r="C188" s="922"/>
    </row>
    <row r="189" hidden="1">
      <c r="C189" s="922"/>
    </row>
    <row r="190" hidden="1">
      <c r="C190" s="922"/>
    </row>
    <row r="191" hidden="1">
      <c r="C191" s="922"/>
    </row>
    <row r="192" hidden="1">
      <c r="C192" s="922"/>
    </row>
    <row r="193" hidden="1">
      <c r="C193" s="922"/>
    </row>
    <row r="194" hidden="1">
      <c r="C194" s="922"/>
    </row>
    <row r="195" hidden="1">
      <c r="C195" s="922"/>
    </row>
    <row r="196" hidden="1">
      <c r="C196" s="922"/>
    </row>
    <row r="197" hidden="1">
      <c r="C197" s="922"/>
    </row>
    <row r="198" hidden="1">
      <c r="C198" s="922"/>
    </row>
    <row r="199" hidden="1">
      <c r="C199" s="922"/>
    </row>
    <row r="200" hidden="1">
      <c r="C200" s="922"/>
    </row>
    <row r="201" hidden="1">
      <c r="C201" s="922"/>
    </row>
    <row r="202" hidden="1">
      <c r="C202" s="922"/>
    </row>
    <row r="203" hidden="1">
      <c r="C203" s="922"/>
    </row>
    <row r="204" hidden="1">
      <c r="C204" s="922"/>
    </row>
    <row r="205" hidden="1">
      <c r="C205" s="922"/>
    </row>
    <row r="206" hidden="1">
      <c r="C206" s="922"/>
    </row>
    <row r="207" hidden="1">
      <c r="C207" s="922"/>
    </row>
    <row r="208" hidden="1">
      <c r="C208" s="922"/>
    </row>
    <row r="209" hidden="1">
      <c r="C209" s="922"/>
    </row>
    <row r="210" hidden="1">
      <c r="C210" s="922"/>
    </row>
    <row r="211" hidden="1">
      <c r="C211" s="922"/>
    </row>
    <row r="212" hidden="1">
      <c r="C212" s="922"/>
    </row>
    <row r="213" hidden="1">
      <c r="C213" s="922"/>
    </row>
    <row r="214" hidden="1">
      <c r="C214" s="922"/>
    </row>
    <row r="215" hidden="1">
      <c r="C215" s="922"/>
    </row>
    <row r="216" hidden="1">
      <c r="C216" s="922"/>
    </row>
    <row r="217" hidden="1">
      <c r="C217" s="922"/>
    </row>
    <row r="218" hidden="1">
      <c r="C218" s="922"/>
    </row>
    <row r="219" hidden="1">
      <c r="C219" s="922"/>
    </row>
    <row r="220" hidden="1">
      <c r="C220" s="922"/>
    </row>
    <row r="221" hidden="1">
      <c r="C221" s="922"/>
    </row>
    <row r="222" hidden="1">
      <c r="C222" s="922"/>
    </row>
    <row r="223" hidden="1">
      <c r="C223" s="922"/>
    </row>
    <row r="224" hidden="1">
      <c r="C224" s="922"/>
    </row>
    <row r="225" hidden="1">
      <c r="C225" s="922"/>
    </row>
    <row r="226" hidden="1">
      <c r="C226" s="922"/>
    </row>
    <row r="227" hidden="1">
      <c r="C227" s="922"/>
    </row>
    <row r="228" hidden="1">
      <c r="C228" s="922"/>
    </row>
    <row r="229" hidden="1">
      <c r="C229" s="922"/>
    </row>
    <row r="230" hidden="1">
      <c r="C230" s="922"/>
    </row>
    <row r="231" hidden="1">
      <c r="C231" s="922"/>
    </row>
    <row r="232" hidden="1">
      <c r="C232" s="922"/>
    </row>
    <row r="233" hidden="1">
      <c r="C233" s="922"/>
    </row>
    <row r="234" hidden="1">
      <c r="C234" s="922"/>
    </row>
    <row r="235" hidden="1">
      <c r="C235" s="922"/>
    </row>
    <row r="236" hidden="1">
      <c r="C236" s="922"/>
    </row>
    <row r="237" hidden="1">
      <c r="C237" s="922"/>
    </row>
    <row r="238" hidden="1">
      <c r="C238" s="922"/>
    </row>
    <row r="239" hidden="1">
      <c r="C239" s="922"/>
    </row>
    <row r="240" hidden="1">
      <c r="C240" s="922"/>
    </row>
    <row r="241" hidden="1">
      <c r="C241" s="922"/>
    </row>
    <row r="242" hidden="1">
      <c r="C242" s="922"/>
    </row>
    <row r="243" hidden="1">
      <c r="C243" s="922"/>
    </row>
    <row r="244" hidden="1">
      <c r="C244" s="922"/>
    </row>
    <row r="245" hidden="1">
      <c r="C245" s="922"/>
    </row>
    <row r="246" hidden="1">
      <c r="C246" s="922"/>
    </row>
    <row r="247" hidden="1">
      <c r="C247" s="922"/>
    </row>
    <row r="248" hidden="1">
      <c r="C248" s="922"/>
    </row>
    <row r="249" hidden="1">
      <c r="C249" s="922"/>
    </row>
    <row r="250" hidden="1">
      <c r="C250" s="922"/>
    </row>
    <row r="251" hidden="1">
      <c r="C251" s="922"/>
    </row>
    <row r="252" hidden="1">
      <c r="C252" s="922"/>
    </row>
    <row r="253" hidden="1">
      <c r="C253" s="922"/>
    </row>
    <row r="254" hidden="1">
      <c r="C254" s="922"/>
    </row>
    <row r="255" hidden="1">
      <c r="C255" s="922"/>
    </row>
    <row r="256" hidden="1">
      <c r="C256" s="922"/>
    </row>
    <row r="257" hidden="1">
      <c r="C257" s="922"/>
    </row>
    <row r="258" hidden="1">
      <c r="C258" s="922"/>
    </row>
    <row r="259" hidden="1">
      <c r="C259" s="922"/>
    </row>
    <row r="260" hidden="1">
      <c r="C260" s="922"/>
    </row>
    <row r="261" hidden="1">
      <c r="C261" s="922"/>
    </row>
    <row r="262" hidden="1">
      <c r="C262" s="922"/>
    </row>
    <row r="263" hidden="1">
      <c r="C263" s="922"/>
    </row>
    <row r="264" hidden="1">
      <c r="C264" s="922"/>
    </row>
    <row r="265" hidden="1">
      <c r="C265" s="922"/>
    </row>
    <row r="266" hidden="1">
      <c r="C266" s="922"/>
    </row>
    <row r="267" hidden="1">
      <c r="C267" s="922"/>
    </row>
    <row r="268" hidden="1">
      <c r="C268" s="922"/>
    </row>
    <row r="269" hidden="1">
      <c r="C269" s="922"/>
    </row>
    <row r="270" hidden="1">
      <c r="C270" s="922"/>
    </row>
    <row r="271" hidden="1">
      <c r="C271" s="922"/>
    </row>
    <row r="272" hidden="1">
      <c r="C272" s="922"/>
    </row>
    <row r="273" hidden="1">
      <c r="C273" s="922"/>
    </row>
    <row r="274" hidden="1">
      <c r="C274" s="922"/>
    </row>
    <row r="275" hidden="1">
      <c r="C275" s="922"/>
    </row>
    <row r="276" hidden="1">
      <c r="C276" s="922"/>
    </row>
    <row r="277" hidden="1">
      <c r="C277" s="922"/>
    </row>
    <row r="278" hidden="1">
      <c r="C278" s="922"/>
    </row>
    <row r="279" hidden="1">
      <c r="C279" s="922"/>
    </row>
    <row r="280" hidden="1">
      <c r="C280" s="922"/>
    </row>
    <row r="281" hidden="1">
      <c r="C281" s="922"/>
    </row>
    <row r="282" hidden="1">
      <c r="C282" s="922"/>
    </row>
    <row r="283" hidden="1">
      <c r="C283" s="922"/>
    </row>
    <row r="284" hidden="1">
      <c r="C284" s="922"/>
    </row>
    <row r="285" hidden="1">
      <c r="C285" s="922"/>
    </row>
    <row r="286" hidden="1">
      <c r="C286" s="922"/>
    </row>
    <row r="287" hidden="1">
      <c r="C287" s="922"/>
    </row>
    <row r="288" hidden="1">
      <c r="C288" s="922"/>
    </row>
    <row r="289" hidden="1">
      <c r="C289" s="922"/>
    </row>
    <row r="290" hidden="1">
      <c r="C290" s="922"/>
    </row>
    <row r="291" hidden="1">
      <c r="C291" s="922"/>
    </row>
    <row r="292" hidden="1">
      <c r="C292" s="922"/>
    </row>
    <row r="293" hidden="1">
      <c r="C293" s="922"/>
    </row>
    <row r="294" hidden="1">
      <c r="C294" s="922"/>
    </row>
    <row r="295" hidden="1">
      <c r="C295" s="922"/>
    </row>
    <row r="296" hidden="1">
      <c r="C296" s="922"/>
    </row>
    <row r="297" hidden="1">
      <c r="C297" s="922"/>
    </row>
    <row r="298" hidden="1">
      <c r="C298" s="922"/>
    </row>
    <row r="299" hidden="1">
      <c r="C299" s="922"/>
    </row>
    <row r="300" hidden="1">
      <c r="C300" s="922"/>
    </row>
    <row r="301" hidden="1">
      <c r="C301" s="922"/>
    </row>
    <row r="302" hidden="1">
      <c r="C302" s="922"/>
    </row>
    <row r="303" hidden="1">
      <c r="C303" s="922"/>
    </row>
    <row r="304" hidden="1">
      <c r="C304" s="922"/>
    </row>
    <row r="305" hidden="1">
      <c r="C305" s="922"/>
    </row>
    <row r="306" hidden="1">
      <c r="C306" s="922"/>
    </row>
    <row r="307" hidden="1">
      <c r="C307" s="922"/>
    </row>
    <row r="308" hidden="1">
      <c r="C308" s="922"/>
    </row>
    <row r="309" hidden="1">
      <c r="C309" s="922"/>
    </row>
    <row r="310" hidden="1">
      <c r="C310" s="922"/>
    </row>
    <row r="311" hidden="1">
      <c r="C311" s="922"/>
    </row>
    <row r="312" hidden="1">
      <c r="C312" s="922"/>
    </row>
    <row r="313" hidden="1">
      <c r="C313" s="922"/>
    </row>
    <row r="314" hidden="1">
      <c r="C314" s="922"/>
    </row>
    <row r="315" hidden="1">
      <c r="C315" s="922"/>
    </row>
    <row r="316" hidden="1">
      <c r="C316" s="922"/>
    </row>
    <row r="317" hidden="1">
      <c r="C317" s="922"/>
    </row>
    <row r="318" hidden="1">
      <c r="C318" s="922"/>
    </row>
    <row r="319" hidden="1">
      <c r="C319" s="922"/>
    </row>
    <row r="320" hidden="1">
      <c r="C320" s="922"/>
    </row>
    <row r="321" hidden="1">
      <c r="C321" s="922"/>
    </row>
    <row r="322" hidden="1">
      <c r="C322" s="922"/>
    </row>
    <row r="323" hidden="1">
      <c r="C323" s="922"/>
    </row>
    <row r="324" hidden="1">
      <c r="C324" s="922"/>
    </row>
    <row r="325" hidden="1">
      <c r="C325" s="922"/>
    </row>
    <row r="326" hidden="1">
      <c r="C326" s="922"/>
    </row>
    <row r="327" hidden="1">
      <c r="C327" s="922"/>
    </row>
    <row r="328" hidden="1">
      <c r="C328" s="922"/>
    </row>
    <row r="329" hidden="1">
      <c r="C329" s="922"/>
    </row>
    <row r="330" hidden="1">
      <c r="C330" s="922"/>
    </row>
    <row r="331" hidden="1">
      <c r="C331" s="922"/>
    </row>
    <row r="332" hidden="1">
      <c r="C332" s="922"/>
    </row>
    <row r="333" hidden="1">
      <c r="C333" s="922"/>
    </row>
    <row r="334" hidden="1">
      <c r="C334" s="922"/>
    </row>
    <row r="335" hidden="1">
      <c r="C335" s="922"/>
    </row>
    <row r="336" hidden="1">
      <c r="C336" s="922"/>
    </row>
    <row r="337" hidden="1">
      <c r="C337" s="922"/>
    </row>
    <row r="338" hidden="1">
      <c r="C338" s="922"/>
    </row>
    <row r="339" hidden="1">
      <c r="C339" s="922"/>
    </row>
    <row r="340" hidden="1">
      <c r="C340" s="922"/>
    </row>
    <row r="341" hidden="1">
      <c r="C341" s="922"/>
    </row>
    <row r="342" hidden="1">
      <c r="C342" s="922"/>
    </row>
    <row r="343" hidden="1">
      <c r="C343" s="922"/>
    </row>
    <row r="344" hidden="1">
      <c r="C344" s="922"/>
    </row>
    <row r="345" hidden="1">
      <c r="C345" s="922"/>
    </row>
    <row r="346" hidden="1">
      <c r="C346" s="922"/>
    </row>
    <row r="347" hidden="1">
      <c r="C347" s="922"/>
    </row>
    <row r="348" hidden="1">
      <c r="C348" s="922"/>
    </row>
    <row r="349" hidden="1">
      <c r="C349" s="922"/>
    </row>
    <row r="350" hidden="1">
      <c r="C350" s="922"/>
    </row>
    <row r="351" hidden="1">
      <c r="C351" s="922"/>
    </row>
    <row r="352" hidden="1">
      <c r="C352" s="922"/>
    </row>
    <row r="353" hidden="1">
      <c r="C353" s="922"/>
    </row>
    <row r="354" hidden="1">
      <c r="C354" s="922"/>
    </row>
    <row r="355" hidden="1">
      <c r="C355" s="922"/>
    </row>
    <row r="356" hidden="1">
      <c r="C356" s="922"/>
    </row>
    <row r="357" hidden="1">
      <c r="C357" s="922"/>
    </row>
    <row r="358" hidden="1">
      <c r="C358" s="922"/>
    </row>
    <row r="359" hidden="1">
      <c r="C359" s="922"/>
    </row>
    <row r="360" hidden="1">
      <c r="C360" s="922"/>
    </row>
    <row r="361" hidden="1">
      <c r="C361" s="922"/>
    </row>
    <row r="362" hidden="1">
      <c r="C362" s="922"/>
    </row>
    <row r="363" hidden="1">
      <c r="C363" s="922"/>
    </row>
    <row r="364" hidden="1">
      <c r="C364" s="922"/>
    </row>
    <row r="365" hidden="1">
      <c r="C365" s="922"/>
    </row>
    <row r="366" hidden="1">
      <c r="C366" s="922"/>
    </row>
    <row r="367" hidden="1">
      <c r="C367" s="922"/>
    </row>
    <row r="368" hidden="1">
      <c r="C368" s="922"/>
    </row>
    <row r="369" hidden="1">
      <c r="C369" s="922"/>
    </row>
    <row r="370" hidden="1">
      <c r="C370" s="922"/>
    </row>
    <row r="371" hidden="1">
      <c r="C371" s="922"/>
    </row>
    <row r="372" hidden="1">
      <c r="C372" s="922"/>
    </row>
    <row r="373" hidden="1">
      <c r="C373" s="922"/>
    </row>
    <row r="374" hidden="1">
      <c r="C374" s="922"/>
    </row>
    <row r="375" hidden="1">
      <c r="C375" s="922"/>
    </row>
    <row r="376" hidden="1">
      <c r="C376" s="922"/>
    </row>
    <row r="377" hidden="1">
      <c r="C377" s="922"/>
    </row>
    <row r="378" hidden="1">
      <c r="C378" s="922"/>
    </row>
    <row r="379" hidden="1">
      <c r="C379" s="922"/>
    </row>
    <row r="380" hidden="1">
      <c r="C380" s="922"/>
    </row>
    <row r="381" hidden="1">
      <c r="C381" s="922"/>
    </row>
    <row r="382" hidden="1">
      <c r="C382" s="922"/>
    </row>
    <row r="383" hidden="1">
      <c r="C383" s="922"/>
    </row>
    <row r="384" hidden="1">
      <c r="C384" s="922"/>
    </row>
    <row r="385" hidden="1">
      <c r="C385" s="922"/>
    </row>
    <row r="386" hidden="1">
      <c r="C386" s="922"/>
    </row>
    <row r="387" hidden="1">
      <c r="C387" s="922"/>
    </row>
    <row r="388" hidden="1">
      <c r="C388" s="922"/>
    </row>
    <row r="389" hidden="1">
      <c r="C389" s="922"/>
    </row>
    <row r="390" hidden="1">
      <c r="C390" s="922"/>
    </row>
    <row r="391" hidden="1">
      <c r="C391" s="922"/>
    </row>
    <row r="392" hidden="1">
      <c r="C392" s="922"/>
    </row>
    <row r="393" hidden="1">
      <c r="C393" s="922"/>
    </row>
    <row r="394" hidden="1">
      <c r="C394" s="922"/>
    </row>
    <row r="395" hidden="1">
      <c r="C395" s="922"/>
    </row>
    <row r="396" hidden="1">
      <c r="C396" s="922"/>
    </row>
    <row r="397" hidden="1">
      <c r="C397" s="922"/>
    </row>
    <row r="398" hidden="1">
      <c r="C398" s="922"/>
    </row>
    <row r="399" hidden="1">
      <c r="C399" s="922"/>
    </row>
    <row r="400" hidden="1">
      <c r="C400" s="922"/>
    </row>
    <row r="401" hidden="1">
      <c r="C401" s="922"/>
    </row>
    <row r="402" hidden="1">
      <c r="C402" s="922"/>
    </row>
    <row r="403" hidden="1">
      <c r="C403" s="922"/>
    </row>
    <row r="404" hidden="1">
      <c r="C404" s="922"/>
    </row>
    <row r="405" hidden="1">
      <c r="C405" s="922"/>
    </row>
    <row r="406" hidden="1">
      <c r="C406" s="922"/>
    </row>
    <row r="407" hidden="1">
      <c r="C407" s="922"/>
    </row>
    <row r="408" hidden="1">
      <c r="C408" s="922"/>
    </row>
    <row r="409" hidden="1">
      <c r="C409" s="922"/>
    </row>
    <row r="410" hidden="1">
      <c r="C410" s="922"/>
    </row>
    <row r="411" hidden="1">
      <c r="C411" s="922"/>
    </row>
    <row r="412" hidden="1">
      <c r="C412" s="922"/>
    </row>
    <row r="413" hidden="1">
      <c r="C413" s="922"/>
    </row>
    <row r="414" hidden="1">
      <c r="C414" s="922"/>
    </row>
    <row r="415" hidden="1">
      <c r="C415" s="922"/>
    </row>
    <row r="416" hidden="1">
      <c r="C416" s="922"/>
    </row>
    <row r="417" hidden="1">
      <c r="C417" s="922"/>
    </row>
    <row r="418" hidden="1">
      <c r="C418" s="922"/>
    </row>
    <row r="419" hidden="1">
      <c r="C419" s="922"/>
    </row>
    <row r="420" hidden="1">
      <c r="C420" s="922"/>
    </row>
    <row r="421" hidden="1">
      <c r="C421" s="922"/>
    </row>
    <row r="422" hidden="1">
      <c r="C422" s="922"/>
    </row>
    <row r="423" hidden="1">
      <c r="C423" s="922"/>
    </row>
    <row r="424" hidden="1">
      <c r="C424" s="922"/>
    </row>
    <row r="425" hidden="1">
      <c r="C425" s="922"/>
    </row>
    <row r="426" hidden="1">
      <c r="C426" s="922"/>
    </row>
    <row r="427" hidden="1">
      <c r="C427" s="922"/>
    </row>
    <row r="428" hidden="1">
      <c r="C428" s="922"/>
    </row>
    <row r="429" hidden="1">
      <c r="C429" s="922"/>
    </row>
    <row r="430" hidden="1">
      <c r="C430" s="922"/>
    </row>
    <row r="431" hidden="1">
      <c r="C431" s="922"/>
    </row>
    <row r="432" hidden="1">
      <c r="C432" s="922"/>
    </row>
    <row r="433" hidden="1">
      <c r="C433" s="922"/>
    </row>
    <row r="434" hidden="1">
      <c r="C434" s="922"/>
    </row>
    <row r="435" hidden="1">
      <c r="C435" s="922"/>
    </row>
    <row r="436" hidden="1">
      <c r="C436" s="922"/>
    </row>
    <row r="437" hidden="1">
      <c r="C437" s="922"/>
    </row>
    <row r="438" hidden="1">
      <c r="C438" s="922"/>
    </row>
    <row r="439" hidden="1">
      <c r="C439" s="922"/>
    </row>
    <row r="440" hidden="1">
      <c r="C440" s="922"/>
    </row>
    <row r="441" hidden="1">
      <c r="C441" s="922"/>
    </row>
    <row r="442" hidden="1">
      <c r="C442" s="922"/>
    </row>
    <row r="443" hidden="1">
      <c r="C443" s="922"/>
    </row>
    <row r="444" hidden="1">
      <c r="C444" s="922"/>
    </row>
    <row r="445" hidden="1">
      <c r="C445" s="922"/>
    </row>
    <row r="446" hidden="1">
      <c r="C446" s="922"/>
    </row>
    <row r="447" hidden="1">
      <c r="C447" s="922"/>
    </row>
    <row r="448" hidden="1">
      <c r="C448" s="922"/>
    </row>
    <row r="449" hidden="1">
      <c r="C449" s="922"/>
    </row>
    <row r="450" hidden="1">
      <c r="C450" s="922"/>
    </row>
    <row r="451" hidden="1">
      <c r="C451" s="922"/>
    </row>
    <row r="452" hidden="1">
      <c r="C452" s="922"/>
    </row>
    <row r="453" hidden="1">
      <c r="C453" s="922"/>
    </row>
    <row r="454" hidden="1">
      <c r="C454" s="922"/>
    </row>
    <row r="455" hidden="1">
      <c r="C455" s="922"/>
    </row>
    <row r="456" hidden="1">
      <c r="C456" s="922"/>
    </row>
    <row r="457" hidden="1">
      <c r="C457" s="922"/>
    </row>
    <row r="458" hidden="1">
      <c r="C458" s="922"/>
    </row>
    <row r="459" hidden="1">
      <c r="C459" s="922"/>
    </row>
    <row r="460" hidden="1">
      <c r="C460" s="922"/>
    </row>
    <row r="461" hidden="1">
      <c r="C461" s="922"/>
    </row>
    <row r="462" hidden="1">
      <c r="C462" s="922"/>
    </row>
    <row r="463" hidden="1">
      <c r="C463" s="922"/>
    </row>
    <row r="464" hidden="1">
      <c r="C464" s="922"/>
    </row>
    <row r="465" hidden="1">
      <c r="C465" s="922"/>
    </row>
    <row r="466" hidden="1">
      <c r="C466" s="922"/>
    </row>
    <row r="467" hidden="1">
      <c r="C467" s="922"/>
    </row>
    <row r="468" hidden="1">
      <c r="C468" s="922"/>
    </row>
    <row r="469" hidden="1">
      <c r="C469" s="922"/>
    </row>
    <row r="470" hidden="1">
      <c r="C470" s="922"/>
    </row>
    <row r="471" hidden="1">
      <c r="C471" s="922"/>
    </row>
    <row r="472" hidden="1">
      <c r="C472" s="922"/>
    </row>
    <row r="473" hidden="1">
      <c r="C473" s="922"/>
    </row>
    <row r="474" hidden="1">
      <c r="C474" s="922"/>
    </row>
    <row r="475" hidden="1">
      <c r="C475" s="922"/>
    </row>
    <row r="476" hidden="1">
      <c r="C476" s="922"/>
    </row>
    <row r="477" hidden="1">
      <c r="C477" s="922"/>
    </row>
    <row r="478" hidden="1">
      <c r="C478" s="922"/>
    </row>
    <row r="479" hidden="1">
      <c r="C479" s="922"/>
    </row>
    <row r="480" hidden="1">
      <c r="C480" s="922"/>
    </row>
    <row r="481" hidden="1">
      <c r="C481" s="922"/>
    </row>
    <row r="482" hidden="1">
      <c r="C482" s="922"/>
    </row>
    <row r="483" hidden="1">
      <c r="C483" s="922"/>
    </row>
    <row r="484" hidden="1">
      <c r="C484" s="922"/>
    </row>
    <row r="485" hidden="1">
      <c r="C485" s="922"/>
    </row>
    <row r="486" hidden="1">
      <c r="C486" s="922"/>
    </row>
    <row r="487" hidden="1">
      <c r="C487" s="922"/>
    </row>
    <row r="488" hidden="1">
      <c r="C488" s="922"/>
    </row>
    <row r="489" hidden="1">
      <c r="C489" s="922"/>
    </row>
    <row r="490" hidden="1">
      <c r="C490" s="922"/>
    </row>
    <row r="491" hidden="1">
      <c r="C491" s="922"/>
    </row>
    <row r="492" hidden="1">
      <c r="C492" s="922"/>
    </row>
    <row r="493" hidden="1">
      <c r="C493" s="922"/>
    </row>
    <row r="494" hidden="1">
      <c r="C494" s="922"/>
    </row>
    <row r="495" hidden="1">
      <c r="C495" s="922"/>
    </row>
    <row r="496" hidden="1">
      <c r="C496" s="922"/>
    </row>
    <row r="497" hidden="1">
      <c r="C497" s="922"/>
    </row>
    <row r="498" hidden="1">
      <c r="C498" s="922"/>
    </row>
    <row r="499" hidden="1">
      <c r="C499" s="922"/>
    </row>
    <row r="500" hidden="1">
      <c r="C500" s="922"/>
    </row>
    <row r="501" hidden="1">
      <c r="C501" s="922"/>
    </row>
    <row r="502" hidden="1">
      <c r="C502" s="922"/>
    </row>
    <row r="503" hidden="1">
      <c r="C503" s="922"/>
    </row>
    <row r="504" hidden="1">
      <c r="C504" s="922"/>
    </row>
    <row r="505" hidden="1">
      <c r="C505" s="922"/>
    </row>
    <row r="506" hidden="1">
      <c r="C506" s="922"/>
    </row>
    <row r="507" hidden="1">
      <c r="C507" s="922"/>
    </row>
    <row r="508" hidden="1">
      <c r="C508" s="922"/>
    </row>
    <row r="509" hidden="1">
      <c r="C509" s="922"/>
    </row>
    <row r="510" hidden="1">
      <c r="C510" s="922"/>
    </row>
    <row r="511" hidden="1">
      <c r="C511" s="922"/>
    </row>
    <row r="512" hidden="1">
      <c r="C512" s="922"/>
    </row>
    <row r="513" hidden="1">
      <c r="C513" s="922"/>
    </row>
    <row r="514" hidden="1">
      <c r="C514" s="922"/>
    </row>
    <row r="515" hidden="1">
      <c r="C515" s="922"/>
    </row>
    <row r="516" hidden="1">
      <c r="C516" s="922"/>
    </row>
    <row r="517" hidden="1">
      <c r="C517" s="922"/>
    </row>
    <row r="518" hidden="1">
      <c r="C518" s="922"/>
    </row>
    <row r="519" hidden="1">
      <c r="C519" s="922"/>
    </row>
    <row r="520" hidden="1">
      <c r="C520" s="922"/>
    </row>
    <row r="521" hidden="1">
      <c r="C521" s="922"/>
    </row>
    <row r="522" hidden="1">
      <c r="C522" s="922"/>
    </row>
    <row r="523" hidden="1">
      <c r="C523" s="922"/>
    </row>
    <row r="524" hidden="1">
      <c r="C524" s="922"/>
    </row>
    <row r="525" hidden="1">
      <c r="C525" s="922"/>
    </row>
    <row r="526" hidden="1">
      <c r="C526" s="922"/>
    </row>
    <row r="527" hidden="1">
      <c r="C527" s="922"/>
    </row>
    <row r="528" hidden="1">
      <c r="C528" s="922"/>
    </row>
    <row r="529" hidden="1">
      <c r="C529" s="922"/>
    </row>
    <row r="530" hidden="1">
      <c r="C530" s="922"/>
    </row>
    <row r="531" hidden="1">
      <c r="C531" s="922"/>
    </row>
    <row r="532" hidden="1">
      <c r="C532" s="922"/>
    </row>
    <row r="533" hidden="1">
      <c r="C533" s="922"/>
    </row>
    <row r="534" hidden="1">
      <c r="C534" s="922"/>
    </row>
    <row r="535" hidden="1">
      <c r="C535" s="922"/>
    </row>
    <row r="536" hidden="1">
      <c r="C536" s="922"/>
    </row>
    <row r="537" hidden="1">
      <c r="C537" s="922"/>
    </row>
    <row r="538" hidden="1">
      <c r="C538" s="922"/>
    </row>
    <row r="539" hidden="1">
      <c r="C539" s="922"/>
    </row>
    <row r="540" hidden="1">
      <c r="C540" s="922"/>
    </row>
    <row r="541" hidden="1">
      <c r="C541" s="922"/>
    </row>
    <row r="542" hidden="1">
      <c r="C542" s="922"/>
    </row>
    <row r="543" hidden="1">
      <c r="C543" s="922"/>
    </row>
    <row r="544" hidden="1">
      <c r="C544" s="922"/>
    </row>
    <row r="545" hidden="1">
      <c r="C545" s="922"/>
    </row>
    <row r="546" hidden="1">
      <c r="C546" s="922"/>
    </row>
    <row r="547" hidden="1">
      <c r="C547" s="922"/>
    </row>
    <row r="548" hidden="1">
      <c r="C548" s="922"/>
    </row>
    <row r="549" hidden="1">
      <c r="C549" s="922"/>
    </row>
    <row r="550" hidden="1">
      <c r="C550" s="922"/>
    </row>
    <row r="551" hidden="1">
      <c r="C551" s="922"/>
    </row>
    <row r="552" hidden="1">
      <c r="C552" s="922"/>
    </row>
    <row r="553" hidden="1">
      <c r="C553" s="922"/>
    </row>
    <row r="554" hidden="1">
      <c r="C554" s="922"/>
    </row>
    <row r="555" hidden="1">
      <c r="C555" s="922"/>
    </row>
    <row r="556" hidden="1">
      <c r="C556" s="922"/>
    </row>
    <row r="557" hidden="1">
      <c r="C557" s="922"/>
    </row>
    <row r="558" hidden="1">
      <c r="C558" s="922"/>
    </row>
    <row r="559" hidden="1">
      <c r="C559" s="922"/>
    </row>
    <row r="560" hidden="1">
      <c r="C560" s="922"/>
    </row>
    <row r="561" hidden="1">
      <c r="C561" s="922"/>
    </row>
    <row r="562" hidden="1">
      <c r="C562" s="922"/>
    </row>
    <row r="563" hidden="1">
      <c r="C563" s="922"/>
    </row>
    <row r="564" hidden="1">
      <c r="C564" s="922"/>
    </row>
    <row r="565" hidden="1">
      <c r="C565" s="922"/>
    </row>
    <row r="566" hidden="1">
      <c r="C566" s="922"/>
    </row>
    <row r="567" hidden="1">
      <c r="C567" s="922"/>
    </row>
    <row r="568" hidden="1">
      <c r="C568" s="922"/>
    </row>
    <row r="569" hidden="1">
      <c r="C569" s="922"/>
    </row>
    <row r="570" hidden="1">
      <c r="C570" s="922"/>
    </row>
    <row r="571" hidden="1">
      <c r="C571" s="922"/>
    </row>
    <row r="572" hidden="1">
      <c r="C572" s="922"/>
    </row>
    <row r="573" hidden="1">
      <c r="C573" s="922"/>
    </row>
    <row r="574" hidden="1">
      <c r="C574" s="922"/>
    </row>
    <row r="575" hidden="1">
      <c r="C575" s="922"/>
    </row>
    <row r="576" hidden="1">
      <c r="C576" s="922"/>
    </row>
    <row r="577" hidden="1">
      <c r="C577" s="922"/>
    </row>
    <row r="578" hidden="1">
      <c r="C578" s="922"/>
    </row>
    <row r="579" hidden="1">
      <c r="C579" s="922"/>
    </row>
    <row r="580" hidden="1">
      <c r="C580" s="922"/>
    </row>
    <row r="581" hidden="1">
      <c r="C581" s="922"/>
    </row>
    <row r="582" hidden="1">
      <c r="C582" s="922"/>
    </row>
    <row r="583" hidden="1">
      <c r="C583" s="922"/>
    </row>
    <row r="584" hidden="1">
      <c r="C584" s="922"/>
    </row>
    <row r="585" hidden="1">
      <c r="C585" s="922"/>
    </row>
    <row r="586" hidden="1">
      <c r="C586" s="922"/>
    </row>
    <row r="587" hidden="1">
      <c r="C587" s="922"/>
    </row>
    <row r="588" hidden="1">
      <c r="C588" s="922"/>
    </row>
    <row r="589" hidden="1">
      <c r="C589" s="922"/>
    </row>
    <row r="590" hidden="1">
      <c r="C590" s="922"/>
    </row>
    <row r="591" hidden="1">
      <c r="C591" s="922"/>
    </row>
    <row r="592" hidden="1">
      <c r="C592" s="922"/>
    </row>
    <row r="593" hidden="1">
      <c r="C593" s="922"/>
    </row>
    <row r="594" hidden="1">
      <c r="C594" s="922"/>
    </row>
    <row r="595" hidden="1">
      <c r="C595" s="922"/>
    </row>
    <row r="596" hidden="1">
      <c r="C596" s="922"/>
    </row>
    <row r="597" hidden="1">
      <c r="C597" s="922"/>
    </row>
    <row r="598" hidden="1">
      <c r="C598" s="922"/>
    </row>
    <row r="599" hidden="1">
      <c r="C599" s="922"/>
    </row>
    <row r="600" hidden="1">
      <c r="C600" s="922"/>
    </row>
    <row r="601" hidden="1">
      <c r="C601" s="922"/>
    </row>
    <row r="602" hidden="1">
      <c r="C602" s="922"/>
    </row>
    <row r="603" hidden="1">
      <c r="C603" s="922"/>
    </row>
    <row r="604" hidden="1">
      <c r="C604" s="922"/>
    </row>
    <row r="605" hidden="1">
      <c r="C605" s="922"/>
    </row>
    <row r="606" hidden="1">
      <c r="C606" s="922"/>
    </row>
    <row r="607" hidden="1">
      <c r="C607" s="922"/>
    </row>
    <row r="608" hidden="1">
      <c r="C608" s="922"/>
    </row>
    <row r="609" hidden="1">
      <c r="C609" s="922"/>
    </row>
    <row r="610" hidden="1">
      <c r="C610" s="922"/>
    </row>
    <row r="611" hidden="1">
      <c r="C611" s="922"/>
    </row>
    <row r="612" hidden="1">
      <c r="C612" s="922"/>
    </row>
    <row r="613" hidden="1">
      <c r="C613" s="922"/>
    </row>
    <row r="614" hidden="1">
      <c r="C614" s="922"/>
    </row>
    <row r="615" hidden="1">
      <c r="C615" s="922"/>
    </row>
    <row r="616" hidden="1">
      <c r="C616" s="922"/>
    </row>
    <row r="617" hidden="1">
      <c r="C617" s="922"/>
    </row>
    <row r="618" hidden="1">
      <c r="C618" s="922"/>
    </row>
    <row r="619" hidden="1">
      <c r="C619" s="922"/>
    </row>
    <row r="620" hidden="1">
      <c r="C620" s="922"/>
    </row>
    <row r="621" hidden="1">
      <c r="C621" s="922"/>
    </row>
    <row r="622" hidden="1">
      <c r="C622" s="922"/>
    </row>
    <row r="623" hidden="1">
      <c r="C623" s="922"/>
    </row>
    <row r="624" hidden="1">
      <c r="C624" s="922"/>
    </row>
    <row r="625" hidden="1">
      <c r="C625" s="922"/>
    </row>
    <row r="626" hidden="1">
      <c r="C626" s="922"/>
    </row>
    <row r="627" hidden="1">
      <c r="C627" s="922"/>
    </row>
    <row r="628" hidden="1">
      <c r="C628" s="922"/>
    </row>
    <row r="629" hidden="1">
      <c r="C629" s="922"/>
    </row>
    <row r="630" hidden="1">
      <c r="C630" s="922"/>
    </row>
    <row r="631" hidden="1">
      <c r="C631" s="922"/>
    </row>
    <row r="632" hidden="1">
      <c r="C632" s="922"/>
    </row>
    <row r="633" hidden="1">
      <c r="C633" s="922"/>
    </row>
    <row r="634" hidden="1">
      <c r="C634" s="922"/>
    </row>
    <row r="635" hidden="1">
      <c r="C635" s="922"/>
    </row>
    <row r="636" hidden="1">
      <c r="C636" s="922"/>
    </row>
    <row r="637" hidden="1">
      <c r="C637" s="922"/>
    </row>
    <row r="638" hidden="1">
      <c r="C638" s="922"/>
    </row>
    <row r="639" hidden="1">
      <c r="C639" s="922"/>
    </row>
    <row r="640" hidden="1">
      <c r="C640" s="922"/>
    </row>
    <row r="641" hidden="1">
      <c r="C641" s="922"/>
    </row>
    <row r="642" hidden="1">
      <c r="C642" s="922"/>
    </row>
    <row r="643" hidden="1">
      <c r="C643" s="922"/>
    </row>
    <row r="644" hidden="1">
      <c r="C644" s="922"/>
    </row>
    <row r="645" hidden="1">
      <c r="C645" s="922"/>
    </row>
    <row r="646" hidden="1">
      <c r="C646" s="922"/>
    </row>
    <row r="647" hidden="1">
      <c r="C647" s="922"/>
    </row>
    <row r="648" hidden="1">
      <c r="C648" s="922"/>
    </row>
    <row r="649" hidden="1">
      <c r="C649" s="922"/>
    </row>
    <row r="650" hidden="1">
      <c r="C650" s="922"/>
    </row>
    <row r="651" hidden="1">
      <c r="C651" s="922"/>
    </row>
    <row r="652" hidden="1">
      <c r="C652" s="922"/>
    </row>
    <row r="653" hidden="1">
      <c r="C653" s="922"/>
    </row>
    <row r="654" hidden="1">
      <c r="C654" s="922"/>
    </row>
    <row r="655" hidden="1">
      <c r="C655" s="922"/>
    </row>
    <row r="656" hidden="1">
      <c r="C656" s="922"/>
    </row>
    <row r="657" hidden="1">
      <c r="C657" s="922"/>
    </row>
    <row r="658" hidden="1">
      <c r="C658" s="922"/>
    </row>
    <row r="659" hidden="1">
      <c r="C659" s="922"/>
    </row>
    <row r="660" hidden="1">
      <c r="C660" s="922"/>
    </row>
    <row r="661" hidden="1">
      <c r="C661" s="922"/>
    </row>
    <row r="662" hidden="1">
      <c r="C662" s="922"/>
    </row>
    <row r="663" hidden="1">
      <c r="C663" s="922"/>
    </row>
    <row r="664" hidden="1">
      <c r="C664" s="922"/>
    </row>
    <row r="665" hidden="1">
      <c r="C665" s="922"/>
    </row>
    <row r="666" hidden="1">
      <c r="C666" s="922"/>
    </row>
    <row r="667" hidden="1">
      <c r="C667" s="922"/>
    </row>
    <row r="668" hidden="1">
      <c r="C668" s="922"/>
    </row>
    <row r="669" hidden="1">
      <c r="C669" s="922"/>
    </row>
    <row r="670" hidden="1">
      <c r="C670" s="922"/>
    </row>
    <row r="671" hidden="1">
      <c r="C671" s="922"/>
    </row>
    <row r="672" hidden="1">
      <c r="C672" s="922"/>
    </row>
    <row r="673" hidden="1">
      <c r="C673" s="922"/>
    </row>
    <row r="674" hidden="1">
      <c r="C674" s="922"/>
    </row>
    <row r="675" hidden="1">
      <c r="C675" s="922"/>
    </row>
    <row r="676" hidden="1">
      <c r="C676" s="922"/>
    </row>
    <row r="677" hidden="1">
      <c r="C677" s="922"/>
    </row>
    <row r="678" hidden="1">
      <c r="C678" s="922"/>
    </row>
    <row r="679" hidden="1">
      <c r="C679" s="922"/>
    </row>
    <row r="680" hidden="1">
      <c r="C680" s="922"/>
    </row>
    <row r="681" hidden="1">
      <c r="C681" s="922"/>
    </row>
    <row r="682" hidden="1">
      <c r="C682" s="922"/>
    </row>
    <row r="683" hidden="1">
      <c r="C683" s="922"/>
    </row>
    <row r="684" hidden="1">
      <c r="C684" s="922"/>
    </row>
    <row r="685" hidden="1">
      <c r="C685" s="922"/>
    </row>
    <row r="686" hidden="1">
      <c r="C686" s="922"/>
    </row>
    <row r="687" hidden="1">
      <c r="C687" s="922"/>
    </row>
    <row r="688" hidden="1">
      <c r="C688" s="922"/>
    </row>
    <row r="689" hidden="1">
      <c r="C689" s="922"/>
    </row>
    <row r="690" hidden="1">
      <c r="C690" s="922"/>
    </row>
    <row r="691" hidden="1">
      <c r="C691" s="922"/>
    </row>
    <row r="692" hidden="1">
      <c r="C692" s="922"/>
    </row>
    <row r="693" hidden="1">
      <c r="C693" s="922"/>
    </row>
    <row r="694" hidden="1">
      <c r="C694" s="922"/>
    </row>
    <row r="695" hidden="1">
      <c r="C695" s="922"/>
    </row>
    <row r="696" hidden="1">
      <c r="C696" s="922"/>
    </row>
    <row r="697" hidden="1">
      <c r="C697" s="922"/>
    </row>
    <row r="698" hidden="1">
      <c r="C698" s="922"/>
    </row>
    <row r="699" hidden="1">
      <c r="C699" s="922"/>
    </row>
    <row r="700" hidden="1">
      <c r="C700" s="922"/>
    </row>
    <row r="701" hidden="1">
      <c r="C701" s="922"/>
    </row>
    <row r="702" hidden="1">
      <c r="C702" s="922"/>
    </row>
    <row r="703" hidden="1">
      <c r="C703" s="922"/>
    </row>
    <row r="704" hidden="1">
      <c r="C704" s="922"/>
    </row>
    <row r="705" hidden="1">
      <c r="C705" s="922"/>
    </row>
    <row r="706" hidden="1">
      <c r="C706" s="922"/>
    </row>
    <row r="707" hidden="1">
      <c r="C707" s="922"/>
    </row>
    <row r="708" hidden="1">
      <c r="C708" s="922"/>
    </row>
    <row r="709" hidden="1">
      <c r="C709" s="922"/>
    </row>
    <row r="710" hidden="1">
      <c r="C710" s="922"/>
    </row>
    <row r="711" hidden="1">
      <c r="C711" s="922"/>
    </row>
    <row r="712" hidden="1">
      <c r="C712" s="922"/>
    </row>
    <row r="713" hidden="1">
      <c r="C713" s="922"/>
    </row>
    <row r="714" hidden="1">
      <c r="C714" s="922"/>
    </row>
    <row r="715" hidden="1">
      <c r="C715" s="922"/>
    </row>
    <row r="716" hidden="1">
      <c r="C716" s="922"/>
    </row>
    <row r="717" hidden="1">
      <c r="C717" s="922"/>
    </row>
    <row r="718" hidden="1">
      <c r="C718" s="922"/>
    </row>
    <row r="719" hidden="1">
      <c r="C719" s="922"/>
    </row>
    <row r="720" hidden="1">
      <c r="C720" s="922"/>
    </row>
    <row r="721" hidden="1">
      <c r="C721" s="922"/>
    </row>
    <row r="722" hidden="1">
      <c r="C722" s="922"/>
    </row>
    <row r="723" hidden="1">
      <c r="C723" s="922"/>
    </row>
    <row r="724" hidden="1">
      <c r="C724" s="922"/>
    </row>
    <row r="725" hidden="1">
      <c r="C725" s="922"/>
    </row>
    <row r="726" hidden="1">
      <c r="C726" s="922"/>
    </row>
    <row r="727" hidden="1">
      <c r="C727" s="922"/>
    </row>
    <row r="728" hidden="1">
      <c r="C728" s="922"/>
    </row>
    <row r="729" hidden="1">
      <c r="C729" s="922"/>
    </row>
    <row r="730" hidden="1">
      <c r="C730" s="922"/>
    </row>
    <row r="731" hidden="1">
      <c r="C731" s="922"/>
    </row>
    <row r="732" hidden="1">
      <c r="C732" s="922"/>
    </row>
    <row r="733" hidden="1">
      <c r="C733" s="922"/>
    </row>
    <row r="734" hidden="1">
      <c r="C734" s="922"/>
    </row>
    <row r="735" hidden="1">
      <c r="C735" s="922"/>
    </row>
    <row r="736" hidden="1">
      <c r="C736" s="922"/>
    </row>
    <row r="737" hidden="1">
      <c r="C737" s="922"/>
    </row>
    <row r="738" hidden="1">
      <c r="C738" s="922"/>
    </row>
    <row r="739" hidden="1">
      <c r="C739" s="922"/>
    </row>
    <row r="740" hidden="1">
      <c r="C740" s="922"/>
    </row>
    <row r="741" hidden="1">
      <c r="C741" s="922"/>
    </row>
    <row r="742" hidden="1">
      <c r="C742" s="922"/>
    </row>
    <row r="743" hidden="1">
      <c r="C743" s="922"/>
    </row>
    <row r="744" hidden="1">
      <c r="C744" s="922"/>
    </row>
    <row r="745" hidden="1">
      <c r="C745" s="922"/>
    </row>
    <row r="746" hidden="1">
      <c r="C746" s="922"/>
    </row>
    <row r="747" hidden="1">
      <c r="C747" s="922"/>
    </row>
    <row r="748" hidden="1">
      <c r="C748" s="922"/>
    </row>
    <row r="749" hidden="1">
      <c r="C749" s="922"/>
    </row>
    <row r="750" hidden="1">
      <c r="C750" s="922"/>
    </row>
    <row r="751" hidden="1">
      <c r="C751" s="922"/>
    </row>
    <row r="752" hidden="1">
      <c r="C752" s="922"/>
    </row>
    <row r="753" hidden="1">
      <c r="C753" s="922"/>
    </row>
    <row r="754" hidden="1">
      <c r="C754" s="922"/>
    </row>
    <row r="755" hidden="1">
      <c r="C755" s="922"/>
    </row>
    <row r="756" hidden="1">
      <c r="C756" s="922"/>
    </row>
    <row r="757" hidden="1">
      <c r="C757" s="922"/>
    </row>
    <row r="758" hidden="1">
      <c r="C758" s="922"/>
    </row>
    <row r="759" hidden="1">
      <c r="C759" s="922"/>
    </row>
    <row r="760" hidden="1">
      <c r="C760" s="922"/>
    </row>
    <row r="761" hidden="1">
      <c r="C761" s="922"/>
    </row>
    <row r="762" hidden="1">
      <c r="C762" s="922"/>
    </row>
    <row r="763" hidden="1">
      <c r="C763" s="922"/>
    </row>
    <row r="764" hidden="1">
      <c r="C764" s="922"/>
    </row>
    <row r="765" hidden="1">
      <c r="C765" s="922"/>
    </row>
    <row r="766" hidden="1">
      <c r="C766" s="922"/>
    </row>
    <row r="767" hidden="1">
      <c r="C767" s="922"/>
    </row>
    <row r="768" hidden="1">
      <c r="C768" s="922"/>
    </row>
    <row r="769" hidden="1">
      <c r="C769" s="922"/>
    </row>
    <row r="770" hidden="1">
      <c r="C770" s="922"/>
    </row>
    <row r="771" hidden="1">
      <c r="C771" s="922"/>
    </row>
    <row r="772" hidden="1">
      <c r="C772" s="922"/>
    </row>
    <row r="773" hidden="1">
      <c r="C773" s="922"/>
    </row>
    <row r="774" hidden="1">
      <c r="C774" s="922"/>
    </row>
    <row r="775" hidden="1">
      <c r="C775" s="922"/>
    </row>
    <row r="776" hidden="1">
      <c r="C776" s="922"/>
    </row>
    <row r="777" hidden="1">
      <c r="C777" s="922"/>
    </row>
    <row r="778" hidden="1">
      <c r="C778" s="922"/>
    </row>
    <row r="779" hidden="1">
      <c r="C779" s="922"/>
    </row>
    <row r="780" hidden="1">
      <c r="C780" s="922"/>
    </row>
    <row r="781" hidden="1">
      <c r="C781" s="922"/>
    </row>
    <row r="782" hidden="1">
      <c r="C782" s="922"/>
    </row>
    <row r="783" hidden="1">
      <c r="C783" s="922"/>
    </row>
    <row r="784" hidden="1">
      <c r="C784" s="922"/>
    </row>
    <row r="785" hidden="1">
      <c r="C785" s="922"/>
    </row>
    <row r="786" hidden="1">
      <c r="C786" s="922"/>
    </row>
    <row r="787" hidden="1">
      <c r="C787" s="922"/>
    </row>
    <row r="788" hidden="1">
      <c r="C788" s="922"/>
    </row>
    <row r="789" hidden="1">
      <c r="C789" s="922"/>
    </row>
    <row r="790" hidden="1">
      <c r="C790" s="922"/>
    </row>
    <row r="791" hidden="1">
      <c r="C791" s="922"/>
    </row>
    <row r="792" hidden="1">
      <c r="C792" s="922"/>
    </row>
    <row r="793" hidden="1">
      <c r="C793" s="922"/>
    </row>
    <row r="794" hidden="1">
      <c r="C794" s="922"/>
    </row>
    <row r="795" hidden="1">
      <c r="C795" s="922"/>
    </row>
    <row r="796" hidden="1">
      <c r="C796" s="922"/>
    </row>
    <row r="797" hidden="1">
      <c r="C797" s="922"/>
    </row>
    <row r="798" hidden="1">
      <c r="C798" s="922"/>
    </row>
    <row r="799" hidden="1">
      <c r="C799" s="922"/>
    </row>
    <row r="800" hidden="1">
      <c r="C800" s="922"/>
    </row>
    <row r="801" hidden="1">
      <c r="C801" s="922"/>
    </row>
    <row r="802" hidden="1">
      <c r="C802" s="922"/>
    </row>
    <row r="803" hidden="1">
      <c r="C803" s="922"/>
    </row>
    <row r="804" hidden="1">
      <c r="C804" s="922"/>
    </row>
    <row r="805" hidden="1">
      <c r="C805" s="922"/>
    </row>
    <row r="806" hidden="1">
      <c r="C806" s="922"/>
    </row>
    <row r="807" hidden="1">
      <c r="C807" s="922"/>
    </row>
    <row r="808" hidden="1">
      <c r="C808" s="922"/>
    </row>
    <row r="809" hidden="1">
      <c r="C809" s="922"/>
    </row>
    <row r="810" hidden="1">
      <c r="C810" s="922"/>
    </row>
    <row r="811" hidden="1">
      <c r="C811" s="922"/>
    </row>
    <row r="812" hidden="1">
      <c r="C812" s="922"/>
    </row>
    <row r="813" hidden="1">
      <c r="C813" s="922"/>
    </row>
    <row r="814" hidden="1">
      <c r="C814" s="922"/>
    </row>
    <row r="815" hidden="1">
      <c r="C815" s="922"/>
    </row>
    <row r="816" hidden="1">
      <c r="C816" s="922"/>
    </row>
    <row r="817" hidden="1">
      <c r="C817" s="922"/>
    </row>
    <row r="818" hidden="1">
      <c r="C818" s="922"/>
    </row>
    <row r="819" hidden="1">
      <c r="C819" s="922"/>
    </row>
    <row r="820" hidden="1">
      <c r="C820" s="922"/>
    </row>
    <row r="821" hidden="1">
      <c r="C821" s="922"/>
    </row>
    <row r="822" hidden="1">
      <c r="C822" s="922"/>
    </row>
    <row r="823" hidden="1">
      <c r="C823" s="922"/>
    </row>
    <row r="824" hidden="1">
      <c r="C824" s="922"/>
    </row>
    <row r="825" hidden="1">
      <c r="C825" s="922"/>
    </row>
    <row r="826" hidden="1">
      <c r="C826" s="922"/>
    </row>
    <row r="827" hidden="1">
      <c r="C827" s="922"/>
    </row>
    <row r="828" hidden="1">
      <c r="C828" s="922"/>
    </row>
    <row r="829" hidden="1">
      <c r="C829" s="922"/>
    </row>
    <row r="830" hidden="1">
      <c r="C830" s="922"/>
    </row>
    <row r="831" hidden="1">
      <c r="C831" s="922"/>
    </row>
    <row r="832" hidden="1">
      <c r="C832" s="922"/>
    </row>
    <row r="833" hidden="1">
      <c r="C833" s="922"/>
    </row>
    <row r="834" hidden="1">
      <c r="C834" s="922"/>
    </row>
    <row r="835" hidden="1">
      <c r="C835" s="922"/>
    </row>
    <row r="836" hidden="1">
      <c r="C836" s="922"/>
    </row>
    <row r="837" hidden="1">
      <c r="C837" s="922"/>
    </row>
    <row r="838" hidden="1">
      <c r="C838" s="922"/>
    </row>
    <row r="839" hidden="1">
      <c r="C839" s="922"/>
    </row>
    <row r="840" hidden="1">
      <c r="C840" s="922"/>
    </row>
    <row r="841" hidden="1">
      <c r="C841" s="922"/>
    </row>
    <row r="842" hidden="1">
      <c r="C842" s="922"/>
    </row>
    <row r="843" hidden="1">
      <c r="C843" s="922"/>
    </row>
    <row r="844" hidden="1">
      <c r="C844" s="922"/>
    </row>
    <row r="845" hidden="1">
      <c r="C845" s="922"/>
    </row>
    <row r="846" hidden="1">
      <c r="C846" s="922"/>
    </row>
    <row r="847" hidden="1">
      <c r="C847" s="922"/>
    </row>
    <row r="848" hidden="1">
      <c r="C848" s="922"/>
    </row>
    <row r="849" hidden="1">
      <c r="C849" s="922"/>
    </row>
    <row r="850" hidden="1">
      <c r="C850" s="922"/>
    </row>
    <row r="851" hidden="1">
      <c r="C851" s="922"/>
    </row>
    <row r="852" hidden="1">
      <c r="C852" s="922"/>
    </row>
    <row r="853" hidden="1">
      <c r="C853" s="922"/>
    </row>
    <row r="854" hidden="1">
      <c r="C854" s="922"/>
    </row>
    <row r="855" hidden="1">
      <c r="C855" s="922"/>
    </row>
    <row r="856" hidden="1">
      <c r="C856" s="922"/>
    </row>
    <row r="857" hidden="1">
      <c r="C857" s="922"/>
    </row>
    <row r="858" hidden="1">
      <c r="C858" s="922"/>
    </row>
    <row r="859" hidden="1">
      <c r="C859" s="922"/>
    </row>
    <row r="860" hidden="1">
      <c r="C860" s="922"/>
    </row>
    <row r="861" hidden="1">
      <c r="C861" s="922"/>
    </row>
    <row r="862" hidden="1">
      <c r="C862" s="922"/>
    </row>
    <row r="863" hidden="1">
      <c r="C863" s="922"/>
    </row>
    <row r="864" hidden="1">
      <c r="C864" s="922"/>
    </row>
    <row r="865" hidden="1">
      <c r="C865" s="922"/>
    </row>
    <row r="866" hidden="1">
      <c r="C866" s="922"/>
    </row>
    <row r="867" hidden="1">
      <c r="C867" s="922"/>
    </row>
    <row r="868" hidden="1">
      <c r="C868" s="922"/>
    </row>
    <row r="869" hidden="1">
      <c r="C869" s="922"/>
    </row>
    <row r="870" hidden="1">
      <c r="C870" s="922"/>
    </row>
    <row r="871" hidden="1">
      <c r="C871" s="922"/>
    </row>
    <row r="872" hidden="1">
      <c r="C872" s="922"/>
    </row>
    <row r="873" hidden="1">
      <c r="C873" s="922"/>
    </row>
    <row r="874" hidden="1">
      <c r="C874" s="922"/>
    </row>
    <row r="875" hidden="1">
      <c r="C875" s="922"/>
    </row>
    <row r="876" hidden="1">
      <c r="C876" s="922"/>
    </row>
    <row r="877" hidden="1">
      <c r="C877" s="922"/>
    </row>
    <row r="878" hidden="1">
      <c r="C878" s="922"/>
    </row>
    <row r="879" hidden="1">
      <c r="C879" s="922"/>
    </row>
    <row r="880" hidden="1">
      <c r="C880" s="922"/>
    </row>
    <row r="881" hidden="1">
      <c r="C881" s="922"/>
    </row>
    <row r="882" hidden="1">
      <c r="C882" s="922"/>
    </row>
    <row r="883" hidden="1">
      <c r="C883" s="922"/>
    </row>
    <row r="884" hidden="1">
      <c r="C884" s="922"/>
    </row>
    <row r="885" hidden="1">
      <c r="C885" s="922"/>
    </row>
    <row r="886" hidden="1">
      <c r="C886" s="922"/>
    </row>
    <row r="887" hidden="1">
      <c r="C887" s="922"/>
    </row>
    <row r="888" hidden="1">
      <c r="C888" s="922"/>
    </row>
    <row r="889" hidden="1">
      <c r="C889" s="922"/>
    </row>
    <row r="890" hidden="1">
      <c r="C890" s="922"/>
    </row>
    <row r="891" hidden="1">
      <c r="C891" s="922"/>
    </row>
    <row r="892" hidden="1">
      <c r="C892" s="922"/>
    </row>
    <row r="893" hidden="1">
      <c r="C893" s="922"/>
    </row>
    <row r="894" hidden="1">
      <c r="C894" s="922"/>
    </row>
    <row r="895" hidden="1">
      <c r="C895" s="922"/>
    </row>
    <row r="896" hidden="1">
      <c r="C896" s="922"/>
    </row>
    <row r="897" hidden="1">
      <c r="C897" s="922"/>
    </row>
    <row r="898" hidden="1">
      <c r="C898" s="922"/>
    </row>
    <row r="899" hidden="1">
      <c r="C899" s="922"/>
    </row>
    <row r="900" hidden="1">
      <c r="C900" s="922"/>
    </row>
    <row r="901" hidden="1">
      <c r="C901" s="922"/>
    </row>
    <row r="902" hidden="1">
      <c r="C902" s="922"/>
    </row>
    <row r="903" hidden="1">
      <c r="C903" s="922"/>
    </row>
    <row r="904" hidden="1">
      <c r="C904" s="922"/>
    </row>
    <row r="905" hidden="1">
      <c r="C905" s="922"/>
    </row>
    <row r="906" hidden="1">
      <c r="C906" s="922"/>
    </row>
    <row r="907" hidden="1">
      <c r="C907" s="922"/>
    </row>
    <row r="908" hidden="1">
      <c r="C908" s="922"/>
    </row>
    <row r="909" hidden="1">
      <c r="C909" s="922"/>
    </row>
    <row r="910" hidden="1">
      <c r="C910" s="922"/>
    </row>
    <row r="911" hidden="1">
      <c r="C911" s="922"/>
    </row>
    <row r="912" hidden="1">
      <c r="C912" s="922"/>
    </row>
    <row r="913" hidden="1">
      <c r="C913" s="922"/>
    </row>
    <row r="914" hidden="1">
      <c r="C914" s="922"/>
    </row>
    <row r="915" hidden="1">
      <c r="C915" s="922"/>
    </row>
    <row r="916" hidden="1">
      <c r="C916" s="922"/>
    </row>
    <row r="917" hidden="1">
      <c r="C917" s="922"/>
    </row>
    <row r="918" hidden="1">
      <c r="C918" s="922"/>
    </row>
    <row r="919" hidden="1">
      <c r="C919" s="922"/>
    </row>
    <row r="920" hidden="1">
      <c r="C920" s="922"/>
    </row>
    <row r="921" hidden="1">
      <c r="C921" s="922"/>
    </row>
    <row r="922" hidden="1">
      <c r="C922" s="922"/>
    </row>
    <row r="923" hidden="1">
      <c r="C923" s="922"/>
    </row>
    <row r="924" hidden="1">
      <c r="C924" s="922"/>
    </row>
    <row r="925" hidden="1">
      <c r="C925" s="922"/>
    </row>
    <row r="926" hidden="1">
      <c r="C926" s="922"/>
    </row>
    <row r="927" hidden="1">
      <c r="C927" s="922"/>
    </row>
    <row r="928" hidden="1">
      <c r="C928" s="922"/>
    </row>
    <row r="929" hidden="1">
      <c r="C929" s="922"/>
    </row>
    <row r="930" hidden="1">
      <c r="C930" s="922"/>
    </row>
    <row r="931" hidden="1">
      <c r="C931" s="922"/>
    </row>
    <row r="932" hidden="1">
      <c r="C932" s="922"/>
    </row>
    <row r="933" hidden="1">
      <c r="C933" s="922"/>
    </row>
    <row r="934" hidden="1">
      <c r="C934" s="922"/>
    </row>
    <row r="935" hidden="1">
      <c r="C935" s="922"/>
    </row>
    <row r="936" hidden="1">
      <c r="C936" s="922"/>
    </row>
    <row r="937" hidden="1">
      <c r="C937" s="922"/>
    </row>
    <row r="938" hidden="1">
      <c r="C938" s="922"/>
    </row>
    <row r="939" hidden="1">
      <c r="C939" s="922"/>
    </row>
    <row r="940" hidden="1">
      <c r="C940" s="922"/>
    </row>
    <row r="941" hidden="1">
      <c r="C941" s="922"/>
    </row>
    <row r="942" hidden="1">
      <c r="C942" s="922"/>
    </row>
    <row r="943" hidden="1">
      <c r="C943" s="922"/>
    </row>
    <row r="944" hidden="1">
      <c r="C944" s="922"/>
    </row>
    <row r="945" hidden="1">
      <c r="C945" s="922"/>
    </row>
    <row r="946" hidden="1">
      <c r="C946" s="922"/>
    </row>
    <row r="947" hidden="1">
      <c r="C947" s="922"/>
    </row>
    <row r="948" hidden="1">
      <c r="C948" s="922"/>
    </row>
    <row r="949" hidden="1">
      <c r="C949" s="922"/>
    </row>
    <row r="950" hidden="1">
      <c r="C950" s="922"/>
    </row>
    <row r="951" hidden="1">
      <c r="C951" s="922"/>
    </row>
    <row r="952" hidden="1">
      <c r="C952" s="922"/>
    </row>
    <row r="953" hidden="1">
      <c r="C953" s="922"/>
    </row>
    <row r="954" hidden="1">
      <c r="C954" s="922"/>
    </row>
    <row r="955" hidden="1">
      <c r="C955" s="922"/>
    </row>
    <row r="956" hidden="1">
      <c r="C956" s="922"/>
    </row>
    <row r="957" hidden="1">
      <c r="C957" s="922"/>
    </row>
    <row r="958" hidden="1">
      <c r="C958" s="922"/>
    </row>
    <row r="959" hidden="1">
      <c r="C959" s="922"/>
    </row>
    <row r="960" hidden="1">
      <c r="C960" s="922"/>
    </row>
    <row r="961" hidden="1">
      <c r="C961" s="922"/>
    </row>
    <row r="962" hidden="1">
      <c r="C962" s="922"/>
    </row>
    <row r="963" hidden="1">
      <c r="C963" s="922"/>
    </row>
    <row r="964" hidden="1">
      <c r="C964" s="922"/>
    </row>
    <row r="965" hidden="1">
      <c r="C965" s="922"/>
    </row>
    <row r="966" hidden="1">
      <c r="C966" s="922"/>
    </row>
    <row r="967" hidden="1">
      <c r="C967" s="922"/>
    </row>
    <row r="968" hidden="1">
      <c r="C968" s="922"/>
    </row>
    <row r="969" hidden="1">
      <c r="C969" s="922"/>
    </row>
    <row r="970" hidden="1">
      <c r="C970" s="922"/>
    </row>
    <row r="971" hidden="1">
      <c r="C971" s="922"/>
    </row>
    <row r="972" hidden="1">
      <c r="C972" s="922"/>
    </row>
    <row r="973" hidden="1">
      <c r="C973" s="922"/>
    </row>
    <row r="974" hidden="1">
      <c r="C974" s="922"/>
    </row>
    <row r="975" hidden="1">
      <c r="C975" s="922"/>
    </row>
    <row r="976" hidden="1">
      <c r="C976" s="922"/>
    </row>
    <row r="977" hidden="1">
      <c r="C977" s="922"/>
    </row>
    <row r="978" hidden="1">
      <c r="C978" s="922"/>
    </row>
    <row r="979" hidden="1">
      <c r="C979" s="922"/>
    </row>
    <row r="980" hidden="1">
      <c r="C980" s="922"/>
    </row>
    <row r="981" hidden="1">
      <c r="C981" s="922"/>
    </row>
    <row r="982" hidden="1">
      <c r="C982" s="922"/>
    </row>
    <row r="983" hidden="1">
      <c r="C983" s="922"/>
    </row>
    <row r="984" hidden="1">
      <c r="C984" s="922"/>
    </row>
    <row r="985" hidden="1">
      <c r="C985" s="922"/>
    </row>
    <row r="986" hidden="1">
      <c r="C986" s="922"/>
    </row>
    <row r="987" hidden="1">
      <c r="C987" s="922"/>
    </row>
    <row r="988" hidden="1">
      <c r="C988" s="922"/>
    </row>
    <row r="989" hidden="1">
      <c r="C989" s="922"/>
    </row>
    <row r="990" hidden="1">
      <c r="C990" s="922"/>
    </row>
    <row r="991" hidden="1">
      <c r="C991" s="922"/>
    </row>
    <row r="992" hidden="1">
      <c r="C992" s="922"/>
    </row>
    <row r="993" hidden="1">
      <c r="C993" s="922"/>
    </row>
    <row r="994" hidden="1">
      <c r="C994" s="922"/>
    </row>
    <row r="995" hidden="1">
      <c r="C995" s="922"/>
    </row>
    <row r="996" hidden="1">
      <c r="C996" s="922"/>
    </row>
    <row r="997" hidden="1">
      <c r="C997" s="922"/>
    </row>
    <row r="998" hidden="1">
      <c r="C998" s="922"/>
    </row>
    <row r="999" hidden="1">
      <c r="C999" s="922"/>
    </row>
    <row r="1000" hidden="1">
      <c r="C1000" s="922"/>
    </row>
    <row r="1001" hidden="1">
      <c r="C1001" s="922"/>
    </row>
    <row r="1002" hidden="1">
      <c r="C1002" s="922"/>
    </row>
    <row r="1003" hidden="1">
      <c r="C1003" s="922"/>
    </row>
    <row r="1004" hidden="1">
      <c r="C1004" s="922"/>
    </row>
    <row r="1005" hidden="1">
      <c r="C1005" s="922"/>
    </row>
    <row r="1006" hidden="1">
      <c r="C1006" s="922"/>
    </row>
    <row r="1007" hidden="1">
      <c r="C1007" s="922"/>
    </row>
    <row r="1008" hidden="1">
      <c r="C1008" s="922"/>
    </row>
    <row r="1009" hidden="1">
      <c r="C1009" s="922"/>
    </row>
    <row r="1010" hidden="1">
      <c r="C1010" s="922"/>
    </row>
    <row r="1011" hidden="1">
      <c r="C1011" s="922"/>
    </row>
    <row r="1012" hidden="1">
      <c r="C1012" s="922"/>
    </row>
    <row r="1013" hidden="1">
      <c r="C1013" s="922"/>
    </row>
    <row r="1014" hidden="1">
      <c r="C1014" s="922"/>
    </row>
    <row r="1015" hidden="1">
      <c r="C1015" s="922"/>
    </row>
    <row r="1016" hidden="1">
      <c r="C1016" s="922"/>
    </row>
    <row r="1017" hidden="1">
      <c r="C1017" s="922"/>
    </row>
    <row r="1018" hidden="1">
      <c r="C1018" s="922"/>
    </row>
    <row r="1019" hidden="1">
      <c r="C1019" s="922"/>
    </row>
    <row r="1020" hidden="1">
      <c r="C1020" s="922"/>
    </row>
    <row r="1021" hidden="1">
      <c r="C1021" s="922"/>
    </row>
    <row r="1022" hidden="1">
      <c r="C1022" s="922"/>
    </row>
    <row r="1023" hidden="1">
      <c r="C1023" s="922"/>
    </row>
    <row r="1024" hidden="1">
      <c r="C1024" s="922"/>
    </row>
    <row r="1025" hidden="1">
      <c r="C1025" s="922"/>
    </row>
    <row r="1026" hidden="1">
      <c r="C1026" s="922"/>
    </row>
    <row r="1027" hidden="1">
      <c r="C1027" s="922"/>
    </row>
    <row r="1028" hidden="1">
      <c r="C1028" s="922"/>
    </row>
    <row r="1029" hidden="1">
      <c r="C1029" s="922"/>
    </row>
    <row r="1030" hidden="1">
      <c r="C1030" s="922"/>
    </row>
    <row r="1031" hidden="1">
      <c r="C1031" s="922"/>
    </row>
    <row r="1032" hidden="1">
      <c r="C1032" s="922"/>
    </row>
    <row r="1033" hidden="1">
      <c r="C1033" s="922"/>
    </row>
    <row r="1034" hidden="1">
      <c r="C1034" s="922"/>
    </row>
    <row r="1035" hidden="1">
      <c r="C1035" s="922"/>
    </row>
    <row r="1036" hidden="1">
      <c r="C1036" s="922"/>
    </row>
    <row r="1037" hidden="1">
      <c r="C1037" s="922"/>
    </row>
    <row r="1038" hidden="1">
      <c r="C1038" s="922"/>
    </row>
    <row r="1039" hidden="1">
      <c r="C1039" s="922"/>
    </row>
    <row r="1040" hidden="1">
      <c r="C1040" s="922"/>
    </row>
    <row r="1041" hidden="1">
      <c r="C1041" s="922"/>
    </row>
    <row r="1042" hidden="1">
      <c r="C1042" s="922"/>
    </row>
    <row r="1043" hidden="1">
      <c r="C1043" s="922"/>
    </row>
    <row r="1044" hidden="1">
      <c r="C1044" s="922"/>
    </row>
    <row r="1045" hidden="1">
      <c r="C1045" s="922"/>
    </row>
    <row r="1046" hidden="1">
      <c r="C1046" s="922"/>
    </row>
    <row r="1047" hidden="1">
      <c r="C1047" s="922"/>
    </row>
    <row r="1048" hidden="1">
      <c r="C1048" s="922"/>
    </row>
    <row r="1049" hidden="1">
      <c r="C1049" s="922"/>
    </row>
    <row r="1050" hidden="1">
      <c r="C1050" s="922"/>
    </row>
    <row r="1051" hidden="1">
      <c r="C1051" s="922"/>
    </row>
    <row r="1052" hidden="1">
      <c r="C1052" s="922"/>
    </row>
    <row r="1053" hidden="1">
      <c r="C1053" s="922"/>
    </row>
    <row r="1054" hidden="1">
      <c r="C1054" s="922"/>
    </row>
    <row r="1055" hidden="1">
      <c r="C1055" s="922"/>
    </row>
    <row r="1056" hidden="1">
      <c r="C1056" s="922"/>
    </row>
    <row r="1057" hidden="1">
      <c r="C1057" s="922"/>
    </row>
    <row r="1058" hidden="1">
      <c r="C1058" s="922"/>
    </row>
    <row r="1059" hidden="1">
      <c r="C1059" s="922"/>
    </row>
    <row r="1060" hidden="1">
      <c r="C1060" s="922"/>
    </row>
    <row r="1061" hidden="1">
      <c r="C1061" s="922"/>
    </row>
    <row r="1062" hidden="1">
      <c r="C1062" s="922"/>
    </row>
    <row r="1063" hidden="1">
      <c r="C1063" s="922"/>
    </row>
    <row r="1064" hidden="1">
      <c r="C1064" s="922"/>
    </row>
    <row r="1065" hidden="1">
      <c r="C1065" s="922"/>
    </row>
    <row r="1066" hidden="1">
      <c r="C1066" s="922"/>
    </row>
    <row r="1067" hidden="1">
      <c r="C1067" s="922"/>
    </row>
    <row r="1068" hidden="1">
      <c r="C1068" s="922"/>
    </row>
    <row r="1069" hidden="1">
      <c r="C1069" s="922"/>
    </row>
    <row r="1070" hidden="1">
      <c r="C1070" s="922"/>
    </row>
    <row r="1071" hidden="1">
      <c r="C1071" s="922"/>
    </row>
    <row r="1072" hidden="1">
      <c r="C1072" s="922"/>
    </row>
    <row r="1073" hidden="1">
      <c r="C1073" s="922"/>
    </row>
    <row r="1074" hidden="1">
      <c r="C1074" s="922"/>
    </row>
    <row r="1075" hidden="1">
      <c r="C1075" s="922"/>
    </row>
    <row r="1076" hidden="1">
      <c r="C1076" s="922"/>
    </row>
    <row r="1077" hidden="1">
      <c r="C1077" s="922"/>
    </row>
    <row r="1078" hidden="1">
      <c r="C1078" s="922"/>
    </row>
    <row r="1079" hidden="1">
      <c r="C1079" s="922"/>
    </row>
    <row r="1080" hidden="1">
      <c r="C1080" s="922"/>
    </row>
    <row r="1081" hidden="1">
      <c r="C1081" s="922"/>
    </row>
    <row r="1082" hidden="1">
      <c r="C1082" s="922"/>
    </row>
    <row r="1083" hidden="1">
      <c r="C1083" s="922"/>
    </row>
    <row r="1084" hidden="1">
      <c r="C1084" s="922"/>
    </row>
    <row r="1085" hidden="1">
      <c r="C1085" s="922"/>
    </row>
    <row r="1086" hidden="1">
      <c r="C1086" s="922"/>
    </row>
    <row r="1087" hidden="1">
      <c r="C1087" s="922"/>
    </row>
    <row r="1088" hidden="1">
      <c r="C1088" s="922"/>
    </row>
  </sheetData>
  <mergeCells count="7">
    <mergeCell ref="A1:C1"/>
    <mergeCell ref="A3:C3"/>
    <mergeCell ref="A9:C9"/>
    <mergeCell ref="A28:C28"/>
    <mergeCell ref="A51:C51"/>
    <mergeCell ref="A70:C70"/>
    <mergeCell ref="A82:C82"/>
  </mergeCells>
  <dataValidations>
    <dataValidation type="list" allowBlank="1" showErrorMessage="1" sqref="B4:B7 B10:B16 B18:B26 B29:B36 B38:B49 B52:B56 B58:B68 B71:B80 B83:B91">
      <formula1>"Done,Partially Complete,TODO"</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207.75"/>
    <col hidden="1" min="3" max="27" width="12.63"/>
  </cols>
  <sheetData>
    <row r="1">
      <c r="A1" s="926">
        <v>45035.0</v>
      </c>
      <c r="B1" s="927" t="s">
        <v>1090</v>
      </c>
      <c r="C1" s="928"/>
      <c r="D1" s="928"/>
      <c r="E1" s="928"/>
      <c r="F1" s="928"/>
      <c r="G1" s="928"/>
      <c r="H1" s="928"/>
      <c r="I1" s="928"/>
      <c r="J1" s="928"/>
      <c r="K1" s="928"/>
      <c r="L1" s="928"/>
      <c r="M1" s="928"/>
      <c r="N1" s="928"/>
      <c r="O1" s="928"/>
      <c r="P1" s="928"/>
      <c r="Q1" s="928"/>
      <c r="R1" s="928"/>
      <c r="S1" s="928"/>
      <c r="T1" s="928"/>
      <c r="U1" s="928"/>
      <c r="V1" s="928"/>
      <c r="W1" s="928"/>
      <c r="X1" s="928"/>
      <c r="Y1" s="928"/>
      <c r="Z1" s="928"/>
      <c r="AA1" s="928"/>
    </row>
    <row r="2">
      <c r="A2" s="929">
        <v>45036.0</v>
      </c>
      <c r="B2" s="927" t="s">
        <v>1091</v>
      </c>
      <c r="C2" s="928"/>
      <c r="D2" s="928"/>
      <c r="E2" s="928"/>
      <c r="F2" s="928"/>
      <c r="G2" s="928"/>
      <c r="H2" s="928"/>
      <c r="I2" s="928"/>
      <c r="J2" s="928"/>
      <c r="K2" s="928"/>
      <c r="L2" s="928"/>
      <c r="M2" s="928"/>
      <c r="N2" s="928"/>
      <c r="O2" s="928"/>
      <c r="P2" s="928"/>
      <c r="Q2" s="928"/>
      <c r="R2" s="928"/>
      <c r="S2" s="928"/>
      <c r="T2" s="928"/>
      <c r="U2" s="928"/>
      <c r="V2" s="928"/>
      <c r="W2" s="928"/>
      <c r="X2" s="928"/>
      <c r="Y2" s="928"/>
      <c r="Z2" s="928"/>
      <c r="AA2" s="928"/>
    </row>
    <row r="3">
      <c r="A3" s="929">
        <v>45037.0</v>
      </c>
      <c r="B3" s="927" t="s">
        <v>1092</v>
      </c>
      <c r="C3" s="928"/>
      <c r="D3" s="928"/>
      <c r="E3" s="928"/>
      <c r="F3" s="928"/>
      <c r="G3" s="928"/>
      <c r="H3" s="928"/>
      <c r="I3" s="928"/>
      <c r="J3" s="928"/>
      <c r="K3" s="928"/>
      <c r="L3" s="928"/>
      <c r="M3" s="928"/>
      <c r="N3" s="928"/>
      <c r="O3" s="928"/>
      <c r="P3" s="928"/>
      <c r="Q3" s="928"/>
      <c r="R3" s="928"/>
      <c r="S3" s="928"/>
      <c r="T3" s="928"/>
      <c r="U3" s="928"/>
      <c r="V3" s="928"/>
      <c r="W3" s="928"/>
      <c r="X3" s="928"/>
      <c r="Y3" s="928"/>
      <c r="Z3" s="928"/>
      <c r="AA3" s="928"/>
    </row>
    <row r="4">
      <c r="A4" s="929">
        <v>45038.0</v>
      </c>
      <c r="B4" s="930" t="s">
        <v>1093</v>
      </c>
      <c r="C4" s="928"/>
      <c r="D4" s="928"/>
      <c r="E4" s="928"/>
      <c r="F4" s="928"/>
      <c r="G4" s="928"/>
      <c r="H4" s="928"/>
      <c r="I4" s="928"/>
      <c r="J4" s="928"/>
      <c r="K4" s="928"/>
      <c r="L4" s="928"/>
      <c r="M4" s="928"/>
      <c r="N4" s="928"/>
      <c r="O4" s="928"/>
      <c r="P4" s="928"/>
      <c r="Q4" s="928"/>
      <c r="R4" s="928"/>
      <c r="S4" s="928"/>
      <c r="T4" s="928"/>
      <c r="U4" s="928"/>
      <c r="V4" s="928"/>
      <c r="W4" s="928"/>
      <c r="X4" s="928"/>
      <c r="Y4" s="928"/>
      <c r="Z4" s="928"/>
      <c r="AA4" s="928"/>
    </row>
    <row r="5">
      <c r="A5" s="929">
        <v>45039.0</v>
      </c>
      <c r="B5" s="930" t="s">
        <v>1094</v>
      </c>
      <c r="C5" s="928"/>
      <c r="D5" s="928"/>
      <c r="E5" s="928"/>
      <c r="F5" s="928"/>
      <c r="G5" s="928"/>
      <c r="H5" s="928"/>
      <c r="I5" s="928"/>
      <c r="J5" s="928"/>
      <c r="K5" s="928"/>
      <c r="L5" s="928"/>
      <c r="M5" s="928"/>
      <c r="N5" s="928"/>
      <c r="O5" s="928"/>
      <c r="P5" s="928"/>
      <c r="Q5" s="928"/>
      <c r="R5" s="928"/>
      <c r="S5" s="928"/>
      <c r="T5" s="928"/>
      <c r="U5" s="928"/>
      <c r="V5" s="928"/>
      <c r="W5" s="928"/>
      <c r="X5" s="928"/>
      <c r="Y5" s="928"/>
      <c r="Z5" s="928"/>
      <c r="AA5" s="928"/>
    </row>
    <row r="6">
      <c r="A6" s="929">
        <v>45041.0</v>
      </c>
      <c r="B6" s="927" t="s">
        <v>1095</v>
      </c>
      <c r="C6" s="928"/>
      <c r="D6" s="928"/>
      <c r="E6" s="928"/>
      <c r="F6" s="928"/>
      <c r="G6" s="928"/>
      <c r="H6" s="928"/>
      <c r="I6" s="928"/>
      <c r="J6" s="928"/>
      <c r="K6" s="928"/>
      <c r="L6" s="928"/>
      <c r="M6" s="928"/>
      <c r="N6" s="928"/>
      <c r="O6" s="928"/>
      <c r="P6" s="928"/>
      <c r="Q6" s="928"/>
      <c r="R6" s="928"/>
      <c r="S6" s="928"/>
      <c r="T6" s="928"/>
      <c r="U6" s="928"/>
      <c r="V6" s="928"/>
      <c r="W6" s="928"/>
      <c r="X6" s="928"/>
      <c r="Y6" s="928"/>
      <c r="Z6" s="928"/>
      <c r="AA6" s="928"/>
    </row>
    <row r="7">
      <c r="A7" s="929">
        <v>45042.0</v>
      </c>
      <c r="B7" s="931" t="s">
        <v>1096</v>
      </c>
      <c r="C7" s="928"/>
      <c r="D7" s="928"/>
      <c r="E7" s="928"/>
      <c r="F7" s="928"/>
      <c r="G7" s="928"/>
      <c r="H7" s="928"/>
      <c r="I7" s="928"/>
      <c r="J7" s="928"/>
      <c r="K7" s="928"/>
      <c r="L7" s="928"/>
      <c r="M7" s="928"/>
      <c r="N7" s="928"/>
      <c r="O7" s="928"/>
      <c r="P7" s="928"/>
      <c r="Q7" s="928"/>
      <c r="R7" s="928"/>
      <c r="S7" s="928"/>
      <c r="T7" s="928"/>
      <c r="U7" s="928"/>
      <c r="V7" s="928"/>
      <c r="W7" s="928"/>
      <c r="X7" s="928"/>
      <c r="Y7" s="928"/>
      <c r="Z7" s="928"/>
      <c r="AA7" s="928"/>
    </row>
    <row r="8">
      <c r="A8" s="929">
        <v>45043.0</v>
      </c>
      <c r="B8" s="927" t="s">
        <v>1097</v>
      </c>
      <c r="C8" s="928"/>
      <c r="D8" s="928"/>
      <c r="E8" s="928"/>
      <c r="F8" s="928"/>
      <c r="G8" s="928"/>
      <c r="H8" s="928"/>
      <c r="I8" s="928"/>
      <c r="J8" s="928"/>
      <c r="K8" s="928"/>
      <c r="L8" s="928"/>
      <c r="M8" s="928"/>
      <c r="N8" s="928"/>
      <c r="O8" s="928"/>
      <c r="P8" s="928"/>
      <c r="Q8" s="928"/>
      <c r="R8" s="928"/>
      <c r="S8" s="928"/>
      <c r="T8" s="928"/>
      <c r="U8" s="928"/>
      <c r="V8" s="928"/>
      <c r="W8" s="928"/>
      <c r="X8" s="928"/>
      <c r="Y8" s="928"/>
      <c r="Z8" s="928"/>
      <c r="AA8" s="928"/>
    </row>
    <row r="9">
      <c r="A9" s="929">
        <v>45044.0</v>
      </c>
      <c r="B9" s="927" t="s">
        <v>1098</v>
      </c>
      <c r="C9" s="928"/>
      <c r="D9" s="928"/>
      <c r="E9" s="928"/>
      <c r="F9" s="928"/>
      <c r="G9" s="928"/>
      <c r="H9" s="928"/>
      <c r="I9" s="928"/>
      <c r="J9" s="928"/>
      <c r="K9" s="928"/>
      <c r="L9" s="928"/>
      <c r="M9" s="928"/>
      <c r="N9" s="928"/>
      <c r="O9" s="928"/>
      <c r="P9" s="928"/>
      <c r="Q9" s="928"/>
      <c r="R9" s="928"/>
      <c r="S9" s="928"/>
      <c r="T9" s="928"/>
      <c r="U9" s="928"/>
      <c r="V9" s="928"/>
      <c r="W9" s="928"/>
      <c r="X9" s="928"/>
      <c r="Y9" s="928"/>
      <c r="Z9" s="928"/>
      <c r="AA9" s="928"/>
    </row>
    <row r="10">
      <c r="A10" s="929">
        <v>45045.0</v>
      </c>
      <c r="B10" s="927" t="s">
        <v>1099</v>
      </c>
      <c r="C10" s="928"/>
      <c r="D10" s="928"/>
      <c r="E10" s="928"/>
      <c r="F10" s="928"/>
      <c r="G10" s="928"/>
      <c r="H10" s="928"/>
      <c r="I10" s="928"/>
      <c r="J10" s="928"/>
      <c r="K10" s="928"/>
      <c r="L10" s="928"/>
      <c r="M10" s="928"/>
      <c r="N10" s="928"/>
      <c r="O10" s="928"/>
      <c r="P10" s="928"/>
      <c r="Q10" s="928"/>
      <c r="R10" s="928"/>
      <c r="S10" s="928"/>
      <c r="T10" s="928"/>
      <c r="U10" s="928"/>
      <c r="V10" s="928"/>
      <c r="W10" s="928"/>
      <c r="X10" s="928"/>
      <c r="Y10" s="928"/>
      <c r="Z10" s="928"/>
      <c r="AA10" s="928"/>
    </row>
    <row r="11">
      <c r="A11" s="929">
        <v>45047.0</v>
      </c>
      <c r="B11" s="927" t="s">
        <v>1100</v>
      </c>
      <c r="C11" s="928"/>
      <c r="D11" s="928"/>
      <c r="E11" s="928"/>
      <c r="F11" s="928"/>
      <c r="G11" s="928"/>
      <c r="H11" s="928"/>
      <c r="I11" s="928"/>
      <c r="J11" s="928"/>
      <c r="K11" s="928"/>
      <c r="L11" s="928"/>
      <c r="M11" s="928"/>
      <c r="N11" s="928"/>
      <c r="O11" s="928"/>
      <c r="P11" s="928"/>
      <c r="Q11" s="928"/>
      <c r="R11" s="928"/>
      <c r="S11" s="928"/>
      <c r="T11" s="928"/>
      <c r="U11" s="928"/>
      <c r="V11" s="928"/>
      <c r="W11" s="928"/>
      <c r="X11" s="928"/>
      <c r="Y11" s="928"/>
      <c r="Z11" s="928"/>
      <c r="AA11" s="928"/>
    </row>
    <row r="12">
      <c r="A12" s="929">
        <v>45048.0</v>
      </c>
      <c r="B12" s="927" t="s">
        <v>1101</v>
      </c>
      <c r="C12" s="928"/>
      <c r="D12" s="928"/>
      <c r="E12" s="928"/>
      <c r="F12" s="928"/>
      <c r="G12" s="928"/>
      <c r="H12" s="928"/>
      <c r="I12" s="928"/>
      <c r="J12" s="928"/>
      <c r="K12" s="928"/>
      <c r="L12" s="928"/>
      <c r="M12" s="928"/>
      <c r="N12" s="928"/>
      <c r="O12" s="928"/>
      <c r="P12" s="928"/>
      <c r="Q12" s="928"/>
      <c r="R12" s="928"/>
      <c r="S12" s="928"/>
      <c r="T12" s="928"/>
      <c r="U12" s="928"/>
      <c r="V12" s="928"/>
      <c r="W12" s="928"/>
      <c r="X12" s="928"/>
      <c r="Y12" s="928"/>
      <c r="Z12" s="928"/>
      <c r="AA12" s="928"/>
    </row>
    <row r="13">
      <c r="A13" s="929">
        <v>45050.0</v>
      </c>
      <c r="B13" s="927" t="s">
        <v>1102</v>
      </c>
      <c r="C13" s="928"/>
      <c r="D13" s="928"/>
      <c r="E13" s="928"/>
      <c r="F13" s="928"/>
      <c r="G13" s="928"/>
      <c r="H13" s="928"/>
      <c r="I13" s="928"/>
      <c r="J13" s="928"/>
      <c r="K13" s="928"/>
      <c r="L13" s="928"/>
      <c r="M13" s="928"/>
      <c r="N13" s="928"/>
      <c r="O13" s="928"/>
      <c r="P13" s="928"/>
      <c r="Q13" s="928"/>
      <c r="R13" s="928"/>
      <c r="S13" s="928"/>
      <c r="T13" s="928"/>
      <c r="U13" s="928"/>
      <c r="V13" s="928"/>
      <c r="W13" s="928"/>
      <c r="X13" s="928"/>
      <c r="Y13" s="928"/>
      <c r="Z13" s="928"/>
      <c r="AA13" s="928"/>
    </row>
    <row r="14">
      <c r="A14" s="929">
        <v>45051.0</v>
      </c>
      <c r="B14" s="927" t="s">
        <v>1103</v>
      </c>
      <c r="C14" s="928"/>
      <c r="D14" s="928"/>
      <c r="E14" s="928"/>
      <c r="F14" s="928"/>
      <c r="G14" s="928"/>
      <c r="H14" s="928"/>
      <c r="I14" s="928"/>
      <c r="J14" s="928"/>
      <c r="K14" s="928"/>
      <c r="L14" s="928"/>
      <c r="M14" s="928"/>
      <c r="N14" s="928"/>
      <c r="O14" s="928"/>
      <c r="P14" s="928"/>
      <c r="Q14" s="928"/>
      <c r="R14" s="928"/>
      <c r="S14" s="928"/>
      <c r="T14" s="928"/>
      <c r="U14" s="928"/>
      <c r="V14" s="928"/>
      <c r="W14" s="928"/>
      <c r="X14" s="928"/>
      <c r="Y14" s="928"/>
      <c r="Z14" s="928"/>
      <c r="AA14" s="928"/>
    </row>
    <row r="15">
      <c r="A15" s="929">
        <v>45063.0</v>
      </c>
      <c r="B15" s="927" t="s">
        <v>1104</v>
      </c>
      <c r="C15" s="928"/>
      <c r="D15" s="928"/>
      <c r="E15" s="928"/>
      <c r="F15" s="928"/>
      <c r="G15" s="928"/>
      <c r="H15" s="928"/>
      <c r="I15" s="928"/>
      <c r="J15" s="928"/>
      <c r="K15" s="928"/>
      <c r="L15" s="928"/>
      <c r="M15" s="928"/>
      <c r="N15" s="928"/>
      <c r="O15" s="928"/>
      <c r="P15" s="928"/>
      <c r="Q15" s="928"/>
      <c r="R15" s="928"/>
      <c r="S15" s="928"/>
      <c r="T15" s="928"/>
      <c r="U15" s="928"/>
      <c r="V15" s="928"/>
      <c r="W15" s="928"/>
      <c r="X15" s="928"/>
      <c r="Y15" s="928"/>
      <c r="Z15" s="928"/>
      <c r="AA15" s="928"/>
    </row>
    <row r="16">
      <c r="A16" s="929">
        <v>45067.0</v>
      </c>
      <c r="B16" s="927" t="s">
        <v>1105</v>
      </c>
      <c r="C16" s="928"/>
      <c r="D16" s="928"/>
      <c r="E16" s="928"/>
      <c r="F16" s="928"/>
      <c r="G16" s="928"/>
      <c r="H16" s="928"/>
      <c r="I16" s="928"/>
      <c r="J16" s="928"/>
      <c r="K16" s="928"/>
      <c r="L16" s="928"/>
      <c r="M16" s="928"/>
      <c r="N16" s="928"/>
      <c r="O16" s="928"/>
      <c r="P16" s="928"/>
      <c r="Q16" s="928"/>
      <c r="R16" s="928"/>
      <c r="S16" s="928"/>
      <c r="T16" s="928"/>
      <c r="U16" s="928"/>
      <c r="V16" s="928"/>
      <c r="W16" s="928"/>
      <c r="X16" s="928"/>
      <c r="Y16" s="928"/>
      <c r="Z16" s="928"/>
      <c r="AA16" s="928"/>
    </row>
    <row r="17">
      <c r="A17" s="929">
        <v>45069.0</v>
      </c>
      <c r="B17" s="931" t="s">
        <v>1106</v>
      </c>
      <c r="C17" s="928"/>
      <c r="D17" s="928"/>
      <c r="E17" s="928"/>
      <c r="F17" s="928"/>
      <c r="G17" s="928"/>
      <c r="H17" s="928"/>
      <c r="I17" s="928"/>
      <c r="J17" s="928"/>
      <c r="K17" s="928"/>
      <c r="L17" s="928"/>
      <c r="M17" s="928"/>
      <c r="N17" s="928"/>
      <c r="O17" s="928"/>
      <c r="P17" s="928"/>
      <c r="Q17" s="928"/>
      <c r="R17" s="928"/>
      <c r="S17" s="928"/>
      <c r="T17" s="928"/>
      <c r="U17" s="928"/>
      <c r="V17" s="928"/>
      <c r="W17" s="928"/>
      <c r="X17" s="928"/>
      <c r="Y17" s="928"/>
      <c r="Z17" s="928"/>
      <c r="AA17" s="928"/>
    </row>
    <row r="18">
      <c r="A18" s="929">
        <v>45070.0</v>
      </c>
      <c r="B18" s="927" t="s">
        <v>1107</v>
      </c>
      <c r="C18" s="928"/>
      <c r="D18" s="928"/>
      <c r="E18" s="928"/>
      <c r="F18" s="928"/>
      <c r="G18" s="928"/>
      <c r="H18" s="928"/>
      <c r="I18" s="928"/>
      <c r="J18" s="928"/>
      <c r="K18" s="928"/>
      <c r="L18" s="928"/>
      <c r="M18" s="928"/>
      <c r="N18" s="928"/>
      <c r="O18" s="928"/>
      <c r="P18" s="928"/>
      <c r="Q18" s="928"/>
      <c r="R18" s="928"/>
      <c r="S18" s="928"/>
      <c r="T18" s="928"/>
      <c r="U18" s="928"/>
      <c r="V18" s="928"/>
      <c r="W18" s="928"/>
      <c r="X18" s="928"/>
      <c r="Y18" s="928"/>
      <c r="Z18" s="928"/>
      <c r="AA18" s="928"/>
    </row>
    <row r="19">
      <c r="A19" s="929">
        <v>45071.0</v>
      </c>
      <c r="B19" s="927" t="s">
        <v>1108</v>
      </c>
      <c r="C19" s="928"/>
      <c r="D19" s="928"/>
      <c r="E19" s="928"/>
      <c r="F19" s="928"/>
      <c r="G19" s="928"/>
      <c r="H19" s="928"/>
      <c r="I19" s="928"/>
      <c r="J19" s="928"/>
      <c r="K19" s="928"/>
      <c r="L19" s="928"/>
      <c r="M19" s="928"/>
      <c r="N19" s="928"/>
      <c r="O19" s="928"/>
      <c r="P19" s="928"/>
      <c r="Q19" s="928"/>
      <c r="R19" s="928"/>
      <c r="S19" s="928"/>
      <c r="T19" s="928"/>
      <c r="U19" s="928"/>
      <c r="V19" s="928"/>
      <c r="W19" s="928"/>
      <c r="X19" s="928"/>
      <c r="Y19" s="928"/>
      <c r="Z19" s="928"/>
      <c r="AA19" s="928"/>
    </row>
    <row r="20">
      <c r="A20" s="929">
        <v>45072.0</v>
      </c>
      <c r="B20" s="927" t="s">
        <v>1109</v>
      </c>
      <c r="C20" s="928"/>
      <c r="D20" s="928"/>
      <c r="E20" s="928"/>
      <c r="F20" s="928"/>
      <c r="G20" s="928"/>
      <c r="H20" s="928"/>
      <c r="I20" s="928"/>
      <c r="J20" s="928"/>
      <c r="K20" s="928"/>
      <c r="L20" s="928"/>
      <c r="M20" s="928"/>
      <c r="N20" s="928"/>
      <c r="O20" s="928"/>
      <c r="P20" s="928"/>
      <c r="Q20" s="928"/>
      <c r="R20" s="928"/>
      <c r="S20" s="928"/>
      <c r="T20" s="928"/>
      <c r="U20" s="928"/>
      <c r="V20" s="928"/>
      <c r="W20" s="928"/>
      <c r="X20" s="928"/>
      <c r="Y20" s="928"/>
      <c r="Z20" s="928"/>
      <c r="AA20" s="928"/>
    </row>
    <row r="21">
      <c r="A21" s="929">
        <v>45074.0</v>
      </c>
      <c r="B21" s="927" t="s">
        <v>1110</v>
      </c>
      <c r="C21" s="928"/>
      <c r="D21" s="928"/>
      <c r="E21" s="928"/>
      <c r="F21" s="928"/>
      <c r="G21" s="928"/>
      <c r="H21" s="928"/>
      <c r="I21" s="928"/>
      <c r="J21" s="928"/>
      <c r="K21" s="928"/>
      <c r="L21" s="928"/>
      <c r="M21" s="928"/>
      <c r="N21" s="928"/>
      <c r="O21" s="928"/>
      <c r="P21" s="928"/>
      <c r="Q21" s="928"/>
      <c r="R21" s="928"/>
      <c r="S21" s="928"/>
      <c r="T21" s="928"/>
      <c r="U21" s="928"/>
      <c r="V21" s="928"/>
      <c r="W21" s="928"/>
      <c r="X21" s="928"/>
      <c r="Y21" s="928"/>
      <c r="Z21" s="928"/>
      <c r="AA21" s="928"/>
    </row>
    <row r="22">
      <c r="A22" s="929">
        <v>45076.0</v>
      </c>
      <c r="B22" s="927" t="s">
        <v>1111</v>
      </c>
      <c r="C22" s="928"/>
      <c r="D22" s="928"/>
      <c r="E22" s="928"/>
      <c r="F22" s="928"/>
      <c r="G22" s="928"/>
      <c r="H22" s="928"/>
      <c r="I22" s="928"/>
      <c r="J22" s="928"/>
      <c r="K22" s="928"/>
      <c r="L22" s="928"/>
      <c r="M22" s="928"/>
      <c r="N22" s="928"/>
      <c r="O22" s="928"/>
      <c r="P22" s="928"/>
      <c r="Q22" s="928"/>
      <c r="R22" s="928"/>
      <c r="S22" s="928"/>
      <c r="T22" s="928"/>
      <c r="U22" s="928"/>
      <c r="V22" s="928"/>
      <c r="W22" s="928"/>
      <c r="X22" s="928"/>
      <c r="Y22" s="928"/>
      <c r="Z22" s="928"/>
      <c r="AA22" s="928"/>
    </row>
    <row r="23">
      <c r="A23" s="929">
        <v>45077.0</v>
      </c>
      <c r="B23" s="927" t="s">
        <v>1112</v>
      </c>
      <c r="C23" s="928"/>
      <c r="D23" s="928"/>
      <c r="E23" s="928"/>
      <c r="F23" s="928"/>
      <c r="G23" s="928"/>
      <c r="H23" s="928"/>
      <c r="I23" s="928"/>
      <c r="J23" s="928"/>
      <c r="K23" s="928"/>
      <c r="L23" s="928"/>
      <c r="M23" s="928"/>
      <c r="N23" s="928"/>
      <c r="O23" s="928"/>
      <c r="P23" s="928"/>
      <c r="Q23" s="928"/>
      <c r="R23" s="928"/>
      <c r="S23" s="928"/>
      <c r="T23" s="928"/>
      <c r="U23" s="928"/>
      <c r="V23" s="928"/>
      <c r="W23" s="928"/>
      <c r="X23" s="928"/>
      <c r="Y23" s="928"/>
      <c r="Z23" s="928"/>
      <c r="AA23" s="928"/>
    </row>
    <row r="24">
      <c r="A24" s="929">
        <v>45078.0</v>
      </c>
      <c r="B24" s="927" t="s">
        <v>1113</v>
      </c>
      <c r="C24" s="928"/>
      <c r="D24" s="928"/>
      <c r="E24" s="928"/>
      <c r="F24" s="928"/>
      <c r="G24" s="928"/>
      <c r="H24" s="928"/>
      <c r="I24" s="928"/>
      <c r="J24" s="928"/>
      <c r="K24" s="928"/>
      <c r="L24" s="928"/>
      <c r="M24" s="928"/>
      <c r="N24" s="928"/>
      <c r="O24" s="928"/>
      <c r="P24" s="928"/>
      <c r="Q24" s="928"/>
      <c r="R24" s="928"/>
      <c r="S24" s="928"/>
      <c r="T24" s="928"/>
      <c r="U24" s="928"/>
      <c r="V24" s="928"/>
      <c r="W24" s="928"/>
      <c r="X24" s="928"/>
      <c r="Y24" s="928"/>
      <c r="Z24" s="928"/>
      <c r="AA24" s="928"/>
    </row>
    <row r="25">
      <c r="A25" s="929">
        <v>45083.0</v>
      </c>
      <c r="B25" s="927" t="s">
        <v>1114</v>
      </c>
      <c r="C25" s="928"/>
      <c r="D25" s="928"/>
      <c r="E25" s="928"/>
      <c r="F25" s="928"/>
      <c r="G25" s="928"/>
      <c r="H25" s="928"/>
      <c r="I25" s="928"/>
      <c r="J25" s="928"/>
      <c r="K25" s="928"/>
      <c r="L25" s="928"/>
      <c r="M25" s="928"/>
      <c r="N25" s="928"/>
      <c r="O25" s="928"/>
      <c r="P25" s="928"/>
      <c r="Q25" s="928"/>
      <c r="R25" s="928"/>
      <c r="S25" s="928"/>
      <c r="T25" s="928"/>
      <c r="U25" s="928"/>
      <c r="V25" s="928"/>
      <c r="W25" s="928"/>
      <c r="X25" s="928"/>
      <c r="Y25" s="928"/>
      <c r="Z25" s="928"/>
      <c r="AA25" s="928"/>
    </row>
    <row r="26">
      <c r="A26" s="929">
        <v>45084.0</v>
      </c>
      <c r="B26" s="927" t="s">
        <v>1115</v>
      </c>
      <c r="C26" s="928"/>
      <c r="D26" s="928"/>
      <c r="E26" s="928"/>
      <c r="F26" s="928"/>
      <c r="G26" s="928"/>
      <c r="H26" s="928"/>
      <c r="I26" s="928"/>
      <c r="J26" s="928"/>
      <c r="K26" s="928"/>
      <c r="L26" s="928"/>
      <c r="M26" s="928"/>
      <c r="N26" s="928"/>
      <c r="O26" s="928"/>
      <c r="P26" s="928"/>
      <c r="Q26" s="928"/>
      <c r="R26" s="928"/>
      <c r="S26" s="928"/>
      <c r="T26" s="928"/>
      <c r="U26" s="928"/>
      <c r="V26" s="928"/>
      <c r="W26" s="928"/>
      <c r="X26" s="928"/>
      <c r="Y26" s="928"/>
      <c r="Z26" s="928"/>
      <c r="AA26" s="928"/>
    </row>
    <row r="27">
      <c r="A27" s="929">
        <v>45090.0</v>
      </c>
      <c r="B27" s="927" t="s">
        <v>1116</v>
      </c>
      <c r="C27" s="928"/>
      <c r="D27" s="928"/>
      <c r="E27" s="928"/>
      <c r="F27" s="928"/>
      <c r="G27" s="928"/>
      <c r="H27" s="928"/>
      <c r="I27" s="928"/>
      <c r="J27" s="928"/>
      <c r="K27" s="928"/>
      <c r="L27" s="928"/>
      <c r="M27" s="928"/>
      <c r="N27" s="928"/>
      <c r="O27" s="928"/>
      <c r="P27" s="928"/>
      <c r="Q27" s="928"/>
      <c r="R27" s="928"/>
      <c r="S27" s="928"/>
      <c r="T27" s="928"/>
      <c r="U27" s="928"/>
      <c r="V27" s="928"/>
      <c r="W27" s="928"/>
      <c r="X27" s="928"/>
      <c r="Y27" s="928"/>
      <c r="Z27" s="928"/>
      <c r="AA27" s="928"/>
    </row>
    <row r="28">
      <c r="A28" s="929">
        <v>45091.0</v>
      </c>
      <c r="B28" s="927" t="s">
        <v>1117</v>
      </c>
      <c r="C28" s="928"/>
      <c r="D28" s="928"/>
      <c r="E28" s="928"/>
      <c r="F28" s="928"/>
      <c r="G28" s="928"/>
      <c r="H28" s="928"/>
      <c r="I28" s="928"/>
      <c r="J28" s="928"/>
      <c r="K28" s="928"/>
      <c r="L28" s="928"/>
      <c r="M28" s="928"/>
      <c r="N28" s="928"/>
      <c r="O28" s="928"/>
      <c r="P28" s="928"/>
      <c r="Q28" s="928"/>
      <c r="R28" s="928"/>
      <c r="S28" s="928"/>
      <c r="T28" s="928"/>
      <c r="U28" s="928"/>
      <c r="V28" s="928"/>
      <c r="W28" s="928"/>
      <c r="X28" s="928"/>
      <c r="Y28" s="928"/>
      <c r="Z28" s="928"/>
      <c r="AA28" s="928"/>
    </row>
    <row r="29">
      <c r="A29" s="929">
        <v>45096.0</v>
      </c>
      <c r="B29" s="927" t="s">
        <v>1118</v>
      </c>
      <c r="C29" s="928"/>
      <c r="D29" s="928"/>
      <c r="E29" s="928"/>
      <c r="F29" s="928"/>
      <c r="G29" s="928"/>
      <c r="H29" s="928"/>
      <c r="I29" s="928"/>
      <c r="J29" s="928"/>
      <c r="K29" s="928"/>
      <c r="L29" s="928"/>
      <c r="M29" s="928"/>
      <c r="N29" s="928"/>
      <c r="O29" s="928"/>
      <c r="P29" s="928"/>
      <c r="Q29" s="928"/>
      <c r="R29" s="928"/>
      <c r="S29" s="928"/>
      <c r="T29" s="928"/>
      <c r="U29" s="928"/>
      <c r="V29" s="928"/>
      <c r="W29" s="928"/>
      <c r="X29" s="928"/>
      <c r="Y29" s="928"/>
      <c r="Z29" s="928"/>
      <c r="AA29" s="928"/>
    </row>
    <row r="30">
      <c r="A30" s="929">
        <v>45097.0</v>
      </c>
      <c r="B30" s="927" t="s">
        <v>1119</v>
      </c>
      <c r="C30" s="928"/>
      <c r="D30" s="928"/>
      <c r="E30" s="928"/>
      <c r="F30" s="928"/>
      <c r="G30" s="928"/>
      <c r="H30" s="928"/>
      <c r="I30" s="928"/>
      <c r="J30" s="928"/>
      <c r="K30" s="928"/>
      <c r="L30" s="928"/>
      <c r="M30" s="928"/>
      <c r="N30" s="928"/>
      <c r="O30" s="928"/>
      <c r="P30" s="928"/>
      <c r="Q30" s="928"/>
      <c r="R30" s="928"/>
      <c r="S30" s="928"/>
      <c r="T30" s="928"/>
      <c r="U30" s="928"/>
      <c r="V30" s="928"/>
      <c r="W30" s="928"/>
      <c r="X30" s="928"/>
      <c r="Y30" s="928"/>
      <c r="Z30" s="928"/>
      <c r="AA30" s="928"/>
    </row>
    <row r="31">
      <c r="A31" s="929">
        <v>45100.0</v>
      </c>
      <c r="B31" s="927" t="s">
        <v>1120</v>
      </c>
      <c r="C31" s="928"/>
      <c r="D31" s="928"/>
      <c r="E31" s="928"/>
      <c r="F31" s="928"/>
      <c r="G31" s="928"/>
      <c r="H31" s="928"/>
      <c r="I31" s="928"/>
      <c r="J31" s="928"/>
      <c r="K31" s="928"/>
      <c r="L31" s="928"/>
      <c r="M31" s="928"/>
      <c r="N31" s="928"/>
      <c r="O31" s="928"/>
      <c r="P31" s="928"/>
      <c r="Q31" s="928"/>
      <c r="R31" s="928"/>
      <c r="S31" s="928"/>
      <c r="T31" s="928"/>
      <c r="U31" s="928"/>
      <c r="V31" s="928"/>
      <c r="W31" s="928"/>
      <c r="X31" s="928"/>
      <c r="Y31" s="928"/>
      <c r="Z31" s="928"/>
      <c r="AA31" s="928"/>
    </row>
    <row r="32">
      <c r="A32" s="929">
        <v>45102.0</v>
      </c>
      <c r="B32" s="927" t="s">
        <v>1121</v>
      </c>
      <c r="C32" s="928"/>
      <c r="D32" s="928"/>
      <c r="E32" s="928"/>
      <c r="F32" s="928"/>
      <c r="G32" s="928"/>
      <c r="H32" s="928"/>
      <c r="I32" s="928"/>
      <c r="J32" s="928"/>
      <c r="K32" s="928"/>
      <c r="L32" s="928"/>
      <c r="M32" s="928"/>
      <c r="N32" s="928"/>
      <c r="O32" s="928"/>
      <c r="P32" s="928"/>
      <c r="Q32" s="928"/>
      <c r="R32" s="928"/>
      <c r="S32" s="928"/>
      <c r="T32" s="928"/>
      <c r="U32" s="928"/>
      <c r="V32" s="928"/>
      <c r="W32" s="928"/>
      <c r="X32" s="928"/>
      <c r="Y32" s="928"/>
      <c r="Z32" s="928"/>
      <c r="AA32" s="928"/>
    </row>
    <row r="33">
      <c r="A33" s="929">
        <v>45103.0</v>
      </c>
      <c r="B33" s="927" t="s">
        <v>1122</v>
      </c>
      <c r="C33" s="928"/>
      <c r="D33" s="928"/>
      <c r="E33" s="928"/>
      <c r="F33" s="928"/>
      <c r="G33" s="928"/>
      <c r="H33" s="928"/>
      <c r="I33" s="928"/>
      <c r="J33" s="928"/>
      <c r="K33" s="928"/>
      <c r="L33" s="928"/>
      <c r="M33" s="928"/>
      <c r="N33" s="928"/>
      <c r="O33" s="928"/>
      <c r="P33" s="928"/>
      <c r="Q33" s="928"/>
      <c r="R33" s="928"/>
      <c r="S33" s="928"/>
      <c r="T33" s="928"/>
      <c r="U33" s="928"/>
      <c r="V33" s="928"/>
      <c r="W33" s="928"/>
      <c r="X33" s="928"/>
      <c r="Y33" s="928"/>
      <c r="Z33" s="928"/>
      <c r="AA33" s="928"/>
    </row>
    <row r="34">
      <c r="A34" s="929">
        <v>45104.0</v>
      </c>
      <c r="B34" s="927" t="s">
        <v>1123</v>
      </c>
      <c r="C34" s="928"/>
      <c r="D34" s="928"/>
      <c r="E34" s="928"/>
      <c r="F34" s="928"/>
      <c r="G34" s="928"/>
      <c r="H34" s="928"/>
      <c r="I34" s="928"/>
      <c r="J34" s="928"/>
      <c r="K34" s="928"/>
      <c r="L34" s="928"/>
      <c r="M34" s="928"/>
      <c r="N34" s="928"/>
      <c r="O34" s="928"/>
      <c r="P34" s="928"/>
      <c r="Q34" s="928"/>
      <c r="R34" s="928"/>
      <c r="S34" s="928"/>
      <c r="T34" s="928"/>
      <c r="U34" s="928"/>
      <c r="V34" s="928"/>
      <c r="W34" s="928"/>
      <c r="X34" s="928"/>
      <c r="Y34" s="928"/>
      <c r="Z34" s="928"/>
      <c r="AA34" s="928"/>
    </row>
    <row r="35">
      <c r="A35" s="929">
        <v>45106.0</v>
      </c>
      <c r="B35" s="927" t="s">
        <v>1124</v>
      </c>
      <c r="C35" s="928"/>
      <c r="D35" s="928"/>
      <c r="E35" s="928"/>
      <c r="F35" s="928"/>
      <c r="G35" s="928"/>
      <c r="H35" s="928"/>
      <c r="I35" s="928"/>
      <c r="J35" s="928"/>
      <c r="K35" s="928"/>
      <c r="L35" s="928"/>
      <c r="M35" s="928"/>
      <c r="N35" s="928"/>
      <c r="O35" s="928"/>
      <c r="P35" s="928"/>
      <c r="Q35" s="928"/>
      <c r="R35" s="928"/>
      <c r="S35" s="928"/>
      <c r="T35" s="928"/>
      <c r="U35" s="928"/>
      <c r="V35" s="928"/>
      <c r="W35" s="928"/>
      <c r="X35" s="928"/>
      <c r="Y35" s="928"/>
      <c r="Z35" s="928"/>
      <c r="AA35" s="928"/>
    </row>
    <row r="36">
      <c r="A36" s="929">
        <v>45121.0</v>
      </c>
      <c r="B36" s="927" t="s">
        <v>1125</v>
      </c>
      <c r="C36" s="928"/>
      <c r="D36" s="928"/>
      <c r="E36" s="928"/>
      <c r="F36" s="928"/>
      <c r="G36" s="928"/>
      <c r="H36" s="928"/>
      <c r="I36" s="928"/>
      <c r="J36" s="928"/>
      <c r="K36" s="928"/>
      <c r="L36" s="928"/>
      <c r="M36" s="928"/>
      <c r="N36" s="928"/>
      <c r="O36" s="928"/>
      <c r="P36" s="928"/>
      <c r="Q36" s="928"/>
      <c r="R36" s="928"/>
      <c r="S36" s="928"/>
      <c r="T36" s="928"/>
      <c r="U36" s="928"/>
      <c r="V36" s="928"/>
      <c r="W36" s="928"/>
      <c r="X36" s="928"/>
      <c r="Y36" s="928"/>
      <c r="Z36" s="928"/>
      <c r="AA36" s="928"/>
    </row>
    <row r="37">
      <c r="A37" s="929">
        <v>45122.0</v>
      </c>
      <c r="B37" s="927" t="s">
        <v>1126</v>
      </c>
      <c r="C37" s="928"/>
      <c r="D37" s="928"/>
      <c r="E37" s="928"/>
      <c r="F37" s="928"/>
      <c r="G37" s="928"/>
      <c r="H37" s="928"/>
      <c r="I37" s="928"/>
      <c r="J37" s="928"/>
      <c r="K37" s="928"/>
      <c r="L37" s="928"/>
      <c r="M37" s="928"/>
      <c r="N37" s="928"/>
      <c r="O37" s="928"/>
      <c r="P37" s="928"/>
      <c r="Q37" s="928"/>
      <c r="R37" s="928"/>
      <c r="S37" s="928"/>
      <c r="T37" s="928"/>
      <c r="U37" s="928"/>
      <c r="V37" s="928"/>
      <c r="W37" s="928"/>
      <c r="X37" s="928"/>
      <c r="Y37" s="928"/>
      <c r="Z37" s="928"/>
      <c r="AA37" s="928"/>
    </row>
    <row r="38">
      <c r="A38" s="929">
        <v>45125.0</v>
      </c>
      <c r="B38" s="927" t="s">
        <v>1127</v>
      </c>
      <c r="C38" s="928"/>
      <c r="D38" s="928"/>
      <c r="E38" s="928"/>
      <c r="F38" s="928"/>
      <c r="G38" s="928"/>
      <c r="H38" s="928"/>
      <c r="I38" s="928"/>
      <c r="J38" s="928"/>
      <c r="K38" s="928"/>
      <c r="L38" s="928"/>
      <c r="M38" s="928"/>
      <c r="N38" s="928"/>
      <c r="O38" s="928"/>
      <c r="P38" s="928"/>
      <c r="Q38" s="928"/>
      <c r="R38" s="928"/>
      <c r="S38" s="928"/>
      <c r="T38" s="928"/>
      <c r="U38" s="928"/>
      <c r="V38" s="928"/>
      <c r="W38" s="928"/>
      <c r="X38" s="928"/>
      <c r="Y38" s="928"/>
      <c r="Z38" s="928"/>
      <c r="AA38" s="928"/>
    </row>
    <row r="39">
      <c r="A39" s="929">
        <v>45136.0</v>
      </c>
      <c r="B39" s="927" t="s">
        <v>1128</v>
      </c>
      <c r="C39" s="928"/>
      <c r="D39" s="928"/>
      <c r="E39" s="928"/>
      <c r="F39" s="928"/>
      <c r="G39" s="928"/>
      <c r="H39" s="928"/>
      <c r="I39" s="928"/>
      <c r="J39" s="928"/>
      <c r="K39" s="928"/>
      <c r="L39" s="928"/>
      <c r="M39" s="928"/>
      <c r="N39" s="928"/>
      <c r="O39" s="928"/>
      <c r="P39" s="928"/>
      <c r="Q39" s="928"/>
      <c r="R39" s="928"/>
      <c r="S39" s="928"/>
      <c r="T39" s="928"/>
      <c r="U39" s="928"/>
      <c r="V39" s="928"/>
      <c r="W39" s="928"/>
      <c r="X39" s="928"/>
      <c r="Y39" s="928"/>
      <c r="Z39" s="928"/>
      <c r="AA39" s="928"/>
    </row>
    <row r="40">
      <c r="A40" s="929">
        <v>45139.0</v>
      </c>
      <c r="B40" s="927" t="s">
        <v>1129</v>
      </c>
      <c r="C40" s="928"/>
      <c r="D40" s="928"/>
      <c r="E40" s="928"/>
      <c r="F40" s="928"/>
      <c r="G40" s="928"/>
      <c r="H40" s="928"/>
      <c r="I40" s="928"/>
      <c r="J40" s="928"/>
      <c r="K40" s="928"/>
      <c r="L40" s="928"/>
      <c r="M40" s="928"/>
      <c r="N40" s="928"/>
      <c r="O40" s="928"/>
      <c r="P40" s="928"/>
      <c r="Q40" s="928"/>
      <c r="R40" s="928"/>
      <c r="S40" s="928"/>
      <c r="T40" s="928"/>
      <c r="U40" s="928"/>
      <c r="V40" s="928"/>
      <c r="W40" s="928"/>
      <c r="X40" s="928"/>
      <c r="Y40" s="928"/>
      <c r="Z40" s="928"/>
      <c r="AA40" s="928"/>
    </row>
    <row r="41">
      <c r="A41" s="929">
        <v>45145.0</v>
      </c>
      <c r="B41" s="927" t="s">
        <v>1130</v>
      </c>
      <c r="C41" s="928"/>
      <c r="D41" s="928"/>
      <c r="E41" s="928"/>
      <c r="F41" s="928"/>
      <c r="G41" s="928"/>
      <c r="H41" s="928"/>
      <c r="I41" s="928"/>
      <c r="J41" s="928"/>
      <c r="K41" s="928"/>
      <c r="L41" s="928"/>
      <c r="M41" s="928"/>
      <c r="N41" s="928"/>
      <c r="O41" s="928"/>
      <c r="P41" s="928"/>
      <c r="Q41" s="928"/>
      <c r="R41" s="928"/>
      <c r="S41" s="928"/>
      <c r="T41" s="928"/>
      <c r="U41" s="928"/>
      <c r="V41" s="928"/>
      <c r="W41" s="928"/>
      <c r="X41" s="928"/>
      <c r="Y41" s="928"/>
      <c r="Z41" s="928"/>
      <c r="AA41" s="928"/>
    </row>
    <row r="42">
      <c r="A42" s="929">
        <v>45147.0</v>
      </c>
      <c r="B42" s="927" t="s">
        <v>1131</v>
      </c>
      <c r="C42" s="928"/>
      <c r="D42" s="928"/>
      <c r="E42" s="928"/>
      <c r="F42" s="928"/>
      <c r="G42" s="928"/>
      <c r="H42" s="928"/>
      <c r="I42" s="928"/>
      <c r="J42" s="928"/>
      <c r="K42" s="928"/>
      <c r="L42" s="928"/>
      <c r="M42" s="928"/>
      <c r="N42" s="928"/>
      <c r="O42" s="928"/>
      <c r="P42" s="928"/>
      <c r="Q42" s="928"/>
      <c r="R42" s="928"/>
      <c r="S42" s="928"/>
      <c r="T42" s="928"/>
      <c r="U42" s="928"/>
      <c r="V42" s="928"/>
      <c r="W42" s="928"/>
      <c r="X42" s="928"/>
      <c r="Y42" s="928"/>
      <c r="Z42" s="928"/>
      <c r="AA42" s="928"/>
    </row>
    <row r="43" hidden="1">
      <c r="A43" s="929">
        <v>45160.0</v>
      </c>
      <c r="B43" s="932"/>
      <c r="C43" s="928"/>
      <c r="D43" s="928"/>
      <c r="E43" s="928"/>
      <c r="F43" s="928"/>
      <c r="G43" s="928"/>
      <c r="H43" s="928"/>
      <c r="I43" s="928"/>
      <c r="J43" s="928"/>
      <c r="K43" s="928"/>
      <c r="L43" s="928"/>
      <c r="M43" s="928"/>
      <c r="N43" s="928"/>
      <c r="O43" s="928"/>
      <c r="P43" s="928"/>
      <c r="Q43" s="928"/>
      <c r="R43" s="928"/>
      <c r="S43" s="928"/>
      <c r="T43" s="928"/>
      <c r="U43" s="928"/>
      <c r="V43" s="928"/>
      <c r="W43" s="928"/>
      <c r="X43" s="928"/>
      <c r="Y43" s="928"/>
      <c r="Z43" s="928"/>
      <c r="AA43" s="928"/>
    </row>
    <row r="44" ht="171.75" customHeight="1">
      <c r="A44" s="929">
        <v>45160.0</v>
      </c>
      <c r="B44" s="927" t="s">
        <v>1132</v>
      </c>
      <c r="C44" s="928"/>
      <c r="D44" s="928"/>
      <c r="E44" s="928"/>
      <c r="F44" s="928"/>
      <c r="G44" s="928"/>
      <c r="H44" s="928"/>
      <c r="I44" s="928"/>
      <c r="J44" s="928"/>
      <c r="K44" s="928"/>
      <c r="L44" s="928"/>
      <c r="M44" s="928"/>
      <c r="N44" s="928"/>
      <c r="O44" s="928"/>
      <c r="P44" s="928"/>
      <c r="Q44" s="928"/>
      <c r="R44" s="928"/>
      <c r="S44" s="928"/>
      <c r="T44" s="928"/>
      <c r="U44" s="928"/>
      <c r="V44" s="928"/>
      <c r="W44" s="928"/>
      <c r="X44" s="928"/>
      <c r="Y44" s="928"/>
      <c r="Z44" s="928"/>
      <c r="AA44" s="928"/>
    </row>
    <row r="45">
      <c r="A45" s="929">
        <v>45161.0</v>
      </c>
      <c r="B45" s="927" t="s">
        <v>1133</v>
      </c>
      <c r="C45" s="928"/>
      <c r="D45" s="928"/>
      <c r="E45" s="928"/>
      <c r="F45" s="928"/>
      <c r="G45" s="928"/>
      <c r="H45" s="928"/>
      <c r="I45" s="928"/>
      <c r="J45" s="928"/>
      <c r="K45" s="928"/>
      <c r="L45" s="928"/>
      <c r="M45" s="928"/>
      <c r="N45" s="928"/>
      <c r="O45" s="928"/>
      <c r="P45" s="928"/>
      <c r="Q45" s="928"/>
      <c r="R45" s="928"/>
      <c r="S45" s="928"/>
      <c r="T45" s="928"/>
      <c r="U45" s="928"/>
      <c r="V45" s="928"/>
      <c r="W45" s="928"/>
      <c r="X45" s="928"/>
      <c r="Y45" s="928"/>
      <c r="Z45" s="928"/>
      <c r="AA45" s="928"/>
    </row>
    <row r="46">
      <c r="A46" s="929">
        <v>45164.0</v>
      </c>
      <c r="B46" s="927" t="s">
        <v>1134</v>
      </c>
      <c r="C46" s="928"/>
      <c r="D46" s="928"/>
      <c r="E46" s="928"/>
      <c r="F46" s="928"/>
      <c r="G46" s="928"/>
      <c r="H46" s="928"/>
      <c r="I46" s="928"/>
      <c r="J46" s="928"/>
      <c r="K46" s="928"/>
      <c r="L46" s="928"/>
      <c r="M46" s="928"/>
      <c r="N46" s="928"/>
      <c r="O46" s="928"/>
      <c r="P46" s="928"/>
      <c r="Q46" s="928"/>
      <c r="R46" s="928"/>
      <c r="S46" s="928"/>
      <c r="T46" s="928"/>
      <c r="U46" s="928"/>
      <c r="V46" s="928"/>
      <c r="W46" s="928"/>
      <c r="X46" s="928"/>
      <c r="Y46" s="928"/>
      <c r="Z46" s="928"/>
      <c r="AA46" s="928"/>
    </row>
    <row r="47">
      <c r="A47" s="929">
        <v>45165.0</v>
      </c>
      <c r="B47" s="927" t="s">
        <v>1135</v>
      </c>
      <c r="C47" s="928"/>
      <c r="D47" s="928"/>
      <c r="E47" s="928"/>
      <c r="F47" s="928"/>
      <c r="G47" s="928"/>
      <c r="H47" s="928"/>
      <c r="I47" s="928"/>
      <c r="J47" s="928"/>
      <c r="K47" s="928"/>
      <c r="L47" s="928"/>
      <c r="M47" s="928"/>
      <c r="N47" s="928"/>
      <c r="O47" s="928"/>
      <c r="P47" s="928"/>
      <c r="Q47" s="928"/>
      <c r="R47" s="928"/>
      <c r="S47" s="928"/>
      <c r="T47" s="928"/>
      <c r="U47" s="928"/>
      <c r="V47" s="928"/>
      <c r="W47" s="928"/>
      <c r="X47" s="928"/>
      <c r="Y47" s="928"/>
      <c r="Z47" s="928"/>
      <c r="AA47" s="928"/>
    </row>
    <row r="48">
      <c r="A48" s="929">
        <v>45166.0</v>
      </c>
      <c r="B48" s="927" t="s">
        <v>1136</v>
      </c>
      <c r="C48" s="928"/>
      <c r="D48" s="928"/>
      <c r="E48" s="928"/>
      <c r="F48" s="928"/>
      <c r="G48" s="928"/>
      <c r="H48" s="928"/>
      <c r="I48" s="928"/>
      <c r="J48" s="928"/>
      <c r="K48" s="928"/>
      <c r="L48" s="928"/>
      <c r="M48" s="928"/>
      <c r="N48" s="928"/>
      <c r="O48" s="928"/>
      <c r="P48" s="928"/>
      <c r="Q48" s="928"/>
      <c r="R48" s="928"/>
      <c r="S48" s="928"/>
      <c r="T48" s="928"/>
      <c r="U48" s="928"/>
      <c r="V48" s="928"/>
      <c r="W48" s="928"/>
      <c r="X48" s="928"/>
      <c r="Y48" s="928"/>
      <c r="Z48" s="928"/>
      <c r="AA48" s="928"/>
    </row>
    <row r="49">
      <c r="A49" s="929">
        <v>45167.0</v>
      </c>
      <c r="B49" s="927" t="s">
        <v>1137</v>
      </c>
      <c r="C49" s="928"/>
      <c r="D49" s="928"/>
      <c r="E49" s="928"/>
      <c r="F49" s="928"/>
      <c r="G49" s="928"/>
      <c r="H49" s="928"/>
      <c r="I49" s="928"/>
      <c r="J49" s="928"/>
      <c r="K49" s="928"/>
      <c r="L49" s="928"/>
      <c r="M49" s="928"/>
      <c r="N49" s="928"/>
      <c r="O49" s="928"/>
      <c r="P49" s="928"/>
      <c r="Q49" s="928"/>
      <c r="R49" s="928"/>
      <c r="S49" s="928"/>
      <c r="T49" s="928"/>
      <c r="U49" s="928"/>
      <c r="V49" s="928"/>
      <c r="W49" s="928"/>
      <c r="X49" s="928"/>
      <c r="Y49" s="928"/>
      <c r="Z49" s="928"/>
      <c r="AA49" s="928"/>
    </row>
    <row r="50">
      <c r="A50" s="929">
        <v>45171.0</v>
      </c>
      <c r="B50" s="927" t="s">
        <v>1138</v>
      </c>
      <c r="C50" s="928"/>
      <c r="D50" s="928"/>
      <c r="E50" s="928"/>
      <c r="F50" s="928"/>
      <c r="G50" s="928"/>
      <c r="H50" s="928"/>
      <c r="I50" s="928"/>
      <c r="J50" s="928"/>
      <c r="K50" s="928"/>
      <c r="L50" s="928"/>
      <c r="M50" s="928"/>
      <c r="N50" s="928"/>
      <c r="O50" s="928"/>
      <c r="P50" s="928"/>
      <c r="Q50" s="928"/>
      <c r="R50" s="928"/>
      <c r="S50" s="928"/>
      <c r="T50" s="928"/>
      <c r="U50" s="928"/>
      <c r="V50" s="928"/>
      <c r="W50" s="928"/>
      <c r="X50" s="928"/>
      <c r="Y50" s="928"/>
      <c r="Z50" s="928"/>
      <c r="AA50" s="928"/>
    </row>
    <row r="51">
      <c r="A51" s="929">
        <v>45172.0</v>
      </c>
      <c r="B51" s="927" t="s">
        <v>1139</v>
      </c>
      <c r="C51" s="928"/>
      <c r="D51" s="928"/>
      <c r="E51" s="928"/>
      <c r="F51" s="928"/>
      <c r="G51" s="928"/>
      <c r="H51" s="928"/>
      <c r="I51" s="928"/>
      <c r="J51" s="928"/>
      <c r="K51" s="928"/>
      <c r="L51" s="928"/>
      <c r="M51" s="928"/>
      <c r="N51" s="928"/>
      <c r="O51" s="928"/>
      <c r="P51" s="928"/>
      <c r="Q51" s="928"/>
      <c r="R51" s="928"/>
      <c r="S51" s="928"/>
      <c r="T51" s="928"/>
      <c r="U51" s="928"/>
      <c r="V51" s="928"/>
      <c r="W51" s="928"/>
      <c r="X51" s="928"/>
      <c r="Y51" s="928"/>
      <c r="Z51" s="928"/>
      <c r="AA51" s="928"/>
    </row>
    <row r="52">
      <c r="A52" s="929">
        <v>45173.0</v>
      </c>
      <c r="B52" s="927" t="s">
        <v>1140</v>
      </c>
      <c r="C52" s="928"/>
      <c r="D52" s="928"/>
      <c r="E52" s="928"/>
      <c r="F52" s="928"/>
      <c r="G52" s="928"/>
      <c r="H52" s="928"/>
      <c r="I52" s="928"/>
      <c r="J52" s="928"/>
      <c r="K52" s="928"/>
      <c r="L52" s="928"/>
      <c r="M52" s="928"/>
      <c r="N52" s="928"/>
      <c r="O52" s="928"/>
      <c r="P52" s="928"/>
      <c r="Q52" s="928"/>
      <c r="R52" s="928"/>
      <c r="S52" s="928"/>
      <c r="T52" s="928"/>
      <c r="U52" s="928"/>
      <c r="V52" s="928"/>
      <c r="W52" s="928"/>
      <c r="X52" s="928"/>
      <c r="Y52" s="928"/>
      <c r="Z52" s="928"/>
      <c r="AA52" s="928"/>
    </row>
    <row r="53">
      <c r="A53" s="929">
        <v>45174.0</v>
      </c>
      <c r="B53" s="927" t="s">
        <v>1141</v>
      </c>
      <c r="C53" s="928"/>
      <c r="D53" s="928"/>
      <c r="E53" s="928"/>
      <c r="F53" s="928"/>
      <c r="G53" s="928"/>
      <c r="H53" s="928"/>
      <c r="I53" s="928"/>
      <c r="J53" s="928"/>
      <c r="K53" s="928"/>
      <c r="L53" s="928"/>
      <c r="M53" s="928"/>
      <c r="N53" s="928"/>
      <c r="O53" s="928"/>
      <c r="P53" s="928"/>
      <c r="Q53" s="928"/>
      <c r="R53" s="928"/>
      <c r="S53" s="928"/>
      <c r="T53" s="928"/>
      <c r="U53" s="928"/>
      <c r="V53" s="928"/>
      <c r="W53" s="928"/>
      <c r="X53" s="928"/>
      <c r="Y53" s="928"/>
      <c r="Z53" s="928"/>
      <c r="AA53" s="928"/>
    </row>
    <row r="54">
      <c r="A54" s="929">
        <v>45175.0</v>
      </c>
      <c r="B54" s="927" t="s">
        <v>1142</v>
      </c>
      <c r="C54" s="928"/>
      <c r="D54" s="928"/>
      <c r="E54" s="928"/>
      <c r="F54" s="928"/>
      <c r="G54" s="928"/>
      <c r="H54" s="928"/>
      <c r="I54" s="928"/>
      <c r="J54" s="928"/>
      <c r="K54" s="928"/>
      <c r="L54" s="928"/>
      <c r="M54" s="928"/>
      <c r="N54" s="928"/>
      <c r="O54" s="928"/>
      <c r="P54" s="928"/>
      <c r="Q54" s="928"/>
      <c r="R54" s="928"/>
      <c r="S54" s="928"/>
      <c r="T54" s="928"/>
      <c r="U54" s="928"/>
      <c r="V54" s="928"/>
      <c r="W54" s="928"/>
      <c r="X54" s="928"/>
      <c r="Y54" s="928"/>
      <c r="Z54" s="928"/>
      <c r="AA54" s="928"/>
    </row>
    <row r="55">
      <c r="A55" s="929">
        <v>45177.0</v>
      </c>
      <c r="B55" s="927" t="s">
        <v>1143</v>
      </c>
      <c r="C55" s="928"/>
      <c r="D55" s="928"/>
      <c r="E55" s="928"/>
      <c r="F55" s="928"/>
      <c r="G55" s="928"/>
      <c r="H55" s="928"/>
      <c r="I55" s="928"/>
      <c r="J55" s="928"/>
      <c r="K55" s="928"/>
      <c r="L55" s="928"/>
      <c r="M55" s="928"/>
      <c r="N55" s="928"/>
      <c r="O55" s="928"/>
      <c r="P55" s="928"/>
      <c r="Q55" s="928"/>
      <c r="R55" s="928"/>
      <c r="S55" s="928"/>
      <c r="T55" s="928"/>
      <c r="U55" s="928"/>
      <c r="V55" s="928"/>
      <c r="W55" s="928"/>
      <c r="X55" s="928"/>
      <c r="Y55" s="928"/>
      <c r="Z55" s="928"/>
      <c r="AA55" s="928"/>
    </row>
    <row r="56">
      <c r="A56" s="929">
        <v>45178.0</v>
      </c>
      <c r="B56" s="927" t="s">
        <v>1144</v>
      </c>
      <c r="C56" s="928"/>
      <c r="D56" s="928"/>
      <c r="E56" s="928"/>
      <c r="F56" s="928"/>
      <c r="G56" s="928"/>
      <c r="H56" s="928"/>
      <c r="I56" s="928"/>
      <c r="J56" s="928"/>
      <c r="K56" s="928"/>
      <c r="L56" s="928"/>
      <c r="M56" s="928"/>
      <c r="N56" s="928"/>
      <c r="O56" s="928"/>
      <c r="P56" s="928"/>
      <c r="Q56" s="928"/>
      <c r="R56" s="928"/>
      <c r="S56" s="928"/>
      <c r="T56" s="928"/>
      <c r="U56" s="928"/>
      <c r="V56" s="928"/>
      <c r="W56" s="928"/>
      <c r="X56" s="928"/>
      <c r="Y56" s="928"/>
      <c r="Z56" s="928"/>
      <c r="AA56" s="928"/>
    </row>
    <row r="57">
      <c r="A57" s="929">
        <v>45179.0</v>
      </c>
      <c r="B57" s="927" t="s">
        <v>1145</v>
      </c>
      <c r="C57" s="928"/>
      <c r="D57" s="928"/>
      <c r="E57" s="928"/>
      <c r="F57" s="928"/>
      <c r="G57" s="928"/>
      <c r="H57" s="928"/>
      <c r="I57" s="928"/>
      <c r="J57" s="928"/>
      <c r="K57" s="928"/>
      <c r="L57" s="928"/>
      <c r="M57" s="928"/>
      <c r="N57" s="928"/>
      <c r="O57" s="928"/>
      <c r="P57" s="928"/>
      <c r="Q57" s="928"/>
      <c r="R57" s="928"/>
      <c r="S57" s="928"/>
      <c r="T57" s="928"/>
      <c r="U57" s="928"/>
      <c r="V57" s="928"/>
      <c r="W57" s="928"/>
      <c r="X57" s="928"/>
      <c r="Y57" s="928"/>
      <c r="Z57" s="928"/>
      <c r="AA57" s="928"/>
    </row>
    <row r="58">
      <c r="A58" s="929">
        <v>45184.0</v>
      </c>
      <c r="B58" s="927" t="s">
        <v>1146</v>
      </c>
      <c r="C58" s="928"/>
      <c r="D58" s="928"/>
      <c r="E58" s="928"/>
      <c r="F58" s="928"/>
      <c r="G58" s="928"/>
      <c r="H58" s="928"/>
      <c r="I58" s="928"/>
      <c r="J58" s="928"/>
      <c r="K58" s="928"/>
      <c r="L58" s="928"/>
      <c r="M58" s="928"/>
      <c r="N58" s="928"/>
      <c r="O58" s="928"/>
      <c r="P58" s="928"/>
      <c r="Q58" s="928"/>
      <c r="R58" s="928"/>
      <c r="S58" s="928"/>
      <c r="T58" s="928"/>
      <c r="U58" s="928"/>
      <c r="V58" s="928"/>
      <c r="W58" s="928"/>
      <c r="X58" s="928"/>
      <c r="Y58" s="928"/>
      <c r="Z58" s="928"/>
      <c r="AA58" s="928"/>
    </row>
    <row r="59">
      <c r="A59" s="929">
        <v>45185.0</v>
      </c>
      <c r="B59" s="927" t="s">
        <v>1147</v>
      </c>
      <c r="C59" s="928"/>
      <c r="D59" s="928"/>
      <c r="E59" s="928"/>
      <c r="F59" s="928"/>
      <c r="G59" s="928"/>
      <c r="H59" s="928"/>
      <c r="I59" s="928"/>
      <c r="J59" s="928"/>
      <c r="K59" s="928"/>
      <c r="L59" s="928"/>
      <c r="M59" s="928"/>
      <c r="N59" s="928"/>
      <c r="O59" s="928"/>
      <c r="P59" s="928"/>
      <c r="Q59" s="928"/>
      <c r="R59" s="928"/>
      <c r="S59" s="928"/>
      <c r="T59" s="928"/>
      <c r="U59" s="928"/>
      <c r="V59" s="928"/>
      <c r="W59" s="928"/>
      <c r="X59" s="928"/>
      <c r="Y59" s="928"/>
      <c r="Z59" s="928"/>
      <c r="AA59" s="928"/>
    </row>
    <row r="60">
      <c r="A60" s="929">
        <v>45186.0</v>
      </c>
      <c r="B60" s="927" t="s">
        <v>1148</v>
      </c>
      <c r="C60" s="928"/>
      <c r="D60" s="928"/>
      <c r="E60" s="928"/>
      <c r="F60" s="928"/>
      <c r="G60" s="928"/>
      <c r="H60" s="928"/>
      <c r="I60" s="928"/>
      <c r="J60" s="928"/>
      <c r="K60" s="928"/>
      <c r="L60" s="928"/>
      <c r="M60" s="928"/>
      <c r="N60" s="928"/>
      <c r="O60" s="928"/>
      <c r="P60" s="928"/>
      <c r="Q60" s="928"/>
      <c r="R60" s="928"/>
      <c r="S60" s="928"/>
      <c r="T60" s="928"/>
      <c r="U60" s="928"/>
      <c r="V60" s="928"/>
      <c r="W60" s="928"/>
      <c r="X60" s="928"/>
      <c r="Y60" s="928"/>
      <c r="Z60" s="928"/>
      <c r="AA60" s="928"/>
    </row>
    <row r="61">
      <c r="A61" s="929">
        <v>45188.0</v>
      </c>
      <c r="B61" s="927" t="s">
        <v>1149</v>
      </c>
      <c r="C61" s="928"/>
      <c r="D61" s="928"/>
      <c r="E61" s="928"/>
      <c r="F61" s="928"/>
      <c r="G61" s="928"/>
      <c r="H61" s="928"/>
      <c r="I61" s="928"/>
      <c r="J61" s="928"/>
      <c r="K61" s="928"/>
      <c r="L61" s="928"/>
      <c r="M61" s="928"/>
      <c r="N61" s="928"/>
      <c r="O61" s="928"/>
      <c r="P61" s="928"/>
      <c r="Q61" s="928"/>
      <c r="R61" s="928"/>
      <c r="S61" s="928"/>
      <c r="T61" s="928"/>
      <c r="U61" s="928"/>
      <c r="V61" s="928"/>
      <c r="W61" s="928"/>
      <c r="X61" s="928"/>
      <c r="Y61" s="928"/>
      <c r="Z61" s="928"/>
      <c r="AA61" s="928"/>
    </row>
    <row r="62">
      <c r="A62" s="929">
        <v>45189.0</v>
      </c>
      <c r="B62" s="927" t="s">
        <v>1150</v>
      </c>
      <c r="C62" s="928"/>
      <c r="D62" s="928"/>
      <c r="E62" s="928"/>
      <c r="F62" s="928"/>
      <c r="G62" s="928"/>
      <c r="H62" s="928"/>
      <c r="I62" s="928"/>
      <c r="J62" s="928"/>
      <c r="K62" s="928"/>
      <c r="L62" s="928"/>
      <c r="M62" s="928"/>
      <c r="N62" s="928"/>
      <c r="O62" s="928"/>
      <c r="P62" s="928"/>
      <c r="Q62" s="928"/>
      <c r="R62" s="928"/>
      <c r="S62" s="928"/>
      <c r="T62" s="928"/>
      <c r="U62" s="928"/>
      <c r="V62" s="928"/>
      <c r="W62" s="928"/>
      <c r="X62" s="928"/>
      <c r="Y62" s="928"/>
      <c r="Z62" s="928"/>
      <c r="AA62" s="928"/>
    </row>
    <row r="63">
      <c r="A63" s="929">
        <v>45192.0</v>
      </c>
      <c r="B63" s="927" t="s">
        <v>1151</v>
      </c>
      <c r="C63" s="928"/>
      <c r="D63" s="928"/>
      <c r="E63" s="928"/>
      <c r="F63" s="928"/>
      <c r="G63" s="928"/>
      <c r="H63" s="928"/>
      <c r="I63" s="928"/>
      <c r="J63" s="928"/>
      <c r="K63" s="928"/>
      <c r="L63" s="928"/>
      <c r="M63" s="928"/>
      <c r="N63" s="928"/>
      <c r="O63" s="928"/>
      <c r="P63" s="928"/>
      <c r="Q63" s="928"/>
      <c r="R63" s="928"/>
      <c r="S63" s="928"/>
      <c r="T63" s="928"/>
      <c r="U63" s="928"/>
      <c r="V63" s="928"/>
      <c r="W63" s="928"/>
      <c r="X63" s="928"/>
      <c r="Y63" s="928"/>
      <c r="Z63" s="928"/>
      <c r="AA63" s="928"/>
    </row>
    <row r="64">
      <c r="A64" s="929">
        <v>45193.0</v>
      </c>
      <c r="B64" s="927" t="s">
        <v>1152</v>
      </c>
      <c r="C64" s="928"/>
      <c r="D64" s="928"/>
      <c r="E64" s="928"/>
      <c r="F64" s="928"/>
      <c r="G64" s="928"/>
      <c r="H64" s="928"/>
      <c r="I64" s="928"/>
      <c r="J64" s="928"/>
      <c r="K64" s="928"/>
      <c r="L64" s="928"/>
      <c r="M64" s="928"/>
      <c r="N64" s="928"/>
      <c r="O64" s="928"/>
      <c r="P64" s="928"/>
      <c r="Q64" s="928"/>
      <c r="R64" s="928"/>
      <c r="S64" s="928"/>
      <c r="T64" s="928"/>
      <c r="U64" s="928"/>
      <c r="V64" s="928"/>
      <c r="W64" s="928"/>
      <c r="X64" s="928"/>
      <c r="Y64" s="928"/>
      <c r="Z64" s="928"/>
      <c r="AA64" s="928"/>
    </row>
    <row r="65">
      <c r="A65" s="929">
        <v>45194.0</v>
      </c>
      <c r="B65" s="927" t="s">
        <v>1153</v>
      </c>
      <c r="C65" s="928"/>
      <c r="D65" s="928"/>
      <c r="E65" s="928"/>
      <c r="F65" s="928"/>
      <c r="G65" s="928"/>
      <c r="H65" s="928"/>
      <c r="I65" s="928"/>
      <c r="J65" s="928"/>
      <c r="K65" s="928"/>
      <c r="L65" s="928"/>
      <c r="M65" s="928"/>
      <c r="N65" s="928"/>
      <c r="O65" s="928"/>
      <c r="P65" s="928"/>
      <c r="Q65" s="928"/>
      <c r="R65" s="928"/>
      <c r="S65" s="928"/>
      <c r="T65" s="928"/>
      <c r="U65" s="928"/>
      <c r="V65" s="928"/>
      <c r="W65" s="928"/>
      <c r="X65" s="928"/>
      <c r="Y65" s="928"/>
      <c r="Z65" s="928"/>
      <c r="AA65" s="928"/>
    </row>
    <row r="66">
      <c r="A66" s="929">
        <v>45197.0</v>
      </c>
      <c r="B66" s="927" t="s">
        <v>1154</v>
      </c>
      <c r="C66" s="928"/>
      <c r="D66" s="928"/>
      <c r="E66" s="928"/>
      <c r="F66" s="928"/>
      <c r="G66" s="928"/>
      <c r="H66" s="928"/>
      <c r="I66" s="928"/>
      <c r="J66" s="928"/>
      <c r="K66" s="928"/>
      <c r="L66" s="928"/>
      <c r="M66" s="928"/>
      <c r="N66" s="928"/>
      <c r="O66" s="928"/>
      <c r="P66" s="928"/>
      <c r="Q66" s="928"/>
      <c r="R66" s="928"/>
      <c r="S66" s="928"/>
      <c r="T66" s="928"/>
      <c r="U66" s="928"/>
      <c r="V66" s="928"/>
      <c r="W66" s="928"/>
      <c r="X66" s="928"/>
      <c r="Y66" s="928"/>
      <c r="Z66" s="928"/>
      <c r="AA66" s="928"/>
    </row>
    <row r="67">
      <c r="A67" s="929">
        <v>45202.0</v>
      </c>
      <c r="B67" s="927" t="s">
        <v>1155</v>
      </c>
      <c r="C67" s="928"/>
      <c r="D67" s="928"/>
      <c r="E67" s="928"/>
      <c r="F67" s="928"/>
      <c r="G67" s="928"/>
      <c r="H67" s="928"/>
      <c r="I67" s="928"/>
      <c r="J67" s="928"/>
      <c r="K67" s="928"/>
      <c r="L67" s="928"/>
      <c r="M67" s="928"/>
      <c r="N67" s="928"/>
      <c r="O67" s="928"/>
      <c r="P67" s="928"/>
      <c r="Q67" s="928"/>
      <c r="R67" s="928"/>
      <c r="S67" s="928"/>
      <c r="T67" s="928"/>
      <c r="U67" s="928"/>
      <c r="V67" s="928"/>
      <c r="W67" s="928"/>
      <c r="X67" s="928"/>
      <c r="Y67" s="928"/>
      <c r="Z67" s="928"/>
      <c r="AA67" s="928"/>
    </row>
    <row r="68">
      <c r="A68" s="929">
        <v>45210.0</v>
      </c>
      <c r="B68" s="927" t="s">
        <v>1156</v>
      </c>
      <c r="C68" s="928"/>
      <c r="D68" s="928"/>
      <c r="E68" s="928"/>
      <c r="F68" s="928"/>
      <c r="G68" s="928"/>
      <c r="H68" s="928"/>
      <c r="I68" s="928"/>
      <c r="J68" s="928"/>
      <c r="K68" s="928"/>
      <c r="L68" s="928"/>
      <c r="M68" s="928"/>
      <c r="N68" s="928"/>
      <c r="O68" s="928"/>
      <c r="P68" s="928"/>
      <c r="Q68" s="928"/>
      <c r="R68" s="928"/>
      <c r="S68" s="928"/>
      <c r="T68" s="928"/>
      <c r="U68" s="928"/>
      <c r="V68" s="928"/>
      <c r="W68" s="928"/>
      <c r="X68" s="928"/>
      <c r="Y68" s="928"/>
      <c r="Z68" s="928"/>
      <c r="AA68" s="928"/>
    </row>
    <row r="69">
      <c r="A69" s="929">
        <v>45212.0</v>
      </c>
      <c r="B69" s="927" t="s">
        <v>1157</v>
      </c>
      <c r="C69" s="928"/>
      <c r="D69" s="928"/>
      <c r="E69" s="928"/>
      <c r="F69" s="928"/>
      <c r="G69" s="928"/>
      <c r="H69" s="928"/>
      <c r="I69" s="928"/>
      <c r="J69" s="928"/>
      <c r="K69" s="928"/>
      <c r="L69" s="928"/>
      <c r="M69" s="928"/>
      <c r="N69" s="928"/>
      <c r="O69" s="928"/>
      <c r="P69" s="928"/>
      <c r="Q69" s="928"/>
      <c r="R69" s="928"/>
      <c r="S69" s="928"/>
      <c r="T69" s="928"/>
      <c r="U69" s="928"/>
      <c r="V69" s="928"/>
      <c r="W69" s="928"/>
      <c r="X69" s="928"/>
      <c r="Y69" s="928"/>
      <c r="Z69" s="928"/>
      <c r="AA69" s="928"/>
    </row>
    <row r="70">
      <c r="A70" s="929">
        <v>45213.0</v>
      </c>
      <c r="B70" s="927" t="s">
        <v>1158</v>
      </c>
      <c r="C70" s="928"/>
      <c r="D70" s="928"/>
      <c r="E70" s="928"/>
      <c r="F70" s="928"/>
      <c r="G70" s="928"/>
      <c r="H70" s="928"/>
      <c r="I70" s="928"/>
      <c r="J70" s="928"/>
      <c r="K70" s="928"/>
      <c r="L70" s="928"/>
      <c r="M70" s="928"/>
      <c r="N70" s="928"/>
      <c r="O70" s="928"/>
      <c r="P70" s="928"/>
      <c r="Q70" s="928"/>
      <c r="R70" s="928"/>
      <c r="S70" s="928"/>
      <c r="T70" s="928"/>
      <c r="U70" s="928"/>
      <c r="V70" s="928"/>
      <c r="W70" s="928"/>
      <c r="X70" s="928"/>
      <c r="Y70" s="928"/>
      <c r="Z70" s="928"/>
      <c r="AA70" s="928"/>
    </row>
    <row r="71">
      <c r="A71" s="929">
        <v>45215.0</v>
      </c>
      <c r="B71" s="927" t="s">
        <v>1159</v>
      </c>
      <c r="C71" s="928"/>
      <c r="D71" s="928"/>
      <c r="E71" s="928"/>
      <c r="F71" s="928"/>
      <c r="G71" s="928"/>
      <c r="H71" s="928"/>
      <c r="I71" s="928"/>
      <c r="J71" s="928"/>
      <c r="K71" s="928"/>
      <c r="L71" s="928"/>
      <c r="M71" s="928"/>
      <c r="N71" s="928"/>
      <c r="O71" s="928"/>
      <c r="P71" s="928"/>
      <c r="Q71" s="928"/>
      <c r="R71" s="928"/>
      <c r="S71" s="928"/>
      <c r="T71" s="928"/>
      <c r="U71" s="928"/>
      <c r="V71" s="928"/>
      <c r="W71" s="928"/>
      <c r="X71" s="928"/>
      <c r="Y71" s="928"/>
      <c r="Z71" s="928"/>
      <c r="AA71" s="928"/>
    </row>
    <row r="72" ht="92.25" customHeight="1">
      <c r="A72" s="929">
        <v>45216.0</v>
      </c>
      <c r="B72" s="927" t="s">
        <v>1160</v>
      </c>
      <c r="C72" s="928"/>
      <c r="D72" s="928"/>
      <c r="E72" s="928"/>
      <c r="F72" s="928"/>
      <c r="G72" s="928"/>
      <c r="H72" s="928"/>
      <c r="I72" s="928"/>
      <c r="J72" s="928"/>
      <c r="K72" s="928"/>
      <c r="L72" s="928"/>
      <c r="M72" s="928"/>
      <c r="N72" s="928"/>
      <c r="O72" s="928"/>
      <c r="P72" s="928"/>
      <c r="Q72" s="928"/>
      <c r="R72" s="928"/>
      <c r="S72" s="928"/>
      <c r="T72" s="928"/>
      <c r="U72" s="928"/>
      <c r="V72" s="928"/>
      <c r="W72" s="928"/>
      <c r="X72" s="928"/>
      <c r="Y72" s="928"/>
      <c r="Z72" s="928"/>
      <c r="AA72" s="928"/>
    </row>
    <row r="73">
      <c r="A73" s="929">
        <v>45218.0</v>
      </c>
      <c r="B73" s="927" t="s">
        <v>1161</v>
      </c>
      <c r="C73" s="928"/>
      <c r="D73" s="928"/>
      <c r="E73" s="928"/>
      <c r="F73" s="928"/>
      <c r="G73" s="928"/>
      <c r="H73" s="928"/>
      <c r="I73" s="928"/>
      <c r="J73" s="928"/>
      <c r="K73" s="928"/>
      <c r="L73" s="928"/>
      <c r="M73" s="928"/>
      <c r="N73" s="928"/>
      <c r="O73" s="928"/>
      <c r="P73" s="928"/>
      <c r="Q73" s="928"/>
      <c r="R73" s="928"/>
      <c r="S73" s="928"/>
      <c r="T73" s="928"/>
      <c r="U73" s="928"/>
      <c r="V73" s="928"/>
      <c r="W73" s="928"/>
      <c r="X73" s="928"/>
      <c r="Y73" s="928"/>
      <c r="Z73" s="928"/>
      <c r="AA73" s="928"/>
    </row>
    <row r="74">
      <c r="A74" s="929">
        <v>45222.0</v>
      </c>
      <c r="B74" s="927" t="s">
        <v>1162</v>
      </c>
      <c r="C74" s="928"/>
      <c r="D74" s="928"/>
      <c r="E74" s="928"/>
      <c r="F74" s="928"/>
      <c r="G74" s="928"/>
      <c r="H74" s="928"/>
      <c r="I74" s="928"/>
      <c r="J74" s="928"/>
      <c r="K74" s="928"/>
      <c r="L74" s="928"/>
      <c r="M74" s="928"/>
      <c r="N74" s="928"/>
      <c r="O74" s="928"/>
      <c r="P74" s="928"/>
      <c r="Q74" s="928"/>
      <c r="R74" s="928"/>
      <c r="S74" s="928"/>
      <c r="T74" s="928"/>
      <c r="U74" s="928"/>
      <c r="V74" s="928"/>
      <c r="W74" s="928"/>
      <c r="X74" s="928"/>
      <c r="Y74" s="928"/>
      <c r="Z74" s="928"/>
      <c r="AA74" s="928"/>
    </row>
    <row r="75">
      <c r="A75" s="929">
        <v>45223.0</v>
      </c>
      <c r="B75" s="927" t="s">
        <v>1163</v>
      </c>
      <c r="C75" s="928"/>
      <c r="D75" s="928"/>
      <c r="E75" s="928"/>
      <c r="F75" s="928"/>
      <c r="G75" s="928"/>
      <c r="H75" s="928"/>
      <c r="I75" s="928"/>
      <c r="J75" s="928"/>
      <c r="K75" s="928"/>
      <c r="L75" s="928"/>
      <c r="M75" s="928"/>
      <c r="N75" s="928"/>
      <c r="O75" s="928"/>
      <c r="P75" s="928"/>
      <c r="Q75" s="928"/>
      <c r="R75" s="928"/>
      <c r="S75" s="928"/>
      <c r="T75" s="928"/>
      <c r="U75" s="928"/>
      <c r="V75" s="928"/>
      <c r="W75" s="928"/>
      <c r="X75" s="928"/>
      <c r="Y75" s="928"/>
      <c r="Z75" s="928"/>
      <c r="AA75" s="928"/>
    </row>
    <row r="76">
      <c r="A76" s="929">
        <v>45229.0</v>
      </c>
      <c r="B76" s="931" t="s">
        <v>1164</v>
      </c>
      <c r="C76" s="928"/>
      <c r="D76" s="928"/>
      <c r="E76" s="928"/>
      <c r="F76" s="928"/>
      <c r="G76" s="928"/>
      <c r="H76" s="928"/>
      <c r="I76" s="928"/>
      <c r="J76" s="928"/>
      <c r="K76" s="928"/>
      <c r="L76" s="928"/>
      <c r="M76" s="928"/>
      <c r="N76" s="928"/>
      <c r="O76" s="928"/>
      <c r="P76" s="928"/>
      <c r="Q76" s="928"/>
      <c r="R76" s="928"/>
      <c r="S76" s="928"/>
      <c r="T76" s="928"/>
      <c r="U76" s="928"/>
      <c r="V76" s="928"/>
      <c r="W76" s="928"/>
      <c r="X76" s="928"/>
      <c r="Y76" s="928"/>
      <c r="Z76" s="928"/>
      <c r="AA76" s="928"/>
    </row>
    <row r="77">
      <c r="A77" s="929">
        <v>45237.0</v>
      </c>
      <c r="B77" s="927" t="s">
        <v>1165</v>
      </c>
      <c r="C77" s="928"/>
      <c r="D77" s="928"/>
      <c r="E77" s="928"/>
      <c r="F77" s="928"/>
      <c r="G77" s="928"/>
      <c r="H77" s="928"/>
      <c r="I77" s="928"/>
      <c r="J77" s="928"/>
      <c r="K77" s="928"/>
      <c r="L77" s="928"/>
      <c r="M77" s="928"/>
      <c r="N77" s="928"/>
      <c r="O77" s="928"/>
      <c r="P77" s="928"/>
      <c r="Q77" s="928"/>
      <c r="R77" s="928"/>
      <c r="S77" s="928"/>
      <c r="T77" s="928"/>
      <c r="U77" s="928"/>
      <c r="V77" s="928"/>
      <c r="W77" s="928"/>
      <c r="X77" s="928"/>
      <c r="Y77" s="928"/>
      <c r="Z77" s="928"/>
      <c r="AA77" s="928"/>
    </row>
    <row r="78" ht="48.75" customHeight="1">
      <c r="A78" s="929">
        <v>45262.0</v>
      </c>
      <c r="B78" s="927" t="s">
        <v>1166</v>
      </c>
      <c r="C78" s="928"/>
      <c r="D78" s="928"/>
      <c r="E78" s="928"/>
      <c r="F78" s="928"/>
      <c r="G78" s="928"/>
      <c r="H78" s="928"/>
      <c r="I78" s="928"/>
      <c r="J78" s="928"/>
      <c r="K78" s="928"/>
      <c r="L78" s="928"/>
      <c r="M78" s="928"/>
      <c r="N78" s="928"/>
      <c r="O78" s="928"/>
      <c r="P78" s="928"/>
      <c r="Q78" s="928"/>
      <c r="R78" s="928"/>
      <c r="S78" s="928"/>
      <c r="T78" s="928"/>
      <c r="U78" s="928"/>
      <c r="V78" s="928"/>
      <c r="W78" s="928"/>
      <c r="X78" s="928"/>
      <c r="Y78" s="928"/>
      <c r="Z78" s="928"/>
      <c r="AA78" s="928"/>
    </row>
    <row r="79">
      <c r="A79" s="929">
        <v>45263.0</v>
      </c>
      <c r="B79" s="927" t="s">
        <v>1167</v>
      </c>
      <c r="C79" s="928"/>
      <c r="D79" s="928"/>
      <c r="E79" s="928"/>
      <c r="F79" s="928"/>
      <c r="G79" s="928"/>
      <c r="H79" s="928"/>
      <c r="I79" s="928"/>
      <c r="J79" s="928"/>
      <c r="K79" s="928"/>
      <c r="L79" s="928"/>
      <c r="M79" s="928"/>
      <c r="N79" s="928"/>
      <c r="O79" s="928"/>
      <c r="P79" s="928"/>
      <c r="Q79" s="928"/>
      <c r="R79" s="928"/>
      <c r="S79" s="928"/>
      <c r="T79" s="928"/>
      <c r="U79" s="928"/>
      <c r="V79" s="928"/>
      <c r="W79" s="928"/>
      <c r="X79" s="928"/>
      <c r="Y79" s="928"/>
      <c r="Z79" s="928"/>
      <c r="AA79" s="928"/>
    </row>
    <row r="80">
      <c r="A80" s="929">
        <v>45265.0</v>
      </c>
      <c r="B80" s="927" t="s">
        <v>1168</v>
      </c>
      <c r="C80" s="928"/>
      <c r="D80" s="928"/>
      <c r="E80" s="928"/>
      <c r="F80" s="928"/>
      <c r="G80" s="928"/>
      <c r="H80" s="928"/>
      <c r="I80" s="928"/>
      <c r="J80" s="928"/>
      <c r="K80" s="928"/>
      <c r="L80" s="928"/>
      <c r="M80" s="928"/>
      <c r="N80" s="928"/>
      <c r="O80" s="928"/>
      <c r="P80" s="928"/>
      <c r="Q80" s="928"/>
      <c r="R80" s="928"/>
      <c r="S80" s="928"/>
      <c r="T80" s="928"/>
      <c r="U80" s="928"/>
      <c r="V80" s="928"/>
      <c r="W80" s="928"/>
      <c r="X80" s="928"/>
      <c r="Y80" s="928"/>
      <c r="Z80" s="928"/>
      <c r="AA80" s="928"/>
    </row>
    <row r="81">
      <c r="A81" s="929">
        <v>45272.0</v>
      </c>
      <c r="B81" s="927" t="s">
        <v>1169</v>
      </c>
      <c r="C81" s="928"/>
      <c r="D81" s="928"/>
      <c r="E81" s="928"/>
      <c r="F81" s="928"/>
      <c r="G81" s="928"/>
      <c r="H81" s="928"/>
      <c r="I81" s="928"/>
      <c r="J81" s="928"/>
      <c r="K81" s="928"/>
      <c r="L81" s="928"/>
      <c r="M81" s="928"/>
      <c r="N81" s="928"/>
      <c r="O81" s="928"/>
      <c r="P81" s="928"/>
      <c r="Q81" s="928"/>
      <c r="R81" s="928"/>
      <c r="S81" s="928"/>
      <c r="T81" s="928"/>
      <c r="U81" s="928"/>
      <c r="V81" s="928"/>
      <c r="W81" s="928"/>
      <c r="X81" s="928"/>
      <c r="Y81" s="928"/>
      <c r="Z81" s="928"/>
      <c r="AA81" s="928"/>
    </row>
    <row r="82">
      <c r="A82" s="929">
        <v>45276.0</v>
      </c>
      <c r="B82" s="927" t="s">
        <v>1170</v>
      </c>
      <c r="C82" s="928"/>
      <c r="D82" s="928"/>
      <c r="E82" s="928"/>
      <c r="F82" s="928"/>
      <c r="G82" s="928"/>
      <c r="H82" s="928"/>
      <c r="I82" s="928"/>
      <c r="J82" s="928"/>
      <c r="K82" s="928"/>
      <c r="L82" s="928"/>
      <c r="M82" s="928"/>
      <c r="N82" s="928"/>
      <c r="O82" s="928"/>
      <c r="P82" s="928"/>
      <c r="Q82" s="928"/>
      <c r="R82" s="928"/>
      <c r="S82" s="928"/>
      <c r="T82" s="928"/>
      <c r="U82" s="928"/>
      <c r="V82" s="928"/>
      <c r="W82" s="928"/>
      <c r="X82" s="928"/>
      <c r="Y82" s="928"/>
      <c r="Z82" s="928"/>
      <c r="AA82" s="928"/>
    </row>
    <row r="83">
      <c r="A83" s="929">
        <v>45305.0</v>
      </c>
      <c r="B83" s="927" t="s">
        <v>1171</v>
      </c>
      <c r="C83" s="928"/>
      <c r="D83" s="928"/>
      <c r="E83" s="928"/>
      <c r="F83" s="928"/>
      <c r="G83" s="928"/>
      <c r="H83" s="928"/>
      <c r="I83" s="928"/>
      <c r="J83" s="928"/>
      <c r="K83" s="928"/>
      <c r="L83" s="928"/>
      <c r="M83" s="928"/>
      <c r="N83" s="928"/>
      <c r="O83" s="928"/>
      <c r="P83" s="928"/>
      <c r="Q83" s="928"/>
      <c r="R83" s="928"/>
      <c r="S83" s="928"/>
      <c r="T83" s="928"/>
      <c r="U83" s="928"/>
      <c r="V83" s="928"/>
      <c r="W83" s="928"/>
      <c r="X83" s="928"/>
      <c r="Y83" s="928"/>
      <c r="Z83" s="928"/>
      <c r="AA83" s="928"/>
    </row>
    <row r="84" ht="58.5" customHeight="1">
      <c r="A84" s="929">
        <v>45358.0</v>
      </c>
      <c r="B84" s="927" t="s">
        <v>1172</v>
      </c>
      <c r="C84" s="928"/>
      <c r="D84" s="928"/>
      <c r="E84" s="928"/>
      <c r="F84" s="928"/>
      <c r="G84" s="928"/>
      <c r="H84" s="928"/>
      <c r="I84" s="928"/>
      <c r="J84" s="928"/>
      <c r="K84" s="928"/>
      <c r="L84" s="928"/>
      <c r="M84" s="928"/>
      <c r="N84" s="928"/>
      <c r="O84" s="928"/>
      <c r="P84" s="928"/>
      <c r="Q84" s="928"/>
      <c r="R84" s="928"/>
      <c r="S84" s="928"/>
      <c r="T84" s="928"/>
      <c r="U84" s="928"/>
      <c r="V84" s="928"/>
      <c r="W84" s="928"/>
      <c r="X84" s="928"/>
      <c r="Y84" s="928"/>
      <c r="Z84" s="928"/>
      <c r="AA84" s="928"/>
    </row>
    <row r="85">
      <c r="A85" s="929">
        <v>45366.0</v>
      </c>
      <c r="B85" s="927" t="s">
        <v>1173</v>
      </c>
      <c r="C85" s="928"/>
      <c r="D85" s="928"/>
      <c r="E85" s="928"/>
      <c r="F85" s="928"/>
      <c r="G85" s="928"/>
      <c r="H85" s="928"/>
      <c r="I85" s="928"/>
      <c r="J85" s="928"/>
      <c r="K85" s="928"/>
      <c r="L85" s="928"/>
      <c r="M85" s="928"/>
      <c r="N85" s="928"/>
      <c r="O85" s="928"/>
      <c r="P85" s="928"/>
      <c r="Q85" s="928"/>
      <c r="R85" s="928"/>
      <c r="S85" s="928"/>
      <c r="T85" s="928"/>
      <c r="U85" s="928"/>
      <c r="V85" s="928"/>
      <c r="W85" s="928"/>
      <c r="X85" s="928"/>
      <c r="Y85" s="928"/>
      <c r="Z85" s="928"/>
      <c r="AA85" s="928"/>
    </row>
    <row r="86">
      <c r="A86" s="929">
        <v>45381.0</v>
      </c>
      <c r="B86" s="927" t="s">
        <v>1174</v>
      </c>
      <c r="C86" s="928"/>
      <c r="D86" s="928"/>
      <c r="E86" s="928"/>
      <c r="F86" s="928"/>
      <c r="G86" s="928"/>
      <c r="H86" s="928"/>
      <c r="I86" s="928"/>
      <c r="J86" s="928"/>
      <c r="K86" s="928"/>
      <c r="L86" s="928"/>
      <c r="M86" s="928"/>
      <c r="N86" s="928"/>
      <c r="O86" s="928"/>
      <c r="P86" s="928"/>
      <c r="Q86" s="928"/>
      <c r="R86" s="928"/>
      <c r="S86" s="928"/>
      <c r="T86" s="928"/>
      <c r="U86" s="928"/>
      <c r="V86" s="928"/>
      <c r="W86" s="928"/>
      <c r="X86" s="928"/>
      <c r="Y86" s="928"/>
      <c r="Z86" s="928"/>
      <c r="AA86" s="928"/>
    </row>
    <row r="87">
      <c r="A87" s="929">
        <v>45382.0</v>
      </c>
      <c r="B87" s="927" t="s">
        <v>1175</v>
      </c>
      <c r="C87" s="928"/>
      <c r="D87" s="928"/>
      <c r="E87" s="928"/>
      <c r="F87" s="928"/>
      <c r="G87" s="928"/>
      <c r="H87" s="928"/>
      <c r="I87" s="928"/>
      <c r="J87" s="928"/>
      <c r="K87" s="928"/>
      <c r="L87" s="928"/>
      <c r="M87" s="928"/>
      <c r="N87" s="928"/>
      <c r="O87" s="928"/>
      <c r="P87" s="928"/>
      <c r="Q87" s="928"/>
      <c r="R87" s="928"/>
      <c r="S87" s="928"/>
      <c r="T87" s="928"/>
      <c r="U87" s="928"/>
      <c r="V87" s="928"/>
      <c r="W87" s="928"/>
      <c r="X87" s="928"/>
      <c r="Y87" s="928"/>
      <c r="Z87" s="928"/>
      <c r="AA87" s="928"/>
    </row>
    <row r="88" ht="43.5" customHeight="1">
      <c r="A88" s="929">
        <v>45392.0</v>
      </c>
      <c r="B88" s="927" t="s">
        <v>1176</v>
      </c>
      <c r="C88" s="928"/>
      <c r="D88" s="928"/>
      <c r="E88" s="928"/>
      <c r="F88" s="928"/>
      <c r="G88" s="928"/>
      <c r="H88" s="928"/>
      <c r="I88" s="928"/>
      <c r="J88" s="928"/>
      <c r="K88" s="928"/>
      <c r="L88" s="928"/>
      <c r="M88" s="928"/>
      <c r="N88" s="928"/>
      <c r="O88" s="928"/>
      <c r="P88" s="928"/>
      <c r="Q88" s="928"/>
      <c r="R88" s="928"/>
      <c r="S88" s="928"/>
      <c r="T88" s="928"/>
      <c r="U88" s="928"/>
      <c r="V88" s="928"/>
      <c r="W88" s="928"/>
      <c r="X88" s="928"/>
      <c r="Y88" s="928"/>
      <c r="Z88" s="928"/>
      <c r="AA88" s="928"/>
    </row>
    <row r="89">
      <c r="A89" s="929">
        <v>45394.0</v>
      </c>
      <c r="B89" s="927" t="s">
        <v>1177</v>
      </c>
      <c r="C89" s="928"/>
      <c r="D89" s="928"/>
      <c r="E89" s="928"/>
      <c r="F89" s="928"/>
      <c r="G89" s="928"/>
      <c r="H89" s="928"/>
      <c r="I89" s="928"/>
      <c r="J89" s="928"/>
      <c r="K89" s="928"/>
      <c r="L89" s="928"/>
      <c r="M89" s="928"/>
      <c r="N89" s="928"/>
      <c r="O89" s="928"/>
      <c r="P89" s="928"/>
      <c r="Q89" s="928"/>
      <c r="R89" s="928"/>
      <c r="S89" s="928"/>
      <c r="T89" s="928"/>
      <c r="U89" s="928"/>
      <c r="V89" s="928"/>
      <c r="W89" s="928"/>
      <c r="X89" s="928"/>
      <c r="Y89" s="928"/>
      <c r="Z89" s="928"/>
      <c r="AA89" s="928"/>
    </row>
    <row r="90">
      <c r="A90" s="929">
        <v>45395.0</v>
      </c>
      <c r="B90" s="927" t="s">
        <v>1178</v>
      </c>
      <c r="C90" s="928"/>
      <c r="D90" s="928"/>
      <c r="E90" s="928"/>
      <c r="F90" s="928"/>
      <c r="G90" s="928"/>
      <c r="H90" s="928"/>
      <c r="I90" s="928"/>
      <c r="J90" s="928"/>
      <c r="K90" s="928"/>
      <c r="L90" s="928"/>
      <c r="M90" s="928"/>
      <c r="N90" s="928"/>
      <c r="O90" s="928"/>
      <c r="P90" s="928"/>
      <c r="Q90" s="928"/>
      <c r="R90" s="928"/>
      <c r="S90" s="928"/>
      <c r="T90" s="928"/>
      <c r="U90" s="928"/>
      <c r="V90" s="928"/>
      <c r="W90" s="928"/>
      <c r="X90" s="928"/>
      <c r="Y90" s="928"/>
      <c r="Z90" s="928"/>
      <c r="AA90" s="928"/>
    </row>
    <row r="91">
      <c r="A91" s="929">
        <v>45397.0</v>
      </c>
      <c r="B91" s="927" t="s">
        <v>1179</v>
      </c>
      <c r="C91" s="928"/>
      <c r="D91" s="928"/>
      <c r="E91" s="928"/>
      <c r="F91" s="928"/>
      <c r="G91" s="928"/>
      <c r="H91" s="928"/>
      <c r="I91" s="928"/>
      <c r="J91" s="928"/>
      <c r="K91" s="928"/>
      <c r="L91" s="928"/>
      <c r="M91" s="928"/>
      <c r="N91" s="928"/>
      <c r="O91" s="928"/>
      <c r="P91" s="928"/>
      <c r="Q91" s="928"/>
      <c r="R91" s="928"/>
      <c r="S91" s="928"/>
      <c r="T91" s="928"/>
      <c r="U91" s="928"/>
      <c r="V91" s="928"/>
      <c r="W91" s="928"/>
      <c r="X91" s="928"/>
      <c r="Y91" s="928"/>
      <c r="Z91" s="928"/>
      <c r="AA91" s="928"/>
    </row>
    <row r="92">
      <c r="A92" s="929">
        <v>45398.0</v>
      </c>
      <c r="B92" s="927" t="s">
        <v>1180</v>
      </c>
      <c r="C92" s="928"/>
      <c r="D92" s="928"/>
      <c r="E92" s="928"/>
      <c r="F92" s="928"/>
      <c r="G92" s="928"/>
      <c r="H92" s="928"/>
      <c r="I92" s="928"/>
      <c r="J92" s="928"/>
      <c r="K92" s="928"/>
      <c r="L92" s="928"/>
      <c r="M92" s="928"/>
      <c r="N92" s="928"/>
      <c r="O92" s="928"/>
      <c r="P92" s="928"/>
      <c r="Q92" s="928"/>
      <c r="R92" s="928"/>
      <c r="S92" s="928"/>
      <c r="T92" s="928"/>
      <c r="U92" s="928"/>
      <c r="V92" s="928"/>
      <c r="W92" s="928"/>
      <c r="X92" s="928"/>
      <c r="Y92" s="928"/>
      <c r="Z92" s="928"/>
      <c r="AA92" s="928"/>
    </row>
    <row r="93">
      <c r="A93" s="929">
        <v>45399.0</v>
      </c>
      <c r="B93" s="927" t="s">
        <v>1181</v>
      </c>
      <c r="C93" s="928"/>
      <c r="D93" s="928"/>
      <c r="E93" s="928"/>
      <c r="F93" s="928"/>
      <c r="G93" s="928"/>
      <c r="H93" s="928"/>
      <c r="I93" s="928"/>
      <c r="J93" s="928"/>
      <c r="K93" s="928"/>
      <c r="L93" s="928"/>
      <c r="M93" s="928"/>
      <c r="N93" s="928"/>
      <c r="O93" s="928"/>
      <c r="P93" s="928"/>
      <c r="Q93" s="928"/>
      <c r="R93" s="928"/>
      <c r="S93" s="928"/>
      <c r="T93" s="928"/>
      <c r="U93" s="928"/>
      <c r="V93" s="928"/>
      <c r="W93" s="928"/>
      <c r="X93" s="928"/>
      <c r="Y93" s="928"/>
      <c r="Z93" s="928"/>
      <c r="AA93" s="928"/>
    </row>
    <row r="94">
      <c r="A94" s="929">
        <v>45400.0</v>
      </c>
      <c r="B94" s="927" t="s">
        <v>1182</v>
      </c>
      <c r="C94" s="928"/>
      <c r="D94" s="928"/>
      <c r="E94" s="928"/>
      <c r="F94" s="928"/>
      <c r="G94" s="928"/>
      <c r="H94" s="928"/>
      <c r="I94" s="928"/>
      <c r="J94" s="928"/>
      <c r="K94" s="928"/>
      <c r="L94" s="928"/>
      <c r="M94" s="928"/>
      <c r="N94" s="928"/>
      <c r="O94" s="928"/>
      <c r="P94" s="928"/>
      <c r="Q94" s="928"/>
      <c r="R94" s="928"/>
      <c r="S94" s="928"/>
      <c r="T94" s="928"/>
      <c r="U94" s="928"/>
      <c r="V94" s="928"/>
      <c r="W94" s="928"/>
      <c r="X94" s="928"/>
      <c r="Y94" s="928"/>
      <c r="Z94" s="928"/>
      <c r="AA94" s="928"/>
    </row>
    <row r="95">
      <c r="A95" s="929">
        <v>45402.0</v>
      </c>
      <c r="B95" s="927" t="s">
        <v>1183</v>
      </c>
      <c r="C95" s="928"/>
      <c r="D95" s="928"/>
      <c r="E95" s="928"/>
      <c r="F95" s="928"/>
      <c r="G95" s="928"/>
      <c r="H95" s="928"/>
      <c r="I95" s="928"/>
      <c r="J95" s="928"/>
      <c r="K95" s="928"/>
      <c r="L95" s="928"/>
      <c r="M95" s="928"/>
      <c r="N95" s="928"/>
      <c r="O95" s="928"/>
      <c r="P95" s="928"/>
      <c r="Q95" s="928"/>
      <c r="R95" s="928"/>
      <c r="S95" s="928"/>
      <c r="T95" s="928"/>
      <c r="U95" s="928"/>
      <c r="V95" s="928"/>
      <c r="W95" s="928"/>
      <c r="X95" s="928"/>
      <c r="Y95" s="928"/>
      <c r="Z95" s="928"/>
      <c r="AA95" s="928"/>
    </row>
    <row r="96">
      <c r="A96" s="929">
        <v>45403.0</v>
      </c>
      <c r="B96" s="927" t="s">
        <v>1184</v>
      </c>
      <c r="C96" s="928"/>
      <c r="D96" s="928"/>
      <c r="E96" s="928"/>
      <c r="F96" s="928"/>
      <c r="G96" s="928"/>
      <c r="H96" s="928"/>
      <c r="I96" s="928"/>
      <c r="J96" s="928"/>
      <c r="K96" s="928"/>
      <c r="L96" s="928"/>
      <c r="M96" s="928"/>
      <c r="N96" s="928"/>
      <c r="O96" s="928"/>
      <c r="P96" s="928"/>
      <c r="Q96" s="928"/>
      <c r="R96" s="928"/>
      <c r="S96" s="928"/>
      <c r="T96" s="928"/>
      <c r="U96" s="928"/>
      <c r="V96" s="928"/>
      <c r="W96" s="928"/>
      <c r="X96" s="928"/>
      <c r="Y96" s="928"/>
      <c r="Z96" s="928"/>
      <c r="AA96" s="928"/>
    </row>
    <row r="97">
      <c r="A97" s="929">
        <v>45404.0</v>
      </c>
      <c r="B97" s="927" t="s">
        <v>1185</v>
      </c>
      <c r="C97" s="928"/>
      <c r="D97" s="928"/>
      <c r="E97" s="928"/>
      <c r="F97" s="928"/>
      <c r="G97" s="928"/>
      <c r="H97" s="928"/>
      <c r="I97" s="928"/>
      <c r="J97" s="928"/>
      <c r="K97" s="928"/>
      <c r="L97" s="928"/>
      <c r="M97" s="928"/>
      <c r="N97" s="928"/>
      <c r="O97" s="928"/>
      <c r="P97" s="928"/>
      <c r="Q97" s="928"/>
      <c r="R97" s="928"/>
      <c r="S97" s="928"/>
      <c r="T97" s="928"/>
      <c r="U97" s="928"/>
      <c r="V97" s="928"/>
      <c r="W97" s="928"/>
      <c r="X97" s="928"/>
      <c r="Y97" s="928"/>
      <c r="Z97" s="928"/>
      <c r="AA97" s="928"/>
    </row>
    <row r="98">
      <c r="A98" s="929">
        <v>45406.0</v>
      </c>
      <c r="B98" s="927" t="s">
        <v>1186</v>
      </c>
      <c r="C98" s="928"/>
      <c r="D98" s="928"/>
      <c r="E98" s="928"/>
      <c r="F98" s="928"/>
      <c r="G98" s="928"/>
      <c r="H98" s="928"/>
      <c r="I98" s="928"/>
      <c r="J98" s="928"/>
      <c r="K98" s="928"/>
      <c r="L98" s="928"/>
      <c r="M98" s="928"/>
      <c r="N98" s="928"/>
      <c r="O98" s="928"/>
      <c r="P98" s="928"/>
      <c r="Q98" s="928"/>
      <c r="R98" s="928"/>
      <c r="S98" s="928"/>
      <c r="T98" s="928"/>
      <c r="U98" s="928"/>
      <c r="V98" s="928"/>
      <c r="W98" s="928"/>
      <c r="X98" s="928"/>
      <c r="Y98" s="928"/>
      <c r="Z98" s="928"/>
      <c r="AA98" s="928"/>
    </row>
    <row r="99">
      <c r="A99" s="929">
        <v>45407.0</v>
      </c>
      <c r="B99" s="931" t="s">
        <v>1187</v>
      </c>
      <c r="C99" s="928"/>
      <c r="D99" s="928"/>
      <c r="E99" s="928"/>
      <c r="F99" s="928"/>
      <c r="G99" s="928"/>
      <c r="H99" s="928"/>
      <c r="I99" s="928"/>
      <c r="J99" s="928"/>
      <c r="K99" s="928"/>
      <c r="L99" s="928"/>
      <c r="M99" s="928"/>
      <c r="N99" s="928"/>
      <c r="O99" s="928"/>
      <c r="P99" s="928"/>
      <c r="Q99" s="928"/>
      <c r="R99" s="928"/>
      <c r="S99" s="928"/>
      <c r="T99" s="928"/>
      <c r="U99" s="928"/>
      <c r="V99" s="928"/>
      <c r="W99" s="928"/>
      <c r="X99" s="928"/>
      <c r="Y99" s="928"/>
      <c r="Z99" s="928"/>
      <c r="AA99" s="928"/>
    </row>
    <row r="100">
      <c r="A100" s="929">
        <v>45408.0</v>
      </c>
      <c r="B100" s="927" t="s">
        <v>1188</v>
      </c>
      <c r="C100" s="928"/>
      <c r="D100" s="928"/>
      <c r="E100" s="928"/>
      <c r="F100" s="928"/>
      <c r="G100" s="928"/>
      <c r="H100" s="928"/>
      <c r="I100" s="928"/>
      <c r="J100" s="928"/>
      <c r="K100" s="928"/>
      <c r="L100" s="928"/>
      <c r="M100" s="928"/>
      <c r="N100" s="928"/>
      <c r="O100" s="928"/>
      <c r="P100" s="928"/>
      <c r="Q100" s="928"/>
      <c r="R100" s="928"/>
      <c r="S100" s="928"/>
      <c r="T100" s="928"/>
      <c r="U100" s="928"/>
      <c r="V100" s="928"/>
      <c r="W100" s="928"/>
      <c r="X100" s="928"/>
      <c r="Y100" s="928"/>
      <c r="Z100" s="928"/>
      <c r="AA100" s="928"/>
    </row>
    <row r="101">
      <c r="A101" s="929">
        <v>45411.0</v>
      </c>
      <c r="B101" s="927" t="s">
        <v>1189</v>
      </c>
      <c r="C101" s="928"/>
      <c r="D101" s="928"/>
      <c r="E101" s="928"/>
      <c r="F101" s="928"/>
      <c r="G101" s="928"/>
      <c r="H101" s="928"/>
      <c r="I101" s="928"/>
      <c r="J101" s="928"/>
      <c r="K101" s="928"/>
      <c r="L101" s="928"/>
      <c r="M101" s="928"/>
      <c r="N101" s="928"/>
      <c r="O101" s="928"/>
      <c r="P101" s="928"/>
      <c r="Q101" s="928"/>
      <c r="R101" s="928"/>
      <c r="S101" s="928"/>
      <c r="T101" s="928"/>
      <c r="U101" s="928"/>
      <c r="V101" s="928"/>
      <c r="W101" s="928"/>
      <c r="X101" s="928"/>
      <c r="Y101" s="928"/>
      <c r="Z101" s="928"/>
      <c r="AA101" s="928"/>
    </row>
    <row r="102">
      <c r="A102" s="929">
        <v>45412.0</v>
      </c>
      <c r="B102" s="927" t="s">
        <v>1190</v>
      </c>
      <c r="C102" s="928"/>
      <c r="D102" s="928"/>
      <c r="E102" s="928"/>
      <c r="F102" s="928"/>
      <c r="G102" s="928"/>
      <c r="H102" s="928"/>
      <c r="I102" s="928"/>
      <c r="J102" s="928"/>
      <c r="K102" s="928"/>
      <c r="L102" s="928"/>
      <c r="M102" s="928"/>
      <c r="N102" s="928"/>
      <c r="O102" s="928"/>
      <c r="P102" s="928"/>
      <c r="Q102" s="928"/>
      <c r="R102" s="928"/>
      <c r="S102" s="928"/>
      <c r="T102" s="928"/>
      <c r="U102" s="928"/>
      <c r="V102" s="928"/>
      <c r="W102" s="928"/>
      <c r="X102" s="928"/>
      <c r="Y102" s="928"/>
      <c r="Z102" s="928"/>
      <c r="AA102" s="928"/>
    </row>
    <row r="103">
      <c r="A103" s="929">
        <v>45413.0</v>
      </c>
      <c r="B103" s="927" t="s">
        <v>1191</v>
      </c>
      <c r="C103" s="928"/>
      <c r="D103" s="928"/>
      <c r="E103" s="928"/>
      <c r="F103" s="928"/>
      <c r="G103" s="928"/>
      <c r="H103" s="928"/>
      <c r="I103" s="928"/>
      <c r="J103" s="928"/>
      <c r="K103" s="928"/>
      <c r="L103" s="928"/>
      <c r="M103" s="928"/>
      <c r="N103" s="928"/>
      <c r="O103" s="928"/>
      <c r="P103" s="928"/>
      <c r="Q103" s="928"/>
      <c r="R103" s="928"/>
      <c r="S103" s="928"/>
      <c r="T103" s="928"/>
      <c r="U103" s="928"/>
      <c r="V103" s="928"/>
      <c r="W103" s="928"/>
      <c r="X103" s="928"/>
      <c r="Y103" s="928"/>
      <c r="Z103" s="928"/>
      <c r="AA103" s="928"/>
    </row>
    <row r="104">
      <c r="A104" s="929">
        <v>45414.0</v>
      </c>
      <c r="B104" s="927" t="s">
        <v>1192</v>
      </c>
      <c r="C104" s="928"/>
      <c r="D104" s="928"/>
      <c r="E104" s="928"/>
      <c r="F104" s="928"/>
      <c r="G104" s="928"/>
      <c r="H104" s="928"/>
      <c r="I104" s="928"/>
      <c r="J104" s="928"/>
      <c r="K104" s="928"/>
      <c r="L104" s="928"/>
      <c r="M104" s="928"/>
      <c r="N104" s="928"/>
      <c r="O104" s="928"/>
      <c r="P104" s="928"/>
      <c r="Q104" s="928"/>
      <c r="R104" s="928"/>
      <c r="S104" s="928"/>
      <c r="T104" s="928"/>
      <c r="U104" s="928"/>
      <c r="V104" s="928"/>
      <c r="W104" s="928"/>
      <c r="X104" s="928"/>
      <c r="Y104" s="928"/>
      <c r="Z104" s="928"/>
      <c r="AA104" s="928"/>
    </row>
    <row r="105">
      <c r="A105" s="929">
        <v>45415.0</v>
      </c>
      <c r="B105" s="927" t="s">
        <v>1193</v>
      </c>
      <c r="C105" s="928"/>
      <c r="D105" s="928"/>
      <c r="E105" s="928"/>
      <c r="F105" s="928"/>
      <c r="G105" s="928"/>
      <c r="H105" s="928"/>
      <c r="I105" s="928"/>
      <c r="J105" s="928"/>
      <c r="K105" s="928"/>
      <c r="L105" s="928"/>
      <c r="M105" s="928"/>
      <c r="N105" s="928"/>
      <c r="O105" s="928"/>
      <c r="P105" s="928"/>
      <c r="Q105" s="928"/>
      <c r="R105" s="928"/>
      <c r="S105" s="928"/>
      <c r="T105" s="928"/>
      <c r="U105" s="928"/>
      <c r="V105" s="928"/>
      <c r="W105" s="928"/>
      <c r="X105" s="928"/>
      <c r="Y105" s="928"/>
      <c r="Z105" s="928"/>
      <c r="AA105" s="928"/>
    </row>
    <row r="106">
      <c r="A106" s="929">
        <v>45418.0</v>
      </c>
      <c r="B106" s="927" t="s">
        <v>1194</v>
      </c>
      <c r="C106" s="928"/>
      <c r="D106" s="928"/>
      <c r="E106" s="928"/>
      <c r="F106" s="928"/>
      <c r="G106" s="928"/>
      <c r="H106" s="928"/>
      <c r="I106" s="928"/>
      <c r="J106" s="928"/>
      <c r="K106" s="928"/>
      <c r="L106" s="928"/>
      <c r="M106" s="928"/>
      <c r="N106" s="928"/>
      <c r="O106" s="928"/>
      <c r="P106" s="928"/>
      <c r="Q106" s="928"/>
      <c r="R106" s="928"/>
      <c r="S106" s="928"/>
      <c r="T106" s="928"/>
      <c r="U106" s="928"/>
      <c r="V106" s="928"/>
      <c r="W106" s="928"/>
      <c r="X106" s="928"/>
      <c r="Y106" s="928"/>
      <c r="Z106" s="928"/>
      <c r="AA106" s="928"/>
    </row>
    <row r="107">
      <c r="A107" s="929">
        <v>45419.0</v>
      </c>
      <c r="B107" s="927" t="s">
        <v>1195</v>
      </c>
      <c r="C107" s="928"/>
      <c r="D107" s="928"/>
      <c r="E107" s="928"/>
      <c r="F107" s="928"/>
      <c r="G107" s="928"/>
      <c r="H107" s="928"/>
      <c r="I107" s="928"/>
      <c r="J107" s="928"/>
      <c r="K107" s="928"/>
      <c r="L107" s="928"/>
      <c r="M107" s="928"/>
      <c r="N107" s="928"/>
      <c r="O107" s="928"/>
      <c r="P107" s="928"/>
      <c r="Q107" s="928"/>
      <c r="R107" s="928"/>
      <c r="S107" s="928"/>
      <c r="T107" s="928"/>
      <c r="U107" s="928"/>
      <c r="V107" s="928"/>
      <c r="W107" s="928"/>
      <c r="X107" s="928"/>
      <c r="Y107" s="928"/>
      <c r="Z107" s="928"/>
      <c r="AA107" s="928"/>
    </row>
    <row r="108">
      <c r="A108" s="929">
        <v>45426.0</v>
      </c>
      <c r="B108" s="927" t="s">
        <v>1196</v>
      </c>
      <c r="C108" s="928"/>
      <c r="D108" s="928"/>
      <c r="E108" s="928"/>
      <c r="F108" s="928"/>
      <c r="G108" s="928"/>
      <c r="H108" s="928"/>
      <c r="I108" s="928"/>
      <c r="J108" s="928"/>
      <c r="K108" s="928"/>
      <c r="L108" s="928"/>
      <c r="M108" s="928"/>
      <c r="N108" s="928"/>
      <c r="O108" s="928"/>
      <c r="P108" s="928"/>
      <c r="Q108" s="928"/>
      <c r="R108" s="928"/>
      <c r="S108" s="928"/>
      <c r="T108" s="928"/>
      <c r="U108" s="928"/>
      <c r="V108" s="928"/>
      <c r="W108" s="928"/>
      <c r="X108" s="928"/>
      <c r="Y108" s="928"/>
      <c r="Z108" s="928"/>
      <c r="AA108" s="928"/>
    </row>
    <row r="109">
      <c r="A109" s="929">
        <v>45427.0</v>
      </c>
      <c r="B109" s="927" t="s">
        <v>1197</v>
      </c>
      <c r="C109" s="928"/>
      <c r="D109" s="928"/>
      <c r="E109" s="928"/>
      <c r="F109" s="928"/>
      <c r="G109" s="928"/>
      <c r="H109" s="928"/>
      <c r="I109" s="928"/>
      <c r="J109" s="928"/>
      <c r="K109" s="928"/>
      <c r="L109" s="928"/>
      <c r="M109" s="928"/>
      <c r="N109" s="928"/>
      <c r="O109" s="928"/>
      <c r="P109" s="928"/>
      <c r="Q109" s="928"/>
      <c r="R109" s="928"/>
      <c r="S109" s="928"/>
      <c r="T109" s="928"/>
      <c r="U109" s="928"/>
      <c r="V109" s="928"/>
      <c r="W109" s="928"/>
      <c r="X109" s="928"/>
      <c r="Y109" s="928"/>
      <c r="Z109" s="928"/>
      <c r="AA109" s="928"/>
    </row>
    <row r="110">
      <c r="A110" s="929">
        <v>45428.0</v>
      </c>
      <c r="B110" s="927" t="s">
        <v>1198</v>
      </c>
      <c r="C110" s="928"/>
      <c r="D110" s="928"/>
      <c r="E110" s="928"/>
      <c r="F110" s="928"/>
      <c r="G110" s="928"/>
      <c r="H110" s="928"/>
      <c r="I110" s="928"/>
      <c r="J110" s="928"/>
      <c r="K110" s="928"/>
      <c r="L110" s="928"/>
      <c r="M110" s="928"/>
      <c r="N110" s="928"/>
      <c r="O110" s="928"/>
      <c r="P110" s="928"/>
      <c r="Q110" s="928"/>
      <c r="R110" s="928"/>
      <c r="S110" s="928"/>
      <c r="T110" s="928"/>
      <c r="U110" s="928"/>
      <c r="V110" s="928"/>
      <c r="W110" s="928"/>
      <c r="X110" s="928"/>
      <c r="Y110" s="928"/>
      <c r="Z110" s="928"/>
      <c r="AA110" s="928"/>
    </row>
    <row r="111">
      <c r="A111" s="929">
        <v>45432.0</v>
      </c>
      <c r="B111" s="927" t="s">
        <v>1199</v>
      </c>
      <c r="C111" s="928"/>
      <c r="D111" s="928"/>
      <c r="E111" s="928"/>
      <c r="F111" s="928"/>
      <c r="G111" s="928"/>
      <c r="H111" s="928"/>
      <c r="I111" s="928"/>
      <c r="J111" s="928"/>
      <c r="K111" s="928"/>
      <c r="L111" s="928"/>
      <c r="M111" s="928"/>
      <c r="N111" s="928"/>
      <c r="O111" s="928"/>
      <c r="P111" s="928"/>
      <c r="Q111" s="928"/>
      <c r="R111" s="928"/>
      <c r="S111" s="928"/>
      <c r="T111" s="928"/>
      <c r="U111" s="928"/>
      <c r="V111" s="928"/>
      <c r="W111" s="928"/>
      <c r="X111" s="928"/>
      <c r="Y111" s="928"/>
      <c r="Z111" s="928"/>
      <c r="AA111" s="928"/>
    </row>
    <row r="112">
      <c r="A112" s="929">
        <v>45434.0</v>
      </c>
      <c r="B112" s="927" t="s">
        <v>1200</v>
      </c>
      <c r="C112" s="928"/>
      <c r="D112" s="928"/>
      <c r="E112" s="928"/>
      <c r="F112" s="928"/>
      <c r="G112" s="928"/>
      <c r="H112" s="928"/>
      <c r="I112" s="928"/>
      <c r="J112" s="928"/>
      <c r="K112" s="928"/>
      <c r="L112" s="928"/>
      <c r="M112" s="928"/>
      <c r="N112" s="928"/>
      <c r="O112" s="928"/>
      <c r="P112" s="928"/>
      <c r="Q112" s="928"/>
      <c r="R112" s="928"/>
      <c r="S112" s="928"/>
      <c r="T112" s="928"/>
      <c r="U112" s="928"/>
      <c r="V112" s="928"/>
      <c r="W112" s="928"/>
      <c r="X112" s="928"/>
      <c r="Y112" s="928"/>
      <c r="Z112" s="928"/>
      <c r="AA112" s="928"/>
    </row>
    <row r="113">
      <c r="A113" s="929">
        <v>45437.0</v>
      </c>
      <c r="B113" s="927" t="s">
        <v>1201</v>
      </c>
      <c r="C113" s="928"/>
      <c r="D113" s="928"/>
      <c r="E113" s="928"/>
      <c r="F113" s="928"/>
      <c r="G113" s="928"/>
      <c r="H113" s="928"/>
      <c r="I113" s="928"/>
      <c r="J113" s="928"/>
      <c r="K113" s="928"/>
      <c r="L113" s="928"/>
      <c r="M113" s="928"/>
      <c r="N113" s="928"/>
      <c r="O113" s="928"/>
      <c r="P113" s="928"/>
      <c r="Q113" s="928"/>
      <c r="R113" s="928"/>
      <c r="S113" s="928"/>
      <c r="T113" s="928"/>
      <c r="U113" s="928"/>
      <c r="V113" s="928"/>
      <c r="W113" s="928"/>
      <c r="X113" s="928"/>
      <c r="Y113" s="928"/>
      <c r="Z113" s="928"/>
      <c r="AA113" s="928"/>
    </row>
    <row r="114">
      <c r="A114" s="929">
        <v>45440.0</v>
      </c>
      <c r="B114" s="927" t="s">
        <v>1202</v>
      </c>
      <c r="C114" s="928"/>
      <c r="D114" s="928"/>
      <c r="E114" s="928"/>
      <c r="F114" s="928"/>
      <c r="G114" s="928"/>
      <c r="H114" s="928"/>
      <c r="I114" s="928"/>
      <c r="J114" s="928"/>
      <c r="K114" s="928"/>
      <c r="L114" s="928"/>
      <c r="M114" s="928"/>
      <c r="N114" s="928"/>
      <c r="O114" s="928"/>
      <c r="P114" s="928"/>
      <c r="Q114" s="928"/>
      <c r="R114" s="928"/>
      <c r="S114" s="928"/>
      <c r="T114" s="928"/>
      <c r="U114" s="928"/>
      <c r="V114" s="928"/>
      <c r="W114" s="928"/>
      <c r="X114" s="928"/>
      <c r="Y114" s="928"/>
      <c r="Z114" s="928"/>
      <c r="AA114" s="928"/>
    </row>
    <row r="115">
      <c r="A115" s="929">
        <v>45442.0</v>
      </c>
      <c r="B115" s="931" t="s">
        <v>1203</v>
      </c>
      <c r="C115" s="928"/>
      <c r="D115" s="928"/>
      <c r="E115" s="928"/>
      <c r="F115" s="928"/>
      <c r="G115" s="928"/>
      <c r="H115" s="928"/>
      <c r="I115" s="928"/>
      <c r="J115" s="928"/>
      <c r="K115" s="928"/>
      <c r="L115" s="928"/>
      <c r="M115" s="928"/>
      <c r="N115" s="928"/>
      <c r="O115" s="928"/>
      <c r="P115" s="928"/>
      <c r="Q115" s="928"/>
      <c r="R115" s="928"/>
      <c r="S115" s="928"/>
      <c r="T115" s="928"/>
      <c r="U115" s="928"/>
      <c r="V115" s="928"/>
      <c r="W115" s="928"/>
      <c r="X115" s="928"/>
      <c r="Y115" s="928"/>
      <c r="Z115" s="928"/>
      <c r="AA115" s="928"/>
    </row>
    <row r="116">
      <c r="A116" s="929">
        <v>45446.0</v>
      </c>
      <c r="B116" s="927" t="s">
        <v>1204</v>
      </c>
      <c r="C116" s="928"/>
      <c r="D116" s="928"/>
      <c r="E116" s="928"/>
      <c r="F116" s="928"/>
      <c r="G116" s="928"/>
      <c r="H116" s="928"/>
      <c r="I116" s="928"/>
      <c r="J116" s="928"/>
      <c r="K116" s="928"/>
      <c r="L116" s="928"/>
      <c r="M116" s="928"/>
      <c r="N116" s="928"/>
      <c r="O116" s="928"/>
      <c r="P116" s="928"/>
      <c r="Q116" s="928"/>
      <c r="R116" s="928"/>
      <c r="S116" s="928"/>
      <c r="T116" s="928"/>
      <c r="U116" s="928"/>
      <c r="V116" s="928"/>
      <c r="W116" s="928"/>
      <c r="X116" s="928"/>
      <c r="Y116" s="928"/>
      <c r="Z116" s="928"/>
      <c r="AA116" s="928"/>
    </row>
    <row r="117">
      <c r="A117" s="929">
        <v>45447.0</v>
      </c>
      <c r="B117" s="933" t="s">
        <v>1205</v>
      </c>
      <c r="C117" s="928"/>
      <c r="D117" s="928"/>
      <c r="E117" s="928"/>
      <c r="F117" s="928"/>
      <c r="G117" s="928"/>
      <c r="H117" s="928"/>
      <c r="I117" s="928"/>
      <c r="J117" s="928"/>
      <c r="K117" s="928"/>
      <c r="L117" s="928"/>
      <c r="M117" s="928"/>
      <c r="N117" s="928"/>
      <c r="O117" s="928"/>
      <c r="P117" s="928"/>
      <c r="Q117" s="928"/>
      <c r="R117" s="928"/>
      <c r="S117" s="928"/>
      <c r="T117" s="928"/>
      <c r="U117" s="928"/>
      <c r="V117" s="928"/>
      <c r="W117" s="928"/>
      <c r="X117" s="928"/>
      <c r="Y117" s="928"/>
      <c r="Z117" s="928"/>
      <c r="AA117" s="928"/>
    </row>
    <row r="118">
      <c r="A118" s="929">
        <v>45448.0</v>
      </c>
      <c r="B118" s="927" t="s">
        <v>1206</v>
      </c>
      <c r="C118" s="928"/>
      <c r="D118" s="928"/>
      <c r="E118" s="928"/>
      <c r="F118" s="928"/>
      <c r="G118" s="928"/>
      <c r="H118" s="928"/>
      <c r="I118" s="928"/>
      <c r="J118" s="928"/>
      <c r="K118" s="928"/>
      <c r="L118" s="928"/>
      <c r="M118" s="928"/>
      <c r="N118" s="928"/>
      <c r="O118" s="928"/>
      <c r="P118" s="928"/>
      <c r="Q118" s="928"/>
      <c r="R118" s="928"/>
      <c r="S118" s="928"/>
      <c r="T118" s="928"/>
      <c r="U118" s="928"/>
      <c r="V118" s="928"/>
      <c r="W118" s="928"/>
      <c r="X118" s="928"/>
      <c r="Y118" s="928"/>
      <c r="Z118" s="928"/>
      <c r="AA118" s="928"/>
    </row>
    <row r="119">
      <c r="A119" s="929">
        <v>45449.0</v>
      </c>
      <c r="B119" s="927" t="s">
        <v>1207</v>
      </c>
      <c r="C119" s="928"/>
      <c r="D119" s="928"/>
      <c r="E119" s="928"/>
      <c r="F119" s="928"/>
      <c r="G119" s="928"/>
      <c r="H119" s="928"/>
      <c r="I119" s="928"/>
      <c r="J119" s="928"/>
      <c r="K119" s="928"/>
      <c r="L119" s="928"/>
      <c r="M119" s="928"/>
      <c r="N119" s="928"/>
      <c r="O119" s="928"/>
      <c r="P119" s="928"/>
      <c r="Q119" s="928"/>
      <c r="R119" s="928"/>
      <c r="S119" s="928"/>
      <c r="T119" s="928"/>
      <c r="U119" s="928"/>
      <c r="V119" s="928"/>
      <c r="W119" s="928"/>
      <c r="X119" s="928"/>
      <c r="Y119" s="928"/>
      <c r="Z119" s="928"/>
      <c r="AA119" s="928"/>
    </row>
    <row r="120">
      <c r="A120" s="929">
        <v>45450.0</v>
      </c>
      <c r="B120" s="927" t="s">
        <v>1208</v>
      </c>
      <c r="C120" s="928"/>
      <c r="D120" s="928"/>
      <c r="E120" s="928"/>
      <c r="F120" s="928"/>
      <c r="G120" s="928"/>
      <c r="H120" s="928"/>
      <c r="I120" s="928"/>
      <c r="J120" s="928"/>
      <c r="K120" s="928"/>
      <c r="L120" s="928"/>
      <c r="M120" s="928"/>
      <c r="N120" s="928"/>
      <c r="O120" s="928"/>
      <c r="P120" s="928"/>
      <c r="Q120" s="928"/>
      <c r="R120" s="928"/>
      <c r="S120" s="928"/>
      <c r="T120" s="928"/>
      <c r="U120" s="928"/>
      <c r="V120" s="928"/>
      <c r="W120" s="928"/>
      <c r="X120" s="928"/>
      <c r="Y120" s="928"/>
      <c r="Z120" s="928"/>
      <c r="AA120" s="928"/>
    </row>
    <row r="121">
      <c r="A121" s="929">
        <v>45452.0</v>
      </c>
      <c r="B121" s="927" t="s">
        <v>1209</v>
      </c>
      <c r="C121" s="928"/>
      <c r="D121" s="928"/>
      <c r="E121" s="928"/>
      <c r="F121" s="928"/>
      <c r="G121" s="928"/>
      <c r="H121" s="928"/>
      <c r="I121" s="928"/>
      <c r="J121" s="928"/>
      <c r="K121" s="928"/>
      <c r="L121" s="928"/>
      <c r="M121" s="928"/>
      <c r="N121" s="928"/>
      <c r="O121" s="928"/>
      <c r="P121" s="928"/>
      <c r="Q121" s="928"/>
      <c r="R121" s="928"/>
      <c r="S121" s="928"/>
      <c r="T121" s="928"/>
      <c r="U121" s="928"/>
      <c r="V121" s="928"/>
      <c r="W121" s="928"/>
      <c r="X121" s="928"/>
      <c r="Y121" s="928"/>
      <c r="Z121" s="928"/>
      <c r="AA121" s="928"/>
    </row>
    <row r="122">
      <c r="A122" s="929">
        <v>45453.0</v>
      </c>
      <c r="B122" s="927" t="s">
        <v>1210</v>
      </c>
      <c r="C122" s="928"/>
      <c r="D122" s="928"/>
      <c r="E122" s="928"/>
      <c r="F122" s="928"/>
      <c r="G122" s="928"/>
      <c r="H122" s="928"/>
      <c r="I122" s="928"/>
      <c r="J122" s="928"/>
      <c r="K122" s="928"/>
      <c r="L122" s="928"/>
      <c r="M122" s="928"/>
      <c r="N122" s="928"/>
      <c r="O122" s="928"/>
      <c r="P122" s="928"/>
      <c r="Q122" s="928"/>
      <c r="R122" s="928"/>
      <c r="S122" s="928"/>
      <c r="T122" s="928"/>
      <c r="U122" s="928"/>
      <c r="V122" s="928"/>
      <c r="W122" s="928"/>
      <c r="X122" s="928"/>
      <c r="Y122" s="928"/>
      <c r="Z122" s="928"/>
      <c r="AA122" s="928"/>
    </row>
    <row r="123">
      <c r="A123" s="929">
        <v>45455.0</v>
      </c>
      <c r="B123" s="927" t="s">
        <v>1211</v>
      </c>
      <c r="C123" s="928"/>
      <c r="D123" s="928"/>
      <c r="E123" s="928"/>
      <c r="F123" s="928"/>
      <c r="G123" s="928"/>
      <c r="H123" s="928"/>
      <c r="I123" s="928"/>
      <c r="J123" s="928"/>
      <c r="K123" s="928"/>
      <c r="L123" s="928"/>
      <c r="M123" s="928"/>
      <c r="N123" s="928"/>
      <c r="O123" s="928"/>
      <c r="P123" s="928"/>
      <c r="Q123" s="928"/>
      <c r="R123" s="928"/>
      <c r="S123" s="928"/>
      <c r="T123" s="928"/>
      <c r="U123" s="928"/>
      <c r="V123" s="928"/>
      <c r="W123" s="928"/>
      <c r="X123" s="928"/>
      <c r="Y123" s="928"/>
      <c r="Z123" s="928"/>
      <c r="AA123" s="928"/>
    </row>
    <row r="124">
      <c r="A124" s="929">
        <v>45456.0</v>
      </c>
      <c r="B124" s="927" t="s">
        <v>1212</v>
      </c>
      <c r="C124" s="928"/>
      <c r="D124" s="928"/>
      <c r="E124" s="928"/>
      <c r="F124" s="928"/>
      <c r="G124" s="928"/>
      <c r="H124" s="928"/>
      <c r="I124" s="928"/>
      <c r="J124" s="928"/>
      <c r="K124" s="928"/>
      <c r="L124" s="928"/>
      <c r="M124" s="928"/>
      <c r="N124" s="928"/>
      <c r="O124" s="928"/>
      <c r="P124" s="928"/>
      <c r="Q124" s="928"/>
      <c r="R124" s="928"/>
      <c r="S124" s="928"/>
      <c r="T124" s="928"/>
      <c r="U124" s="928"/>
      <c r="V124" s="928"/>
      <c r="W124" s="928"/>
      <c r="X124" s="928"/>
      <c r="Y124" s="928"/>
      <c r="Z124" s="928"/>
      <c r="AA124" s="928"/>
    </row>
    <row r="125">
      <c r="A125" s="929">
        <v>45457.0</v>
      </c>
      <c r="B125" s="927" t="s">
        <v>1213</v>
      </c>
      <c r="C125" s="928"/>
      <c r="D125" s="928"/>
      <c r="E125" s="928"/>
      <c r="F125" s="928"/>
      <c r="G125" s="928"/>
      <c r="H125" s="928"/>
      <c r="I125" s="928"/>
      <c r="J125" s="928"/>
      <c r="K125" s="928"/>
      <c r="L125" s="928"/>
      <c r="M125" s="928"/>
      <c r="N125" s="928"/>
      <c r="O125" s="928"/>
      <c r="P125" s="928"/>
      <c r="Q125" s="928"/>
      <c r="R125" s="928"/>
      <c r="S125" s="928"/>
      <c r="T125" s="928"/>
      <c r="U125" s="928"/>
      <c r="V125" s="928"/>
      <c r="W125" s="928"/>
      <c r="X125" s="928"/>
      <c r="Y125" s="928"/>
      <c r="Z125" s="928"/>
      <c r="AA125" s="928"/>
    </row>
    <row r="126">
      <c r="A126" s="929">
        <v>45458.0</v>
      </c>
      <c r="B126" s="927" t="s">
        <v>1214</v>
      </c>
      <c r="C126" s="928"/>
      <c r="D126" s="928"/>
      <c r="E126" s="928"/>
      <c r="F126" s="928"/>
      <c r="G126" s="928"/>
      <c r="H126" s="928"/>
      <c r="I126" s="928"/>
      <c r="J126" s="928"/>
      <c r="K126" s="928"/>
      <c r="L126" s="928"/>
      <c r="M126" s="928"/>
      <c r="N126" s="928"/>
      <c r="O126" s="928"/>
      <c r="P126" s="928"/>
      <c r="Q126" s="928"/>
      <c r="R126" s="928"/>
      <c r="S126" s="928"/>
      <c r="T126" s="928"/>
      <c r="U126" s="928"/>
      <c r="V126" s="928"/>
      <c r="W126" s="928"/>
      <c r="X126" s="928"/>
      <c r="Y126" s="928"/>
      <c r="Z126" s="928"/>
      <c r="AA126" s="928"/>
    </row>
    <row r="127">
      <c r="A127" s="929">
        <v>45459.0</v>
      </c>
      <c r="B127" s="927" t="s">
        <v>1215</v>
      </c>
      <c r="C127" s="928"/>
      <c r="D127" s="928"/>
      <c r="E127" s="928"/>
      <c r="F127" s="928"/>
      <c r="G127" s="928"/>
      <c r="H127" s="928"/>
      <c r="I127" s="928"/>
      <c r="J127" s="928"/>
      <c r="K127" s="928"/>
      <c r="L127" s="928"/>
      <c r="M127" s="928"/>
      <c r="N127" s="928"/>
      <c r="O127" s="928"/>
      <c r="P127" s="928"/>
      <c r="Q127" s="928"/>
      <c r="R127" s="928"/>
      <c r="S127" s="928"/>
      <c r="T127" s="928"/>
      <c r="U127" s="928"/>
      <c r="V127" s="928"/>
      <c r="W127" s="928"/>
      <c r="X127" s="928"/>
      <c r="Y127" s="928"/>
      <c r="Z127" s="928"/>
      <c r="AA127" s="928"/>
    </row>
    <row r="128">
      <c r="A128" s="929">
        <v>45460.0</v>
      </c>
      <c r="B128" s="927" t="s">
        <v>1216</v>
      </c>
      <c r="C128" s="928"/>
      <c r="D128" s="928"/>
      <c r="E128" s="928"/>
      <c r="F128" s="928"/>
      <c r="G128" s="928"/>
      <c r="H128" s="928"/>
      <c r="I128" s="928"/>
      <c r="J128" s="928"/>
      <c r="K128" s="928"/>
      <c r="L128" s="928"/>
      <c r="M128" s="928"/>
      <c r="N128" s="928"/>
      <c r="O128" s="928"/>
      <c r="P128" s="928"/>
      <c r="Q128" s="928"/>
      <c r="R128" s="928"/>
      <c r="S128" s="928"/>
      <c r="T128" s="928"/>
      <c r="U128" s="928"/>
      <c r="V128" s="928"/>
      <c r="W128" s="928"/>
      <c r="X128" s="928"/>
      <c r="Y128" s="928"/>
      <c r="Z128" s="928"/>
      <c r="AA128" s="928"/>
    </row>
    <row r="129">
      <c r="A129" s="929">
        <v>45461.0</v>
      </c>
      <c r="B129" s="927" t="s">
        <v>1217</v>
      </c>
      <c r="C129" s="928"/>
      <c r="D129" s="928"/>
      <c r="E129" s="928"/>
      <c r="F129" s="928"/>
      <c r="G129" s="928"/>
      <c r="H129" s="928"/>
      <c r="I129" s="928"/>
      <c r="J129" s="928"/>
      <c r="K129" s="928"/>
      <c r="L129" s="928"/>
      <c r="M129" s="928"/>
      <c r="N129" s="928"/>
      <c r="O129" s="928"/>
      <c r="P129" s="928"/>
      <c r="Q129" s="928"/>
      <c r="R129" s="928"/>
      <c r="S129" s="928"/>
      <c r="T129" s="928"/>
      <c r="U129" s="928"/>
      <c r="V129" s="928"/>
      <c r="W129" s="928"/>
      <c r="X129" s="928"/>
      <c r="Y129" s="928"/>
      <c r="Z129" s="928"/>
      <c r="AA129" s="928"/>
    </row>
    <row r="130">
      <c r="A130" s="929">
        <v>45463.0</v>
      </c>
      <c r="B130" s="927" t="s">
        <v>1218</v>
      </c>
      <c r="C130" s="928"/>
      <c r="D130" s="928"/>
      <c r="E130" s="928"/>
      <c r="F130" s="928"/>
      <c r="G130" s="928"/>
      <c r="H130" s="928"/>
      <c r="I130" s="928"/>
      <c r="J130" s="928"/>
      <c r="K130" s="928"/>
      <c r="L130" s="928"/>
      <c r="M130" s="928"/>
      <c r="N130" s="928"/>
      <c r="O130" s="928"/>
      <c r="P130" s="928"/>
      <c r="Q130" s="928"/>
      <c r="R130" s="928"/>
      <c r="S130" s="928"/>
      <c r="T130" s="928"/>
      <c r="U130" s="928"/>
      <c r="V130" s="928"/>
      <c r="W130" s="928"/>
      <c r="X130" s="928"/>
      <c r="Y130" s="928"/>
      <c r="Z130" s="928"/>
      <c r="AA130" s="928"/>
    </row>
    <row r="131">
      <c r="A131" s="929">
        <v>45467.0</v>
      </c>
      <c r="B131" s="927" t="s">
        <v>1219</v>
      </c>
      <c r="C131" s="928"/>
      <c r="D131" s="928"/>
      <c r="E131" s="928"/>
      <c r="F131" s="928"/>
      <c r="G131" s="928"/>
      <c r="H131" s="928"/>
      <c r="I131" s="928"/>
      <c r="J131" s="928"/>
      <c r="K131" s="928"/>
      <c r="L131" s="928"/>
      <c r="M131" s="928"/>
      <c r="N131" s="928"/>
      <c r="O131" s="928"/>
      <c r="P131" s="928"/>
      <c r="Q131" s="928"/>
      <c r="R131" s="928"/>
      <c r="S131" s="928"/>
      <c r="T131" s="928"/>
      <c r="U131" s="928"/>
      <c r="V131" s="928"/>
      <c r="W131" s="928"/>
      <c r="X131" s="928"/>
      <c r="Y131" s="928"/>
      <c r="Z131" s="928"/>
      <c r="AA131" s="928"/>
    </row>
    <row r="132">
      <c r="A132" s="929">
        <v>45496.0</v>
      </c>
      <c r="B132" s="927" t="s">
        <v>1220</v>
      </c>
      <c r="C132" s="928"/>
      <c r="D132" s="928"/>
      <c r="E132" s="928"/>
      <c r="F132" s="928"/>
      <c r="G132" s="928"/>
      <c r="H132" s="928"/>
      <c r="I132" s="928"/>
      <c r="J132" s="928"/>
      <c r="K132" s="928"/>
      <c r="L132" s="928"/>
      <c r="M132" s="928"/>
      <c r="N132" s="928"/>
      <c r="O132" s="928"/>
      <c r="P132" s="928"/>
      <c r="Q132" s="928"/>
      <c r="R132" s="928"/>
      <c r="S132" s="928"/>
      <c r="T132" s="928"/>
      <c r="U132" s="928"/>
      <c r="V132" s="928"/>
      <c r="W132" s="928"/>
      <c r="X132" s="928"/>
      <c r="Y132" s="928"/>
      <c r="Z132" s="928"/>
      <c r="AA132" s="928"/>
    </row>
    <row r="133">
      <c r="A133" s="929">
        <v>45505.0</v>
      </c>
      <c r="B133" s="927" t="s">
        <v>1221</v>
      </c>
      <c r="C133" s="928"/>
      <c r="D133" s="928"/>
      <c r="E133" s="928"/>
      <c r="F133" s="928"/>
      <c r="G133" s="928"/>
      <c r="H133" s="928"/>
      <c r="I133" s="928"/>
      <c r="J133" s="928"/>
      <c r="K133" s="928"/>
      <c r="L133" s="928"/>
      <c r="M133" s="928"/>
      <c r="N133" s="928"/>
      <c r="O133" s="928"/>
      <c r="P133" s="928"/>
      <c r="Q133" s="928"/>
      <c r="R133" s="928"/>
      <c r="S133" s="928"/>
      <c r="T133" s="928"/>
      <c r="U133" s="928"/>
      <c r="V133" s="928"/>
      <c r="W133" s="928"/>
      <c r="X133" s="928"/>
      <c r="Y133" s="928"/>
      <c r="Z133" s="928"/>
      <c r="AA133" s="928"/>
    </row>
    <row r="134">
      <c r="A134" s="929">
        <v>45511.0</v>
      </c>
      <c r="B134" s="927" t="s">
        <v>1222</v>
      </c>
      <c r="C134" s="928"/>
      <c r="D134" s="928"/>
      <c r="E134" s="928"/>
      <c r="F134" s="928"/>
      <c r="G134" s="928"/>
      <c r="H134" s="928"/>
      <c r="I134" s="928"/>
      <c r="J134" s="928"/>
      <c r="K134" s="928"/>
      <c r="L134" s="928"/>
      <c r="M134" s="928"/>
      <c r="N134" s="928"/>
      <c r="O134" s="928"/>
      <c r="P134" s="928"/>
      <c r="Q134" s="928"/>
      <c r="R134" s="928"/>
      <c r="S134" s="928"/>
      <c r="T134" s="928"/>
      <c r="U134" s="928"/>
      <c r="V134" s="928"/>
      <c r="W134" s="928"/>
      <c r="X134" s="928"/>
      <c r="Y134" s="928"/>
      <c r="Z134" s="928"/>
      <c r="AA134" s="928"/>
    </row>
    <row r="135">
      <c r="A135" s="929">
        <v>45518.0</v>
      </c>
      <c r="B135" s="927" t="s">
        <v>1223</v>
      </c>
      <c r="C135" s="928"/>
      <c r="D135" s="928"/>
      <c r="E135" s="928"/>
      <c r="F135" s="928"/>
      <c r="G135" s="928"/>
      <c r="H135" s="928"/>
      <c r="I135" s="928"/>
      <c r="J135" s="928"/>
      <c r="K135" s="928"/>
      <c r="L135" s="928"/>
      <c r="M135" s="928"/>
      <c r="N135" s="928"/>
      <c r="O135" s="928"/>
      <c r="P135" s="928"/>
      <c r="Q135" s="928"/>
      <c r="R135" s="928"/>
      <c r="S135" s="928"/>
      <c r="T135" s="928"/>
      <c r="U135" s="928"/>
      <c r="V135" s="928"/>
      <c r="W135" s="928"/>
      <c r="X135" s="928"/>
      <c r="Y135" s="928"/>
      <c r="Z135" s="928"/>
      <c r="AA135" s="928"/>
    </row>
    <row r="136">
      <c r="A136" s="929">
        <v>45525.0</v>
      </c>
      <c r="B136" s="927" t="s">
        <v>1224</v>
      </c>
      <c r="C136" s="928"/>
      <c r="D136" s="928"/>
      <c r="E136" s="928"/>
      <c r="F136" s="928"/>
      <c r="G136" s="928"/>
      <c r="H136" s="928"/>
      <c r="I136" s="928"/>
      <c r="J136" s="928"/>
      <c r="K136" s="928"/>
      <c r="L136" s="928"/>
      <c r="M136" s="928"/>
      <c r="N136" s="928"/>
      <c r="O136" s="928"/>
      <c r="P136" s="928"/>
      <c r="Q136" s="928"/>
      <c r="R136" s="928"/>
      <c r="S136" s="928"/>
      <c r="T136" s="928"/>
      <c r="U136" s="928"/>
      <c r="V136" s="928"/>
      <c r="W136" s="928"/>
      <c r="X136" s="928"/>
      <c r="Y136" s="928"/>
      <c r="Z136" s="928"/>
      <c r="AA136" s="928"/>
    </row>
    <row r="137">
      <c r="A137" s="929">
        <v>45532.0</v>
      </c>
      <c r="B137" s="927" t="s">
        <v>1225</v>
      </c>
      <c r="C137" s="928"/>
      <c r="D137" s="928"/>
      <c r="E137" s="928"/>
      <c r="F137" s="928"/>
      <c r="G137" s="928"/>
      <c r="H137" s="928"/>
      <c r="I137" s="928"/>
      <c r="J137" s="928"/>
      <c r="K137" s="928"/>
      <c r="L137" s="928"/>
      <c r="M137" s="928"/>
      <c r="N137" s="928"/>
      <c r="O137" s="928"/>
      <c r="P137" s="928"/>
      <c r="Q137" s="928"/>
      <c r="R137" s="928"/>
      <c r="S137" s="928"/>
      <c r="T137" s="928"/>
      <c r="U137" s="928"/>
      <c r="V137" s="928"/>
      <c r="W137" s="928"/>
      <c r="X137" s="928"/>
      <c r="Y137" s="928"/>
      <c r="Z137" s="928"/>
      <c r="AA137" s="928"/>
    </row>
    <row r="138">
      <c r="A138" s="929">
        <v>45546.0</v>
      </c>
      <c r="B138" s="927" t="s">
        <v>1226</v>
      </c>
      <c r="C138" s="928"/>
      <c r="D138" s="928"/>
      <c r="E138" s="928"/>
      <c r="F138" s="928"/>
      <c r="G138" s="928"/>
      <c r="H138" s="928"/>
      <c r="I138" s="928"/>
      <c r="J138" s="928"/>
      <c r="K138" s="928"/>
      <c r="L138" s="928"/>
      <c r="M138" s="928"/>
      <c r="N138" s="928"/>
      <c r="O138" s="928"/>
      <c r="P138" s="928"/>
      <c r="Q138" s="928"/>
      <c r="R138" s="928"/>
      <c r="S138" s="928"/>
      <c r="T138" s="928"/>
      <c r="U138" s="928"/>
      <c r="V138" s="928"/>
      <c r="W138" s="928"/>
      <c r="X138" s="928"/>
      <c r="Y138" s="928"/>
      <c r="Z138" s="928"/>
      <c r="AA138" s="928"/>
    </row>
    <row r="139" ht="93.75" customHeight="1">
      <c r="A139" s="929">
        <v>45580.0</v>
      </c>
      <c r="B139" s="927" t="s">
        <v>1227</v>
      </c>
      <c r="C139" s="928"/>
      <c r="D139" s="928"/>
      <c r="E139" s="928"/>
      <c r="F139" s="928"/>
      <c r="G139" s="928"/>
      <c r="H139" s="928"/>
      <c r="I139" s="928"/>
      <c r="J139" s="928"/>
      <c r="K139" s="928"/>
      <c r="L139" s="928"/>
      <c r="M139" s="928"/>
      <c r="N139" s="928"/>
      <c r="O139" s="928"/>
      <c r="P139" s="928"/>
      <c r="Q139" s="928"/>
      <c r="R139" s="928"/>
      <c r="S139" s="928"/>
      <c r="T139" s="928"/>
      <c r="U139" s="928"/>
      <c r="V139" s="928"/>
      <c r="W139" s="928"/>
      <c r="X139" s="928"/>
      <c r="Y139" s="928"/>
      <c r="Z139" s="928"/>
      <c r="AA139" s="928"/>
    </row>
    <row r="140">
      <c r="A140" s="929">
        <v>45581.0</v>
      </c>
      <c r="B140" s="927" t="s">
        <v>1228</v>
      </c>
      <c r="C140" s="928"/>
      <c r="D140" s="928"/>
      <c r="E140" s="928"/>
      <c r="F140" s="928"/>
      <c r="G140" s="928"/>
      <c r="H140" s="928"/>
      <c r="I140" s="928"/>
      <c r="J140" s="928"/>
      <c r="K140" s="928"/>
      <c r="L140" s="928"/>
      <c r="M140" s="928"/>
      <c r="N140" s="928"/>
      <c r="O140" s="928"/>
      <c r="P140" s="928"/>
      <c r="Q140" s="928"/>
      <c r="R140" s="928"/>
      <c r="S140" s="928"/>
      <c r="T140" s="928"/>
      <c r="U140" s="928"/>
      <c r="V140" s="928"/>
      <c r="W140" s="928"/>
      <c r="X140" s="928"/>
      <c r="Y140" s="928"/>
      <c r="Z140" s="928"/>
      <c r="AA140" s="928"/>
    </row>
    <row r="141">
      <c r="A141" s="929">
        <v>45583.0</v>
      </c>
      <c r="B141" s="927" t="s">
        <v>1229</v>
      </c>
      <c r="C141" s="928"/>
      <c r="D141" s="928"/>
      <c r="E141" s="928"/>
      <c r="F141" s="928"/>
      <c r="G141" s="928"/>
      <c r="H141" s="928"/>
      <c r="I141" s="928"/>
      <c r="J141" s="928"/>
      <c r="K141" s="928"/>
      <c r="L141" s="928"/>
      <c r="M141" s="928"/>
      <c r="N141" s="928"/>
      <c r="O141" s="928"/>
      <c r="P141" s="928"/>
      <c r="Q141" s="928"/>
      <c r="R141" s="928"/>
      <c r="S141" s="928"/>
      <c r="T141" s="928"/>
      <c r="U141" s="928"/>
      <c r="V141" s="928"/>
      <c r="W141" s="928"/>
      <c r="X141" s="928"/>
      <c r="Y141" s="928"/>
      <c r="Z141" s="928"/>
      <c r="AA141" s="928"/>
    </row>
    <row r="142">
      <c r="A142" s="929">
        <v>45587.0</v>
      </c>
      <c r="B142" s="927" t="s">
        <v>1230</v>
      </c>
      <c r="C142" s="928"/>
      <c r="D142" s="928"/>
      <c r="E142" s="928"/>
      <c r="F142" s="928"/>
      <c r="G142" s="928"/>
      <c r="H142" s="928"/>
      <c r="I142" s="928"/>
      <c r="J142" s="928"/>
      <c r="K142" s="928"/>
      <c r="L142" s="928"/>
      <c r="M142" s="928"/>
      <c r="N142" s="928"/>
      <c r="O142" s="928"/>
      <c r="P142" s="928"/>
      <c r="Q142" s="928"/>
      <c r="R142" s="928"/>
      <c r="S142" s="928"/>
      <c r="T142" s="928"/>
      <c r="U142" s="928"/>
      <c r="V142" s="928"/>
      <c r="W142" s="928"/>
      <c r="X142" s="928"/>
      <c r="Y142" s="928"/>
      <c r="Z142" s="928"/>
      <c r="AA142" s="928"/>
    </row>
    <row r="143">
      <c r="A143" s="929">
        <v>45595.0</v>
      </c>
      <c r="B143" s="927" t="s">
        <v>1231</v>
      </c>
      <c r="C143" s="928"/>
      <c r="D143" s="928"/>
      <c r="E143" s="928"/>
      <c r="F143" s="928"/>
      <c r="G143" s="928"/>
      <c r="H143" s="928"/>
      <c r="I143" s="928"/>
      <c r="J143" s="928"/>
      <c r="K143" s="928"/>
      <c r="L143" s="928"/>
      <c r="M143" s="928"/>
      <c r="N143" s="928"/>
      <c r="O143" s="928"/>
      <c r="P143" s="928"/>
      <c r="Q143" s="928"/>
      <c r="R143" s="928"/>
      <c r="S143" s="928"/>
      <c r="T143" s="928"/>
      <c r="U143" s="928"/>
      <c r="V143" s="928"/>
      <c r="W143" s="928"/>
      <c r="X143" s="928"/>
      <c r="Y143" s="928"/>
      <c r="Z143" s="928"/>
      <c r="AA143" s="928"/>
    </row>
    <row r="144">
      <c r="A144" s="929">
        <v>45598.0</v>
      </c>
      <c r="B144" s="927" t="s">
        <v>1232</v>
      </c>
      <c r="C144" s="928"/>
      <c r="D144" s="928"/>
      <c r="E144" s="928"/>
      <c r="F144" s="928"/>
      <c r="G144" s="928"/>
      <c r="H144" s="928"/>
      <c r="I144" s="928"/>
      <c r="J144" s="928"/>
      <c r="K144" s="928"/>
      <c r="L144" s="928"/>
      <c r="M144" s="928"/>
      <c r="N144" s="928"/>
      <c r="O144" s="928"/>
      <c r="P144" s="928"/>
      <c r="Q144" s="928"/>
      <c r="R144" s="928"/>
      <c r="S144" s="928"/>
      <c r="T144" s="928"/>
      <c r="U144" s="928"/>
      <c r="V144" s="928"/>
      <c r="W144" s="928"/>
      <c r="X144" s="928"/>
      <c r="Y144" s="928"/>
      <c r="Z144" s="928"/>
      <c r="AA144" s="928"/>
    </row>
    <row r="145">
      <c r="A145" s="929">
        <v>45618.0</v>
      </c>
      <c r="B145" s="927" t="s">
        <v>1233</v>
      </c>
      <c r="C145" s="928"/>
      <c r="D145" s="928"/>
      <c r="E145" s="928"/>
      <c r="F145" s="928"/>
      <c r="G145" s="928"/>
      <c r="H145" s="928"/>
      <c r="I145" s="928"/>
      <c r="J145" s="928"/>
      <c r="K145" s="928"/>
      <c r="L145" s="928"/>
      <c r="M145" s="928"/>
      <c r="N145" s="928"/>
      <c r="O145" s="928"/>
      <c r="P145" s="928"/>
      <c r="Q145" s="928"/>
      <c r="R145" s="928"/>
      <c r="S145" s="928"/>
      <c r="T145" s="928"/>
      <c r="U145" s="928"/>
      <c r="V145" s="928"/>
      <c r="W145" s="928"/>
      <c r="X145" s="928"/>
      <c r="Y145" s="928"/>
      <c r="Z145" s="928"/>
      <c r="AA145" s="928"/>
    </row>
    <row r="146" ht="96.0" customHeight="1">
      <c r="A146" s="929">
        <v>45676.0</v>
      </c>
      <c r="B146" s="927" t="s">
        <v>1234</v>
      </c>
      <c r="C146" s="928"/>
      <c r="D146" s="928"/>
      <c r="E146" s="928"/>
      <c r="F146" s="928"/>
      <c r="G146" s="928"/>
      <c r="H146" s="928"/>
      <c r="I146" s="928"/>
      <c r="J146" s="928"/>
      <c r="K146" s="928"/>
      <c r="L146" s="928"/>
      <c r="M146" s="928"/>
      <c r="N146" s="928"/>
      <c r="O146" s="928"/>
      <c r="P146" s="928"/>
      <c r="Q146" s="928"/>
      <c r="R146" s="928"/>
      <c r="S146" s="928"/>
      <c r="T146" s="928"/>
      <c r="U146" s="928"/>
      <c r="V146" s="928"/>
      <c r="W146" s="928"/>
      <c r="X146" s="928"/>
      <c r="Y146" s="928"/>
      <c r="Z146" s="928"/>
      <c r="AA146" s="928"/>
    </row>
    <row r="147">
      <c r="A147" s="929">
        <v>45688.0</v>
      </c>
      <c r="B147" s="927" t="s">
        <v>1235</v>
      </c>
      <c r="C147" s="928"/>
      <c r="D147" s="928"/>
      <c r="E147" s="928"/>
      <c r="F147" s="928"/>
      <c r="G147" s="928"/>
      <c r="H147" s="928"/>
      <c r="I147" s="928"/>
      <c r="J147" s="928"/>
      <c r="K147" s="928"/>
      <c r="L147" s="928"/>
      <c r="M147" s="928"/>
      <c r="N147" s="928"/>
      <c r="O147" s="928"/>
      <c r="P147" s="928"/>
      <c r="Q147" s="928"/>
      <c r="R147" s="928"/>
      <c r="S147" s="928"/>
      <c r="T147" s="928"/>
      <c r="U147" s="928"/>
      <c r="V147" s="928"/>
      <c r="W147" s="928"/>
      <c r="X147" s="928"/>
      <c r="Y147" s="928"/>
      <c r="Z147" s="928"/>
      <c r="AA147" s="928"/>
    </row>
    <row r="148" ht="81.75" customHeight="1">
      <c r="A148" s="929">
        <v>45696.0</v>
      </c>
      <c r="B148" s="927" t="s">
        <v>1236</v>
      </c>
      <c r="C148" s="928"/>
      <c r="D148" s="928"/>
      <c r="E148" s="928"/>
      <c r="F148" s="928"/>
      <c r="G148" s="928"/>
      <c r="H148" s="928"/>
      <c r="I148" s="928"/>
      <c r="J148" s="928"/>
      <c r="K148" s="928"/>
      <c r="L148" s="928"/>
      <c r="M148" s="928"/>
      <c r="N148" s="928"/>
      <c r="O148" s="928"/>
      <c r="P148" s="928"/>
      <c r="Q148" s="928"/>
      <c r="R148" s="928"/>
      <c r="S148" s="928"/>
      <c r="T148" s="928"/>
      <c r="U148" s="928"/>
      <c r="V148" s="928"/>
      <c r="W148" s="928"/>
      <c r="X148" s="928"/>
      <c r="Y148" s="928"/>
      <c r="Z148" s="928"/>
      <c r="AA148" s="928"/>
    </row>
    <row r="149">
      <c r="A149" s="929">
        <v>45697.0</v>
      </c>
      <c r="B149" s="927" t="s">
        <v>1237</v>
      </c>
      <c r="C149" s="928"/>
      <c r="D149" s="928"/>
      <c r="E149" s="928"/>
      <c r="F149" s="928"/>
      <c r="G149" s="928"/>
      <c r="H149" s="928"/>
      <c r="I149" s="928"/>
      <c r="J149" s="928"/>
      <c r="K149" s="928"/>
      <c r="L149" s="928"/>
      <c r="M149" s="928"/>
      <c r="N149" s="928"/>
      <c r="O149" s="928"/>
      <c r="P149" s="928"/>
      <c r="Q149" s="928"/>
      <c r="R149" s="928"/>
      <c r="S149" s="928"/>
      <c r="T149" s="928"/>
      <c r="U149" s="928"/>
      <c r="V149" s="928"/>
      <c r="W149" s="928"/>
      <c r="X149" s="928"/>
      <c r="Y149" s="928"/>
      <c r="Z149" s="928"/>
      <c r="AA149" s="928"/>
    </row>
    <row r="150">
      <c r="A150" s="929">
        <v>45699.0</v>
      </c>
      <c r="B150" s="927" t="s">
        <v>1238</v>
      </c>
      <c r="C150" s="928"/>
      <c r="D150" s="928"/>
      <c r="E150" s="928"/>
      <c r="F150" s="928"/>
      <c r="G150" s="928"/>
      <c r="H150" s="928"/>
      <c r="I150" s="928"/>
      <c r="J150" s="928"/>
      <c r="K150" s="928"/>
      <c r="L150" s="928"/>
      <c r="M150" s="928"/>
      <c r="N150" s="928"/>
      <c r="O150" s="928"/>
      <c r="P150" s="928"/>
      <c r="Q150" s="928"/>
      <c r="R150" s="928"/>
      <c r="S150" s="928"/>
      <c r="T150" s="928"/>
      <c r="U150" s="928"/>
      <c r="V150" s="928"/>
      <c r="W150" s="928"/>
      <c r="X150" s="928"/>
      <c r="Y150" s="928"/>
      <c r="Z150" s="928"/>
      <c r="AA150" s="928"/>
    </row>
    <row r="151">
      <c r="A151" s="929">
        <v>45703.0</v>
      </c>
      <c r="B151" s="927" t="s">
        <v>1239</v>
      </c>
      <c r="C151" s="928"/>
      <c r="D151" s="928"/>
      <c r="E151" s="928"/>
      <c r="F151" s="928"/>
      <c r="G151" s="928"/>
      <c r="H151" s="928"/>
      <c r="I151" s="928"/>
      <c r="J151" s="928"/>
      <c r="K151" s="928"/>
      <c r="L151" s="928"/>
      <c r="M151" s="928"/>
      <c r="N151" s="928"/>
      <c r="O151" s="928"/>
      <c r="P151" s="928"/>
      <c r="Q151" s="928"/>
      <c r="R151" s="928"/>
      <c r="S151" s="928"/>
      <c r="T151" s="928"/>
      <c r="U151" s="928"/>
      <c r="V151" s="928"/>
      <c r="W151" s="928"/>
      <c r="X151" s="928"/>
      <c r="Y151" s="928"/>
      <c r="Z151" s="928"/>
      <c r="AA151" s="928"/>
    </row>
    <row r="152">
      <c r="A152" s="929">
        <v>45712.0</v>
      </c>
      <c r="B152" s="927" t="s">
        <v>1240</v>
      </c>
      <c r="C152" s="928"/>
      <c r="D152" s="928"/>
      <c r="E152" s="928"/>
      <c r="F152" s="928"/>
      <c r="G152" s="928"/>
      <c r="H152" s="928"/>
      <c r="I152" s="928"/>
      <c r="J152" s="928"/>
      <c r="K152" s="928"/>
      <c r="L152" s="928"/>
      <c r="M152" s="928"/>
      <c r="N152" s="928"/>
      <c r="O152" s="928"/>
      <c r="P152" s="928"/>
      <c r="Q152" s="928"/>
      <c r="R152" s="928"/>
      <c r="S152" s="928"/>
      <c r="T152" s="928"/>
      <c r="U152" s="928"/>
      <c r="V152" s="928"/>
      <c r="W152" s="928"/>
      <c r="X152" s="928"/>
      <c r="Y152" s="928"/>
      <c r="Z152" s="928"/>
      <c r="AA152" s="928"/>
    </row>
    <row r="153">
      <c r="A153" s="929">
        <v>45736.0</v>
      </c>
      <c r="B153" s="927" t="s">
        <v>1241</v>
      </c>
      <c r="C153" s="928"/>
      <c r="D153" s="928"/>
      <c r="E153" s="928"/>
      <c r="F153" s="928"/>
      <c r="G153" s="928"/>
      <c r="H153" s="928"/>
      <c r="I153" s="928"/>
      <c r="J153" s="928"/>
      <c r="K153" s="928"/>
      <c r="L153" s="928"/>
      <c r="M153" s="928"/>
      <c r="N153" s="928"/>
      <c r="O153" s="928"/>
      <c r="P153" s="928"/>
      <c r="Q153" s="928"/>
      <c r="R153" s="928"/>
      <c r="S153" s="928"/>
      <c r="T153" s="928"/>
      <c r="U153" s="928"/>
      <c r="V153" s="928"/>
      <c r="W153" s="928"/>
      <c r="X153" s="928"/>
      <c r="Y153" s="928"/>
      <c r="Z153" s="928"/>
      <c r="AA153" s="928"/>
    </row>
    <row r="154" ht="94.5" customHeight="1">
      <c r="A154" s="929">
        <v>45783.0</v>
      </c>
      <c r="B154" s="931" t="s">
        <v>1242</v>
      </c>
      <c r="C154" s="928"/>
      <c r="D154" s="928"/>
      <c r="E154" s="928"/>
      <c r="F154" s="928"/>
      <c r="G154" s="928"/>
      <c r="H154" s="928"/>
      <c r="I154" s="928"/>
      <c r="J154" s="928"/>
      <c r="K154" s="928"/>
      <c r="L154" s="928"/>
      <c r="M154" s="928"/>
      <c r="N154" s="928"/>
      <c r="O154" s="928"/>
      <c r="P154" s="928"/>
      <c r="Q154" s="928"/>
      <c r="R154" s="928"/>
      <c r="S154" s="928"/>
      <c r="T154" s="928"/>
      <c r="U154" s="928"/>
      <c r="V154" s="928"/>
      <c r="W154" s="928"/>
      <c r="X154" s="928"/>
      <c r="Y154" s="928"/>
      <c r="Z154" s="928"/>
      <c r="AA154" s="928"/>
    </row>
    <row r="155">
      <c r="A155" s="929">
        <v>45784.0</v>
      </c>
      <c r="B155" s="927" t="s">
        <v>1243</v>
      </c>
      <c r="C155" s="928"/>
      <c r="D155" s="928"/>
      <c r="E155" s="928"/>
      <c r="F155" s="928"/>
      <c r="G155" s="928"/>
      <c r="H155" s="928"/>
      <c r="I155" s="928"/>
      <c r="J155" s="928"/>
      <c r="K155" s="928"/>
      <c r="L155" s="928"/>
      <c r="M155" s="928"/>
      <c r="N155" s="928"/>
      <c r="O155" s="928"/>
      <c r="P155" s="928"/>
      <c r="Q155" s="928"/>
      <c r="R155" s="928"/>
      <c r="S155" s="928"/>
      <c r="T155" s="928"/>
      <c r="U155" s="928"/>
      <c r="V155" s="928"/>
      <c r="W155" s="928"/>
      <c r="X155" s="928"/>
      <c r="Y155" s="928"/>
      <c r="Z155" s="928"/>
      <c r="AA155" s="928"/>
    </row>
    <row r="156">
      <c r="A156" s="929">
        <v>45787.0</v>
      </c>
      <c r="B156" s="927" t="s">
        <v>1244</v>
      </c>
      <c r="C156" s="928"/>
      <c r="D156" s="928"/>
      <c r="E156" s="928"/>
      <c r="F156" s="928"/>
      <c r="G156" s="928"/>
      <c r="H156" s="928"/>
      <c r="I156" s="928"/>
      <c r="J156" s="928"/>
      <c r="K156" s="928"/>
      <c r="L156" s="928"/>
      <c r="M156" s="928"/>
      <c r="N156" s="928"/>
      <c r="O156" s="928"/>
      <c r="P156" s="928"/>
      <c r="Q156" s="928"/>
      <c r="R156" s="928"/>
      <c r="S156" s="928"/>
      <c r="T156" s="928"/>
      <c r="U156" s="928"/>
      <c r="V156" s="928"/>
      <c r="W156" s="928"/>
      <c r="X156" s="928"/>
      <c r="Y156" s="928"/>
      <c r="Z156" s="928"/>
      <c r="AA156" s="928"/>
    </row>
    <row r="157">
      <c r="A157" s="929">
        <v>45802.0</v>
      </c>
      <c r="B157" s="927" t="s">
        <v>1245</v>
      </c>
      <c r="C157" s="928"/>
      <c r="D157" s="928"/>
      <c r="E157" s="928"/>
      <c r="F157" s="928"/>
      <c r="G157" s="928"/>
      <c r="H157" s="928"/>
      <c r="I157" s="928"/>
      <c r="J157" s="928"/>
      <c r="K157" s="928"/>
      <c r="L157" s="928"/>
      <c r="M157" s="928"/>
      <c r="N157" s="928"/>
      <c r="O157" s="928"/>
      <c r="P157" s="928"/>
      <c r="Q157" s="928"/>
      <c r="R157" s="928"/>
      <c r="S157" s="928"/>
      <c r="T157" s="928"/>
      <c r="U157" s="928"/>
      <c r="V157" s="928"/>
      <c r="W157" s="928"/>
      <c r="X157" s="928"/>
      <c r="Y157" s="928"/>
      <c r="Z157" s="928"/>
      <c r="AA157" s="928"/>
    </row>
    <row r="158">
      <c r="A158" s="929">
        <v>45806.0</v>
      </c>
      <c r="B158" s="927" t="s">
        <v>1246</v>
      </c>
      <c r="C158" s="928"/>
      <c r="D158" s="928"/>
      <c r="E158" s="928"/>
      <c r="F158" s="928"/>
      <c r="G158" s="928"/>
      <c r="H158" s="928"/>
      <c r="I158" s="928"/>
      <c r="J158" s="928"/>
      <c r="K158" s="928"/>
      <c r="L158" s="928"/>
      <c r="M158" s="928"/>
      <c r="N158" s="928"/>
      <c r="O158" s="928"/>
      <c r="P158" s="928"/>
      <c r="Q158" s="928"/>
      <c r="R158" s="928"/>
      <c r="S158" s="928"/>
      <c r="T158" s="928"/>
      <c r="U158" s="928"/>
      <c r="V158" s="928"/>
      <c r="W158" s="928"/>
      <c r="X158" s="928"/>
      <c r="Y158" s="928"/>
      <c r="Z158" s="928"/>
      <c r="AA158" s="928"/>
    </row>
    <row r="159">
      <c r="A159" s="929">
        <v>45807.0</v>
      </c>
      <c r="B159" s="927" t="s">
        <v>1247</v>
      </c>
      <c r="C159" s="928"/>
      <c r="D159" s="928"/>
      <c r="E159" s="928"/>
      <c r="F159" s="928"/>
      <c r="G159" s="928"/>
      <c r="H159" s="928"/>
      <c r="I159" s="928"/>
      <c r="J159" s="928"/>
      <c r="K159" s="928"/>
      <c r="L159" s="928"/>
      <c r="M159" s="928"/>
      <c r="N159" s="928"/>
      <c r="O159" s="928"/>
      <c r="P159" s="928"/>
      <c r="Q159" s="928"/>
      <c r="R159" s="928"/>
      <c r="S159" s="928"/>
      <c r="T159" s="928"/>
      <c r="U159" s="928"/>
      <c r="V159" s="928"/>
      <c r="W159" s="928"/>
      <c r="X159" s="928"/>
      <c r="Y159" s="928"/>
      <c r="Z159" s="928"/>
      <c r="AA159" s="928"/>
    </row>
    <row r="160">
      <c r="A160" s="929">
        <v>45857.0</v>
      </c>
      <c r="B160" s="927" t="s">
        <v>1248</v>
      </c>
      <c r="C160" s="928"/>
      <c r="D160" s="928"/>
      <c r="E160" s="928"/>
      <c r="F160" s="928"/>
      <c r="G160" s="928"/>
      <c r="H160" s="928"/>
      <c r="I160" s="928"/>
      <c r="J160" s="928"/>
      <c r="K160" s="928"/>
      <c r="L160" s="928"/>
      <c r="M160" s="928"/>
      <c r="N160" s="928"/>
      <c r="O160" s="928"/>
      <c r="P160" s="928"/>
      <c r="Q160" s="928"/>
      <c r="R160" s="928"/>
      <c r="S160" s="928"/>
      <c r="T160" s="928"/>
      <c r="U160" s="928"/>
      <c r="V160" s="928"/>
      <c r="W160" s="928"/>
      <c r="X160" s="928"/>
      <c r="Y160" s="928"/>
      <c r="Z160" s="928"/>
      <c r="AA160" s="928"/>
    </row>
    <row r="161">
      <c r="A161" s="929">
        <v>45858.0</v>
      </c>
      <c r="B161" s="927" t="s">
        <v>1249</v>
      </c>
      <c r="C161" s="928"/>
      <c r="D161" s="928"/>
      <c r="E161" s="928"/>
      <c r="F161" s="928"/>
      <c r="G161" s="928"/>
      <c r="H161" s="928"/>
      <c r="I161" s="928"/>
      <c r="J161" s="928"/>
      <c r="K161" s="928"/>
      <c r="L161" s="928"/>
      <c r="M161" s="928"/>
      <c r="N161" s="928"/>
      <c r="O161" s="928"/>
      <c r="P161" s="928"/>
      <c r="Q161" s="928"/>
      <c r="R161" s="928"/>
      <c r="S161" s="928"/>
      <c r="T161" s="928"/>
      <c r="U161" s="928"/>
      <c r="V161" s="928"/>
      <c r="W161" s="928"/>
      <c r="X161" s="928"/>
      <c r="Y161" s="928"/>
      <c r="Z161" s="928"/>
      <c r="AA161" s="928"/>
    </row>
    <row r="162">
      <c r="A162" s="929">
        <v>45859.0</v>
      </c>
      <c r="B162" s="927" t="s">
        <v>1250</v>
      </c>
      <c r="C162" s="928"/>
      <c r="D162" s="928"/>
      <c r="E162" s="928"/>
      <c r="F162" s="928"/>
      <c r="G162" s="928"/>
      <c r="H162" s="928"/>
      <c r="I162" s="928"/>
      <c r="J162" s="928"/>
      <c r="K162" s="928"/>
      <c r="L162" s="928"/>
      <c r="M162" s="928"/>
      <c r="N162" s="928"/>
      <c r="O162" s="928"/>
      <c r="P162" s="928"/>
      <c r="Q162" s="928"/>
      <c r="R162" s="928"/>
      <c r="S162" s="928"/>
      <c r="T162" s="928"/>
      <c r="U162" s="928"/>
      <c r="V162" s="928"/>
      <c r="W162" s="928"/>
      <c r="X162" s="928"/>
      <c r="Y162" s="928"/>
      <c r="Z162" s="928"/>
      <c r="AA162" s="928"/>
    </row>
    <row r="163">
      <c r="A163" s="929">
        <v>45863.0</v>
      </c>
      <c r="B163" s="927" t="s">
        <v>1251</v>
      </c>
      <c r="C163" s="928"/>
      <c r="D163" s="928"/>
      <c r="E163" s="928"/>
      <c r="F163" s="928"/>
      <c r="G163" s="928"/>
      <c r="H163" s="928"/>
      <c r="I163" s="928"/>
      <c r="J163" s="928"/>
      <c r="K163" s="928"/>
      <c r="L163" s="928"/>
      <c r="M163" s="928"/>
      <c r="N163" s="928"/>
      <c r="O163" s="928"/>
      <c r="P163" s="928"/>
      <c r="Q163" s="928"/>
      <c r="R163" s="928"/>
      <c r="S163" s="928"/>
      <c r="T163" s="928"/>
      <c r="U163" s="928"/>
      <c r="V163" s="928"/>
      <c r="W163" s="928"/>
      <c r="X163" s="928"/>
      <c r="Y163" s="928"/>
      <c r="Z163" s="928"/>
      <c r="AA163" s="928"/>
    </row>
    <row r="164">
      <c r="A164" s="929">
        <v>45864.0</v>
      </c>
      <c r="B164" s="927" t="s">
        <v>1252</v>
      </c>
      <c r="C164" s="928"/>
      <c r="D164" s="928"/>
      <c r="E164" s="928"/>
      <c r="F164" s="928"/>
      <c r="G164" s="928"/>
      <c r="H164" s="928"/>
      <c r="I164" s="928"/>
      <c r="J164" s="928"/>
      <c r="K164" s="928"/>
      <c r="L164" s="928"/>
      <c r="M164" s="928"/>
      <c r="N164" s="928"/>
      <c r="O164" s="928"/>
      <c r="P164" s="928"/>
      <c r="Q164" s="928"/>
      <c r="R164" s="928"/>
      <c r="S164" s="928"/>
      <c r="T164" s="928"/>
      <c r="U164" s="928"/>
      <c r="V164" s="928"/>
      <c r="W164" s="928"/>
      <c r="X164" s="928"/>
      <c r="Y164" s="928"/>
      <c r="Z164" s="928"/>
      <c r="AA164" s="928"/>
    </row>
    <row r="165">
      <c r="A165" s="929">
        <v>45866.0</v>
      </c>
      <c r="B165" s="927" t="s">
        <v>1253</v>
      </c>
      <c r="C165" s="928"/>
      <c r="D165" s="928"/>
      <c r="E165" s="928"/>
      <c r="F165" s="928"/>
      <c r="G165" s="928"/>
      <c r="H165" s="928"/>
      <c r="I165" s="928"/>
      <c r="J165" s="928"/>
      <c r="K165" s="928"/>
      <c r="L165" s="928"/>
      <c r="M165" s="928"/>
      <c r="N165" s="928"/>
      <c r="O165" s="928"/>
      <c r="P165" s="928"/>
      <c r="Q165" s="928"/>
      <c r="R165" s="928"/>
      <c r="S165" s="928"/>
      <c r="T165" s="928"/>
      <c r="U165" s="928"/>
      <c r="V165" s="928"/>
      <c r="W165" s="928"/>
      <c r="X165" s="928"/>
      <c r="Y165" s="928"/>
      <c r="Z165" s="928"/>
      <c r="AA165" s="928"/>
    </row>
    <row r="166">
      <c r="A166" s="929">
        <v>45867.0</v>
      </c>
      <c r="B166" s="927" t="s">
        <v>1254</v>
      </c>
      <c r="C166" s="928"/>
      <c r="D166" s="928"/>
      <c r="E166" s="928"/>
      <c r="F166" s="928"/>
      <c r="G166" s="928"/>
      <c r="H166" s="928"/>
      <c r="I166" s="928"/>
      <c r="J166" s="928"/>
      <c r="K166" s="928"/>
      <c r="L166" s="928"/>
      <c r="M166" s="928"/>
      <c r="N166" s="928"/>
      <c r="O166" s="928"/>
      <c r="P166" s="928"/>
      <c r="Q166" s="928"/>
      <c r="R166" s="928"/>
      <c r="S166" s="928"/>
      <c r="T166" s="928"/>
      <c r="U166" s="928"/>
      <c r="V166" s="928"/>
      <c r="W166" s="928"/>
      <c r="X166" s="928"/>
      <c r="Y166" s="928"/>
      <c r="Z166" s="928"/>
      <c r="AA166" s="928"/>
    </row>
    <row r="167">
      <c r="A167" s="929">
        <v>45869.0</v>
      </c>
      <c r="B167" s="927" t="s">
        <v>1255</v>
      </c>
      <c r="C167" s="928"/>
      <c r="D167" s="928"/>
      <c r="E167" s="928"/>
      <c r="F167" s="928"/>
      <c r="G167" s="928"/>
      <c r="H167" s="928"/>
      <c r="I167" s="928"/>
      <c r="J167" s="928"/>
      <c r="K167" s="928"/>
      <c r="L167" s="928"/>
      <c r="M167" s="928"/>
      <c r="N167" s="928"/>
      <c r="O167" s="928"/>
      <c r="P167" s="928"/>
      <c r="Q167" s="928"/>
      <c r="R167" s="928"/>
      <c r="S167" s="928"/>
      <c r="T167" s="928"/>
      <c r="U167" s="928"/>
      <c r="V167" s="928"/>
      <c r="W167" s="928"/>
      <c r="X167" s="928"/>
      <c r="Y167" s="928"/>
      <c r="Z167" s="928"/>
      <c r="AA167" s="928"/>
    </row>
    <row r="168">
      <c r="A168" s="929">
        <v>45870.0</v>
      </c>
      <c r="B168" s="927" t="s">
        <v>1256</v>
      </c>
      <c r="C168" s="928"/>
      <c r="D168" s="928"/>
      <c r="E168" s="928"/>
      <c r="F168" s="928"/>
      <c r="G168" s="928"/>
      <c r="H168" s="928"/>
      <c r="I168" s="928"/>
      <c r="J168" s="928"/>
      <c r="K168" s="928"/>
      <c r="L168" s="928"/>
      <c r="M168" s="928"/>
      <c r="N168" s="928"/>
      <c r="O168" s="928"/>
      <c r="P168" s="928"/>
      <c r="Q168" s="928"/>
      <c r="R168" s="928"/>
      <c r="S168" s="928"/>
      <c r="T168" s="928"/>
      <c r="U168" s="928"/>
      <c r="V168" s="928"/>
      <c r="W168" s="928"/>
      <c r="X168" s="928"/>
      <c r="Y168" s="928"/>
      <c r="Z168" s="928"/>
      <c r="AA168" s="928"/>
    </row>
    <row r="169">
      <c r="A169" s="929">
        <v>45872.0</v>
      </c>
      <c r="B169" s="927" t="s">
        <v>1257</v>
      </c>
      <c r="C169" s="928"/>
      <c r="D169" s="928"/>
      <c r="E169" s="928"/>
      <c r="F169" s="928"/>
      <c r="G169" s="928"/>
      <c r="H169" s="928"/>
      <c r="I169" s="928"/>
      <c r="J169" s="928"/>
      <c r="K169" s="928"/>
      <c r="L169" s="928"/>
      <c r="M169" s="928"/>
      <c r="N169" s="928"/>
      <c r="O169" s="928"/>
      <c r="P169" s="928"/>
      <c r="Q169" s="928"/>
      <c r="R169" s="928"/>
      <c r="S169" s="928"/>
      <c r="T169" s="928"/>
      <c r="U169" s="928"/>
      <c r="V169" s="928"/>
      <c r="W169" s="928"/>
      <c r="X169" s="928"/>
      <c r="Y169" s="928"/>
      <c r="Z169" s="928"/>
      <c r="AA169" s="928"/>
    </row>
    <row r="170">
      <c r="A170" s="929">
        <v>45875.0</v>
      </c>
      <c r="B170" s="927" t="s">
        <v>1258</v>
      </c>
      <c r="C170" s="928"/>
      <c r="D170" s="928"/>
      <c r="E170" s="928"/>
      <c r="F170" s="928"/>
      <c r="G170" s="928"/>
      <c r="H170" s="928"/>
      <c r="I170" s="928"/>
      <c r="J170" s="928"/>
      <c r="K170" s="928"/>
      <c r="L170" s="928"/>
      <c r="M170" s="928"/>
      <c r="N170" s="928"/>
      <c r="O170" s="928"/>
      <c r="P170" s="928"/>
      <c r="Q170" s="928"/>
      <c r="R170" s="928"/>
      <c r="S170" s="928"/>
      <c r="T170" s="928"/>
      <c r="U170" s="928"/>
      <c r="V170" s="928"/>
      <c r="W170" s="928"/>
      <c r="X170" s="928"/>
      <c r="Y170" s="928"/>
      <c r="Z170" s="928"/>
      <c r="AA170" s="928"/>
    </row>
    <row r="171">
      <c r="A171" s="929">
        <v>45877.0</v>
      </c>
      <c r="B171" s="927" t="s">
        <v>1259</v>
      </c>
      <c r="C171" s="928"/>
      <c r="D171" s="928"/>
      <c r="E171" s="928"/>
      <c r="F171" s="928"/>
      <c r="G171" s="928"/>
      <c r="H171" s="928"/>
      <c r="I171" s="928"/>
      <c r="J171" s="928"/>
      <c r="K171" s="928"/>
      <c r="L171" s="928"/>
      <c r="M171" s="928"/>
      <c r="N171" s="928"/>
      <c r="O171" s="928"/>
      <c r="P171" s="928"/>
      <c r="Q171" s="928"/>
      <c r="R171" s="928"/>
      <c r="S171" s="928"/>
      <c r="T171" s="928"/>
      <c r="U171" s="928"/>
      <c r="V171" s="928"/>
      <c r="W171" s="928"/>
      <c r="X171" s="928"/>
      <c r="Y171" s="928"/>
      <c r="Z171" s="928"/>
      <c r="AA171" s="928"/>
    </row>
    <row r="172">
      <c r="A172" s="929">
        <v>45880.0</v>
      </c>
      <c r="B172" s="927" t="s">
        <v>1260</v>
      </c>
      <c r="C172" s="928"/>
      <c r="D172" s="928"/>
      <c r="E172" s="928"/>
      <c r="F172" s="928"/>
      <c r="G172" s="928"/>
      <c r="H172" s="928"/>
      <c r="I172" s="928"/>
      <c r="J172" s="928"/>
      <c r="K172" s="928"/>
      <c r="L172" s="928"/>
      <c r="M172" s="928"/>
      <c r="N172" s="928"/>
      <c r="O172" s="928"/>
      <c r="P172" s="928"/>
      <c r="Q172" s="928"/>
      <c r="R172" s="928"/>
      <c r="S172" s="928"/>
      <c r="T172" s="928"/>
      <c r="U172" s="928"/>
      <c r="V172" s="928"/>
      <c r="W172" s="928"/>
      <c r="X172" s="928"/>
      <c r="Y172" s="928"/>
      <c r="Z172" s="928"/>
      <c r="AA172" s="928"/>
    </row>
    <row r="173">
      <c r="A173" s="929">
        <v>45883.0</v>
      </c>
      <c r="B173" s="927" t="s">
        <v>1261</v>
      </c>
      <c r="C173" s="928"/>
      <c r="D173" s="928"/>
      <c r="E173" s="928"/>
      <c r="F173" s="928"/>
      <c r="G173" s="928"/>
      <c r="H173" s="928"/>
      <c r="I173" s="928"/>
      <c r="J173" s="928"/>
      <c r="K173" s="928"/>
      <c r="L173" s="928"/>
      <c r="M173" s="928"/>
      <c r="N173" s="928"/>
      <c r="O173" s="928"/>
      <c r="P173" s="928"/>
      <c r="Q173" s="928"/>
      <c r="R173" s="928"/>
      <c r="S173" s="928"/>
      <c r="T173" s="928"/>
      <c r="U173" s="928"/>
      <c r="V173" s="928"/>
      <c r="W173" s="928"/>
      <c r="X173" s="928"/>
      <c r="Y173" s="928"/>
      <c r="Z173" s="928"/>
      <c r="AA173" s="928"/>
    </row>
    <row r="174">
      <c r="A174" s="929">
        <v>45894.0</v>
      </c>
      <c r="B174" s="927" t="s">
        <v>1262</v>
      </c>
      <c r="C174" s="928"/>
      <c r="D174" s="928"/>
      <c r="E174" s="928"/>
      <c r="F174" s="928"/>
      <c r="G174" s="928"/>
      <c r="H174" s="928"/>
      <c r="I174" s="928"/>
      <c r="J174" s="928"/>
      <c r="K174" s="928"/>
      <c r="L174" s="928"/>
      <c r="M174" s="928"/>
      <c r="N174" s="928"/>
      <c r="O174" s="928"/>
      <c r="P174" s="928"/>
      <c r="Q174" s="928"/>
      <c r="R174" s="928"/>
      <c r="S174" s="928"/>
      <c r="T174" s="928"/>
      <c r="U174" s="928"/>
      <c r="V174" s="928"/>
      <c r="W174" s="928"/>
      <c r="X174" s="928"/>
      <c r="Y174" s="928"/>
      <c r="Z174" s="928"/>
      <c r="AA174" s="928"/>
    </row>
    <row r="175">
      <c r="A175" s="929">
        <v>45906.0</v>
      </c>
      <c r="B175" s="927" t="s">
        <v>1263</v>
      </c>
      <c r="C175" s="928"/>
      <c r="D175" s="928"/>
      <c r="E175" s="928"/>
      <c r="F175" s="928"/>
      <c r="G175" s="928"/>
      <c r="H175" s="928"/>
      <c r="I175" s="928"/>
      <c r="J175" s="928"/>
      <c r="K175" s="928"/>
      <c r="L175" s="928"/>
      <c r="M175" s="928"/>
      <c r="N175" s="928"/>
      <c r="O175" s="928"/>
      <c r="P175" s="928"/>
      <c r="Q175" s="928"/>
      <c r="R175" s="928"/>
      <c r="S175" s="928"/>
      <c r="T175" s="928"/>
      <c r="U175" s="928"/>
      <c r="V175" s="928"/>
      <c r="W175" s="928"/>
      <c r="X175" s="928"/>
      <c r="Y175" s="928"/>
      <c r="Z175" s="928"/>
      <c r="AA175" s="928"/>
    </row>
    <row r="176">
      <c r="A176" s="929">
        <v>45988.0</v>
      </c>
      <c r="B176" s="927" t="s">
        <v>1264</v>
      </c>
      <c r="C176" s="928"/>
      <c r="D176" s="928"/>
      <c r="E176" s="928"/>
      <c r="F176" s="928"/>
      <c r="G176" s="928"/>
      <c r="H176" s="928"/>
      <c r="I176" s="928"/>
      <c r="J176" s="928"/>
      <c r="K176" s="928"/>
      <c r="L176" s="928"/>
      <c r="M176" s="928"/>
      <c r="N176" s="928"/>
      <c r="O176" s="928"/>
      <c r="P176" s="928"/>
      <c r="Q176" s="928"/>
      <c r="R176" s="928"/>
      <c r="S176" s="928"/>
      <c r="T176" s="928"/>
      <c r="U176" s="928"/>
      <c r="V176" s="928"/>
      <c r="W176" s="928"/>
      <c r="X176" s="928"/>
      <c r="Y176" s="928"/>
      <c r="Z176" s="928"/>
      <c r="AA176" s="928"/>
    </row>
    <row r="177">
      <c r="A177" s="929">
        <v>46004.0</v>
      </c>
      <c r="B177" s="927" t="s">
        <v>1265</v>
      </c>
      <c r="C177" s="928"/>
      <c r="D177" s="928"/>
      <c r="E177" s="928"/>
      <c r="F177" s="928"/>
      <c r="G177" s="928"/>
      <c r="H177" s="928"/>
      <c r="I177" s="928"/>
      <c r="J177" s="928"/>
      <c r="K177" s="928"/>
      <c r="L177" s="928"/>
      <c r="M177" s="928"/>
      <c r="N177" s="928"/>
      <c r="O177" s="928"/>
      <c r="P177" s="928"/>
      <c r="Q177" s="928"/>
      <c r="R177" s="928"/>
      <c r="S177" s="928"/>
      <c r="T177" s="928"/>
      <c r="U177" s="928"/>
      <c r="V177" s="928"/>
      <c r="W177" s="928"/>
      <c r="X177" s="928"/>
      <c r="Y177" s="928"/>
      <c r="Z177" s="928"/>
      <c r="AA177" s="928"/>
    </row>
    <row r="178">
      <c r="A178" s="929">
        <v>46005.0</v>
      </c>
      <c r="B178" s="927" t="s">
        <v>1266</v>
      </c>
      <c r="C178" s="928"/>
      <c r="D178" s="928"/>
      <c r="E178" s="928"/>
      <c r="F178" s="928"/>
      <c r="G178" s="928"/>
      <c r="H178" s="928"/>
      <c r="I178" s="928"/>
      <c r="J178" s="928"/>
      <c r="K178" s="928"/>
      <c r="L178" s="928"/>
      <c r="M178" s="928"/>
      <c r="N178" s="928"/>
      <c r="O178" s="928"/>
      <c r="P178" s="928"/>
      <c r="Q178" s="928"/>
      <c r="R178" s="928"/>
      <c r="S178" s="928"/>
      <c r="T178" s="928"/>
      <c r="U178" s="928"/>
      <c r="V178" s="928"/>
      <c r="W178" s="928"/>
      <c r="X178" s="928"/>
      <c r="Y178" s="928"/>
      <c r="Z178" s="928"/>
      <c r="AA178" s="928"/>
    </row>
    <row r="179">
      <c r="A179" s="929">
        <v>46047.0</v>
      </c>
      <c r="B179" s="927" t="s">
        <v>1267</v>
      </c>
      <c r="C179" s="928"/>
      <c r="D179" s="928"/>
      <c r="E179" s="928"/>
      <c r="F179" s="928"/>
      <c r="G179" s="928"/>
      <c r="H179" s="928"/>
      <c r="I179" s="928"/>
      <c r="J179" s="928"/>
      <c r="K179" s="928"/>
      <c r="L179" s="928"/>
      <c r="M179" s="928"/>
      <c r="N179" s="928"/>
      <c r="O179" s="928"/>
      <c r="P179" s="928"/>
      <c r="Q179" s="928"/>
      <c r="R179" s="928"/>
      <c r="S179" s="928"/>
      <c r="T179" s="928"/>
      <c r="U179" s="928"/>
      <c r="V179" s="928"/>
      <c r="W179" s="928"/>
      <c r="X179" s="928"/>
      <c r="Y179" s="928"/>
      <c r="Z179" s="928"/>
      <c r="AA179" s="928"/>
    </row>
    <row r="180">
      <c r="A180" s="929">
        <v>46159.0</v>
      </c>
      <c r="B180" s="927" t="s">
        <v>1268</v>
      </c>
      <c r="C180" s="928"/>
      <c r="D180" s="928"/>
      <c r="E180" s="928"/>
      <c r="F180" s="928"/>
      <c r="G180" s="928"/>
      <c r="H180" s="928"/>
      <c r="I180" s="928"/>
      <c r="J180" s="928"/>
      <c r="K180" s="928"/>
      <c r="L180" s="928"/>
      <c r="M180" s="928"/>
      <c r="N180" s="928"/>
      <c r="O180" s="928"/>
      <c r="P180" s="928"/>
      <c r="Q180" s="928"/>
      <c r="R180" s="928"/>
      <c r="S180" s="928"/>
      <c r="T180" s="928"/>
      <c r="U180" s="928"/>
      <c r="V180" s="928"/>
      <c r="W180" s="928"/>
      <c r="X180" s="928"/>
      <c r="Y180" s="928"/>
      <c r="Z180" s="928"/>
      <c r="AA180" s="928"/>
    </row>
    <row r="181">
      <c r="A181" s="934">
        <v>46160.0</v>
      </c>
      <c r="B181" s="927" t="s">
        <v>1269</v>
      </c>
      <c r="C181" s="928"/>
      <c r="D181" s="928"/>
      <c r="E181" s="928"/>
      <c r="F181" s="928"/>
      <c r="G181" s="928"/>
      <c r="H181" s="928"/>
      <c r="I181" s="928"/>
      <c r="J181" s="928"/>
      <c r="K181" s="928"/>
      <c r="L181" s="928"/>
      <c r="M181" s="928"/>
      <c r="N181" s="928"/>
      <c r="O181" s="928"/>
      <c r="P181" s="928"/>
      <c r="Q181" s="928"/>
      <c r="R181" s="928"/>
      <c r="S181" s="928"/>
      <c r="T181" s="928"/>
      <c r="U181" s="928"/>
      <c r="V181" s="928"/>
      <c r="W181" s="928"/>
      <c r="X181" s="928"/>
      <c r="Y181" s="928"/>
      <c r="Z181" s="928"/>
      <c r="AA181" s="928"/>
    </row>
    <row r="182">
      <c r="A182" s="934">
        <v>46161.0</v>
      </c>
      <c r="B182" s="927" t="s">
        <v>1270</v>
      </c>
      <c r="C182" s="928"/>
      <c r="D182" s="928"/>
      <c r="E182" s="928"/>
      <c r="F182" s="928"/>
      <c r="G182" s="928"/>
      <c r="H182" s="928"/>
      <c r="I182" s="928"/>
      <c r="J182" s="928"/>
      <c r="K182" s="928"/>
      <c r="L182" s="928"/>
      <c r="M182" s="928"/>
      <c r="N182" s="928"/>
      <c r="O182" s="928"/>
      <c r="P182" s="928"/>
      <c r="Q182" s="928"/>
      <c r="R182" s="928"/>
      <c r="S182" s="928"/>
      <c r="T182" s="928"/>
      <c r="U182" s="928"/>
      <c r="V182" s="928"/>
      <c r="W182" s="928"/>
      <c r="X182" s="928"/>
      <c r="Y182" s="928"/>
      <c r="Z182" s="928"/>
      <c r="AA182" s="928"/>
    </row>
    <row r="183">
      <c r="A183" s="929"/>
      <c r="B183" s="927"/>
      <c r="C183" s="928"/>
      <c r="D183" s="928"/>
      <c r="E183" s="928"/>
      <c r="F183" s="928"/>
      <c r="G183" s="928"/>
      <c r="H183" s="928"/>
      <c r="I183" s="928"/>
      <c r="J183" s="928"/>
      <c r="K183" s="928"/>
      <c r="L183" s="928"/>
      <c r="M183" s="928"/>
      <c r="N183" s="928"/>
      <c r="O183" s="928"/>
      <c r="P183" s="928"/>
      <c r="Q183" s="928"/>
      <c r="R183" s="928"/>
      <c r="S183" s="928"/>
      <c r="T183" s="928"/>
      <c r="U183" s="928"/>
      <c r="V183" s="928"/>
      <c r="W183" s="928"/>
      <c r="X183" s="928"/>
      <c r="Y183" s="928"/>
      <c r="Z183" s="928"/>
      <c r="AA183" s="928"/>
    </row>
    <row r="184" hidden="1">
      <c r="A184" s="935"/>
      <c r="B184" s="932"/>
      <c r="C184" s="928"/>
      <c r="D184" s="928"/>
      <c r="E184" s="928"/>
      <c r="F184" s="928"/>
      <c r="G184" s="928"/>
      <c r="H184" s="928"/>
      <c r="I184" s="928"/>
      <c r="J184" s="928"/>
      <c r="K184" s="928"/>
      <c r="L184" s="928"/>
      <c r="M184" s="928"/>
      <c r="N184" s="928"/>
      <c r="O184" s="928"/>
      <c r="P184" s="928"/>
      <c r="Q184" s="928"/>
      <c r="R184" s="928"/>
      <c r="S184" s="928"/>
      <c r="T184" s="928"/>
      <c r="U184" s="928"/>
      <c r="V184" s="928"/>
      <c r="W184" s="928"/>
      <c r="X184" s="928"/>
      <c r="Y184" s="928"/>
      <c r="Z184" s="928"/>
      <c r="AA184" s="928"/>
    </row>
    <row r="185" hidden="1">
      <c r="A185" s="935"/>
      <c r="B185" s="932"/>
      <c r="C185" s="928"/>
      <c r="D185" s="928"/>
      <c r="E185" s="928"/>
      <c r="F185" s="928"/>
      <c r="G185" s="928"/>
      <c r="H185" s="928"/>
      <c r="I185" s="928"/>
      <c r="J185" s="928"/>
      <c r="K185" s="928"/>
      <c r="L185" s="928"/>
      <c r="M185" s="928"/>
      <c r="N185" s="928"/>
      <c r="O185" s="928"/>
      <c r="P185" s="928"/>
      <c r="Q185" s="928"/>
      <c r="R185" s="928"/>
      <c r="S185" s="928"/>
      <c r="T185" s="928"/>
      <c r="U185" s="928"/>
      <c r="V185" s="928"/>
      <c r="W185" s="928"/>
      <c r="X185" s="928"/>
      <c r="Y185" s="928"/>
      <c r="Z185" s="928"/>
      <c r="AA185" s="928"/>
    </row>
    <row r="186" hidden="1">
      <c r="A186" s="935"/>
      <c r="B186" s="932"/>
      <c r="C186" s="928"/>
      <c r="D186" s="928"/>
      <c r="E186" s="928"/>
      <c r="F186" s="928"/>
      <c r="G186" s="928"/>
      <c r="H186" s="928"/>
      <c r="I186" s="928"/>
      <c r="J186" s="928"/>
      <c r="K186" s="928"/>
      <c r="L186" s="928"/>
      <c r="M186" s="928"/>
      <c r="N186" s="928"/>
      <c r="O186" s="928"/>
      <c r="P186" s="928"/>
      <c r="Q186" s="928"/>
      <c r="R186" s="928"/>
      <c r="S186" s="928"/>
      <c r="T186" s="928"/>
      <c r="U186" s="928"/>
      <c r="V186" s="928"/>
      <c r="W186" s="928"/>
      <c r="X186" s="928"/>
      <c r="Y186" s="928"/>
      <c r="Z186" s="928"/>
      <c r="AA186" s="928"/>
    </row>
    <row r="187" hidden="1">
      <c r="A187" s="935"/>
      <c r="B187" s="932"/>
      <c r="C187" s="928"/>
      <c r="D187" s="928"/>
      <c r="E187" s="928"/>
      <c r="F187" s="928"/>
      <c r="G187" s="928"/>
      <c r="H187" s="928"/>
      <c r="I187" s="928"/>
      <c r="J187" s="928"/>
      <c r="K187" s="928"/>
      <c r="L187" s="928"/>
      <c r="M187" s="928"/>
      <c r="N187" s="928"/>
      <c r="O187" s="928"/>
      <c r="P187" s="928"/>
      <c r="Q187" s="928"/>
      <c r="R187" s="928"/>
      <c r="S187" s="928"/>
      <c r="T187" s="928"/>
      <c r="U187" s="928"/>
      <c r="V187" s="928"/>
      <c r="W187" s="928"/>
      <c r="X187" s="928"/>
      <c r="Y187" s="928"/>
      <c r="Z187" s="928"/>
      <c r="AA187" s="928"/>
    </row>
    <row r="188" hidden="1">
      <c r="A188" s="935"/>
      <c r="B188" s="932"/>
      <c r="C188" s="928"/>
      <c r="D188" s="928"/>
      <c r="E188" s="928"/>
      <c r="F188" s="928"/>
      <c r="G188" s="928"/>
      <c r="H188" s="928"/>
      <c r="I188" s="928"/>
      <c r="J188" s="928"/>
      <c r="K188" s="928"/>
      <c r="L188" s="928"/>
      <c r="M188" s="928"/>
      <c r="N188" s="928"/>
      <c r="O188" s="928"/>
      <c r="P188" s="928"/>
      <c r="Q188" s="928"/>
      <c r="R188" s="928"/>
      <c r="S188" s="928"/>
      <c r="T188" s="928"/>
      <c r="U188" s="928"/>
      <c r="V188" s="928"/>
      <c r="W188" s="928"/>
      <c r="X188" s="928"/>
      <c r="Y188" s="928"/>
      <c r="Z188" s="928"/>
      <c r="AA188" s="928"/>
    </row>
    <row r="189" hidden="1">
      <c r="A189" s="935"/>
      <c r="B189" s="932"/>
      <c r="C189" s="928"/>
      <c r="D189" s="928"/>
      <c r="E189" s="928"/>
      <c r="F189" s="928"/>
      <c r="G189" s="928"/>
      <c r="H189" s="928"/>
      <c r="I189" s="928"/>
      <c r="J189" s="928"/>
      <c r="K189" s="928"/>
      <c r="L189" s="928"/>
      <c r="M189" s="928"/>
      <c r="N189" s="928"/>
      <c r="O189" s="928"/>
      <c r="P189" s="928"/>
      <c r="Q189" s="928"/>
      <c r="R189" s="928"/>
      <c r="S189" s="928"/>
      <c r="T189" s="928"/>
      <c r="U189" s="928"/>
      <c r="V189" s="928"/>
      <c r="W189" s="928"/>
      <c r="X189" s="928"/>
      <c r="Y189" s="928"/>
      <c r="Z189" s="928"/>
      <c r="AA189" s="928"/>
    </row>
    <row r="190" hidden="1">
      <c r="A190" s="935"/>
      <c r="B190" s="932"/>
      <c r="C190" s="928"/>
      <c r="D190" s="928"/>
      <c r="E190" s="928"/>
      <c r="F190" s="928"/>
      <c r="G190" s="928"/>
      <c r="H190" s="928"/>
      <c r="I190" s="928"/>
      <c r="J190" s="928"/>
      <c r="K190" s="928"/>
      <c r="L190" s="928"/>
      <c r="M190" s="928"/>
      <c r="N190" s="928"/>
      <c r="O190" s="928"/>
      <c r="P190" s="928"/>
      <c r="Q190" s="928"/>
      <c r="R190" s="928"/>
      <c r="S190" s="928"/>
      <c r="T190" s="928"/>
      <c r="U190" s="928"/>
      <c r="V190" s="928"/>
      <c r="W190" s="928"/>
      <c r="X190" s="928"/>
      <c r="Y190" s="928"/>
      <c r="Z190" s="928"/>
      <c r="AA190" s="928"/>
    </row>
    <row r="191" hidden="1">
      <c r="A191" s="935"/>
      <c r="B191" s="932"/>
      <c r="C191" s="928"/>
      <c r="D191" s="928"/>
      <c r="E191" s="928"/>
      <c r="F191" s="928"/>
      <c r="G191" s="928"/>
      <c r="H191" s="928"/>
      <c r="I191" s="928"/>
      <c r="J191" s="928"/>
      <c r="K191" s="928"/>
      <c r="L191" s="928"/>
      <c r="M191" s="928"/>
      <c r="N191" s="928"/>
      <c r="O191" s="928"/>
      <c r="P191" s="928"/>
      <c r="Q191" s="928"/>
      <c r="R191" s="928"/>
      <c r="S191" s="928"/>
      <c r="T191" s="928"/>
      <c r="U191" s="928"/>
      <c r="V191" s="928"/>
      <c r="W191" s="928"/>
      <c r="X191" s="928"/>
      <c r="Y191" s="928"/>
      <c r="Z191" s="928"/>
      <c r="AA191" s="928"/>
    </row>
    <row r="192" hidden="1">
      <c r="A192" s="935"/>
      <c r="B192" s="932"/>
      <c r="C192" s="928"/>
      <c r="D192" s="928"/>
      <c r="E192" s="928"/>
      <c r="F192" s="928"/>
      <c r="G192" s="928"/>
      <c r="H192" s="928"/>
      <c r="I192" s="928"/>
      <c r="J192" s="928"/>
      <c r="K192" s="928"/>
      <c r="L192" s="928"/>
      <c r="M192" s="928"/>
      <c r="N192" s="928"/>
      <c r="O192" s="928"/>
      <c r="P192" s="928"/>
      <c r="Q192" s="928"/>
      <c r="R192" s="928"/>
      <c r="S192" s="928"/>
      <c r="T192" s="928"/>
      <c r="U192" s="928"/>
      <c r="V192" s="928"/>
      <c r="W192" s="928"/>
      <c r="X192" s="928"/>
      <c r="Y192" s="928"/>
      <c r="Z192" s="928"/>
      <c r="AA192" s="928"/>
    </row>
    <row r="193" hidden="1">
      <c r="A193" s="935"/>
      <c r="B193" s="932"/>
      <c r="C193" s="928"/>
      <c r="D193" s="928"/>
      <c r="E193" s="928"/>
      <c r="F193" s="928"/>
      <c r="G193" s="928"/>
      <c r="H193" s="928"/>
      <c r="I193" s="928"/>
      <c r="J193" s="928"/>
      <c r="K193" s="928"/>
      <c r="L193" s="928"/>
      <c r="M193" s="928"/>
      <c r="N193" s="928"/>
      <c r="O193" s="928"/>
      <c r="P193" s="928"/>
      <c r="Q193" s="928"/>
      <c r="R193" s="928"/>
      <c r="S193" s="928"/>
      <c r="T193" s="928"/>
      <c r="U193" s="928"/>
      <c r="V193" s="928"/>
      <c r="W193" s="928"/>
      <c r="X193" s="928"/>
      <c r="Y193" s="928"/>
      <c r="Z193" s="928"/>
      <c r="AA193" s="928"/>
    </row>
    <row r="194" hidden="1">
      <c r="A194" s="935"/>
      <c r="B194" s="932"/>
      <c r="C194" s="928"/>
      <c r="D194" s="928"/>
      <c r="E194" s="928"/>
      <c r="F194" s="928"/>
      <c r="G194" s="928"/>
      <c r="H194" s="928"/>
      <c r="I194" s="928"/>
      <c r="J194" s="928"/>
      <c r="K194" s="928"/>
      <c r="L194" s="928"/>
      <c r="M194" s="928"/>
      <c r="N194" s="928"/>
      <c r="O194" s="928"/>
      <c r="P194" s="928"/>
      <c r="Q194" s="928"/>
      <c r="R194" s="928"/>
      <c r="S194" s="928"/>
      <c r="T194" s="928"/>
      <c r="U194" s="928"/>
      <c r="V194" s="928"/>
      <c r="W194" s="928"/>
      <c r="X194" s="928"/>
      <c r="Y194" s="928"/>
      <c r="Z194" s="928"/>
      <c r="AA194" s="928"/>
    </row>
    <row r="195" hidden="1">
      <c r="A195" s="935"/>
      <c r="B195" s="932"/>
      <c r="C195" s="928"/>
      <c r="D195" s="928"/>
      <c r="E195" s="928"/>
      <c r="F195" s="928"/>
      <c r="G195" s="928"/>
      <c r="H195" s="928"/>
      <c r="I195" s="928"/>
      <c r="J195" s="928"/>
      <c r="K195" s="928"/>
      <c r="L195" s="928"/>
      <c r="M195" s="928"/>
      <c r="N195" s="928"/>
      <c r="O195" s="928"/>
      <c r="P195" s="928"/>
      <c r="Q195" s="928"/>
      <c r="R195" s="928"/>
      <c r="S195" s="928"/>
      <c r="T195" s="928"/>
      <c r="U195" s="928"/>
      <c r="V195" s="928"/>
      <c r="W195" s="928"/>
      <c r="X195" s="928"/>
      <c r="Y195" s="928"/>
      <c r="Z195" s="928"/>
      <c r="AA195" s="928"/>
    </row>
    <row r="196" hidden="1">
      <c r="A196" s="935"/>
      <c r="B196" s="932"/>
      <c r="C196" s="928"/>
      <c r="D196" s="928"/>
      <c r="E196" s="928"/>
      <c r="F196" s="928"/>
      <c r="G196" s="928"/>
      <c r="H196" s="928"/>
      <c r="I196" s="928"/>
      <c r="J196" s="928"/>
      <c r="K196" s="928"/>
      <c r="L196" s="928"/>
      <c r="M196" s="928"/>
      <c r="N196" s="928"/>
      <c r="O196" s="928"/>
      <c r="P196" s="928"/>
      <c r="Q196" s="928"/>
      <c r="R196" s="928"/>
      <c r="S196" s="928"/>
      <c r="T196" s="928"/>
      <c r="U196" s="928"/>
      <c r="V196" s="928"/>
      <c r="W196" s="928"/>
      <c r="X196" s="928"/>
      <c r="Y196" s="928"/>
      <c r="Z196" s="928"/>
      <c r="AA196" s="928"/>
    </row>
    <row r="197" hidden="1">
      <c r="A197" s="935"/>
      <c r="B197" s="932"/>
      <c r="C197" s="928"/>
      <c r="D197" s="928"/>
      <c r="E197" s="928"/>
      <c r="F197" s="928"/>
      <c r="G197" s="928"/>
      <c r="H197" s="928"/>
      <c r="I197" s="928"/>
      <c r="J197" s="928"/>
      <c r="K197" s="928"/>
      <c r="L197" s="928"/>
      <c r="M197" s="928"/>
      <c r="N197" s="928"/>
      <c r="O197" s="928"/>
      <c r="P197" s="928"/>
      <c r="Q197" s="928"/>
      <c r="R197" s="928"/>
      <c r="S197" s="928"/>
      <c r="T197" s="928"/>
      <c r="U197" s="928"/>
      <c r="V197" s="928"/>
      <c r="W197" s="928"/>
      <c r="X197" s="928"/>
      <c r="Y197" s="928"/>
      <c r="Z197" s="928"/>
      <c r="AA197" s="928"/>
    </row>
    <row r="198" hidden="1">
      <c r="A198" s="935"/>
      <c r="B198" s="932"/>
      <c r="C198" s="928"/>
      <c r="D198" s="928"/>
      <c r="E198" s="928"/>
      <c r="F198" s="928"/>
      <c r="G198" s="928"/>
      <c r="H198" s="928"/>
      <c r="I198" s="928"/>
      <c r="J198" s="928"/>
      <c r="K198" s="928"/>
      <c r="L198" s="928"/>
      <c r="M198" s="928"/>
      <c r="N198" s="928"/>
      <c r="O198" s="928"/>
      <c r="P198" s="928"/>
      <c r="Q198" s="928"/>
      <c r="R198" s="928"/>
      <c r="S198" s="928"/>
      <c r="T198" s="928"/>
      <c r="U198" s="928"/>
      <c r="V198" s="928"/>
      <c r="W198" s="928"/>
      <c r="X198" s="928"/>
      <c r="Y198" s="928"/>
      <c r="Z198" s="928"/>
      <c r="AA198" s="928"/>
    </row>
    <row r="199" hidden="1">
      <c r="A199" s="935"/>
      <c r="B199" s="932"/>
      <c r="C199" s="928"/>
      <c r="D199" s="928"/>
      <c r="E199" s="928"/>
      <c r="F199" s="928"/>
      <c r="G199" s="928"/>
      <c r="H199" s="928"/>
      <c r="I199" s="928"/>
      <c r="J199" s="928"/>
      <c r="K199" s="928"/>
      <c r="L199" s="928"/>
      <c r="M199" s="928"/>
      <c r="N199" s="928"/>
      <c r="O199" s="928"/>
      <c r="P199" s="928"/>
      <c r="Q199" s="928"/>
      <c r="R199" s="928"/>
      <c r="S199" s="928"/>
      <c r="T199" s="928"/>
      <c r="U199" s="928"/>
      <c r="V199" s="928"/>
      <c r="W199" s="928"/>
      <c r="X199" s="928"/>
      <c r="Y199" s="928"/>
      <c r="Z199" s="928"/>
      <c r="AA199" s="928"/>
    </row>
    <row r="200" hidden="1">
      <c r="A200" s="935"/>
      <c r="B200" s="932"/>
      <c r="C200" s="928"/>
      <c r="D200" s="928"/>
      <c r="E200" s="928"/>
      <c r="F200" s="928"/>
      <c r="G200" s="928"/>
      <c r="H200" s="928"/>
      <c r="I200" s="928"/>
      <c r="J200" s="928"/>
      <c r="K200" s="928"/>
      <c r="L200" s="928"/>
      <c r="M200" s="928"/>
      <c r="N200" s="928"/>
      <c r="O200" s="928"/>
      <c r="P200" s="928"/>
      <c r="Q200" s="928"/>
      <c r="R200" s="928"/>
      <c r="S200" s="928"/>
      <c r="T200" s="928"/>
      <c r="U200" s="928"/>
      <c r="V200" s="928"/>
      <c r="W200" s="928"/>
      <c r="X200" s="928"/>
      <c r="Y200" s="928"/>
      <c r="Z200" s="928"/>
      <c r="AA200" s="928"/>
    </row>
    <row r="201" hidden="1">
      <c r="A201" s="935"/>
      <c r="B201" s="932"/>
      <c r="C201" s="928"/>
      <c r="D201" s="928"/>
      <c r="E201" s="928"/>
      <c r="F201" s="928"/>
      <c r="G201" s="928"/>
      <c r="H201" s="928"/>
      <c r="I201" s="928"/>
      <c r="J201" s="928"/>
      <c r="K201" s="928"/>
      <c r="L201" s="928"/>
      <c r="M201" s="928"/>
      <c r="N201" s="928"/>
      <c r="O201" s="928"/>
      <c r="P201" s="928"/>
      <c r="Q201" s="928"/>
      <c r="R201" s="928"/>
      <c r="S201" s="928"/>
      <c r="T201" s="928"/>
      <c r="U201" s="928"/>
      <c r="V201" s="928"/>
      <c r="W201" s="928"/>
      <c r="X201" s="928"/>
      <c r="Y201" s="928"/>
      <c r="Z201" s="928"/>
      <c r="AA201" s="928"/>
    </row>
    <row r="202" hidden="1">
      <c r="A202" s="935"/>
      <c r="B202" s="932"/>
      <c r="C202" s="928"/>
      <c r="D202" s="928"/>
      <c r="E202" s="928"/>
      <c r="F202" s="928"/>
      <c r="G202" s="928"/>
      <c r="H202" s="928"/>
      <c r="I202" s="928"/>
      <c r="J202" s="928"/>
      <c r="K202" s="928"/>
      <c r="L202" s="928"/>
      <c r="M202" s="928"/>
      <c r="N202" s="928"/>
      <c r="O202" s="928"/>
      <c r="P202" s="928"/>
      <c r="Q202" s="928"/>
      <c r="R202" s="928"/>
      <c r="S202" s="928"/>
      <c r="T202" s="928"/>
      <c r="U202" s="928"/>
      <c r="V202" s="928"/>
      <c r="W202" s="928"/>
      <c r="X202" s="928"/>
      <c r="Y202" s="928"/>
      <c r="Z202" s="928"/>
      <c r="AA202" s="928"/>
    </row>
    <row r="203" hidden="1">
      <c r="A203" s="935"/>
      <c r="B203" s="932"/>
      <c r="C203" s="928"/>
      <c r="D203" s="928"/>
      <c r="E203" s="928"/>
      <c r="F203" s="928"/>
      <c r="G203" s="928"/>
      <c r="H203" s="928"/>
      <c r="I203" s="928"/>
      <c r="J203" s="928"/>
      <c r="K203" s="928"/>
      <c r="L203" s="928"/>
      <c r="M203" s="928"/>
      <c r="N203" s="928"/>
      <c r="O203" s="928"/>
      <c r="P203" s="928"/>
      <c r="Q203" s="928"/>
      <c r="R203" s="928"/>
      <c r="S203" s="928"/>
      <c r="T203" s="928"/>
      <c r="U203" s="928"/>
      <c r="V203" s="928"/>
      <c r="W203" s="928"/>
      <c r="X203" s="928"/>
      <c r="Y203" s="928"/>
      <c r="Z203" s="928"/>
      <c r="AA203" s="928"/>
    </row>
    <row r="204" hidden="1">
      <c r="A204" s="935"/>
      <c r="B204" s="932"/>
      <c r="C204" s="928"/>
      <c r="D204" s="928"/>
      <c r="E204" s="928"/>
      <c r="F204" s="928"/>
      <c r="G204" s="928"/>
      <c r="H204" s="928"/>
      <c r="I204" s="928"/>
      <c r="J204" s="928"/>
      <c r="K204" s="928"/>
      <c r="L204" s="928"/>
      <c r="M204" s="928"/>
      <c r="N204" s="928"/>
      <c r="O204" s="928"/>
      <c r="P204" s="928"/>
      <c r="Q204" s="928"/>
      <c r="R204" s="928"/>
      <c r="S204" s="928"/>
      <c r="T204" s="928"/>
      <c r="U204" s="928"/>
      <c r="V204" s="928"/>
      <c r="W204" s="928"/>
      <c r="X204" s="928"/>
      <c r="Y204" s="928"/>
      <c r="Z204" s="928"/>
      <c r="AA204" s="928"/>
    </row>
    <row r="205" hidden="1">
      <c r="A205" s="935"/>
      <c r="B205" s="932"/>
      <c r="C205" s="928"/>
      <c r="D205" s="928"/>
      <c r="E205" s="928"/>
      <c r="F205" s="928"/>
      <c r="G205" s="928"/>
      <c r="H205" s="928"/>
      <c r="I205" s="928"/>
      <c r="J205" s="928"/>
      <c r="K205" s="928"/>
      <c r="L205" s="928"/>
      <c r="M205" s="928"/>
      <c r="N205" s="928"/>
      <c r="O205" s="928"/>
      <c r="P205" s="928"/>
      <c r="Q205" s="928"/>
      <c r="R205" s="928"/>
      <c r="S205" s="928"/>
      <c r="T205" s="928"/>
      <c r="U205" s="928"/>
      <c r="V205" s="928"/>
      <c r="W205" s="928"/>
      <c r="X205" s="928"/>
      <c r="Y205" s="928"/>
      <c r="Z205" s="928"/>
      <c r="AA205" s="928"/>
    </row>
    <row r="206" hidden="1">
      <c r="A206" s="935"/>
      <c r="B206" s="932"/>
      <c r="C206" s="928"/>
      <c r="D206" s="928"/>
      <c r="E206" s="928"/>
      <c r="F206" s="928"/>
      <c r="G206" s="928"/>
      <c r="H206" s="928"/>
      <c r="I206" s="928"/>
      <c r="J206" s="928"/>
      <c r="K206" s="928"/>
      <c r="L206" s="928"/>
      <c r="M206" s="928"/>
      <c r="N206" s="928"/>
      <c r="O206" s="928"/>
      <c r="P206" s="928"/>
      <c r="Q206" s="928"/>
      <c r="R206" s="928"/>
      <c r="S206" s="928"/>
      <c r="T206" s="928"/>
      <c r="U206" s="928"/>
      <c r="V206" s="928"/>
      <c r="W206" s="928"/>
      <c r="X206" s="928"/>
      <c r="Y206" s="928"/>
      <c r="Z206" s="928"/>
      <c r="AA206" s="928"/>
    </row>
    <row r="207" hidden="1">
      <c r="A207" s="935"/>
      <c r="B207" s="932"/>
      <c r="C207" s="928"/>
      <c r="D207" s="928"/>
      <c r="E207" s="928"/>
      <c r="F207" s="928"/>
      <c r="G207" s="928"/>
      <c r="H207" s="928"/>
      <c r="I207" s="928"/>
      <c r="J207" s="928"/>
      <c r="K207" s="928"/>
      <c r="L207" s="928"/>
      <c r="M207" s="928"/>
      <c r="N207" s="928"/>
      <c r="O207" s="928"/>
      <c r="P207" s="928"/>
      <c r="Q207" s="928"/>
      <c r="R207" s="928"/>
      <c r="S207" s="928"/>
      <c r="T207" s="928"/>
      <c r="U207" s="928"/>
      <c r="V207" s="928"/>
      <c r="W207" s="928"/>
      <c r="X207" s="928"/>
      <c r="Y207" s="928"/>
      <c r="Z207" s="928"/>
      <c r="AA207" s="928"/>
    </row>
    <row r="208" hidden="1">
      <c r="A208" s="935"/>
      <c r="B208" s="932"/>
      <c r="C208" s="928"/>
      <c r="D208" s="928"/>
      <c r="E208" s="928"/>
      <c r="F208" s="928"/>
      <c r="G208" s="928"/>
      <c r="H208" s="928"/>
      <c r="I208" s="928"/>
      <c r="J208" s="928"/>
      <c r="K208" s="928"/>
      <c r="L208" s="928"/>
      <c r="M208" s="928"/>
      <c r="N208" s="928"/>
      <c r="O208" s="928"/>
      <c r="P208" s="928"/>
      <c r="Q208" s="928"/>
      <c r="R208" s="928"/>
      <c r="S208" s="928"/>
      <c r="T208" s="928"/>
      <c r="U208" s="928"/>
      <c r="V208" s="928"/>
      <c r="W208" s="928"/>
      <c r="X208" s="928"/>
      <c r="Y208" s="928"/>
      <c r="Z208" s="928"/>
      <c r="AA208" s="928"/>
    </row>
    <row r="209" hidden="1">
      <c r="A209" s="935"/>
      <c r="B209" s="932"/>
      <c r="C209" s="928"/>
      <c r="D209" s="928"/>
      <c r="E209" s="928"/>
      <c r="F209" s="928"/>
      <c r="G209" s="928"/>
      <c r="H209" s="928"/>
      <c r="I209" s="928"/>
      <c r="J209" s="928"/>
      <c r="K209" s="928"/>
      <c r="L209" s="928"/>
      <c r="M209" s="928"/>
      <c r="N209" s="928"/>
      <c r="O209" s="928"/>
      <c r="P209" s="928"/>
      <c r="Q209" s="928"/>
      <c r="R209" s="928"/>
      <c r="S209" s="928"/>
      <c r="T209" s="928"/>
      <c r="U209" s="928"/>
      <c r="V209" s="928"/>
      <c r="W209" s="928"/>
      <c r="X209" s="928"/>
      <c r="Y209" s="928"/>
      <c r="Z209" s="928"/>
      <c r="AA209" s="928"/>
    </row>
    <row r="210" hidden="1">
      <c r="A210" s="935"/>
      <c r="B210" s="932"/>
      <c r="C210" s="928"/>
      <c r="D210" s="928"/>
      <c r="E210" s="928"/>
      <c r="F210" s="928"/>
      <c r="G210" s="928"/>
      <c r="H210" s="928"/>
      <c r="I210" s="928"/>
      <c r="J210" s="928"/>
      <c r="K210" s="928"/>
      <c r="L210" s="928"/>
      <c r="M210" s="928"/>
      <c r="N210" s="928"/>
      <c r="O210" s="928"/>
      <c r="P210" s="928"/>
      <c r="Q210" s="928"/>
      <c r="R210" s="928"/>
      <c r="S210" s="928"/>
      <c r="T210" s="928"/>
      <c r="U210" s="928"/>
      <c r="V210" s="928"/>
      <c r="W210" s="928"/>
      <c r="X210" s="928"/>
      <c r="Y210" s="928"/>
      <c r="Z210" s="928"/>
      <c r="AA210" s="928"/>
    </row>
    <row r="211" hidden="1">
      <c r="A211" s="935"/>
      <c r="B211" s="932"/>
      <c r="C211" s="928"/>
      <c r="D211" s="928"/>
      <c r="E211" s="928"/>
      <c r="F211" s="928"/>
      <c r="G211" s="928"/>
      <c r="H211" s="928"/>
      <c r="I211" s="928"/>
      <c r="J211" s="928"/>
      <c r="K211" s="928"/>
      <c r="L211" s="928"/>
      <c r="M211" s="928"/>
      <c r="N211" s="928"/>
      <c r="O211" s="928"/>
      <c r="P211" s="928"/>
      <c r="Q211" s="928"/>
      <c r="R211" s="928"/>
      <c r="S211" s="928"/>
      <c r="T211" s="928"/>
      <c r="U211" s="928"/>
      <c r="V211" s="928"/>
      <c r="W211" s="928"/>
      <c r="X211" s="928"/>
      <c r="Y211" s="928"/>
      <c r="Z211" s="928"/>
      <c r="AA211" s="928"/>
    </row>
    <row r="212" hidden="1">
      <c r="A212" s="935"/>
      <c r="B212" s="932"/>
      <c r="C212" s="928"/>
      <c r="D212" s="928"/>
      <c r="E212" s="928"/>
      <c r="F212" s="928"/>
      <c r="G212" s="928"/>
      <c r="H212" s="928"/>
      <c r="I212" s="928"/>
      <c r="J212" s="928"/>
      <c r="K212" s="928"/>
      <c r="L212" s="928"/>
      <c r="M212" s="928"/>
      <c r="N212" s="928"/>
      <c r="O212" s="928"/>
      <c r="P212" s="928"/>
      <c r="Q212" s="928"/>
      <c r="R212" s="928"/>
      <c r="S212" s="928"/>
      <c r="T212" s="928"/>
      <c r="U212" s="928"/>
      <c r="V212" s="928"/>
      <c r="W212" s="928"/>
      <c r="X212" s="928"/>
      <c r="Y212" s="928"/>
      <c r="Z212" s="928"/>
      <c r="AA212" s="928"/>
    </row>
    <row r="213" hidden="1">
      <c r="A213" s="935"/>
      <c r="B213" s="932"/>
      <c r="C213" s="928"/>
      <c r="D213" s="928"/>
      <c r="E213" s="928"/>
      <c r="F213" s="928"/>
      <c r="G213" s="928"/>
      <c r="H213" s="928"/>
      <c r="I213" s="928"/>
      <c r="J213" s="928"/>
      <c r="K213" s="928"/>
      <c r="L213" s="928"/>
      <c r="M213" s="928"/>
      <c r="N213" s="928"/>
      <c r="O213" s="928"/>
      <c r="P213" s="928"/>
      <c r="Q213" s="928"/>
      <c r="R213" s="928"/>
      <c r="S213" s="928"/>
      <c r="T213" s="928"/>
      <c r="U213" s="928"/>
      <c r="V213" s="928"/>
      <c r="W213" s="928"/>
      <c r="X213" s="928"/>
      <c r="Y213" s="928"/>
      <c r="Z213" s="928"/>
      <c r="AA213" s="928"/>
    </row>
    <row r="214" hidden="1">
      <c r="A214" s="935"/>
      <c r="B214" s="932"/>
      <c r="C214" s="928"/>
      <c r="D214" s="928"/>
      <c r="E214" s="928"/>
      <c r="F214" s="928"/>
      <c r="G214" s="928"/>
      <c r="H214" s="928"/>
      <c r="I214" s="928"/>
      <c r="J214" s="928"/>
      <c r="K214" s="928"/>
      <c r="L214" s="928"/>
      <c r="M214" s="928"/>
      <c r="N214" s="928"/>
      <c r="O214" s="928"/>
      <c r="P214" s="928"/>
      <c r="Q214" s="928"/>
      <c r="R214" s="928"/>
      <c r="S214" s="928"/>
      <c r="T214" s="928"/>
      <c r="U214" s="928"/>
      <c r="V214" s="928"/>
      <c r="W214" s="928"/>
      <c r="X214" s="928"/>
      <c r="Y214" s="928"/>
      <c r="Z214" s="928"/>
      <c r="AA214" s="928"/>
    </row>
    <row r="215" hidden="1">
      <c r="A215" s="935"/>
      <c r="B215" s="932"/>
      <c r="C215" s="928"/>
      <c r="D215" s="928"/>
      <c r="E215" s="928"/>
      <c r="F215" s="928"/>
      <c r="G215" s="928"/>
      <c r="H215" s="928"/>
      <c r="I215" s="928"/>
      <c r="J215" s="928"/>
      <c r="K215" s="928"/>
      <c r="L215" s="928"/>
      <c r="M215" s="928"/>
      <c r="N215" s="928"/>
      <c r="O215" s="928"/>
      <c r="P215" s="928"/>
      <c r="Q215" s="928"/>
      <c r="R215" s="928"/>
      <c r="S215" s="928"/>
      <c r="T215" s="928"/>
      <c r="U215" s="928"/>
      <c r="V215" s="928"/>
      <c r="W215" s="928"/>
      <c r="X215" s="928"/>
      <c r="Y215" s="928"/>
      <c r="Z215" s="928"/>
      <c r="AA215" s="928"/>
    </row>
    <row r="216" hidden="1">
      <c r="A216" s="935"/>
      <c r="B216" s="932"/>
      <c r="C216" s="928"/>
      <c r="D216" s="928"/>
      <c r="E216" s="928"/>
      <c r="F216" s="928"/>
      <c r="G216" s="928"/>
      <c r="H216" s="928"/>
      <c r="I216" s="928"/>
      <c r="J216" s="928"/>
      <c r="K216" s="928"/>
      <c r="L216" s="928"/>
      <c r="M216" s="928"/>
      <c r="N216" s="928"/>
      <c r="O216" s="928"/>
      <c r="P216" s="928"/>
      <c r="Q216" s="928"/>
      <c r="R216" s="928"/>
      <c r="S216" s="928"/>
      <c r="T216" s="928"/>
      <c r="U216" s="928"/>
      <c r="V216" s="928"/>
      <c r="W216" s="928"/>
      <c r="X216" s="928"/>
      <c r="Y216" s="928"/>
      <c r="Z216" s="928"/>
      <c r="AA216" s="928"/>
    </row>
    <row r="217" hidden="1">
      <c r="A217" s="935"/>
      <c r="B217" s="932"/>
      <c r="C217" s="928"/>
      <c r="D217" s="928"/>
      <c r="E217" s="928"/>
      <c r="F217" s="928"/>
      <c r="G217" s="928"/>
      <c r="H217" s="928"/>
      <c r="I217" s="928"/>
      <c r="J217" s="928"/>
      <c r="K217" s="928"/>
      <c r="L217" s="928"/>
      <c r="M217" s="928"/>
      <c r="N217" s="928"/>
      <c r="O217" s="928"/>
      <c r="P217" s="928"/>
      <c r="Q217" s="928"/>
      <c r="R217" s="928"/>
      <c r="S217" s="928"/>
      <c r="T217" s="928"/>
      <c r="U217" s="928"/>
      <c r="V217" s="928"/>
      <c r="W217" s="928"/>
      <c r="X217" s="928"/>
      <c r="Y217" s="928"/>
      <c r="Z217" s="928"/>
      <c r="AA217" s="928"/>
    </row>
    <row r="218" hidden="1">
      <c r="A218" s="935"/>
      <c r="B218" s="932"/>
      <c r="C218" s="928"/>
      <c r="D218" s="928"/>
      <c r="E218" s="928"/>
      <c r="F218" s="928"/>
      <c r="G218" s="928"/>
      <c r="H218" s="928"/>
      <c r="I218" s="928"/>
      <c r="J218" s="928"/>
      <c r="K218" s="928"/>
      <c r="L218" s="928"/>
      <c r="M218" s="928"/>
      <c r="N218" s="928"/>
      <c r="O218" s="928"/>
      <c r="P218" s="928"/>
      <c r="Q218" s="928"/>
      <c r="R218" s="928"/>
      <c r="S218" s="928"/>
      <c r="T218" s="928"/>
      <c r="U218" s="928"/>
      <c r="V218" s="928"/>
      <c r="W218" s="928"/>
      <c r="X218" s="928"/>
      <c r="Y218" s="928"/>
      <c r="Z218" s="928"/>
      <c r="AA218" s="928"/>
    </row>
    <row r="219" hidden="1">
      <c r="A219" s="935"/>
      <c r="B219" s="932"/>
      <c r="C219" s="928"/>
      <c r="D219" s="928"/>
      <c r="E219" s="928"/>
      <c r="F219" s="928"/>
      <c r="G219" s="928"/>
      <c r="H219" s="928"/>
      <c r="I219" s="928"/>
      <c r="J219" s="928"/>
      <c r="K219" s="928"/>
      <c r="L219" s="928"/>
      <c r="M219" s="928"/>
      <c r="N219" s="928"/>
      <c r="O219" s="928"/>
      <c r="P219" s="928"/>
      <c r="Q219" s="928"/>
      <c r="R219" s="928"/>
      <c r="S219" s="928"/>
      <c r="T219" s="928"/>
      <c r="U219" s="928"/>
      <c r="V219" s="928"/>
      <c r="W219" s="928"/>
      <c r="X219" s="928"/>
      <c r="Y219" s="928"/>
      <c r="Z219" s="928"/>
      <c r="AA219" s="928"/>
    </row>
    <row r="220" hidden="1">
      <c r="A220" s="935"/>
      <c r="B220" s="932"/>
      <c r="C220" s="928"/>
      <c r="D220" s="928"/>
      <c r="E220" s="928"/>
      <c r="F220" s="928"/>
      <c r="G220" s="928"/>
      <c r="H220" s="928"/>
      <c r="I220" s="928"/>
      <c r="J220" s="928"/>
      <c r="K220" s="928"/>
      <c r="L220" s="928"/>
      <c r="M220" s="928"/>
      <c r="N220" s="928"/>
      <c r="O220" s="928"/>
      <c r="P220" s="928"/>
      <c r="Q220" s="928"/>
      <c r="R220" s="928"/>
      <c r="S220" s="928"/>
      <c r="T220" s="928"/>
      <c r="U220" s="928"/>
      <c r="V220" s="928"/>
      <c r="W220" s="928"/>
      <c r="X220" s="928"/>
      <c r="Y220" s="928"/>
      <c r="Z220" s="928"/>
      <c r="AA220" s="928"/>
    </row>
    <row r="221" hidden="1">
      <c r="A221" s="935"/>
      <c r="B221" s="932"/>
      <c r="C221" s="928"/>
      <c r="D221" s="928"/>
      <c r="E221" s="928"/>
      <c r="F221" s="928"/>
      <c r="G221" s="928"/>
      <c r="H221" s="928"/>
      <c r="I221" s="928"/>
      <c r="J221" s="928"/>
      <c r="K221" s="928"/>
      <c r="L221" s="928"/>
      <c r="M221" s="928"/>
      <c r="N221" s="928"/>
      <c r="O221" s="928"/>
      <c r="P221" s="928"/>
      <c r="Q221" s="928"/>
      <c r="R221" s="928"/>
      <c r="S221" s="928"/>
      <c r="T221" s="928"/>
      <c r="U221" s="928"/>
      <c r="V221" s="928"/>
      <c r="W221" s="928"/>
      <c r="X221" s="928"/>
      <c r="Y221" s="928"/>
      <c r="Z221" s="928"/>
      <c r="AA221" s="928"/>
    </row>
    <row r="222" hidden="1">
      <c r="A222" s="935"/>
      <c r="B222" s="932"/>
      <c r="C222" s="928"/>
      <c r="D222" s="928"/>
      <c r="E222" s="928"/>
      <c r="F222" s="928"/>
      <c r="G222" s="928"/>
      <c r="H222" s="928"/>
      <c r="I222" s="928"/>
      <c r="J222" s="928"/>
      <c r="K222" s="928"/>
      <c r="L222" s="928"/>
      <c r="M222" s="928"/>
      <c r="N222" s="928"/>
      <c r="O222" s="928"/>
      <c r="P222" s="928"/>
      <c r="Q222" s="928"/>
      <c r="R222" s="928"/>
      <c r="S222" s="928"/>
      <c r="T222" s="928"/>
      <c r="U222" s="928"/>
      <c r="V222" s="928"/>
      <c r="W222" s="928"/>
      <c r="X222" s="928"/>
      <c r="Y222" s="928"/>
      <c r="Z222" s="928"/>
      <c r="AA222" s="928"/>
    </row>
    <row r="223" hidden="1">
      <c r="A223" s="935"/>
      <c r="B223" s="932"/>
      <c r="C223" s="928"/>
      <c r="D223" s="928"/>
      <c r="E223" s="928"/>
      <c r="F223" s="928"/>
      <c r="G223" s="928"/>
      <c r="H223" s="928"/>
      <c r="I223" s="928"/>
      <c r="J223" s="928"/>
      <c r="K223" s="928"/>
      <c r="L223" s="928"/>
      <c r="M223" s="928"/>
      <c r="N223" s="928"/>
      <c r="O223" s="928"/>
      <c r="P223" s="928"/>
      <c r="Q223" s="928"/>
      <c r="R223" s="928"/>
      <c r="S223" s="928"/>
      <c r="T223" s="928"/>
      <c r="U223" s="928"/>
      <c r="V223" s="928"/>
      <c r="W223" s="928"/>
      <c r="X223" s="928"/>
      <c r="Y223" s="928"/>
      <c r="Z223" s="928"/>
      <c r="AA223" s="928"/>
    </row>
    <row r="224" hidden="1">
      <c r="A224" s="935"/>
      <c r="B224" s="932"/>
      <c r="C224" s="928"/>
      <c r="D224" s="928"/>
      <c r="E224" s="928"/>
      <c r="F224" s="928"/>
      <c r="G224" s="928"/>
      <c r="H224" s="928"/>
      <c r="I224" s="928"/>
      <c r="J224" s="928"/>
      <c r="K224" s="928"/>
      <c r="L224" s="928"/>
      <c r="M224" s="928"/>
      <c r="N224" s="928"/>
      <c r="O224" s="928"/>
      <c r="P224" s="928"/>
      <c r="Q224" s="928"/>
      <c r="R224" s="928"/>
      <c r="S224" s="928"/>
      <c r="T224" s="928"/>
      <c r="U224" s="928"/>
      <c r="V224" s="928"/>
      <c r="W224" s="928"/>
      <c r="X224" s="928"/>
      <c r="Y224" s="928"/>
      <c r="Z224" s="928"/>
      <c r="AA224" s="928"/>
    </row>
    <row r="225" hidden="1">
      <c r="A225" s="935"/>
      <c r="B225" s="932"/>
      <c r="C225" s="928"/>
      <c r="D225" s="928"/>
      <c r="E225" s="928"/>
      <c r="F225" s="928"/>
      <c r="G225" s="928"/>
      <c r="H225" s="928"/>
      <c r="I225" s="928"/>
      <c r="J225" s="928"/>
      <c r="K225" s="928"/>
      <c r="L225" s="928"/>
      <c r="M225" s="928"/>
      <c r="N225" s="928"/>
      <c r="O225" s="928"/>
      <c r="P225" s="928"/>
      <c r="Q225" s="928"/>
      <c r="R225" s="928"/>
      <c r="S225" s="928"/>
      <c r="T225" s="928"/>
      <c r="U225" s="928"/>
      <c r="V225" s="928"/>
      <c r="W225" s="928"/>
      <c r="X225" s="928"/>
      <c r="Y225" s="928"/>
      <c r="Z225" s="928"/>
      <c r="AA225" s="928"/>
    </row>
    <row r="226" hidden="1">
      <c r="A226" s="935"/>
      <c r="B226" s="932"/>
      <c r="C226" s="928"/>
      <c r="D226" s="928"/>
      <c r="E226" s="928"/>
      <c r="F226" s="928"/>
      <c r="G226" s="928"/>
      <c r="H226" s="928"/>
      <c r="I226" s="928"/>
      <c r="J226" s="928"/>
      <c r="K226" s="928"/>
      <c r="L226" s="928"/>
      <c r="M226" s="928"/>
      <c r="N226" s="928"/>
      <c r="O226" s="928"/>
      <c r="P226" s="928"/>
      <c r="Q226" s="928"/>
      <c r="R226" s="928"/>
      <c r="S226" s="928"/>
      <c r="T226" s="928"/>
      <c r="U226" s="928"/>
      <c r="V226" s="928"/>
      <c r="W226" s="928"/>
      <c r="X226" s="928"/>
      <c r="Y226" s="928"/>
      <c r="Z226" s="928"/>
      <c r="AA226" s="928"/>
    </row>
    <row r="227" hidden="1">
      <c r="A227" s="935"/>
      <c r="B227" s="932"/>
      <c r="C227" s="928"/>
      <c r="D227" s="928"/>
      <c r="E227" s="928"/>
      <c r="F227" s="928"/>
      <c r="G227" s="928"/>
      <c r="H227" s="928"/>
      <c r="I227" s="928"/>
      <c r="J227" s="928"/>
      <c r="K227" s="928"/>
      <c r="L227" s="928"/>
      <c r="M227" s="928"/>
      <c r="N227" s="928"/>
      <c r="O227" s="928"/>
      <c r="P227" s="928"/>
      <c r="Q227" s="928"/>
      <c r="R227" s="928"/>
      <c r="S227" s="928"/>
      <c r="T227" s="928"/>
      <c r="U227" s="928"/>
      <c r="V227" s="928"/>
      <c r="W227" s="928"/>
      <c r="X227" s="928"/>
      <c r="Y227" s="928"/>
      <c r="Z227" s="928"/>
      <c r="AA227" s="928"/>
    </row>
    <row r="228" hidden="1">
      <c r="A228" s="935"/>
      <c r="B228" s="932"/>
      <c r="C228" s="928"/>
      <c r="D228" s="928"/>
      <c r="E228" s="928"/>
      <c r="F228" s="928"/>
      <c r="G228" s="928"/>
      <c r="H228" s="928"/>
      <c r="I228" s="928"/>
      <c r="J228" s="928"/>
      <c r="K228" s="928"/>
      <c r="L228" s="928"/>
      <c r="M228" s="928"/>
      <c r="N228" s="928"/>
      <c r="O228" s="928"/>
      <c r="P228" s="928"/>
      <c r="Q228" s="928"/>
      <c r="R228" s="928"/>
      <c r="S228" s="928"/>
      <c r="T228" s="928"/>
      <c r="U228" s="928"/>
      <c r="V228" s="928"/>
      <c r="W228" s="928"/>
      <c r="X228" s="928"/>
      <c r="Y228" s="928"/>
      <c r="Z228" s="928"/>
      <c r="AA228" s="928"/>
    </row>
    <row r="229" hidden="1">
      <c r="A229" s="935"/>
      <c r="B229" s="932"/>
      <c r="C229" s="928"/>
      <c r="D229" s="928"/>
      <c r="E229" s="928"/>
      <c r="F229" s="928"/>
      <c r="G229" s="928"/>
      <c r="H229" s="928"/>
      <c r="I229" s="928"/>
      <c r="J229" s="928"/>
      <c r="K229" s="928"/>
      <c r="L229" s="928"/>
      <c r="M229" s="928"/>
      <c r="N229" s="928"/>
      <c r="O229" s="928"/>
      <c r="P229" s="928"/>
      <c r="Q229" s="928"/>
      <c r="R229" s="928"/>
      <c r="S229" s="928"/>
      <c r="T229" s="928"/>
      <c r="U229" s="928"/>
      <c r="V229" s="928"/>
      <c r="W229" s="928"/>
      <c r="X229" s="928"/>
      <c r="Y229" s="928"/>
      <c r="Z229" s="928"/>
      <c r="AA229" s="928"/>
    </row>
    <row r="230" hidden="1">
      <c r="A230" s="935"/>
      <c r="B230" s="932"/>
      <c r="C230" s="928"/>
      <c r="D230" s="928"/>
      <c r="E230" s="928"/>
      <c r="F230" s="928"/>
      <c r="G230" s="928"/>
      <c r="H230" s="928"/>
      <c r="I230" s="928"/>
      <c r="J230" s="928"/>
      <c r="K230" s="928"/>
      <c r="L230" s="928"/>
      <c r="M230" s="928"/>
      <c r="N230" s="928"/>
      <c r="O230" s="928"/>
      <c r="P230" s="928"/>
      <c r="Q230" s="928"/>
      <c r="R230" s="928"/>
      <c r="S230" s="928"/>
      <c r="T230" s="928"/>
      <c r="U230" s="928"/>
      <c r="V230" s="928"/>
      <c r="W230" s="928"/>
      <c r="X230" s="928"/>
      <c r="Y230" s="928"/>
      <c r="Z230" s="928"/>
      <c r="AA230" s="928"/>
    </row>
    <row r="231" hidden="1">
      <c r="A231" s="935"/>
      <c r="B231" s="932"/>
      <c r="C231" s="928"/>
      <c r="D231" s="928"/>
      <c r="E231" s="928"/>
      <c r="F231" s="928"/>
      <c r="G231" s="928"/>
      <c r="H231" s="928"/>
      <c r="I231" s="928"/>
      <c r="J231" s="928"/>
      <c r="K231" s="928"/>
      <c r="L231" s="928"/>
      <c r="M231" s="928"/>
      <c r="N231" s="928"/>
      <c r="O231" s="928"/>
      <c r="P231" s="928"/>
      <c r="Q231" s="928"/>
      <c r="R231" s="928"/>
      <c r="S231" s="928"/>
      <c r="T231" s="928"/>
      <c r="U231" s="928"/>
      <c r="V231" s="928"/>
      <c r="W231" s="928"/>
      <c r="X231" s="928"/>
      <c r="Y231" s="928"/>
      <c r="Z231" s="928"/>
      <c r="AA231" s="928"/>
    </row>
    <row r="232" hidden="1">
      <c r="A232" s="935"/>
      <c r="B232" s="932"/>
      <c r="C232" s="928"/>
      <c r="D232" s="928"/>
      <c r="E232" s="928"/>
      <c r="F232" s="928"/>
      <c r="G232" s="928"/>
      <c r="H232" s="928"/>
      <c r="I232" s="928"/>
      <c r="J232" s="928"/>
      <c r="K232" s="928"/>
      <c r="L232" s="928"/>
      <c r="M232" s="928"/>
      <c r="N232" s="928"/>
      <c r="O232" s="928"/>
      <c r="P232" s="928"/>
      <c r="Q232" s="928"/>
      <c r="R232" s="928"/>
      <c r="S232" s="928"/>
      <c r="T232" s="928"/>
      <c r="U232" s="928"/>
      <c r="V232" s="928"/>
      <c r="W232" s="928"/>
      <c r="X232" s="928"/>
      <c r="Y232" s="928"/>
      <c r="Z232" s="928"/>
      <c r="AA232" s="928"/>
    </row>
    <row r="233" hidden="1">
      <c r="A233" s="935"/>
      <c r="B233" s="932"/>
      <c r="C233" s="928"/>
      <c r="D233" s="928"/>
      <c r="E233" s="928"/>
      <c r="F233" s="928"/>
      <c r="G233" s="928"/>
      <c r="H233" s="928"/>
      <c r="I233" s="928"/>
      <c r="J233" s="928"/>
      <c r="K233" s="928"/>
      <c r="L233" s="928"/>
      <c r="M233" s="928"/>
      <c r="N233" s="928"/>
      <c r="O233" s="928"/>
      <c r="P233" s="928"/>
      <c r="Q233" s="928"/>
      <c r="R233" s="928"/>
      <c r="S233" s="928"/>
      <c r="T233" s="928"/>
      <c r="U233" s="928"/>
      <c r="V233" s="928"/>
      <c r="W233" s="928"/>
      <c r="X233" s="928"/>
      <c r="Y233" s="928"/>
      <c r="Z233" s="928"/>
      <c r="AA233" s="928"/>
    </row>
    <row r="234" hidden="1">
      <c r="A234" s="935"/>
      <c r="B234" s="932"/>
      <c r="C234" s="928"/>
      <c r="D234" s="928"/>
      <c r="E234" s="928"/>
      <c r="F234" s="928"/>
      <c r="G234" s="928"/>
      <c r="H234" s="928"/>
      <c r="I234" s="928"/>
      <c r="J234" s="928"/>
      <c r="K234" s="928"/>
      <c r="L234" s="928"/>
      <c r="M234" s="928"/>
      <c r="N234" s="928"/>
      <c r="O234" s="928"/>
      <c r="P234" s="928"/>
      <c r="Q234" s="928"/>
      <c r="R234" s="928"/>
      <c r="S234" s="928"/>
      <c r="T234" s="928"/>
      <c r="U234" s="928"/>
      <c r="V234" s="928"/>
      <c r="W234" s="928"/>
      <c r="X234" s="928"/>
      <c r="Y234" s="928"/>
      <c r="Z234" s="928"/>
      <c r="AA234" s="928"/>
    </row>
    <row r="235" hidden="1">
      <c r="A235" s="935"/>
      <c r="B235" s="932"/>
      <c r="C235" s="928"/>
      <c r="D235" s="928"/>
      <c r="E235" s="928"/>
      <c r="F235" s="928"/>
      <c r="G235" s="928"/>
      <c r="H235" s="928"/>
      <c r="I235" s="928"/>
      <c r="J235" s="928"/>
      <c r="K235" s="928"/>
      <c r="L235" s="928"/>
      <c r="M235" s="928"/>
      <c r="N235" s="928"/>
      <c r="O235" s="928"/>
      <c r="P235" s="928"/>
      <c r="Q235" s="928"/>
      <c r="R235" s="928"/>
      <c r="S235" s="928"/>
      <c r="T235" s="928"/>
      <c r="U235" s="928"/>
      <c r="V235" s="928"/>
      <c r="W235" s="928"/>
      <c r="X235" s="928"/>
      <c r="Y235" s="928"/>
      <c r="Z235" s="928"/>
      <c r="AA235" s="928"/>
    </row>
    <row r="236" hidden="1">
      <c r="A236" s="935"/>
      <c r="B236" s="932"/>
      <c r="C236" s="928"/>
      <c r="D236" s="928"/>
      <c r="E236" s="928"/>
      <c r="F236" s="928"/>
      <c r="G236" s="928"/>
      <c r="H236" s="928"/>
      <c r="I236" s="928"/>
      <c r="J236" s="928"/>
      <c r="K236" s="928"/>
      <c r="L236" s="928"/>
      <c r="M236" s="928"/>
      <c r="N236" s="928"/>
      <c r="O236" s="928"/>
      <c r="P236" s="928"/>
      <c r="Q236" s="928"/>
      <c r="R236" s="928"/>
      <c r="S236" s="928"/>
      <c r="T236" s="928"/>
      <c r="U236" s="928"/>
      <c r="V236" s="928"/>
      <c r="W236" s="928"/>
      <c r="X236" s="928"/>
      <c r="Y236" s="928"/>
      <c r="Z236" s="928"/>
      <c r="AA236" s="928"/>
    </row>
    <row r="237" hidden="1">
      <c r="A237" s="935"/>
      <c r="B237" s="932"/>
      <c r="C237" s="928"/>
      <c r="D237" s="928"/>
      <c r="E237" s="928"/>
      <c r="F237" s="928"/>
      <c r="G237" s="928"/>
      <c r="H237" s="928"/>
      <c r="I237" s="928"/>
      <c r="J237" s="928"/>
      <c r="K237" s="928"/>
      <c r="L237" s="928"/>
      <c r="M237" s="928"/>
      <c r="N237" s="928"/>
      <c r="O237" s="928"/>
      <c r="P237" s="928"/>
      <c r="Q237" s="928"/>
      <c r="R237" s="928"/>
      <c r="S237" s="928"/>
      <c r="T237" s="928"/>
      <c r="U237" s="928"/>
      <c r="V237" s="928"/>
      <c r="W237" s="928"/>
      <c r="X237" s="928"/>
      <c r="Y237" s="928"/>
      <c r="Z237" s="928"/>
      <c r="AA237" s="928"/>
    </row>
    <row r="238" hidden="1">
      <c r="A238" s="935"/>
      <c r="B238" s="932"/>
      <c r="C238" s="928"/>
      <c r="D238" s="928"/>
      <c r="E238" s="928"/>
      <c r="F238" s="928"/>
      <c r="G238" s="928"/>
      <c r="H238" s="928"/>
      <c r="I238" s="928"/>
      <c r="J238" s="928"/>
      <c r="K238" s="928"/>
      <c r="L238" s="928"/>
      <c r="M238" s="928"/>
      <c r="N238" s="928"/>
      <c r="O238" s="928"/>
      <c r="P238" s="928"/>
      <c r="Q238" s="928"/>
      <c r="R238" s="928"/>
      <c r="S238" s="928"/>
      <c r="T238" s="928"/>
      <c r="U238" s="928"/>
      <c r="V238" s="928"/>
      <c r="W238" s="928"/>
      <c r="X238" s="928"/>
      <c r="Y238" s="928"/>
      <c r="Z238" s="928"/>
      <c r="AA238" s="928"/>
    </row>
    <row r="239" hidden="1">
      <c r="A239" s="935"/>
      <c r="B239" s="932"/>
      <c r="C239" s="928"/>
      <c r="D239" s="928"/>
      <c r="E239" s="928"/>
      <c r="F239" s="928"/>
      <c r="G239" s="928"/>
      <c r="H239" s="928"/>
      <c r="I239" s="928"/>
      <c r="J239" s="928"/>
      <c r="K239" s="928"/>
      <c r="L239" s="928"/>
      <c r="M239" s="928"/>
      <c r="N239" s="928"/>
      <c r="O239" s="928"/>
      <c r="P239" s="928"/>
      <c r="Q239" s="928"/>
      <c r="R239" s="928"/>
      <c r="S239" s="928"/>
      <c r="T239" s="928"/>
      <c r="U239" s="928"/>
      <c r="V239" s="928"/>
      <c r="W239" s="928"/>
      <c r="X239" s="928"/>
      <c r="Y239" s="928"/>
      <c r="Z239" s="928"/>
      <c r="AA239" s="928"/>
    </row>
    <row r="240" hidden="1">
      <c r="A240" s="935"/>
      <c r="B240" s="932"/>
      <c r="C240" s="928"/>
      <c r="D240" s="928"/>
      <c r="E240" s="928"/>
      <c r="F240" s="928"/>
      <c r="G240" s="928"/>
      <c r="H240" s="928"/>
      <c r="I240" s="928"/>
      <c r="J240" s="928"/>
      <c r="K240" s="928"/>
      <c r="L240" s="928"/>
      <c r="M240" s="928"/>
      <c r="N240" s="928"/>
      <c r="O240" s="928"/>
      <c r="P240" s="928"/>
      <c r="Q240" s="928"/>
      <c r="R240" s="928"/>
      <c r="S240" s="928"/>
      <c r="T240" s="928"/>
      <c r="U240" s="928"/>
      <c r="V240" s="928"/>
      <c r="W240" s="928"/>
      <c r="X240" s="928"/>
      <c r="Y240" s="928"/>
      <c r="Z240" s="928"/>
      <c r="AA240" s="928"/>
    </row>
    <row r="241" hidden="1">
      <c r="A241" s="935"/>
      <c r="B241" s="932"/>
      <c r="C241" s="928"/>
      <c r="D241" s="928"/>
      <c r="E241" s="928"/>
      <c r="F241" s="928"/>
      <c r="G241" s="928"/>
      <c r="H241" s="928"/>
      <c r="I241" s="928"/>
      <c r="J241" s="928"/>
      <c r="K241" s="928"/>
      <c r="L241" s="928"/>
      <c r="M241" s="928"/>
      <c r="N241" s="928"/>
      <c r="O241" s="928"/>
      <c r="P241" s="928"/>
      <c r="Q241" s="928"/>
      <c r="R241" s="928"/>
      <c r="S241" s="928"/>
      <c r="T241" s="928"/>
      <c r="U241" s="928"/>
      <c r="V241" s="928"/>
      <c r="W241" s="928"/>
      <c r="X241" s="928"/>
      <c r="Y241" s="928"/>
      <c r="Z241" s="928"/>
      <c r="AA241" s="928"/>
    </row>
    <row r="242" hidden="1">
      <c r="A242" s="935"/>
      <c r="B242" s="932"/>
      <c r="C242" s="928"/>
      <c r="D242" s="928"/>
      <c r="E242" s="928"/>
      <c r="F242" s="928"/>
      <c r="G242" s="928"/>
      <c r="H242" s="928"/>
      <c r="I242" s="928"/>
      <c r="J242" s="928"/>
      <c r="K242" s="928"/>
      <c r="L242" s="928"/>
      <c r="M242" s="928"/>
      <c r="N242" s="928"/>
      <c r="O242" s="928"/>
      <c r="P242" s="928"/>
      <c r="Q242" s="928"/>
      <c r="R242" s="928"/>
      <c r="S242" s="928"/>
      <c r="T242" s="928"/>
      <c r="U242" s="928"/>
      <c r="V242" s="928"/>
      <c r="W242" s="928"/>
      <c r="X242" s="928"/>
      <c r="Y242" s="928"/>
      <c r="Z242" s="928"/>
      <c r="AA242" s="928"/>
    </row>
    <row r="243" hidden="1">
      <c r="A243" s="935"/>
      <c r="B243" s="932"/>
      <c r="C243" s="928"/>
      <c r="D243" s="928"/>
      <c r="E243" s="928"/>
      <c r="F243" s="928"/>
      <c r="G243" s="928"/>
      <c r="H243" s="928"/>
      <c r="I243" s="928"/>
      <c r="J243" s="928"/>
      <c r="K243" s="928"/>
      <c r="L243" s="928"/>
      <c r="M243" s="928"/>
      <c r="N243" s="928"/>
      <c r="O243" s="928"/>
      <c r="P243" s="928"/>
      <c r="Q243" s="928"/>
      <c r="R243" s="928"/>
      <c r="S243" s="928"/>
      <c r="T243" s="928"/>
      <c r="U243" s="928"/>
      <c r="V243" s="928"/>
      <c r="W243" s="928"/>
      <c r="X243" s="928"/>
      <c r="Y243" s="928"/>
      <c r="Z243" s="928"/>
      <c r="AA243" s="928"/>
    </row>
    <row r="244" hidden="1">
      <c r="A244" s="935"/>
      <c r="B244" s="932"/>
      <c r="C244" s="928"/>
      <c r="D244" s="928"/>
      <c r="E244" s="928"/>
      <c r="F244" s="928"/>
      <c r="G244" s="928"/>
      <c r="H244" s="928"/>
      <c r="I244" s="928"/>
      <c r="J244" s="928"/>
      <c r="K244" s="928"/>
      <c r="L244" s="928"/>
      <c r="M244" s="928"/>
      <c r="N244" s="928"/>
      <c r="O244" s="928"/>
      <c r="P244" s="928"/>
      <c r="Q244" s="928"/>
      <c r="R244" s="928"/>
      <c r="S244" s="928"/>
      <c r="T244" s="928"/>
      <c r="U244" s="928"/>
      <c r="V244" s="928"/>
      <c r="W244" s="928"/>
      <c r="X244" s="928"/>
      <c r="Y244" s="928"/>
      <c r="Z244" s="928"/>
      <c r="AA244" s="928"/>
    </row>
    <row r="245" hidden="1">
      <c r="A245" s="935"/>
      <c r="B245" s="932"/>
      <c r="C245" s="928"/>
      <c r="D245" s="928"/>
      <c r="E245" s="928"/>
      <c r="F245" s="928"/>
      <c r="G245" s="928"/>
      <c r="H245" s="928"/>
      <c r="I245" s="928"/>
      <c r="J245" s="928"/>
      <c r="K245" s="928"/>
      <c r="L245" s="928"/>
      <c r="M245" s="928"/>
      <c r="N245" s="928"/>
      <c r="O245" s="928"/>
      <c r="P245" s="928"/>
      <c r="Q245" s="928"/>
      <c r="R245" s="928"/>
      <c r="S245" s="928"/>
      <c r="T245" s="928"/>
      <c r="U245" s="928"/>
      <c r="V245" s="928"/>
      <c r="W245" s="928"/>
      <c r="X245" s="928"/>
      <c r="Y245" s="928"/>
      <c r="Z245" s="928"/>
      <c r="AA245" s="928"/>
    </row>
    <row r="246" hidden="1">
      <c r="A246" s="935"/>
      <c r="B246" s="932"/>
      <c r="C246" s="928"/>
      <c r="D246" s="928"/>
      <c r="E246" s="928"/>
      <c r="F246" s="928"/>
      <c r="G246" s="928"/>
      <c r="H246" s="928"/>
      <c r="I246" s="928"/>
      <c r="J246" s="928"/>
      <c r="K246" s="928"/>
      <c r="L246" s="928"/>
      <c r="M246" s="928"/>
      <c r="N246" s="928"/>
      <c r="O246" s="928"/>
      <c r="P246" s="928"/>
      <c r="Q246" s="928"/>
      <c r="R246" s="928"/>
      <c r="S246" s="928"/>
      <c r="T246" s="928"/>
      <c r="U246" s="928"/>
      <c r="V246" s="928"/>
      <c r="W246" s="928"/>
      <c r="X246" s="928"/>
      <c r="Y246" s="928"/>
      <c r="Z246" s="928"/>
      <c r="AA246" s="928"/>
    </row>
    <row r="247" hidden="1">
      <c r="A247" s="935"/>
      <c r="B247" s="932"/>
      <c r="C247" s="928"/>
      <c r="D247" s="928"/>
      <c r="E247" s="928"/>
      <c r="F247" s="928"/>
      <c r="G247" s="928"/>
      <c r="H247" s="928"/>
      <c r="I247" s="928"/>
      <c r="J247" s="928"/>
      <c r="K247" s="928"/>
      <c r="L247" s="928"/>
      <c r="M247" s="928"/>
      <c r="N247" s="928"/>
      <c r="O247" s="928"/>
      <c r="P247" s="928"/>
      <c r="Q247" s="928"/>
      <c r="R247" s="928"/>
      <c r="S247" s="928"/>
      <c r="T247" s="928"/>
      <c r="U247" s="928"/>
      <c r="V247" s="928"/>
      <c r="W247" s="928"/>
      <c r="X247" s="928"/>
      <c r="Y247" s="928"/>
      <c r="Z247" s="928"/>
      <c r="AA247" s="928"/>
    </row>
    <row r="248" hidden="1">
      <c r="A248" s="935"/>
      <c r="B248" s="932"/>
      <c r="C248" s="928"/>
      <c r="D248" s="928"/>
      <c r="E248" s="928"/>
      <c r="F248" s="928"/>
      <c r="G248" s="928"/>
      <c r="H248" s="928"/>
      <c r="I248" s="928"/>
      <c r="J248" s="928"/>
      <c r="K248" s="928"/>
      <c r="L248" s="928"/>
      <c r="M248" s="928"/>
      <c r="N248" s="928"/>
      <c r="O248" s="928"/>
      <c r="P248" s="928"/>
      <c r="Q248" s="928"/>
      <c r="R248" s="928"/>
      <c r="S248" s="928"/>
      <c r="T248" s="928"/>
      <c r="U248" s="928"/>
      <c r="V248" s="928"/>
      <c r="W248" s="928"/>
      <c r="X248" s="928"/>
      <c r="Y248" s="928"/>
      <c r="Z248" s="928"/>
      <c r="AA248" s="928"/>
    </row>
    <row r="249" hidden="1">
      <c r="A249" s="935"/>
      <c r="B249" s="932"/>
      <c r="C249" s="928"/>
      <c r="D249" s="928"/>
      <c r="E249" s="928"/>
      <c r="F249" s="928"/>
      <c r="G249" s="928"/>
      <c r="H249" s="928"/>
      <c r="I249" s="928"/>
      <c r="J249" s="928"/>
      <c r="K249" s="928"/>
      <c r="L249" s="928"/>
      <c r="M249" s="928"/>
      <c r="N249" s="928"/>
      <c r="O249" s="928"/>
      <c r="P249" s="928"/>
      <c r="Q249" s="928"/>
      <c r="R249" s="928"/>
      <c r="S249" s="928"/>
      <c r="T249" s="928"/>
      <c r="U249" s="928"/>
      <c r="V249" s="928"/>
      <c r="W249" s="928"/>
      <c r="X249" s="928"/>
      <c r="Y249" s="928"/>
      <c r="Z249" s="928"/>
      <c r="AA249" s="928"/>
    </row>
    <row r="250" hidden="1">
      <c r="A250" s="935"/>
      <c r="B250" s="932"/>
      <c r="C250" s="928"/>
      <c r="D250" s="928"/>
      <c r="E250" s="928"/>
      <c r="F250" s="928"/>
      <c r="G250" s="928"/>
      <c r="H250" s="928"/>
      <c r="I250" s="928"/>
      <c r="J250" s="928"/>
      <c r="K250" s="928"/>
      <c r="L250" s="928"/>
      <c r="M250" s="928"/>
      <c r="N250" s="928"/>
      <c r="O250" s="928"/>
      <c r="P250" s="928"/>
      <c r="Q250" s="928"/>
      <c r="R250" s="928"/>
      <c r="S250" s="928"/>
      <c r="T250" s="928"/>
      <c r="U250" s="928"/>
      <c r="V250" s="928"/>
      <c r="W250" s="928"/>
      <c r="X250" s="928"/>
      <c r="Y250" s="928"/>
      <c r="Z250" s="928"/>
      <c r="AA250" s="928"/>
    </row>
    <row r="251" hidden="1">
      <c r="A251" s="935"/>
      <c r="B251" s="932"/>
      <c r="C251" s="928"/>
      <c r="D251" s="928"/>
      <c r="E251" s="928"/>
      <c r="F251" s="928"/>
      <c r="G251" s="928"/>
      <c r="H251" s="928"/>
      <c r="I251" s="928"/>
      <c r="J251" s="928"/>
      <c r="K251" s="928"/>
      <c r="L251" s="928"/>
      <c r="M251" s="928"/>
      <c r="N251" s="928"/>
      <c r="O251" s="928"/>
      <c r="P251" s="928"/>
      <c r="Q251" s="928"/>
      <c r="R251" s="928"/>
      <c r="S251" s="928"/>
      <c r="T251" s="928"/>
      <c r="U251" s="928"/>
      <c r="V251" s="928"/>
      <c r="W251" s="928"/>
      <c r="X251" s="928"/>
      <c r="Y251" s="928"/>
      <c r="Z251" s="928"/>
      <c r="AA251" s="928"/>
    </row>
    <row r="252" hidden="1">
      <c r="A252" s="935"/>
      <c r="B252" s="932"/>
      <c r="C252" s="928"/>
      <c r="D252" s="928"/>
      <c r="E252" s="928"/>
      <c r="F252" s="928"/>
      <c r="G252" s="928"/>
      <c r="H252" s="928"/>
      <c r="I252" s="928"/>
      <c r="J252" s="928"/>
      <c r="K252" s="928"/>
      <c r="L252" s="928"/>
      <c r="M252" s="928"/>
      <c r="N252" s="928"/>
      <c r="O252" s="928"/>
      <c r="P252" s="928"/>
      <c r="Q252" s="928"/>
      <c r="R252" s="928"/>
      <c r="S252" s="928"/>
      <c r="T252" s="928"/>
      <c r="U252" s="928"/>
      <c r="V252" s="928"/>
      <c r="W252" s="928"/>
      <c r="X252" s="928"/>
      <c r="Y252" s="928"/>
      <c r="Z252" s="928"/>
      <c r="AA252" s="928"/>
    </row>
    <row r="253" hidden="1">
      <c r="A253" s="935"/>
      <c r="B253" s="932"/>
      <c r="C253" s="928"/>
      <c r="D253" s="928"/>
      <c r="E253" s="928"/>
      <c r="F253" s="928"/>
      <c r="G253" s="928"/>
      <c r="H253" s="928"/>
      <c r="I253" s="928"/>
      <c r="J253" s="928"/>
      <c r="K253" s="928"/>
      <c r="L253" s="928"/>
      <c r="M253" s="928"/>
      <c r="N253" s="928"/>
      <c r="O253" s="928"/>
      <c r="P253" s="928"/>
      <c r="Q253" s="928"/>
      <c r="R253" s="928"/>
      <c r="S253" s="928"/>
      <c r="T253" s="928"/>
      <c r="U253" s="928"/>
      <c r="V253" s="928"/>
      <c r="W253" s="928"/>
      <c r="X253" s="928"/>
      <c r="Y253" s="928"/>
      <c r="Z253" s="928"/>
      <c r="AA253" s="928"/>
    </row>
    <row r="254" hidden="1">
      <c r="A254" s="935"/>
      <c r="B254" s="932"/>
      <c r="C254" s="928"/>
      <c r="D254" s="928"/>
      <c r="E254" s="928"/>
      <c r="F254" s="928"/>
      <c r="G254" s="928"/>
      <c r="H254" s="928"/>
      <c r="I254" s="928"/>
      <c r="J254" s="928"/>
      <c r="K254" s="928"/>
      <c r="L254" s="928"/>
      <c r="M254" s="928"/>
      <c r="N254" s="928"/>
      <c r="O254" s="928"/>
      <c r="P254" s="928"/>
      <c r="Q254" s="928"/>
      <c r="R254" s="928"/>
      <c r="S254" s="928"/>
      <c r="T254" s="928"/>
      <c r="U254" s="928"/>
      <c r="V254" s="928"/>
      <c r="W254" s="928"/>
      <c r="X254" s="928"/>
      <c r="Y254" s="928"/>
      <c r="Z254" s="928"/>
      <c r="AA254" s="928"/>
    </row>
    <row r="255" hidden="1">
      <c r="A255" s="935"/>
      <c r="B255" s="932"/>
      <c r="C255" s="928"/>
      <c r="D255" s="928"/>
      <c r="E255" s="928"/>
      <c r="F255" s="928"/>
      <c r="G255" s="928"/>
      <c r="H255" s="928"/>
      <c r="I255" s="928"/>
      <c r="J255" s="928"/>
      <c r="K255" s="928"/>
      <c r="L255" s="928"/>
      <c r="M255" s="928"/>
      <c r="N255" s="928"/>
      <c r="O255" s="928"/>
      <c r="P255" s="928"/>
      <c r="Q255" s="928"/>
      <c r="R255" s="928"/>
      <c r="S255" s="928"/>
      <c r="T255" s="928"/>
      <c r="U255" s="928"/>
      <c r="V255" s="928"/>
      <c r="W255" s="928"/>
      <c r="X255" s="928"/>
      <c r="Y255" s="928"/>
      <c r="Z255" s="928"/>
      <c r="AA255" s="928"/>
    </row>
    <row r="256" hidden="1">
      <c r="A256" s="935"/>
      <c r="B256" s="932"/>
      <c r="C256" s="928"/>
      <c r="D256" s="928"/>
      <c r="E256" s="928"/>
      <c r="F256" s="928"/>
      <c r="G256" s="928"/>
      <c r="H256" s="928"/>
      <c r="I256" s="928"/>
      <c r="J256" s="928"/>
      <c r="K256" s="928"/>
      <c r="L256" s="928"/>
      <c r="M256" s="928"/>
      <c r="N256" s="928"/>
      <c r="O256" s="928"/>
      <c r="P256" s="928"/>
      <c r="Q256" s="928"/>
      <c r="R256" s="928"/>
      <c r="S256" s="928"/>
      <c r="T256" s="928"/>
      <c r="U256" s="928"/>
      <c r="V256" s="928"/>
      <c r="W256" s="928"/>
      <c r="X256" s="928"/>
      <c r="Y256" s="928"/>
      <c r="Z256" s="928"/>
      <c r="AA256" s="928"/>
    </row>
    <row r="257" hidden="1">
      <c r="A257" s="935"/>
      <c r="B257" s="932"/>
      <c r="C257" s="928"/>
      <c r="D257" s="928"/>
      <c r="E257" s="928"/>
      <c r="F257" s="928"/>
      <c r="G257" s="928"/>
      <c r="H257" s="928"/>
      <c r="I257" s="928"/>
      <c r="J257" s="928"/>
      <c r="K257" s="928"/>
      <c r="L257" s="928"/>
      <c r="M257" s="928"/>
      <c r="N257" s="928"/>
      <c r="O257" s="928"/>
      <c r="P257" s="928"/>
      <c r="Q257" s="928"/>
      <c r="R257" s="928"/>
      <c r="S257" s="928"/>
      <c r="T257" s="928"/>
      <c r="U257" s="928"/>
      <c r="V257" s="928"/>
      <c r="W257" s="928"/>
      <c r="X257" s="928"/>
      <c r="Y257" s="928"/>
      <c r="Z257" s="928"/>
      <c r="AA257" s="928"/>
    </row>
    <row r="258" hidden="1">
      <c r="A258" s="935"/>
      <c r="B258" s="932"/>
      <c r="C258" s="928"/>
      <c r="D258" s="928"/>
      <c r="E258" s="928"/>
      <c r="F258" s="928"/>
      <c r="G258" s="928"/>
      <c r="H258" s="928"/>
      <c r="I258" s="928"/>
      <c r="J258" s="928"/>
      <c r="K258" s="928"/>
      <c r="L258" s="928"/>
      <c r="M258" s="928"/>
      <c r="N258" s="928"/>
      <c r="O258" s="928"/>
      <c r="P258" s="928"/>
      <c r="Q258" s="928"/>
      <c r="R258" s="928"/>
      <c r="S258" s="928"/>
      <c r="T258" s="928"/>
      <c r="U258" s="928"/>
      <c r="V258" s="928"/>
      <c r="W258" s="928"/>
      <c r="X258" s="928"/>
      <c r="Y258" s="928"/>
      <c r="Z258" s="928"/>
      <c r="AA258" s="928"/>
    </row>
    <row r="259" hidden="1">
      <c r="A259" s="935"/>
      <c r="B259" s="932"/>
      <c r="C259" s="928"/>
      <c r="D259" s="928"/>
      <c r="E259" s="928"/>
      <c r="F259" s="928"/>
      <c r="G259" s="928"/>
      <c r="H259" s="928"/>
      <c r="I259" s="928"/>
      <c r="J259" s="928"/>
      <c r="K259" s="928"/>
      <c r="L259" s="928"/>
      <c r="M259" s="928"/>
      <c r="N259" s="928"/>
      <c r="O259" s="928"/>
      <c r="P259" s="928"/>
      <c r="Q259" s="928"/>
      <c r="R259" s="928"/>
      <c r="S259" s="928"/>
      <c r="T259" s="928"/>
      <c r="U259" s="928"/>
      <c r="V259" s="928"/>
      <c r="W259" s="928"/>
      <c r="X259" s="928"/>
      <c r="Y259" s="928"/>
      <c r="Z259" s="928"/>
      <c r="AA259" s="928"/>
    </row>
    <row r="260" hidden="1">
      <c r="A260" s="935"/>
      <c r="B260" s="932"/>
      <c r="C260" s="928"/>
      <c r="D260" s="928"/>
      <c r="E260" s="928"/>
      <c r="F260" s="928"/>
      <c r="G260" s="928"/>
      <c r="H260" s="928"/>
      <c r="I260" s="928"/>
      <c r="J260" s="928"/>
      <c r="K260" s="928"/>
      <c r="L260" s="928"/>
      <c r="M260" s="928"/>
      <c r="N260" s="928"/>
      <c r="O260" s="928"/>
      <c r="P260" s="928"/>
      <c r="Q260" s="928"/>
      <c r="R260" s="928"/>
      <c r="S260" s="928"/>
      <c r="T260" s="928"/>
      <c r="U260" s="928"/>
      <c r="V260" s="928"/>
      <c r="W260" s="928"/>
      <c r="X260" s="928"/>
      <c r="Y260" s="928"/>
      <c r="Z260" s="928"/>
      <c r="AA260" s="928"/>
    </row>
    <row r="261" hidden="1">
      <c r="A261" s="935"/>
      <c r="B261" s="932"/>
      <c r="C261" s="928"/>
      <c r="D261" s="928"/>
      <c r="E261" s="928"/>
      <c r="F261" s="928"/>
      <c r="G261" s="928"/>
      <c r="H261" s="928"/>
      <c r="I261" s="928"/>
      <c r="J261" s="928"/>
      <c r="K261" s="928"/>
      <c r="L261" s="928"/>
      <c r="M261" s="928"/>
      <c r="N261" s="928"/>
      <c r="O261" s="928"/>
      <c r="P261" s="928"/>
      <c r="Q261" s="928"/>
      <c r="R261" s="928"/>
      <c r="S261" s="928"/>
      <c r="T261" s="928"/>
      <c r="U261" s="928"/>
      <c r="V261" s="928"/>
      <c r="W261" s="928"/>
      <c r="X261" s="928"/>
      <c r="Y261" s="928"/>
      <c r="Z261" s="928"/>
      <c r="AA261" s="928"/>
    </row>
    <row r="262" hidden="1">
      <c r="A262" s="935"/>
      <c r="B262" s="932"/>
      <c r="C262" s="928"/>
      <c r="D262" s="928"/>
      <c r="E262" s="928"/>
      <c r="F262" s="928"/>
      <c r="G262" s="928"/>
      <c r="H262" s="928"/>
      <c r="I262" s="928"/>
      <c r="J262" s="928"/>
      <c r="K262" s="928"/>
      <c r="L262" s="928"/>
      <c r="M262" s="928"/>
      <c r="N262" s="928"/>
      <c r="O262" s="928"/>
      <c r="P262" s="928"/>
      <c r="Q262" s="928"/>
      <c r="R262" s="928"/>
      <c r="S262" s="928"/>
      <c r="T262" s="928"/>
      <c r="U262" s="928"/>
      <c r="V262" s="928"/>
      <c r="W262" s="928"/>
      <c r="X262" s="928"/>
      <c r="Y262" s="928"/>
      <c r="Z262" s="928"/>
      <c r="AA262" s="928"/>
    </row>
    <row r="263" hidden="1">
      <c r="A263" s="935"/>
      <c r="B263" s="932"/>
      <c r="C263" s="928"/>
      <c r="D263" s="928"/>
      <c r="E263" s="928"/>
      <c r="F263" s="928"/>
      <c r="G263" s="928"/>
      <c r="H263" s="928"/>
      <c r="I263" s="928"/>
      <c r="J263" s="928"/>
      <c r="K263" s="928"/>
      <c r="L263" s="928"/>
      <c r="M263" s="928"/>
      <c r="N263" s="928"/>
      <c r="O263" s="928"/>
      <c r="P263" s="928"/>
      <c r="Q263" s="928"/>
      <c r="R263" s="928"/>
      <c r="S263" s="928"/>
      <c r="T263" s="928"/>
      <c r="U263" s="928"/>
      <c r="V263" s="928"/>
      <c r="W263" s="928"/>
      <c r="X263" s="928"/>
      <c r="Y263" s="928"/>
      <c r="Z263" s="928"/>
      <c r="AA263" s="928"/>
    </row>
    <row r="264" hidden="1">
      <c r="A264" s="935"/>
      <c r="B264" s="932"/>
      <c r="C264" s="928"/>
      <c r="D264" s="928"/>
      <c r="E264" s="928"/>
      <c r="F264" s="928"/>
      <c r="G264" s="928"/>
      <c r="H264" s="928"/>
      <c r="I264" s="928"/>
      <c r="J264" s="928"/>
      <c r="K264" s="928"/>
      <c r="L264" s="928"/>
      <c r="M264" s="928"/>
      <c r="N264" s="928"/>
      <c r="O264" s="928"/>
      <c r="P264" s="928"/>
      <c r="Q264" s="928"/>
      <c r="R264" s="928"/>
      <c r="S264" s="928"/>
      <c r="T264" s="928"/>
      <c r="U264" s="928"/>
      <c r="V264" s="928"/>
      <c r="W264" s="928"/>
      <c r="X264" s="928"/>
      <c r="Y264" s="928"/>
      <c r="Z264" s="928"/>
      <c r="AA264" s="928"/>
    </row>
    <row r="265" hidden="1">
      <c r="A265" s="935"/>
      <c r="B265" s="932"/>
      <c r="C265" s="928"/>
      <c r="D265" s="928"/>
      <c r="E265" s="928"/>
      <c r="F265" s="928"/>
      <c r="G265" s="928"/>
      <c r="H265" s="928"/>
      <c r="I265" s="928"/>
      <c r="J265" s="928"/>
      <c r="K265" s="928"/>
      <c r="L265" s="928"/>
      <c r="M265" s="928"/>
      <c r="N265" s="928"/>
      <c r="O265" s="928"/>
      <c r="P265" s="928"/>
      <c r="Q265" s="928"/>
      <c r="R265" s="928"/>
      <c r="S265" s="928"/>
      <c r="T265" s="928"/>
      <c r="U265" s="928"/>
      <c r="V265" s="928"/>
      <c r="W265" s="928"/>
      <c r="X265" s="928"/>
      <c r="Y265" s="928"/>
      <c r="Z265" s="928"/>
      <c r="AA265" s="928"/>
    </row>
    <row r="266" hidden="1">
      <c r="A266" s="935"/>
      <c r="B266" s="932"/>
      <c r="C266" s="928"/>
      <c r="D266" s="928"/>
      <c r="E266" s="928"/>
      <c r="F266" s="928"/>
      <c r="G266" s="928"/>
      <c r="H266" s="928"/>
      <c r="I266" s="928"/>
      <c r="J266" s="928"/>
      <c r="K266" s="928"/>
      <c r="L266" s="928"/>
      <c r="M266" s="928"/>
      <c r="N266" s="928"/>
      <c r="O266" s="928"/>
      <c r="P266" s="928"/>
      <c r="Q266" s="928"/>
      <c r="R266" s="928"/>
      <c r="S266" s="928"/>
      <c r="T266" s="928"/>
      <c r="U266" s="928"/>
      <c r="V266" s="928"/>
      <c r="W266" s="928"/>
      <c r="X266" s="928"/>
      <c r="Y266" s="928"/>
      <c r="Z266" s="928"/>
      <c r="AA266" s="928"/>
    </row>
    <row r="267" hidden="1">
      <c r="A267" s="935"/>
      <c r="B267" s="932"/>
      <c r="C267" s="928"/>
      <c r="D267" s="928"/>
      <c r="E267" s="928"/>
      <c r="F267" s="928"/>
      <c r="G267" s="928"/>
      <c r="H267" s="928"/>
      <c r="I267" s="928"/>
      <c r="J267" s="928"/>
      <c r="K267" s="928"/>
      <c r="L267" s="928"/>
      <c r="M267" s="928"/>
      <c r="N267" s="928"/>
      <c r="O267" s="928"/>
      <c r="P267" s="928"/>
      <c r="Q267" s="928"/>
      <c r="R267" s="928"/>
      <c r="S267" s="928"/>
      <c r="T267" s="928"/>
      <c r="U267" s="928"/>
      <c r="V267" s="928"/>
      <c r="W267" s="928"/>
      <c r="X267" s="928"/>
      <c r="Y267" s="928"/>
      <c r="Z267" s="928"/>
      <c r="AA267" s="928"/>
    </row>
    <row r="268" hidden="1">
      <c r="A268" s="935"/>
      <c r="B268" s="932"/>
      <c r="C268" s="928"/>
      <c r="D268" s="928"/>
      <c r="E268" s="928"/>
      <c r="F268" s="928"/>
      <c r="G268" s="928"/>
      <c r="H268" s="928"/>
      <c r="I268" s="928"/>
      <c r="J268" s="928"/>
      <c r="K268" s="928"/>
      <c r="L268" s="928"/>
      <c r="M268" s="928"/>
      <c r="N268" s="928"/>
      <c r="O268" s="928"/>
      <c r="P268" s="928"/>
      <c r="Q268" s="928"/>
      <c r="R268" s="928"/>
      <c r="S268" s="928"/>
      <c r="T268" s="928"/>
      <c r="U268" s="928"/>
      <c r="V268" s="928"/>
      <c r="W268" s="928"/>
      <c r="X268" s="928"/>
      <c r="Y268" s="928"/>
      <c r="Z268" s="928"/>
      <c r="AA268" s="928"/>
    </row>
    <row r="269" hidden="1">
      <c r="A269" s="935"/>
      <c r="B269" s="932"/>
      <c r="C269" s="928"/>
      <c r="D269" s="928"/>
      <c r="E269" s="928"/>
      <c r="F269" s="928"/>
      <c r="G269" s="928"/>
      <c r="H269" s="928"/>
      <c r="I269" s="928"/>
      <c r="J269" s="928"/>
      <c r="K269" s="928"/>
      <c r="L269" s="928"/>
      <c r="M269" s="928"/>
      <c r="N269" s="928"/>
      <c r="O269" s="928"/>
      <c r="P269" s="928"/>
      <c r="Q269" s="928"/>
      <c r="R269" s="928"/>
      <c r="S269" s="928"/>
      <c r="T269" s="928"/>
      <c r="U269" s="928"/>
      <c r="V269" s="928"/>
      <c r="W269" s="928"/>
      <c r="X269" s="928"/>
      <c r="Y269" s="928"/>
      <c r="Z269" s="928"/>
      <c r="AA269" s="928"/>
    </row>
    <row r="270" hidden="1">
      <c r="A270" s="935"/>
      <c r="B270" s="932"/>
      <c r="C270" s="928"/>
      <c r="D270" s="928"/>
      <c r="E270" s="928"/>
      <c r="F270" s="928"/>
      <c r="G270" s="928"/>
      <c r="H270" s="928"/>
      <c r="I270" s="928"/>
      <c r="J270" s="928"/>
      <c r="K270" s="928"/>
      <c r="L270" s="928"/>
      <c r="M270" s="928"/>
      <c r="N270" s="928"/>
      <c r="O270" s="928"/>
      <c r="P270" s="928"/>
      <c r="Q270" s="928"/>
      <c r="R270" s="928"/>
      <c r="S270" s="928"/>
      <c r="T270" s="928"/>
      <c r="U270" s="928"/>
      <c r="V270" s="928"/>
      <c r="W270" s="928"/>
      <c r="X270" s="928"/>
      <c r="Y270" s="928"/>
      <c r="Z270" s="928"/>
      <c r="AA270" s="928"/>
    </row>
    <row r="271" hidden="1">
      <c r="A271" s="935"/>
      <c r="B271" s="932"/>
      <c r="C271" s="928"/>
      <c r="D271" s="928"/>
      <c r="E271" s="928"/>
      <c r="F271" s="928"/>
      <c r="G271" s="928"/>
      <c r="H271" s="928"/>
      <c r="I271" s="928"/>
      <c r="J271" s="928"/>
      <c r="K271" s="928"/>
      <c r="L271" s="928"/>
      <c r="M271" s="928"/>
      <c r="N271" s="928"/>
      <c r="O271" s="928"/>
      <c r="P271" s="928"/>
      <c r="Q271" s="928"/>
      <c r="R271" s="928"/>
      <c r="S271" s="928"/>
      <c r="T271" s="928"/>
      <c r="U271" s="928"/>
      <c r="V271" s="928"/>
      <c r="W271" s="928"/>
      <c r="X271" s="928"/>
      <c r="Y271" s="928"/>
      <c r="Z271" s="928"/>
      <c r="AA271" s="928"/>
    </row>
    <row r="272" hidden="1">
      <c r="A272" s="935"/>
      <c r="B272" s="932"/>
      <c r="C272" s="928"/>
      <c r="D272" s="928"/>
      <c r="E272" s="928"/>
      <c r="F272" s="928"/>
      <c r="G272" s="928"/>
      <c r="H272" s="928"/>
      <c r="I272" s="928"/>
      <c r="J272" s="928"/>
      <c r="K272" s="928"/>
      <c r="L272" s="928"/>
      <c r="M272" s="928"/>
      <c r="N272" s="928"/>
      <c r="O272" s="928"/>
      <c r="P272" s="928"/>
      <c r="Q272" s="928"/>
      <c r="R272" s="928"/>
      <c r="S272" s="928"/>
      <c r="T272" s="928"/>
      <c r="U272" s="928"/>
      <c r="V272" s="928"/>
      <c r="W272" s="928"/>
      <c r="X272" s="928"/>
      <c r="Y272" s="928"/>
      <c r="Z272" s="928"/>
      <c r="AA272" s="928"/>
    </row>
    <row r="273" hidden="1">
      <c r="A273" s="935"/>
      <c r="B273" s="932"/>
      <c r="C273" s="928"/>
      <c r="D273" s="928"/>
      <c r="E273" s="928"/>
      <c r="F273" s="928"/>
      <c r="G273" s="928"/>
      <c r="H273" s="928"/>
      <c r="I273" s="928"/>
      <c r="J273" s="928"/>
      <c r="K273" s="928"/>
      <c r="L273" s="928"/>
      <c r="M273" s="928"/>
      <c r="N273" s="928"/>
      <c r="O273" s="928"/>
      <c r="P273" s="928"/>
      <c r="Q273" s="928"/>
      <c r="R273" s="928"/>
      <c r="S273" s="928"/>
      <c r="T273" s="928"/>
      <c r="U273" s="928"/>
      <c r="V273" s="928"/>
      <c r="W273" s="928"/>
      <c r="X273" s="928"/>
      <c r="Y273" s="928"/>
      <c r="Z273" s="928"/>
      <c r="AA273" s="928"/>
    </row>
    <row r="274" hidden="1">
      <c r="A274" s="935"/>
      <c r="B274" s="932"/>
      <c r="C274" s="928"/>
      <c r="D274" s="928"/>
      <c r="E274" s="928"/>
      <c r="F274" s="928"/>
      <c r="G274" s="928"/>
      <c r="H274" s="928"/>
      <c r="I274" s="928"/>
      <c r="J274" s="928"/>
      <c r="K274" s="928"/>
      <c r="L274" s="928"/>
      <c r="M274" s="928"/>
      <c r="N274" s="928"/>
      <c r="O274" s="928"/>
      <c r="P274" s="928"/>
      <c r="Q274" s="928"/>
      <c r="R274" s="928"/>
      <c r="S274" s="928"/>
      <c r="T274" s="928"/>
      <c r="U274" s="928"/>
      <c r="V274" s="928"/>
      <c r="W274" s="928"/>
      <c r="X274" s="928"/>
      <c r="Y274" s="928"/>
      <c r="Z274" s="928"/>
      <c r="AA274" s="928"/>
    </row>
    <row r="275" hidden="1">
      <c r="A275" s="935"/>
      <c r="B275" s="932"/>
      <c r="C275" s="928"/>
      <c r="D275" s="928"/>
      <c r="E275" s="928"/>
      <c r="F275" s="928"/>
      <c r="G275" s="928"/>
      <c r="H275" s="928"/>
      <c r="I275" s="928"/>
      <c r="J275" s="928"/>
      <c r="K275" s="928"/>
      <c r="L275" s="928"/>
      <c r="M275" s="928"/>
      <c r="N275" s="928"/>
      <c r="O275" s="928"/>
      <c r="P275" s="928"/>
      <c r="Q275" s="928"/>
      <c r="R275" s="928"/>
      <c r="S275" s="928"/>
      <c r="T275" s="928"/>
      <c r="U275" s="928"/>
      <c r="V275" s="928"/>
      <c r="W275" s="928"/>
      <c r="X275" s="928"/>
      <c r="Y275" s="928"/>
      <c r="Z275" s="928"/>
      <c r="AA275" s="928"/>
    </row>
    <row r="276" hidden="1">
      <c r="A276" s="935"/>
      <c r="B276" s="932"/>
      <c r="C276" s="928"/>
      <c r="D276" s="928"/>
      <c r="E276" s="928"/>
      <c r="F276" s="928"/>
      <c r="G276" s="928"/>
      <c r="H276" s="928"/>
      <c r="I276" s="928"/>
      <c r="J276" s="928"/>
      <c r="K276" s="928"/>
      <c r="L276" s="928"/>
      <c r="M276" s="928"/>
      <c r="N276" s="928"/>
      <c r="O276" s="928"/>
      <c r="P276" s="928"/>
      <c r="Q276" s="928"/>
      <c r="R276" s="928"/>
      <c r="S276" s="928"/>
      <c r="T276" s="928"/>
      <c r="U276" s="928"/>
      <c r="V276" s="928"/>
      <c r="W276" s="928"/>
      <c r="X276" s="928"/>
      <c r="Y276" s="928"/>
      <c r="Z276" s="928"/>
      <c r="AA276" s="928"/>
    </row>
    <row r="277" hidden="1">
      <c r="A277" s="935"/>
      <c r="B277" s="932"/>
      <c r="C277" s="928"/>
      <c r="D277" s="928"/>
      <c r="E277" s="928"/>
      <c r="F277" s="928"/>
      <c r="G277" s="928"/>
      <c r="H277" s="928"/>
      <c r="I277" s="928"/>
      <c r="J277" s="928"/>
      <c r="K277" s="928"/>
      <c r="L277" s="928"/>
      <c r="M277" s="928"/>
      <c r="N277" s="928"/>
      <c r="O277" s="928"/>
      <c r="P277" s="928"/>
      <c r="Q277" s="928"/>
      <c r="R277" s="928"/>
      <c r="S277" s="928"/>
      <c r="T277" s="928"/>
      <c r="U277" s="928"/>
      <c r="V277" s="928"/>
      <c r="W277" s="928"/>
      <c r="X277" s="928"/>
      <c r="Y277" s="928"/>
      <c r="Z277" s="928"/>
      <c r="AA277" s="928"/>
    </row>
    <row r="278" hidden="1">
      <c r="A278" s="935"/>
      <c r="B278" s="932"/>
      <c r="C278" s="928"/>
      <c r="D278" s="928"/>
      <c r="E278" s="928"/>
      <c r="F278" s="928"/>
      <c r="G278" s="928"/>
      <c r="H278" s="928"/>
      <c r="I278" s="928"/>
      <c r="J278" s="928"/>
      <c r="K278" s="928"/>
      <c r="L278" s="928"/>
      <c r="M278" s="928"/>
      <c r="N278" s="928"/>
      <c r="O278" s="928"/>
      <c r="P278" s="928"/>
      <c r="Q278" s="928"/>
      <c r="R278" s="928"/>
      <c r="S278" s="928"/>
      <c r="T278" s="928"/>
      <c r="U278" s="928"/>
      <c r="V278" s="928"/>
      <c r="W278" s="928"/>
      <c r="X278" s="928"/>
      <c r="Y278" s="928"/>
      <c r="Z278" s="928"/>
      <c r="AA278" s="928"/>
    </row>
    <row r="279" hidden="1">
      <c r="A279" s="935"/>
      <c r="B279" s="932"/>
      <c r="C279" s="928"/>
      <c r="D279" s="928"/>
      <c r="E279" s="928"/>
      <c r="F279" s="928"/>
      <c r="G279" s="928"/>
      <c r="H279" s="928"/>
      <c r="I279" s="928"/>
      <c r="J279" s="928"/>
      <c r="K279" s="928"/>
      <c r="L279" s="928"/>
      <c r="M279" s="928"/>
      <c r="N279" s="928"/>
      <c r="O279" s="928"/>
      <c r="P279" s="928"/>
      <c r="Q279" s="928"/>
      <c r="R279" s="928"/>
      <c r="S279" s="928"/>
      <c r="T279" s="928"/>
      <c r="U279" s="928"/>
      <c r="V279" s="928"/>
      <c r="W279" s="928"/>
      <c r="X279" s="928"/>
      <c r="Y279" s="928"/>
      <c r="Z279" s="928"/>
      <c r="AA279" s="928"/>
    </row>
    <row r="280" hidden="1">
      <c r="A280" s="935"/>
      <c r="B280" s="932"/>
      <c r="C280" s="928"/>
      <c r="D280" s="928"/>
      <c r="E280" s="928"/>
      <c r="F280" s="928"/>
      <c r="G280" s="928"/>
      <c r="H280" s="928"/>
      <c r="I280" s="928"/>
      <c r="J280" s="928"/>
      <c r="K280" s="928"/>
      <c r="L280" s="928"/>
      <c r="M280" s="928"/>
      <c r="N280" s="928"/>
      <c r="O280" s="928"/>
      <c r="P280" s="928"/>
      <c r="Q280" s="928"/>
      <c r="R280" s="928"/>
      <c r="S280" s="928"/>
      <c r="T280" s="928"/>
      <c r="U280" s="928"/>
      <c r="V280" s="928"/>
      <c r="W280" s="928"/>
      <c r="X280" s="928"/>
      <c r="Y280" s="928"/>
      <c r="Z280" s="928"/>
      <c r="AA280" s="928"/>
    </row>
    <row r="281" hidden="1">
      <c r="A281" s="935"/>
      <c r="B281" s="932"/>
      <c r="C281" s="928"/>
      <c r="D281" s="928"/>
      <c r="E281" s="928"/>
      <c r="F281" s="928"/>
      <c r="G281" s="928"/>
      <c r="H281" s="928"/>
      <c r="I281" s="928"/>
      <c r="J281" s="928"/>
      <c r="K281" s="928"/>
      <c r="L281" s="928"/>
      <c r="M281" s="928"/>
      <c r="N281" s="928"/>
      <c r="O281" s="928"/>
      <c r="P281" s="928"/>
      <c r="Q281" s="928"/>
      <c r="R281" s="928"/>
      <c r="S281" s="928"/>
      <c r="T281" s="928"/>
      <c r="U281" s="928"/>
      <c r="V281" s="928"/>
      <c r="W281" s="928"/>
      <c r="X281" s="928"/>
      <c r="Y281" s="928"/>
      <c r="Z281" s="928"/>
      <c r="AA281" s="928"/>
    </row>
    <row r="282" hidden="1">
      <c r="A282" s="935"/>
      <c r="B282" s="932"/>
      <c r="C282" s="928"/>
      <c r="D282" s="928"/>
      <c r="E282" s="928"/>
      <c r="F282" s="928"/>
      <c r="G282" s="928"/>
      <c r="H282" s="928"/>
      <c r="I282" s="928"/>
      <c r="J282" s="928"/>
      <c r="K282" s="928"/>
      <c r="L282" s="928"/>
      <c r="M282" s="928"/>
      <c r="N282" s="928"/>
      <c r="O282" s="928"/>
      <c r="P282" s="928"/>
      <c r="Q282" s="928"/>
      <c r="R282" s="928"/>
      <c r="S282" s="928"/>
      <c r="T282" s="928"/>
      <c r="U282" s="928"/>
      <c r="V282" s="928"/>
      <c r="W282" s="928"/>
      <c r="X282" s="928"/>
      <c r="Y282" s="928"/>
      <c r="Z282" s="928"/>
      <c r="AA282" s="928"/>
    </row>
    <row r="283" hidden="1">
      <c r="A283" s="935"/>
      <c r="B283" s="932"/>
      <c r="C283" s="928"/>
      <c r="D283" s="928"/>
      <c r="E283" s="928"/>
      <c r="F283" s="928"/>
      <c r="G283" s="928"/>
      <c r="H283" s="928"/>
      <c r="I283" s="928"/>
      <c r="J283" s="928"/>
      <c r="K283" s="928"/>
      <c r="L283" s="928"/>
      <c r="M283" s="928"/>
      <c r="N283" s="928"/>
      <c r="O283" s="928"/>
      <c r="P283" s="928"/>
      <c r="Q283" s="928"/>
      <c r="R283" s="928"/>
      <c r="S283" s="928"/>
      <c r="T283" s="928"/>
      <c r="U283" s="928"/>
      <c r="V283" s="928"/>
      <c r="W283" s="928"/>
      <c r="X283" s="928"/>
      <c r="Y283" s="928"/>
      <c r="Z283" s="928"/>
      <c r="AA283" s="928"/>
    </row>
    <row r="284" hidden="1">
      <c r="A284" s="935"/>
      <c r="B284" s="932"/>
      <c r="C284" s="928"/>
      <c r="D284" s="928"/>
      <c r="E284" s="928"/>
      <c r="F284" s="928"/>
      <c r="G284" s="928"/>
      <c r="H284" s="928"/>
      <c r="I284" s="928"/>
      <c r="J284" s="928"/>
      <c r="K284" s="928"/>
      <c r="L284" s="928"/>
      <c r="M284" s="928"/>
      <c r="N284" s="928"/>
      <c r="O284" s="928"/>
      <c r="P284" s="928"/>
      <c r="Q284" s="928"/>
      <c r="R284" s="928"/>
      <c r="S284" s="928"/>
      <c r="T284" s="928"/>
      <c r="U284" s="928"/>
      <c r="V284" s="928"/>
      <c r="W284" s="928"/>
      <c r="X284" s="928"/>
      <c r="Y284" s="928"/>
      <c r="Z284" s="928"/>
      <c r="AA284" s="928"/>
    </row>
    <row r="285" hidden="1">
      <c r="A285" s="935"/>
      <c r="B285" s="932"/>
      <c r="C285" s="928"/>
      <c r="D285" s="928"/>
      <c r="E285" s="928"/>
      <c r="F285" s="928"/>
      <c r="G285" s="928"/>
      <c r="H285" s="928"/>
      <c r="I285" s="928"/>
      <c r="J285" s="928"/>
      <c r="K285" s="928"/>
      <c r="L285" s="928"/>
      <c r="M285" s="928"/>
      <c r="N285" s="928"/>
      <c r="O285" s="928"/>
      <c r="P285" s="928"/>
      <c r="Q285" s="928"/>
      <c r="R285" s="928"/>
      <c r="S285" s="928"/>
      <c r="T285" s="928"/>
      <c r="U285" s="928"/>
      <c r="V285" s="928"/>
      <c r="W285" s="928"/>
      <c r="X285" s="928"/>
      <c r="Y285" s="928"/>
      <c r="Z285" s="928"/>
      <c r="AA285" s="928"/>
    </row>
    <row r="286" hidden="1">
      <c r="A286" s="935"/>
      <c r="B286" s="932"/>
      <c r="C286" s="928"/>
      <c r="D286" s="928"/>
      <c r="E286" s="928"/>
      <c r="F286" s="928"/>
      <c r="G286" s="928"/>
      <c r="H286" s="928"/>
      <c r="I286" s="928"/>
      <c r="J286" s="928"/>
      <c r="K286" s="928"/>
      <c r="L286" s="928"/>
      <c r="M286" s="928"/>
      <c r="N286" s="928"/>
      <c r="O286" s="928"/>
      <c r="P286" s="928"/>
      <c r="Q286" s="928"/>
      <c r="R286" s="928"/>
      <c r="S286" s="928"/>
      <c r="T286" s="928"/>
      <c r="U286" s="928"/>
      <c r="V286" s="928"/>
      <c r="W286" s="928"/>
      <c r="X286" s="928"/>
      <c r="Y286" s="928"/>
      <c r="Z286" s="928"/>
      <c r="AA286" s="928"/>
    </row>
    <row r="287" hidden="1">
      <c r="A287" s="935"/>
      <c r="B287" s="932"/>
      <c r="C287" s="928"/>
      <c r="D287" s="928"/>
      <c r="E287" s="928"/>
      <c r="F287" s="928"/>
      <c r="G287" s="928"/>
      <c r="H287" s="928"/>
      <c r="I287" s="928"/>
      <c r="J287" s="928"/>
      <c r="K287" s="928"/>
      <c r="L287" s="928"/>
      <c r="M287" s="928"/>
      <c r="N287" s="928"/>
      <c r="O287" s="928"/>
      <c r="P287" s="928"/>
      <c r="Q287" s="928"/>
      <c r="R287" s="928"/>
      <c r="S287" s="928"/>
      <c r="T287" s="928"/>
      <c r="U287" s="928"/>
      <c r="V287" s="928"/>
      <c r="W287" s="928"/>
      <c r="X287" s="928"/>
      <c r="Y287" s="928"/>
      <c r="Z287" s="928"/>
      <c r="AA287" s="928"/>
    </row>
    <row r="288" hidden="1">
      <c r="A288" s="935"/>
      <c r="B288" s="932"/>
      <c r="C288" s="928"/>
      <c r="D288" s="928"/>
      <c r="E288" s="928"/>
      <c r="F288" s="928"/>
      <c r="G288" s="928"/>
      <c r="H288" s="928"/>
      <c r="I288" s="928"/>
      <c r="J288" s="928"/>
      <c r="K288" s="928"/>
      <c r="L288" s="928"/>
      <c r="M288" s="928"/>
      <c r="N288" s="928"/>
      <c r="O288" s="928"/>
      <c r="P288" s="928"/>
      <c r="Q288" s="928"/>
      <c r="R288" s="928"/>
      <c r="S288" s="928"/>
      <c r="T288" s="928"/>
      <c r="U288" s="928"/>
      <c r="V288" s="928"/>
      <c r="W288" s="928"/>
      <c r="X288" s="928"/>
      <c r="Y288" s="928"/>
      <c r="Z288" s="928"/>
      <c r="AA288" s="928"/>
    </row>
    <row r="289" hidden="1">
      <c r="A289" s="935"/>
      <c r="B289" s="932"/>
      <c r="C289" s="928"/>
      <c r="D289" s="928"/>
      <c r="E289" s="928"/>
      <c r="F289" s="928"/>
      <c r="G289" s="928"/>
      <c r="H289" s="928"/>
      <c r="I289" s="928"/>
      <c r="J289" s="928"/>
      <c r="K289" s="928"/>
      <c r="L289" s="928"/>
      <c r="M289" s="928"/>
      <c r="N289" s="928"/>
      <c r="O289" s="928"/>
      <c r="P289" s="928"/>
      <c r="Q289" s="928"/>
      <c r="R289" s="928"/>
      <c r="S289" s="928"/>
      <c r="T289" s="928"/>
      <c r="U289" s="928"/>
      <c r="V289" s="928"/>
      <c r="W289" s="928"/>
      <c r="X289" s="928"/>
      <c r="Y289" s="928"/>
      <c r="Z289" s="928"/>
      <c r="AA289" s="928"/>
    </row>
    <row r="290" hidden="1">
      <c r="A290" s="935"/>
      <c r="B290" s="932"/>
      <c r="C290" s="928"/>
      <c r="D290" s="928"/>
      <c r="E290" s="928"/>
      <c r="F290" s="928"/>
      <c r="G290" s="928"/>
      <c r="H290" s="928"/>
      <c r="I290" s="928"/>
      <c r="J290" s="928"/>
      <c r="K290" s="928"/>
      <c r="L290" s="928"/>
      <c r="M290" s="928"/>
      <c r="N290" s="928"/>
      <c r="O290" s="928"/>
      <c r="P290" s="928"/>
      <c r="Q290" s="928"/>
      <c r="R290" s="928"/>
      <c r="S290" s="928"/>
      <c r="T290" s="928"/>
      <c r="U290" s="928"/>
      <c r="V290" s="928"/>
      <c r="W290" s="928"/>
      <c r="X290" s="928"/>
      <c r="Y290" s="928"/>
      <c r="Z290" s="928"/>
      <c r="AA290" s="928"/>
    </row>
    <row r="291" hidden="1">
      <c r="A291" s="935"/>
      <c r="B291" s="932"/>
      <c r="C291" s="928"/>
      <c r="D291" s="928"/>
      <c r="E291" s="928"/>
      <c r="F291" s="928"/>
      <c r="G291" s="928"/>
      <c r="H291" s="928"/>
      <c r="I291" s="928"/>
      <c r="J291" s="928"/>
      <c r="K291" s="928"/>
      <c r="L291" s="928"/>
      <c r="M291" s="928"/>
      <c r="N291" s="928"/>
      <c r="O291" s="928"/>
      <c r="P291" s="928"/>
      <c r="Q291" s="928"/>
      <c r="R291" s="928"/>
      <c r="S291" s="928"/>
      <c r="T291" s="928"/>
      <c r="U291" s="928"/>
      <c r="V291" s="928"/>
      <c r="W291" s="928"/>
      <c r="X291" s="928"/>
      <c r="Y291" s="928"/>
      <c r="Z291" s="928"/>
      <c r="AA291" s="928"/>
    </row>
    <row r="292" hidden="1">
      <c r="A292" s="935"/>
      <c r="B292" s="932"/>
      <c r="C292" s="928"/>
      <c r="D292" s="928"/>
      <c r="E292" s="928"/>
      <c r="F292" s="928"/>
      <c r="G292" s="928"/>
      <c r="H292" s="928"/>
      <c r="I292" s="928"/>
      <c r="J292" s="928"/>
      <c r="K292" s="928"/>
      <c r="L292" s="928"/>
      <c r="M292" s="928"/>
      <c r="N292" s="928"/>
      <c r="O292" s="928"/>
      <c r="P292" s="928"/>
      <c r="Q292" s="928"/>
      <c r="R292" s="928"/>
      <c r="S292" s="928"/>
      <c r="T292" s="928"/>
      <c r="U292" s="928"/>
      <c r="V292" s="928"/>
      <c r="W292" s="928"/>
      <c r="X292" s="928"/>
      <c r="Y292" s="928"/>
      <c r="Z292" s="928"/>
      <c r="AA292" s="928"/>
    </row>
    <row r="293" hidden="1">
      <c r="A293" s="935"/>
      <c r="B293" s="932"/>
      <c r="C293" s="928"/>
      <c r="D293" s="928"/>
      <c r="E293" s="928"/>
      <c r="F293" s="928"/>
      <c r="G293" s="928"/>
      <c r="H293" s="928"/>
      <c r="I293" s="928"/>
      <c r="J293" s="928"/>
      <c r="K293" s="928"/>
      <c r="L293" s="928"/>
      <c r="M293" s="928"/>
      <c r="N293" s="928"/>
      <c r="O293" s="928"/>
      <c r="P293" s="928"/>
      <c r="Q293" s="928"/>
      <c r="R293" s="928"/>
      <c r="S293" s="928"/>
      <c r="T293" s="928"/>
      <c r="U293" s="928"/>
      <c r="V293" s="928"/>
      <c r="W293" s="928"/>
      <c r="X293" s="928"/>
      <c r="Y293" s="928"/>
      <c r="Z293" s="928"/>
      <c r="AA293" s="928"/>
    </row>
    <row r="294" hidden="1">
      <c r="A294" s="935"/>
      <c r="B294" s="932"/>
      <c r="C294" s="928"/>
      <c r="D294" s="928"/>
      <c r="E294" s="928"/>
      <c r="F294" s="928"/>
      <c r="G294" s="928"/>
      <c r="H294" s="928"/>
      <c r="I294" s="928"/>
      <c r="J294" s="928"/>
      <c r="K294" s="928"/>
      <c r="L294" s="928"/>
      <c r="M294" s="928"/>
      <c r="N294" s="928"/>
      <c r="O294" s="928"/>
      <c r="P294" s="928"/>
      <c r="Q294" s="928"/>
      <c r="R294" s="928"/>
      <c r="S294" s="928"/>
      <c r="T294" s="928"/>
      <c r="U294" s="928"/>
      <c r="V294" s="928"/>
      <c r="W294" s="928"/>
      <c r="X294" s="928"/>
      <c r="Y294" s="928"/>
      <c r="Z294" s="928"/>
      <c r="AA294" s="928"/>
    </row>
    <row r="295" hidden="1">
      <c r="A295" s="935"/>
      <c r="B295" s="932"/>
      <c r="C295" s="928"/>
      <c r="D295" s="928"/>
      <c r="E295" s="928"/>
      <c r="F295" s="928"/>
      <c r="G295" s="928"/>
      <c r="H295" s="928"/>
      <c r="I295" s="928"/>
      <c r="J295" s="928"/>
      <c r="K295" s="928"/>
      <c r="L295" s="928"/>
      <c r="M295" s="928"/>
      <c r="N295" s="928"/>
      <c r="O295" s="928"/>
      <c r="P295" s="928"/>
      <c r="Q295" s="928"/>
      <c r="R295" s="928"/>
      <c r="S295" s="928"/>
      <c r="T295" s="928"/>
      <c r="U295" s="928"/>
      <c r="V295" s="928"/>
      <c r="W295" s="928"/>
      <c r="X295" s="928"/>
      <c r="Y295" s="928"/>
      <c r="Z295" s="928"/>
      <c r="AA295" s="928"/>
    </row>
    <row r="296" hidden="1">
      <c r="A296" s="935"/>
      <c r="B296" s="932"/>
      <c r="C296" s="928"/>
      <c r="D296" s="928"/>
      <c r="E296" s="928"/>
      <c r="F296" s="928"/>
      <c r="G296" s="928"/>
      <c r="H296" s="928"/>
      <c r="I296" s="928"/>
      <c r="J296" s="928"/>
      <c r="K296" s="928"/>
      <c r="L296" s="928"/>
      <c r="M296" s="928"/>
      <c r="N296" s="928"/>
      <c r="O296" s="928"/>
      <c r="P296" s="928"/>
      <c r="Q296" s="928"/>
      <c r="R296" s="928"/>
      <c r="S296" s="928"/>
      <c r="T296" s="928"/>
      <c r="U296" s="928"/>
      <c r="V296" s="928"/>
      <c r="W296" s="928"/>
      <c r="X296" s="928"/>
      <c r="Y296" s="928"/>
      <c r="Z296" s="928"/>
      <c r="AA296" s="928"/>
    </row>
    <row r="297" hidden="1">
      <c r="A297" s="935"/>
      <c r="B297" s="932"/>
      <c r="C297" s="928"/>
      <c r="D297" s="928"/>
      <c r="E297" s="928"/>
      <c r="F297" s="928"/>
      <c r="G297" s="928"/>
      <c r="H297" s="928"/>
      <c r="I297" s="928"/>
      <c r="J297" s="928"/>
      <c r="K297" s="928"/>
      <c r="L297" s="928"/>
      <c r="M297" s="928"/>
      <c r="N297" s="928"/>
      <c r="O297" s="928"/>
      <c r="P297" s="928"/>
      <c r="Q297" s="928"/>
      <c r="R297" s="928"/>
      <c r="S297" s="928"/>
      <c r="T297" s="928"/>
      <c r="U297" s="928"/>
      <c r="V297" s="928"/>
      <c r="W297" s="928"/>
      <c r="X297" s="928"/>
      <c r="Y297" s="928"/>
      <c r="Z297" s="928"/>
      <c r="AA297" s="928"/>
    </row>
    <row r="298" hidden="1">
      <c r="A298" s="935"/>
      <c r="B298" s="932"/>
      <c r="C298" s="928"/>
      <c r="D298" s="928"/>
      <c r="E298" s="928"/>
      <c r="F298" s="928"/>
      <c r="G298" s="928"/>
      <c r="H298" s="928"/>
      <c r="I298" s="928"/>
      <c r="J298" s="928"/>
      <c r="K298" s="928"/>
      <c r="L298" s="928"/>
      <c r="M298" s="928"/>
      <c r="N298" s="928"/>
      <c r="O298" s="928"/>
      <c r="P298" s="928"/>
      <c r="Q298" s="928"/>
      <c r="R298" s="928"/>
      <c r="S298" s="928"/>
      <c r="T298" s="928"/>
      <c r="U298" s="928"/>
      <c r="V298" s="928"/>
      <c r="W298" s="928"/>
      <c r="X298" s="928"/>
      <c r="Y298" s="928"/>
      <c r="Z298" s="928"/>
      <c r="AA298" s="928"/>
    </row>
    <row r="299" hidden="1">
      <c r="A299" s="935"/>
      <c r="B299" s="932"/>
      <c r="C299" s="928"/>
      <c r="D299" s="928"/>
      <c r="E299" s="928"/>
      <c r="F299" s="928"/>
      <c r="G299" s="928"/>
      <c r="H299" s="928"/>
      <c r="I299" s="928"/>
      <c r="J299" s="928"/>
      <c r="K299" s="928"/>
      <c r="L299" s="928"/>
      <c r="M299" s="928"/>
      <c r="N299" s="928"/>
      <c r="O299" s="928"/>
      <c r="P299" s="928"/>
      <c r="Q299" s="928"/>
      <c r="R299" s="928"/>
      <c r="S299" s="928"/>
      <c r="T299" s="928"/>
      <c r="U299" s="928"/>
      <c r="V299" s="928"/>
      <c r="W299" s="928"/>
      <c r="X299" s="928"/>
      <c r="Y299" s="928"/>
      <c r="Z299" s="928"/>
      <c r="AA299" s="928"/>
    </row>
    <row r="300" hidden="1">
      <c r="A300" s="935"/>
      <c r="B300" s="932"/>
      <c r="C300" s="928"/>
      <c r="D300" s="928"/>
      <c r="E300" s="928"/>
      <c r="F300" s="928"/>
      <c r="G300" s="928"/>
      <c r="H300" s="928"/>
      <c r="I300" s="928"/>
      <c r="J300" s="928"/>
      <c r="K300" s="928"/>
      <c r="L300" s="928"/>
      <c r="M300" s="928"/>
      <c r="N300" s="928"/>
      <c r="O300" s="928"/>
      <c r="P300" s="928"/>
      <c r="Q300" s="928"/>
      <c r="R300" s="928"/>
      <c r="S300" s="928"/>
      <c r="T300" s="928"/>
      <c r="U300" s="928"/>
      <c r="V300" s="928"/>
      <c r="W300" s="928"/>
      <c r="X300" s="928"/>
      <c r="Y300" s="928"/>
      <c r="Z300" s="928"/>
      <c r="AA300" s="928"/>
    </row>
    <row r="301" hidden="1">
      <c r="A301" s="935"/>
      <c r="B301" s="932"/>
      <c r="C301" s="928"/>
      <c r="D301" s="928"/>
      <c r="E301" s="928"/>
      <c r="F301" s="928"/>
      <c r="G301" s="928"/>
      <c r="H301" s="928"/>
      <c r="I301" s="928"/>
      <c r="J301" s="928"/>
      <c r="K301" s="928"/>
      <c r="L301" s="928"/>
      <c r="M301" s="928"/>
      <c r="N301" s="928"/>
      <c r="O301" s="928"/>
      <c r="P301" s="928"/>
      <c r="Q301" s="928"/>
      <c r="R301" s="928"/>
      <c r="S301" s="928"/>
      <c r="T301" s="928"/>
      <c r="U301" s="928"/>
      <c r="V301" s="928"/>
      <c r="W301" s="928"/>
      <c r="X301" s="928"/>
      <c r="Y301" s="928"/>
      <c r="Z301" s="928"/>
      <c r="AA301" s="928"/>
    </row>
    <row r="302" hidden="1">
      <c r="A302" s="935"/>
      <c r="B302" s="932"/>
      <c r="C302" s="928"/>
      <c r="D302" s="928"/>
      <c r="E302" s="928"/>
      <c r="F302" s="928"/>
      <c r="G302" s="928"/>
      <c r="H302" s="928"/>
      <c r="I302" s="928"/>
      <c r="J302" s="928"/>
      <c r="K302" s="928"/>
      <c r="L302" s="928"/>
      <c r="M302" s="928"/>
      <c r="N302" s="928"/>
      <c r="O302" s="928"/>
      <c r="P302" s="928"/>
      <c r="Q302" s="928"/>
      <c r="R302" s="928"/>
      <c r="S302" s="928"/>
      <c r="T302" s="928"/>
      <c r="U302" s="928"/>
      <c r="V302" s="928"/>
      <c r="W302" s="928"/>
      <c r="X302" s="928"/>
      <c r="Y302" s="928"/>
      <c r="Z302" s="928"/>
      <c r="AA302" s="928"/>
    </row>
    <row r="303" hidden="1">
      <c r="A303" s="935"/>
      <c r="B303" s="932"/>
      <c r="C303" s="928"/>
      <c r="D303" s="928"/>
      <c r="E303" s="928"/>
      <c r="F303" s="928"/>
      <c r="G303" s="928"/>
      <c r="H303" s="928"/>
      <c r="I303" s="928"/>
      <c r="J303" s="928"/>
      <c r="K303" s="928"/>
      <c r="L303" s="928"/>
      <c r="M303" s="928"/>
      <c r="N303" s="928"/>
      <c r="O303" s="928"/>
      <c r="P303" s="928"/>
      <c r="Q303" s="928"/>
      <c r="R303" s="928"/>
      <c r="S303" s="928"/>
      <c r="T303" s="928"/>
      <c r="U303" s="928"/>
      <c r="V303" s="928"/>
      <c r="W303" s="928"/>
      <c r="X303" s="928"/>
      <c r="Y303" s="928"/>
      <c r="Z303" s="928"/>
      <c r="AA303" s="928"/>
    </row>
    <row r="304" hidden="1">
      <c r="A304" s="935"/>
      <c r="B304" s="932"/>
      <c r="C304" s="928"/>
      <c r="D304" s="928"/>
      <c r="E304" s="928"/>
      <c r="F304" s="928"/>
      <c r="G304" s="928"/>
      <c r="H304" s="928"/>
      <c r="I304" s="928"/>
      <c r="J304" s="928"/>
      <c r="K304" s="928"/>
      <c r="L304" s="928"/>
      <c r="M304" s="928"/>
      <c r="N304" s="928"/>
      <c r="O304" s="928"/>
      <c r="P304" s="928"/>
      <c r="Q304" s="928"/>
      <c r="R304" s="928"/>
      <c r="S304" s="928"/>
      <c r="T304" s="928"/>
      <c r="U304" s="928"/>
      <c r="V304" s="928"/>
      <c r="W304" s="928"/>
      <c r="X304" s="928"/>
      <c r="Y304" s="928"/>
      <c r="Z304" s="928"/>
      <c r="AA304" s="928"/>
    </row>
    <row r="305" hidden="1">
      <c r="A305" s="935"/>
      <c r="B305" s="932"/>
      <c r="C305" s="928"/>
      <c r="D305" s="928"/>
      <c r="E305" s="928"/>
      <c r="F305" s="928"/>
      <c r="G305" s="928"/>
      <c r="H305" s="928"/>
      <c r="I305" s="928"/>
      <c r="J305" s="928"/>
      <c r="K305" s="928"/>
      <c r="L305" s="928"/>
      <c r="M305" s="928"/>
      <c r="N305" s="928"/>
      <c r="O305" s="928"/>
      <c r="P305" s="928"/>
      <c r="Q305" s="928"/>
      <c r="R305" s="928"/>
      <c r="S305" s="928"/>
      <c r="T305" s="928"/>
      <c r="U305" s="928"/>
      <c r="V305" s="928"/>
      <c r="W305" s="928"/>
      <c r="X305" s="928"/>
      <c r="Y305" s="928"/>
      <c r="Z305" s="928"/>
      <c r="AA305" s="928"/>
    </row>
    <row r="306" hidden="1">
      <c r="A306" s="935"/>
      <c r="B306" s="932"/>
      <c r="C306" s="928"/>
      <c r="D306" s="928"/>
      <c r="E306" s="928"/>
      <c r="F306" s="928"/>
      <c r="G306" s="928"/>
      <c r="H306" s="928"/>
      <c r="I306" s="928"/>
      <c r="J306" s="928"/>
      <c r="K306" s="928"/>
      <c r="L306" s="928"/>
      <c r="M306" s="928"/>
      <c r="N306" s="928"/>
      <c r="O306" s="928"/>
      <c r="P306" s="928"/>
      <c r="Q306" s="928"/>
      <c r="R306" s="928"/>
      <c r="S306" s="928"/>
      <c r="T306" s="928"/>
      <c r="U306" s="928"/>
      <c r="V306" s="928"/>
      <c r="W306" s="928"/>
      <c r="X306" s="928"/>
      <c r="Y306" s="928"/>
      <c r="Z306" s="928"/>
      <c r="AA306" s="928"/>
    </row>
    <row r="307" hidden="1">
      <c r="A307" s="935"/>
      <c r="B307" s="932"/>
      <c r="C307" s="928"/>
      <c r="D307" s="928"/>
      <c r="E307" s="928"/>
      <c r="F307" s="928"/>
      <c r="G307" s="928"/>
      <c r="H307" s="928"/>
      <c r="I307" s="928"/>
      <c r="J307" s="928"/>
      <c r="K307" s="928"/>
      <c r="L307" s="928"/>
      <c r="M307" s="928"/>
      <c r="N307" s="928"/>
      <c r="O307" s="928"/>
      <c r="P307" s="928"/>
      <c r="Q307" s="928"/>
      <c r="R307" s="928"/>
      <c r="S307" s="928"/>
      <c r="T307" s="928"/>
      <c r="U307" s="928"/>
      <c r="V307" s="928"/>
      <c r="W307" s="928"/>
      <c r="X307" s="928"/>
      <c r="Y307" s="928"/>
      <c r="Z307" s="928"/>
      <c r="AA307" s="928"/>
    </row>
    <row r="308" hidden="1">
      <c r="A308" s="935"/>
      <c r="B308" s="932"/>
      <c r="C308" s="928"/>
      <c r="D308" s="928"/>
      <c r="E308" s="928"/>
      <c r="F308" s="928"/>
      <c r="G308" s="928"/>
      <c r="H308" s="928"/>
      <c r="I308" s="928"/>
      <c r="J308" s="928"/>
      <c r="K308" s="928"/>
      <c r="L308" s="928"/>
      <c r="M308" s="928"/>
      <c r="N308" s="928"/>
      <c r="O308" s="928"/>
      <c r="P308" s="928"/>
      <c r="Q308" s="928"/>
      <c r="R308" s="928"/>
      <c r="S308" s="928"/>
      <c r="T308" s="928"/>
      <c r="U308" s="928"/>
      <c r="V308" s="928"/>
      <c r="W308" s="928"/>
      <c r="X308" s="928"/>
      <c r="Y308" s="928"/>
      <c r="Z308" s="928"/>
      <c r="AA308" s="928"/>
    </row>
    <row r="309" hidden="1">
      <c r="A309" s="935"/>
      <c r="B309" s="932"/>
      <c r="C309" s="928"/>
      <c r="D309" s="928"/>
      <c r="E309" s="928"/>
      <c r="F309" s="928"/>
      <c r="G309" s="928"/>
      <c r="H309" s="928"/>
      <c r="I309" s="928"/>
      <c r="J309" s="928"/>
      <c r="K309" s="928"/>
      <c r="L309" s="928"/>
      <c r="M309" s="928"/>
      <c r="N309" s="928"/>
      <c r="O309" s="928"/>
      <c r="P309" s="928"/>
      <c r="Q309" s="928"/>
      <c r="R309" s="928"/>
      <c r="S309" s="928"/>
      <c r="T309" s="928"/>
      <c r="U309" s="928"/>
      <c r="V309" s="928"/>
      <c r="W309" s="928"/>
      <c r="X309" s="928"/>
      <c r="Y309" s="928"/>
      <c r="Z309" s="928"/>
      <c r="AA309" s="928"/>
    </row>
    <row r="310" hidden="1">
      <c r="A310" s="935"/>
      <c r="B310" s="932"/>
      <c r="C310" s="928"/>
      <c r="D310" s="928"/>
      <c r="E310" s="928"/>
      <c r="F310" s="928"/>
      <c r="G310" s="928"/>
      <c r="H310" s="928"/>
      <c r="I310" s="928"/>
      <c r="J310" s="928"/>
      <c r="K310" s="928"/>
      <c r="L310" s="928"/>
      <c r="M310" s="928"/>
      <c r="N310" s="928"/>
      <c r="O310" s="928"/>
      <c r="P310" s="928"/>
      <c r="Q310" s="928"/>
      <c r="R310" s="928"/>
      <c r="S310" s="928"/>
      <c r="T310" s="928"/>
      <c r="U310" s="928"/>
      <c r="V310" s="928"/>
      <c r="W310" s="928"/>
      <c r="X310" s="928"/>
      <c r="Y310" s="928"/>
      <c r="Z310" s="928"/>
      <c r="AA310" s="928"/>
    </row>
    <row r="311" hidden="1">
      <c r="A311" s="935"/>
      <c r="B311" s="932"/>
      <c r="C311" s="928"/>
      <c r="D311" s="928"/>
      <c r="E311" s="928"/>
      <c r="F311" s="928"/>
      <c r="G311" s="928"/>
      <c r="H311" s="928"/>
      <c r="I311" s="928"/>
      <c r="J311" s="928"/>
      <c r="K311" s="928"/>
      <c r="L311" s="928"/>
      <c r="M311" s="928"/>
      <c r="N311" s="928"/>
      <c r="O311" s="928"/>
      <c r="P311" s="928"/>
      <c r="Q311" s="928"/>
      <c r="R311" s="928"/>
      <c r="S311" s="928"/>
      <c r="T311" s="928"/>
      <c r="U311" s="928"/>
      <c r="V311" s="928"/>
      <c r="W311" s="928"/>
      <c r="X311" s="928"/>
      <c r="Y311" s="928"/>
      <c r="Z311" s="928"/>
      <c r="AA311" s="928"/>
    </row>
    <row r="312" hidden="1">
      <c r="A312" s="935"/>
      <c r="B312" s="932"/>
      <c r="C312" s="928"/>
      <c r="D312" s="928"/>
      <c r="E312" s="928"/>
      <c r="F312" s="928"/>
      <c r="G312" s="928"/>
      <c r="H312" s="928"/>
      <c r="I312" s="928"/>
      <c r="J312" s="928"/>
      <c r="K312" s="928"/>
      <c r="L312" s="928"/>
      <c r="M312" s="928"/>
      <c r="N312" s="928"/>
      <c r="O312" s="928"/>
      <c r="P312" s="928"/>
      <c r="Q312" s="928"/>
      <c r="R312" s="928"/>
      <c r="S312" s="928"/>
      <c r="T312" s="928"/>
      <c r="U312" s="928"/>
      <c r="V312" s="928"/>
      <c r="W312" s="928"/>
      <c r="X312" s="928"/>
      <c r="Y312" s="928"/>
      <c r="Z312" s="928"/>
      <c r="AA312" s="928"/>
    </row>
    <row r="313" hidden="1">
      <c r="A313" s="935"/>
      <c r="B313" s="932"/>
      <c r="C313" s="928"/>
      <c r="D313" s="928"/>
      <c r="E313" s="928"/>
      <c r="F313" s="928"/>
      <c r="G313" s="928"/>
      <c r="H313" s="928"/>
      <c r="I313" s="928"/>
      <c r="J313" s="928"/>
      <c r="K313" s="928"/>
      <c r="L313" s="928"/>
      <c r="M313" s="928"/>
      <c r="N313" s="928"/>
      <c r="O313" s="928"/>
      <c r="P313" s="928"/>
      <c r="Q313" s="928"/>
      <c r="R313" s="928"/>
      <c r="S313" s="928"/>
      <c r="T313" s="928"/>
      <c r="U313" s="928"/>
      <c r="V313" s="928"/>
      <c r="W313" s="928"/>
      <c r="X313" s="928"/>
      <c r="Y313" s="928"/>
      <c r="Z313" s="928"/>
      <c r="AA313" s="928"/>
    </row>
    <row r="314" hidden="1">
      <c r="A314" s="935"/>
      <c r="B314" s="932"/>
      <c r="C314" s="928"/>
      <c r="D314" s="928"/>
      <c r="E314" s="928"/>
      <c r="F314" s="928"/>
      <c r="G314" s="928"/>
      <c r="H314" s="928"/>
      <c r="I314" s="928"/>
      <c r="J314" s="928"/>
      <c r="K314" s="928"/>
      <c r="L314" s="928"/>
      <c r="M314" s="928"/>
      <c r="N314" s="928"/>
      <c r="O314" s="928"/>
      <c r="P314" s="928"/>
      <c r="Q314" s="928"/>
      <c r="R314" s="928"/>
      <c r="S314" s="928"/>
      <c r="T314" s="928"/>
      <c r="U314" s="928"/>
      <c r="V314" s="928"/>
      <c r="W314" s="928"/>
      <c r="X314" s="928"/>
      <c r="Y314" s="928"/>
      <c r="Z314" s="928"/>
      <c r="AA314" s="928"/>
    </row>
    <row r="315" hidden="1">
      <c r="A315" s="935"/>
      <c r="B315" s="932"/>
      <c r="C315" s="928"/>
      <c r="D315" s="928"/>
      <c r="E315" s="928"/>
      <c r="F315" s="928"/>
      <c r="G315" s="928"/>
      <c r="H315" s="928"/>
      <c r="I315" s="928"/>
      <c r="J315" s="928"/>
      <c r="K315" s="928"/>
      <c r="L315" s="928"/>
      <c r="M315" s="928"/>
      <c r="N315" s="928"/>
      <c r="O315" s="928"/>
      <c r="P315" s="928"/>
      <c r="Q315" s="928"/>
      <c r="R315" s="928"/>
      <c r="S315" s="928"/>
      <c r="T315" s="928"/>
      <c r="U315" s="928"/>
      <c r="V315" s="928"/>
      <c r="W315" s="928"/>
      <c r="X315" s="928"/>
      <c r="Y315" s="928"/>
      <c r="Z315" s="928"/>
      <c r="AA315" s="928"/>
    </row>
    <row r="316" hidden="1">
      <c r="A316" s="935"/>
      <c r="B316" s="932"/>
      <c r="C316" s="928"/>
      <c r="D316" s="928"/>
      <c r="E316" s="928"/>
      <c r="F316" s="928"/>
      <c r="G316" s="928"/>
      <c r="H316" s="928"/>
      <c r="I316" s="928"/>
      <c r="J316" s="928"/>
      <c r="K316" s="928"/>
      <c r="L316" s="928"/>
      <c r="M316" s="928"/>
      <c r="N316" s="928"/>
      <c r="O316" s="928"/>
      <c r="P316" s="928"/>
      <c r="Q316" s="928"/>
      <c r="R316" s="928"/>
      <c r="S316" s="928"/>
      <c r="T316" s="928"/>
      <c r="U316" s="928"/>
      <c r="V316" s="928"/>
      <c r="W316" s="928"/>
      <c r="X316" s="928"/>
      <c r="Y316" s="928"/>
      <c r="Z316" s="928"/>
      <c r="AA316" s="928"/>
    </row>
    <row r="317" hidden="1">
      <c r="A317" s="935"/>
      <c r="B317" s="932"/>
      <c r="C317" s="928"/>
      <c r="D317" s="928"/>
      <c r="E317" s="928"/>
      <c r="F317" s="928"/>
      <c r="G317" s="928"/>
      <c r="H317" s="928"/>
      <c r="I317" s="928"/>
      <c r="J317" s="928"/>
      <c r="K317" s="928"/>
      <c r="L317" s="928"/>
      <c r="M317" s="928"/>
      <c r="N317" s="928"/>
      <c r="O317" s="928"/>
      <c r="P317" s="928"/>
      <c r="Q317" s="928"/>
      <c r="R317" s="928"/>
      <c r="S317" s="928"/>
      <c r="T317" s="928"/>
      <c r="U317" s="928"/>
      <c r="V317" s="928"/>
      <c r="W317" s="928"/>
      <c r="X317" s="928"/>
      <c r="Y317" s="928"/>
      <c r="Z317" s="928"/>
      <c r="AA317" s="928"/>
    </row>
    <row r="318" hidden="1">
      <c r="A318" s="935"/>
      <c r="B318" s="932"/>
      <c r="C318" s="928"/>
      <c r="D318" s="928"/>
      <c r="E318" s="928"/>
      <c r="F318" s="928"/>
      <c r="G318" s="928"/>
      <c r="H318" s="928"/>
      <c r="I318" s="928"/>
      <c r="J318" s="928"/>
      <c r="K318" s="928"/>
      <c r="L318" s="928"/>
      <c r="M318" s="928"/>
      <c r="N318" s="928"/>
      <c r="O318" s="928"/>
      <c r="P318" s="928"/>
      <c r="Q318" s="928"/>
      <c r="R318" s="928"/>
      <c r="S318" s="928"/>
      <c r="T318" s="928"/>
      <c r="U318" s="928"/>
      <c r="V318" s="928"/>
      <c r="W318" s="928"/>
      <c r="X318" s="928"/>
      <c r="Y318" s="928"/>
      <c r="Z318" s="928"/>
      <c r="AA318" s="928"/>
    </row>
    <row r="319" hidden="1">
      <c r="A319" s="935"/>
      <c r="B319" s="932"/>
      <c r="C319" s="928"/>
      <c r="D319" s="928"/>
      <c r="E319" s="928"/>
      <c r="F319" s="928"/>
      <c r="G319" s="928"/>
      <c r="H319" s="928"/>
      <c r="I319" s="928"/>
      <c r="J319" s="928"/>
      <c r="K319" s="928"/>
      <c r="L319" s="928"/>
      <c r="M319" s="928"/>
      <c r="N319" s="928"/>
      <c r="O319" s="928"/>
      <c r="P319" s="928"/>
      <c r="Q319" s="928"/>
      <c r="R319" s="928"/>
      <c r="S319" s="928"/>
      <c r="T319" s="928"/>
      <c r="U319" s="928"/>
      <c r="V319" s="928"/>
      <c r="W319" s="928"/>
      <c r="X319" s="928"/>
      <c r="Y319" s="928"/>
      <c r="Z319" s="928"/>
      <c r="AA319" s="928"/>
    </row>
    <row r="320" hidden="1">
      <c r="A320" s="935"/>
      <c r="B320" s="932"/>
      <c r="C320" s="928"/>
      <c r="D320" s="928"/>
      <c r="E320" s="928"/>
      <c r="F320" s="928"/>
      <c r="G320" s="928"/>
      <c r="H320" s="928"/>
      <c r="I320" s="928"/>
      <c r="J320" s="928"/>
      <c r="K320" s="928"/>
      <c r="L320" s="928"/>
      <c r="M320" s="928"/>
      <c r="N320" s="928"/>
      <c r="O320" s="928"/>
      <c r="P320" s="928"/>
      <c r="Q320" s="928"/>
      <c r="R320" s="928"/>
      <c r="S320" s="928"/>
      <c r="T320" s="928"/>
      <c r="U320" s="928"/>
      <c r="V320" s="928"/>
      <c r="W320" s="928"/>
      <c r="X320" s="928"/>
      <c r="Y320" s="928"/>
      <c r="Z320" s="928"/>
      <c r="AA320" s="928"/>
    </row>
    <row r="321" hidden="1">
      <c r="A321" s="935"/>
      <c r="B321" s="932"/>
      <c r="C321" s="928"/>
      <c r="D321" s="928"/>
      <c r="E321" s="928"/>
      <c r="F321" s="928"/>
      <c r="G321" s="928"/>
      <c r="H321" s="928"/>
      <c r="I321" s="928"/>
      <c r="J321" s="928"/>
      <c r="K321" s="928"/>
      <c r="L321" s="928"/>
      <c r="M321" s="928"/>
      <c r="N321" s="928"/>
      <c r="O321" s="928"/>
      <c r="P321" s="928"/>
      <c r="Q321" s="928"/>
      <c r="R321" s="928"/>
      <c r="S321" s="928"/>
      <c r="T321" s="928"/>
      <c r="U321" s="928"/>
      <c r="V321" s="928"/>
      <c r="W321" s="928"/>
      <c r="X321" s="928"/>
      <c r="Y321" s="928"/>
      <c r="Z321" s="928"/>
      <c r="AA321" s="928"/>
    </row>
    <row r="322" hidden="1">
      <c r="A322" s="935"/>
      <c r="B322" s="932"/>
      <c r="C322" s="928"/>
      <c r="D322" s="928"/>
      <c r="E322" s="928"/>
      <c r="F322" s="928"/>
      <c r="G322" s="928"/>
      <c r="H322" s="928"/>
      <c r="I322" s="928"/>
      <c r="J322" s="928"/>
      <c r="K322" s="928"/>
      <c r="L322" s="928"/>
      <c r="M322" s="928"/>
      <c r="N322" s="928"/>
      <c r="O322" s="928"/>
      <c r="P322" s="928"/>
      <c r="Q322" s="928"/>
      <c r="R322" s="928"/>
      <c r="S322" s="928"/>
      <c r="T322" s="928"/>
      <c r="U322" s="928"/>
      <c r="V322" s="928"/>
      <c r="W322" s="928"/>
      <c r="X322" s="928"/>
      <c r="Y322" s="928"/>
      <c r="Z322" s="928"/>
      <c r="AA322" s="928"/>
    </row>
    <row r="323" hidden="1">
      <c r="A323" s="935"/>
      <c r="B323" s="932"/>
      <c r="C323" s="928"/>
      <c r="D323" s="928"/>
      <c r="E323" s="928"/>
      <c r="F323" s="928"/>
      <c r="G323" s="928"/>
      <c r="H323" s="928"/>
      <c r="I323" s="928"/>
      <c r="J323" s="928"/>
      <c r="K323" s="928"/>
      <c r="L323" s="928"/>
      <c r="M323" s="928"/>
      <c r="N323" s="928"/>
      <c r="O323" s="928"/>
      <c r="P323" s="928"/>
      <c r="Q323" s="928"/>
      <c r="R323" s="928"/>
      <c r="S323" s="928"/>
      <c r="T323" s="928"/>
      <c r="U323" s="928"/>
      <c r="V323" s="928"/>
      <c r="W323" s="928"/>
      <c r="X323" s="928"/>
      <c r="Y323" s="928"/>
      <c r="Z323" s="928"/>
      <c r="AA323" s="928"/>
    </row>
    <row r="324" hidden="1">
      <c r="A324" s="935"/>
      <c r="B324" s="932"/>
      <c r="C324" s="928"/>
      <c r="D324" s="928"/>
      <c r="E324" s="928"/>
      <c r="F324" s="928"/>
      <c r="G324" s="928"/>
      <c r="H324" s="928"/>
      <c r="I324" s="928"/>
      <c r="J324" s="928"/>
      <c r="K324" s="928"/>
      <c r="L324" s="928"/>
      <c r="M324" s="928"/>
      <c r="N324" s="928"/>
      <c r="O324" s="928"/>
      <c r="P324" s="928"/>
      <c r="Q324" s="928"/>
      <c r="R324" s="928"/>
      <c r="S324" s="928"/>
      <c r="T324" s="928"/>
      <c r="U324" s="928"/>
      <c r="V324" s="928"/>
      <c r="W324" s="928"/>
      <c r="X324" s="928"/>
      <c r="Y324" s="928"/>
      <c r="Z324" s="928"/>
      <c r="AA324" s="928"/>
    </row>
    <row r="325" hidden="1">
      <c r="A325" s="935"/>
      <c r="B325" s="932"/>
      <c r="C325" s="928"/>
      <c r="D325" s="928"/>
      <c r="E325" s="928"/>
      <c r="F325" s="928"/>
      <c r="G325" s="928"/>
      <c r="H325" s="928"/>
      <c r="I325" s="928"/>
      <c r="J325" s="928"/>
      <c r="K325" s="928"/>
      <c r="L325" s="928"/>
      <c r="M325" s="928"/>
      <c r="N325" s="928"/>
      <c r="O325" s="928"/>
      <c r="P325" s="928"/>
      <c r="Q325" s="928"/>
      <c r="R325" s="928"/>
      <c r="S325" s="928"/>
      <c r="T325" s="928"/>
      <c r="U325" s="928"/>
      <c r="V325" s="928"/>
      <c r="W325" s="928"/>
      <c r="X325" s="928"/>
      <c r="Y325" s="928"/>
      <c r="Z325" s="928"/>
      <c r="AA325" s="928"/>
    </row>
    <row r="326" hidden="1">
      <c r="A326" s="935"/>
      <c r="B326" s="932"/>
      <c r="C326" s="928"/>
      <c r="D326" s="928"/>
      <c r="E326" s="928"/>
      <c r="F326" s="928"/>
      <c r="G326" s="928"/>
      <c r="H326" s="928"/>
      <c r="I326" s="928"/>
      <c r="J326" s="928"/>
      <c r="K326" s="928"/>
      <c r="L326" s="928"/>
      <c r="M326" s="928"/>
      <c r="N326" s="928"/>
      <c r="O326" s="928"/>
      <c r="P326" s="928"/>
      <c r="Q326" s="928"/>
      <c r="R326" s="928"/>
      <c r="S326" s="928"/>
      <c r="T326" s="928"/>
      <c r="U326" s="928"/>
      <c r="V326" s="928"/>
      <c r="W326" s="928"/>
      <c r="X326" s="928"/>
      <c r="Y326" s="928"/>
      <c r="Z326" s="928"/>
      <c r="AA326" s="928"/>
    </row>
    <row r="327" hidden="1">
      <c r="A327" s="935"/>
      <c r="B327" s="932"/>
      <c r="C327" s="928"/>
      <c r="D327" s="928"/>
      <c r="E327" s="928"/>
      <c r="F327" s="928"/>
      <c r="G327" s="928"/>
      <c r="H327" s="928"/>
      <c r="I327" s="928"/>
      <c r="J327" s="928"/>
      <c r="K327" s="928"/>
      <c r="L327" s="928"/>
      <c r="M327" s="928"/>
      <c r="N327" s="928"/>
      <c r="O327" s="928"/>
      <c r="P327" s="928"/>
      <c r="Q327" s="928"/>
      <c r="R327" s="928"/>
      <c r="S327" s="928"/>
      <c r="T327" s="928"/>
      <c r="U327" s="928"/>
      <c r="V327" s="928"/>
      <c r="W327" s="928"/>
      <c r="X327" s="928"/>
      <c r="Y327" s="928"/>
      <c r="Z327" s="928"/>
      <c r="AA327" s="928"/>
    </row>
    <row r="328" hidden="1">
      <c r="A328" s="935"/>
      <c r="B328" s="932"/>
      <c r="C328" s="928"/>
      <c r="D328" s="928"/>
      <c r="E328" s="928"/>
      <c r="F328" s="928"/>
      <c r="G328" s="928"/>
      <c r="H328" s="928"/>
      <c r="I328" s="928"/>
      <c r="J328" s="928"/>
      <c r="K328" s="928"/>
      <c r="L328" s="928"/>
      <c r="M328" s="928"/>
      <c r="N328" s="928"/>
      <c r="O328" s="928"/>
      <c r="P328" s="928"/>
      <c r="Q328" s="928"/>
      <c r="R328" s="928"/>
      <c r="S328" s="928"/>
      <c r="T328" s="928"/>
      <c r="U328" s="928"/>
      <c r="V328" s="928"/>
      <c r="W328" s="928"/>
      <c r="X328" s="928"/>
      <c r="Y328" s="928"/>
      <c r="Z328" s="928"/>
      <c r="AA328" s="928"/>
    </row>
    <row r="329" hidden="1">
      <c r="A329" s="935"/>
      <c r="B329" s="932"/>
      <c r="C329" s="928"/>
      <c r="D329" s="928"/>
      <c r="E329" s="928"/>
      <c r="F329" s="928"/>
      <c r="G329" s="928"/>
      <c r="H329" s="928"/>
      <c r="I329" s="928"/>
      <c r="J329" s="928"/>
      <c r="K329" s="928"/>
      <c r="L329" s="928"/>
      <c r="M329" s="928"/>
      <c r="N329" s="928"/>
      <c r="O329" s="928"/>
      <c r="P329" s="928"/>
      <c r="Q329" s="928"/>
      <c r="R329" s="928"/>
      <c r="S329" s="928"/>
      <c r="T329" s="928"/>
      <c r="U329" s="928"/>
      <c r="V329" s="928"/>
      <c r="W329" s="928"/>
      <c r="X329" s="928"/>
      <c r="Y329" s="928"/>
      <c r="Z329" s="928"/>
      <c r="AA329" s="928"/>
    </row>
    <row r="330" hidden="1">
      <c r="A330" s="935"/>
      <c r="B330" s="932"/>
      <c r="C330" s="928"/>
      <c r="D330" s="928"/>
      <c r="E330" s="928"/>
      <c r="F330" s="928"/>
      <c r="G330" s="928"/>
      <c r="H330" s="928"/>
      <c r="I330" s="928"/>
      <c r="J330" s="928"/>
      <c r="K330" s="928"/>
      <c r="L330" s="928"/>
      <c r="M330" s="928"/>
      <c r="N330" s="928"/>
      <c r="O330" s="928"/>
      <c r="P330" s="928"/>
      <c r="Q330" s="928"/>
      <c r="R330" s="928"/>
      <c r="S330" s="928"/>
      <c r="T330" s="928"/>
      <c r="U330" s="928"/>
      <c r="V330" s="928"/>
      <c r="W330" s="928"/>
      <c r="X330" s="928"/>
      <c r="Y330" s="928"/>
      <c r="Z330" s="928"/>
      <c r="AA330" s="928"/>
    </row>
    <row r="331" hidden="1">
      <c r="A331" s="935"/>
      <c r="B331" s="932"/>
      <c r="C331" s="928"/>
      <c r="D331" s="928"/>
      <c r="E331" s="928"/>
      <c r="F331" s="928"/>
      <c r="G331" s="928"/>
      <c r="H331" s="928"/>
      <c r="I331" s="928"/>
      <c r="J331" s="928"/>
      <c r="K331" s="928"/>
      <c r="L331" s="928"/>
      <c r="M331" s="928"/>
      <c r="N331" s="928"/>
      <c r="O331" s="928"/>
      <c r="P331" s="928"/>
      <c r="Q331" s="928"/>
      <c r="R331" s="928"/>
      <c r="S331" s="928"/>
      <c r="T331" s="928"/>
      <c r="U331" s="928"/>
      <c r="V331" s="928"/>
      <c r="W331" s="928"/>
      <c r="X331" s="928"/>
      <c r="Y331" s="928"/>
      <c r="Z331" s="928"/>
      <c r="AA331" s="928"/>
    </row>
    <row r="332" hidden="1">
      <c r="A332" s="935"/>
      <c r="B332" s="932"/>
      <c r="C332" s="928"/>
      <c r="D332" s="928"/>
      <c r="E332" s="928"/>
      <c r="F332" s="928"/>
      <c r="G332" s="928"/>
      <c r="H332" s="928"/>
      <c r="I332" s="928"/>
      <c r="J332" s="928"/>
      <c r="K332" s="928"/>
      <c r="L332" s="928"/>
      <c r="M332" s="928"/>
      <c r="N332" s="928"/>
      <c r="O332" s="928"/>
      <c r="P332" s="928"/>
      <c r="Q332" s="928"/>
      <c r="R332" s="928"/>
      <c r="S332" s="928"/>
      <c r="T332" s="928"/>
      <c r="U332" s="928"/>
      <c r="V332" s="928"/>
      <c r="W332" s="928"/>
      <c r="X332" s="928"/>
      <c r="Y332" s="928"/>
      <c r="Z332" s="928"/>
      <c r="AA332" s="928"/>
    </row>
    <row r="333" hidden="1">
      <c r="A333" s="935"/>
      <c r="B333" s="932"/>
      <c r="C333" s="928"/>
      <c r="D333" s="928"/>
      <c r="E333" s="928"/>
      <c r="F333" s="928"/>
      <c r="G333" s="928"/>
      <c r="H333" s="928"/>
      <c r="I333" s="928"/>
      <c r="J333" s="928"/>
      <c r="K333" s="928"/>
      <c r="L333" s="928"/>
      <c r="M333" s="928"/>
      <c r="N333" s="928"/>
      <c r="O333" s="928"/>
      <c r="P333" s="928"/>
      <c r="Q333" s="928"/>
      <c r="R333" s="928"/>
      <c r="S333" s="928"/>
      <c r="T333" s="928"/>
      <c r="U333" s="928"/>
      <c r="V333" s="928"/>
      <c r="W333" s="928"/>
      <c r="X333" s="928"/>
      <c r="Y333" s="928"/>
      <c r="Z333" s="928"/>
      <c r="AA333" s="928"/>
    </row>
    <row r="334" hidden="1">
      <c r="A334" s="935"/>
      <c r="B334" s="932"/>
      <c r="C334" s="928"/>
      <c r="D334" s="928"/>
      <c r="E334" s="928"/>
      <c r="F334" s="928"/>
      <c r="G334" s="928"/>
      <c r="H334" s="928"/>
      <c r="I334" s="928"/>
      <c r="J334" s="928"/>
      <c r="K334" s="928"/>
      <c r="L334" s="928"/>
      <c r="M334" s="928"/>
      <c r="N334" s="928"/>
      <c r="O334" s="928"/>
      <c r="P334" s="928"/>
      <c r="Q334" s="928"/>
      <c r="R334" s="928"/>
      <c r="S334" s="928"/>
      <c r="T334" s="928"/>
      <c r="U334" s="928"/>
      <c r="V334" s="928"/>
      <c r="W334" s="928"/>
      <c r="X334" s="928"/>
      <c r="Y334" s="928"/>
      <c r="Z334" s="928"/>
      <c r="AA334" s="928"/>
    </row>
    <row r="335" hidden="1">
      <c r="A335" s="935"/>
      <c r="B335" s="932"/>
      <c r="C335" s="928"/>
      <c r="D335" s="928"/>
      <c r="E335" s="928"/>
      <c r="F335" s="928"/>
      <c r="G335" s="928"/>
      <c r="H335" s="928"/>
      <c r="I335" s="928"/>
      <c r="J335" s="928"/>
      <c r="K335" s="928"/>
      <c r="L335" s="928"/>
      <c r="M335" s="928"/>
      <c r="N335" s="928"/>
      <c r="O335" s="928"/>
      <c r="P335" s="928"/>
      <c r="Q335" s="928"/>
      <c r="R335" s="928"/>
      <c r="S335" s="928"/>
      <c r="T335" s="928"/>
      <c r="U335" s="928"/>
      <c r="V335" s="928"/>
      <c r="W335" s="928"/>
      <c r="X335" s="928"/>
      <c r="Y335" s="928"/>
      <c r="Z335" s="928"/>
      <c r="AA335" s="928"/>
    </row>
    <row r="336" hidden="1">
      <c r="A336" s="935"/>
      <c r="B336" s="932"/>
      <c r="C336" s="928"/>
      <c r="D336" s="928"/>
      <c r="E336" s="928"/>
      <c r="F336" s="928"/>
      <c r="G336" s="928"/>
      <c r="H336" s="928"/>
      <c r="I336" s="928"/>
      <c r="J336" s="928"/>
      <c r="K336" s="928"/>
      <c r="L336" s="928"/>
      <c r="M336" s="928"/>
      <c r="N336" s="928"/>
      <c r="O336" s="928"/>
      <c r="P336" s="928"/>
      <c r="Q336" s="928"/>
      <c r="R336" s="928"/>
      <c r="S336" s="928"/>
      <c r="T336" s="928"/>
      <c r="U336" s="928"/>
      <c r="V336" s="928"/>
      <c r="W336" s="928"/>
      <c r="X336" s="928"/>
      <c r="Y336" s="928"/>
      <c r="Z336" s="928"/>
      <c r="AA336" s="928"/>
    </row>
    <row r="337" hidden="1">
      <c r="A337" s="935"/>
      <c r="B337" s="932"/>
      <c r="C337" s="928"/>
      <c r="D337" s="928"/>
      <c r="E337" s="928"/>
      <c r="F337" s="928"/>
      <c r="G337" s="928"/>
      <c r="H337" s="928"/>
      <c r="I337" s="928"/>
      <c r="J337" s="928"/>
      <c r="K337" s="928"/>
      <c r="L337" s="928"/>
      <c r="M337" s="928"/>
      <c r="N337" s="928"/>
      <c r="O337" s="928"/>
      <c r="P337" s="928"/>
      <c r="Q337" s="928"/>
      <c r="R337" s="928"/>
      <c r="S337" s="928"/>
      <c r="T337" s="928"/>
      <c r="U337" s="928"/>
      <c r="V337" s="928"/>
      <c r="W337" s="928"/>
      <c r="X337" s="928"/>
      <c r="Y337" s="928"/>
      <c r="Z337" s="928"/>
      <c r="AA337" s="928"/>
    </row>
    <row r="338" hidden="1">
      <c r="A338" s="935"/>
      <c r="B338" s="932"/>
      <c r="C338" s="928"/>
      <c r="D338" s="928"/>
      <c r="E338" s="928"/>
      <c r="F338" s="928"/>
      <c r="G338" s="928"/>
      <c r="H338" s="928"/>
      <c r="I338" s="928"/>
      <c r="J338" s="928"/>
      <c r="K338" s="928"/>
      <c r="L338" s="928"/>
      <c r="M338" s="928"/>
      <c r="N338" s="928"/>
      <c r="O338" s="928"/>
      <c r="P338" s="928"/>
      <c r="Q338" s="928"/>
      <c r="R338" s="928"/>
      <c r="S338" s="928"/>
      <c r="T338" s="928"/>
      <c r="U338" s="928"/>
      <c r="V338" s="928"/>
      <c r="W338" s="928"/>
      <c r="X338" s="928"/>
      <c r="Y338" s="928"/>
      <c r="Z338" s="928"/>
      <c r="AA338" s="928"/>
    </row>
    <row r="339" hidden="1">
      <c r="A339" s="935"/>
      <c r="B339" s="932"/>
      <c r="C339" s="928"/>
      <c r="D339" s="928"/>
      <c r="E339" s="928"/>
      <c r="F339" s="928"/>
      <c r="G339" s="928"/>
      <c r="H339" s="928"/>
      <c r="I339" s="928"/>
      <c r="J339" s="928"/>
      <c r="K339" s="928"/>
      <c r="L339" s="928"/>
      <c r="M339" s="928"/>
      <c r="N339" s="928"/>
      <c r="O339" s="928"/>
      <c r="P339" s="928"/>
      <c r="Q339" s="928"/>
      <c r="R339" s="928"/>
      <c r="S339" s="928"/>
      <c r="T339" s="928"/>
      <c r="U339" s="928"/>
      <c r="V339" s="928"/>
      <c r="W339" s="928"/>
      <c r="X339" s="928"/>
      <c r="Y339" s="928"/>
      <c r="Z339" s="928"/>
      <c r="AA339" s="928"/>
    </row>
    <row r="340" hidden="1">
      <c r="A340" s="935"/>
      <c r="B340" s="932"/>
      <c r="C340" s="928"/>
      <c r="D340" s="928"/>
      <c r="E340" s="928"/>
      <c r="F340" s="928"/>
      <c r="G340" s="928"/>
      <c r="H340" s="928"/>
      <c r="I340" s="928"/>
      <c r="J340" s="928"/>
      <c r="K340" s="928"/>
      <c r="L340" s="928"/>
      <c r="M340" s="928"/>
      <c r="N340" s="928"/>
      <c r="O340" s="928"/>
      <c r="P340" s="928"/>
      <c r="Q340" s="928"/>
      <c r="R340" s="928"/>
      <c r="S340" s="928"/>
      <c r="T340" s="928"/>
      <c r="U340" s="928"/>
      <c r="V340" s="928"/>
      <c r="W340" s="928"/>
      <c r="X340" s="928"/>
      <c r="Y340" s="928"/>
      <c r="Z340" s="928"/>
      <c r="AA340" s="928"/>
    </row>
    <row r="341" hidden="1">
      <c r="A341" s="935"/>
      <c r="B341" s="932"/>
      <c r="C341" s="928"/>
      <c r="D341" s="928"/>
      <c r="E341" s="928"/>
      <c r="F341" s="928"/>
      <c r="G341" s="928"/>
      <c r="H341" s="928"/>
      <c r="I341" s="928"/>
      <c r="J341" s="928"/>
      <c r="K341" s="928"/>
      <c r="L341" s="928"/>
      <c r="M341" s="928"/>
      <c r="N341" s="928"/>
      <c r="O341" s="928"/>
      <c r="P341" s="928"/>
      <c r="Q341" s="928"/>
      <c r="R341" s="928"/>
      <c r="S341" s="928"/>
      <c r="T341" s="928"/>
      <c r="U341" s="928"/>
      <c r="V341" s="928"/>
      <c r="W341" s="928"/>
      <c r="X341" s="928"/>
      <c r="Y341" s="928"/>
      <c r="Z341" s="928"/>
      <c r="AA341" s="928"/>
    </row>
    <row r="342" hidden="1">
      <c r="A342" s="935"/>
      <c r="B342" s="932"/>
      <c r="C342" s="928"/>
      <c r="D342" s="928"/>
      <c r="E342" s="928"/>
      <c r="F342" s="928"/>
      <c r="G342" s="928"/>
      <c r="H342" s="928"/>
      <c r="I342" s="928"/>
      <c r="J342" s="928"/>
      <c r="K342" s="928"/>
      <c r="L342" s="928"/>
      <c r="M342" s="928"/>
      <c r="N342" s="928"/>
      <c r="O342" s="928"/>
      <c r="P342" s="928"/>
      <c r="Q342" s="928"/>
      <c r="R342" s="928"/>
      <c r="S342" s="928"/>
      <c r="T342" s="928"/>
      <c r="U342" s="928"/>
      <c r="V342" s="928"/>
      <c r="W342" s="928"/>
      <c r="X342" s="928"/>
      <c r="Y342" s="928"/>
      <c r="Z342" s="928"/>
      <c r="AA342" s="928"/>
    </row>
    <row r="343" hidden="1">
      <c r="A343" s="935"/>
      <c r="B343" s="932"/>
      <c r="C343" s="928"/>
      <c r="D343" s="928"/>
      <c r="E343" s="928"/>
      <c r="F343" s="928"/>
      <c r="G343" s="928"/>
      <c r="H343" s="928"/>
      <c r="I343" s="928"/>
      <c r="J343" s="928"/>
      <c r="K343" s="928"/>
      <c r="L343" s="928"/>
      <c r="M343" s="928"/>
      <c r="N343" s="928"/>
      <c r="O343" s="928"/>
      <c r="P343" s="928"/>
      <c r="Q343" s="928"/>
      <c r="R343" s="928"/>
      <c r="S343" s="928"/>
      <c r="T343" s="928"/>
      <c r="U343" s="928"/>
      <c r="V343" s="928"/>
      <c r="W343" s="928"/>
      <c r="X343" s="928"/>
      <c r="Y343" s="928"/>
      <c r="Z343" s="928"/>
      <c r="AA343" s="928"/>
    </row>
    <row r="344" hidden="1">
      <c r="A344" s="935"/>
      <c r="B344" s="932"/>
      <c r="C344" s="928"/>
      <c r="D344" s="928"/>
      <c r="E344" s="928"/>
      <c r="F344" s="928"/>
      <c r="G344" s="928"/>
      <c r="H344" s="928"/>
      <c r="I344" s="928"/>
      <c r="J344" s="928"/>
      <c r="K344" s="928"/>
      <c r="L344" s="928"/>
      <c r="M344" s="928"/>
      <c r="N344" s="928"/>
      <c r="O344" s="928"/>
      <c r="P344" s="928"/>
      <c r="Q344" s="928"/>
      <c r="R344" s="928"/>
      <c r="S344" s="928"/>
      <c r="T344" s="928"/>
      <c r="U344" s="928"/>
      <c r="V344" s="928"/>
      <c r="W344" s="928"/>
      <c r="X344" s="928"/>
      <c r="Y344" s="928"/>
      <c r="Z344" s="928"/>
      <c r="AA344" s="928"/>
    </row>
    <row r="345" hidden="1">
      <c r="A345" s="935"/>
      <c r="B345" s="932"/>
      <c r="C345" s="928"/>
      <c r="D345" s="928"/>
      <c r="E345" s="928"/>
      <c r="F345" s="928"/>
      <c r="G345" s="928"/>
      <c r="H345" s="928"/>
      <c r="I345" s="928"/>
      <c r="J345" s="928"/>
      <c r="K345" s="928"/>
      <c r="L345" s="928"/>
      <c r="M345" s="928"/>
      <c r="N345" s="928"/>
      <c r="O345" s="928"/>
      <c r="P345" s="928"/>
      <c r="Q345" s="928"/>
      <c r="R345" s="928"/>
      <c r="S345" s="928"/>
      <c r="T345" s="928"/>
      <c r="U345" s="928"/>
      <c r="V345" s="928"/>
      <c r="W345" s="928"/>
      <c r="X345" s="928"/>
      <c r="Y345" s="928"/>
      <c r="Z345" s="928"/>
      <c r="AA345" s="928"/>
    </row>
    <row r="346" hidden="1">
      <c r="A346" s="935"/>
      <c r="B346" s="932"/>
      <c r="C346" s="928"/>
      <c r="D346" s="928"/>
      <c r="E346" s="928"/>
      <c r="F346" s="928"/>
      <c r="G346" s="928"/>
      <c r="H346" s="928"/>
      <c r="I346" s="928"/>
      <c r="J346" s="928"/>
      <c r="K346" s="928"/>
      <c r="L346" s="928"/>
      <c r="M346" s="928"/>
      <c r="N346" s="928"/>
      <c r="O346" s="928"/>
      <c r="P346" s="928"/>
      <c r="Q346" s="928"/>
      <c r="R346" s="928"/>
      <c r="S346" s="928"/>
      <c r="T346" s="928"/>
      <c r="U346" s="928"/>
      <c r="V346" s="928"/>
      <c r="W346" s="928"/>
      <c r="X346" s="928"/>
      <c r="Y346" s="928"/>
      <c r="Z346" s="928"/>
      <c r="AA346" s="928"/>
    </row>
    <row r="347" hidden="1">
      <c r="A347" s="935"/>
      <c r="B347" s="932"/>
      <c r="C347" s="928"/>
      <c r="D347" s="928"/>
      <c r="E347" s="928"/>
      <c r="F347" s="928"/>
      <c r="G347" s="928"/>
      <c r="H347" s="928"/>
      <c r="I347" s="928"/>
      <c r="J347" s="928"/>
      <c r="K347" s="928"/>
      <c r="L347" s="928"/>
      <c r="M347" s="928"/>
      <c r="N347" s="928"/>
      <c r="O347" s="928"/>
      <c r="P347" s="928"/>
      <c r="Q347" s="928"/>
      <c r="R347" s="928"/>
      <c r="S347" s="928"/>
      <c r="T347" s="928"/>
      <c r="U347" s="928"/>
      <c r="V347" s="928"/>
      <c r="W347" s="928"/>
      <c r="X347" s="928"/>
      <c r="Y347" s="928"/>
      <c r="Z347" s="928"/>
      <c r="AA347" s="928"/>
    </row>
    <row r="348" hidden="1">
      <c r="A348" s="935"/>
      <c r="B348" s="932"/>
      <c r="C348" s="928"/>
      <c r="D348" s="928"/>
      <c r="E348" s="928"/>
      <c r="F348" s="928"/>
      <c r="G348" s="928"/>
      <c r="H348" s="928"/>
      <c r="I348" s="928"/>
      <c r="J348" s="928"/>
      <c r="K348" s="928"/>
      <c r="L348" s="928"/>
      <c r="M348" s="928"/>
      <c r="N348" s="928"/>
      <c r="O348" s="928"/>
      <c r="P348" s="928"/>
      <c r="Q348" s="928"/>
      <c r="R348" s="928"/>
      <c r="S348" s="928"/>
      <c r="T348" s="928"/>
      <c r="U348" s="928"/>
      <c r="V348" s="928"/>
      <c r="W348" s="928"/>
      <c r="X348" s="928"/>
      <c r="Y348" s="928"/>
      <c r="Z348" s="928"/>
      <c r="AA348" s="928"/>
    </row>
    <row r="349" hidden="1">
      <c r="A349" s="935"/>
      <c r="B349" s="932"/>
      <c r="C349" s="928"/>
      <c r="D349" s="928"/>
      <c r="E349" s="928"/>
      <c r="F349" s="928"/>
      <c r="G349" s="928"/>
      <c r="H349" s="928"/>
      <c r="I349" s="928"/>
      <c r="J349" s="928"/>
      <c r="K349" s="928"/>
      <c r="L349" s="928"/>
      <c r="M349" s="928"/>
      <c r="N349" s="928"/>
      <c r="O349" s="928"/>
      <c r="P349" s="928"/>
      <c r="Q349" s="928"/>
      <c r="R349" s="928"/>
      <c r="S349" s="928"/>
      <c r="T349" s="928"/>
      <c r="U349" s="928"/>
      <c r="V349" s="928"/>
      <c r="W349" s="928"/>
      <c r="X349" s="928"/>
      <c r="Y349" s="928"/>
      <c r="Z349" s="928"/>
      <c r="AA349" s="928"/>
    </row>
    <row r="350" hidden="1">
      <c r="A350" s="935"/>
      <c r="B350" s="932"/>
      <c r="C350" s="928"/>
      <c r="D350" s="928"/>
      <c r="E350" s="928"/>
      <c r="F350" s="928"/>
      <c r="G350" s="928"/>
      <c r="H350" s="928"/>
      <c r="I350" s="928"/>
      <c r="J350" s="928"/>
      <c r="K350" s="928"/>
      <c r="L350" s="928"/>
      <c r="M350" s="928"/>
      <c r="N350" s="928"/>
      <c r="O350" s="928"/>
      <c r="P350" s="928"/>
      <c r="Q350" s="928"/>
      <c r="R350" s="928"/>
      <c r="S350" s="928"/>
      <c r="T350" s="928"/>
      <c r="U350" s="928"/>
      <c r="V350" s="928"/>
      <c r="W350" s="928"/>
      <c r="X350" s="928"/>
      <c r="Y350" s="928"/>
      <c r="Z350" s="928"/>
      <c r="AA350" s="928"/>
    </row>
    <row r="351" hidden="1">
      <c r="A351" s="935"/>
      <c r="B351" s="932"/>
      <c r="C351" s="928"/>
      <c r="D351" s="928"/>
      <c r="E351" s="928"/>
      <c r="F351" s="928"/>
      <c r="G351" s="928"/>
      <c r="H351" s="928"/>
      <c r="I351" s="928"/>
      <c r="J351" s="928"/>
      <c r="K351" s="928"/>
      <c r="L351" s="928"/>
      <c r="M351" s="928"/>
      <c r="N351" s="928"/>
      <c r="O351" s="928"/>
      <c r="P351" s="928"/>
      <c r="Q351" s="928"/>
      <c r="R351" s="928"/>
      <c r="S351" s="928"/>
      <c r="T351" s="928"/>
      <c r="U351" s="928"/>
      <c r="V351" s="928"/>
      <c r="W351" s="928"/>
      <c r="X351" s="928"/>
      <c r="Y351" s="928"/>
      <c r="Z351" s="928"/>
      <c r="AA351" s="928"/>
    </row>
    <row r="352" hidden="1">
      <c r="A352" s="935"/>
      <c r="B352" s="932"/>
      <c r="C352" s="928"/>
      <c r="D352" s="928"/>
      <c r="E352" s="928"/>
      <c r="F352" s="928"/>
      <c r="G352" s="928"/>
      <c r="H352" s="928"/>
      <c r="I352" s="928"/>
      <c r="J352" s="928"/>
      <c r="K352" s="928"/>
      <c r="L352" s="928"/>
      <c r="M352" s="928"/>
      <c r="N352" s="928"/>
      <c r="O352" s="928"/>
      <c r="P352" s="928"/>
      <c r="Q352" s="928"/>
      <c r="R352" s="928"/>
      <c r="S352" s="928"/>
      <c r="T352" s="928"/>
      <c r="U352" s="928"/>
      <c r="V352" s="928"/>
      <c r="W352" s="928"/>
      <c r="X352" s="928"/>
      <c r="Y352" s="928"/>
      <c r="Z352" s="928"/>
      <c r="AA352" s="928"/>
    </row>
    <row r="353" hidden="1">
      <c r="A353" s="935"/>
      <c r="B353" s="932"/>
      <c r="C353" s="928"/>
      <c r="D353" s="928"/>
      <c r="E353" s="928"/>
      <c r="F353" s="928"/>
      <c r="G353" s="928"/>
      <c r="H353" s="928"/>
      <c r="I353" s="928"/>
      <c r="J353" s="928"/>
      <c r="K353" s="928"/>
      <c r="L353" s="928"/>
      <c r="M353" s="928"/>
      <c r="N353" s="928"/>
      <c r="O353" s="928"/>
      <c r="P353" s="928"/>
      <c r="Q353" s="928"/>
      <c r="R353" s="928"/>
      <c r="S353" s="928"/>
      <c r="T353" s="928"/>
      <c r="U353" s="928"/>
      <c r="V353" s="928"/>
      <c r="W353" s="928"/>
      <c r="X353" s="928"/>
      <c r="Y353" s="928"/>
      <c r="Z353" s="928"/>
      <c r="AA353" s="928"/>
    </row>
    <row r="354" hidden="1">
      <c r="A354" s="935"/>
      <c r="B354" s="932"/>
      <c r="C354" s="928"/>
      <c r="D354" s="928"/>
      <c r="E354" s="928"/>
      <c r="F354" s="928"/>
      <c r="G354" s="928"/>
      <c r="H354" s="928"/>
      <c r="I354" s="928"/>
      <c r="J354" s="928"/>
      <c r="K354" s="928"/>
      <c r="L354" s="928"/>
      <c r="M354" s="928"/>
      <c r="N354" s="928"/>
      <c r="O354" s="928"/>
      <c r="P354" s="928"/>
      <c r="Q354" s="928"/>
      <c r="R354" s="928"/>
      <c r="S354" s="928"/>
      <c r="T354" s="928"/>
      <c r="U354" s="928"/>
      <c r="V354" s="928"/>
      <c r="W354" s="928"/>
      <c r="X354" s="928"/>
      <c r="Y354" s="928"/>
      <c r="Z354" s="928"/>
      <c r="AA354" s="928"/>
    </row>
    <row r="355" hidden="1">
      <c r="A355" s="935"/>
      <c r="B355" s="932"/>
      <c r="C355" s="928"/>
      <c r="D355" s="928"/>
      <c r="E355" s="928"/>
      <c r="F355" s="928"/>
      <c r="G355" s="928"/>
      <c r="H355" s="928"/>
      <c r="I355" s="928"/>
      <c r="J355" s="928"/>
      <c r="K355" s="928"/>
      <c r="L355" s="928"/>
      <c r="M355" s="928"/>
      <c r="N355" s="928"/>
      <c r="O355" s="928"/>
      <c r="P355" s="928"/>
      <c r="Q355" s="928"/>
      <c r="R355" s="928"/>
      <c r="S355" s="928"/>
      <c r="T355" s="928"/>
      <c r="U355" s="928"/>
      <c r="V355" s="928"/>
      <c r="W355" s="928"/>
      <c r="X355" s="928"/>
      <c r="Y355" s="928"/>
      <c r="Z355" s="928"/>
      <c r="AA355" s="928"/>
    </row>
    <row r="356" hidden="1">
      <c r="A356" s="935"/>
      <c r="B356" s="932"/>
      <c r="C356" s="928"/>
      <c r="D356" s="928"/>
      <c r="E356" s="928"/>
      <c r="F356" s="928"/>
      <c r="G356" s="928"/>
      <c r="H356" s="928"/>
      <c r="I356" s="928"/>
      <c r="J356" s="928"/>
      <c r="K356" s="928"/>
      <c r="L356" s="928"/>
      <c r="M356" s="928"/>
      <c r="N356" s="928"/>
      <c r="O356" s="928"/>
      <c r="P356" s="928"/>
      <c r="Q356" s="928"/>
      <c r="R356" s="928"/>
      <c r="S356" s="928"/>
      <c r="T356" s="928"/>
      <c r="U356" s="928"/>
      <c r="V356" s="928"/>
      <c r="W356" s="928"/>
      <c r="X356" s="928"/>
      <c r="Y356" s="928"/>
      <c r="Z356" s="928"/>
      <c r="AA356" s="928"/>
    </row>
    <row r="357" hidden="1">
      <c r="A357" s="935"/>
      <c r="B357" s="932"/>
      <c r="C357" s="928"/>
      <c r="D357" s="928"/>
      <c r="E357" s="928"/>
      <c r="F357" s="928"/>
      <c r="G357" s="928"/>
      <c r="H357" s="928"/>
      <c r="I357" s="928"/>
      <c r="J357" s="928"/>
      <c r="K357" s="928"/>
      <c r="L357" s="928"/>
      <c r="M357" s="928"/>
      <c r="N357" s="928"/>
      <c r="O357" s="928"/>
      <c r="P357" s="928"/>
      <c r="Q357" s="928"/>
      <c r="R357" s="928"/>
      <c r="S357" s="928"/>
      <c r="T357" s="928"/>
      <c r="U357" s="928"/>
      <c r="V357" s="928"/>
      <c r="W357" s="928"/>
      <c r="X357" s="928"/>
      <c r="Y357" s="928"/>
      <c r="Z357" s="928"/>
      <c r="AA357" s="928"/>
    </row>
    <row r="358" hidden="1">
      <c r="A358" s="935"/>
      <c r="B358" s="932"/>
      <c r="C358" s="928"/>
      <c r="D358" s="928"/>
      <c r="E358" s="928"/>
      <c r="F358" s="928"/>
      <c r="G358" s="928"/>
      <c r="H358" s="928"/>
      <c r="I358" s="928"/>
      <c r="J358" s="928"/>
      <c r="K358" s="928"/>
      <c r="L358" s="928"/>
      <c r="M358" s="928"/>
      <c r="N358" s="928"/>
      <c r="O358" s="928"/>
      <c r="P358" s="928"/>
      <c r="Q358" s="928"/>
      <c r="R358" s="928"/>
      <c r="S358" s="928"/>
      <c r="T358" s="928"/>
      <c r="U358" s="928"/>
      <c r="V358" s="928"/>
      <c r="W358" s="928"/>
      <c r="X358" s="928"/>
      <c r="Y358" s="928"/>
      <c r="Z358" s="928"/>
      <c r="AA358" s="928"/>
    </row>
    <row r="359" hidden="1">
      <c r="A359" s="935"/>
      <c r="B359" s="932"/>
      <c r="C359" s="928"/>
      <c r="D359" s="928"/>
      <c r="E359" s="928"/>
      <c r="F359" s="928"/>
      <c r="G359" s="928"/>
      <c r="H359" s="928"/>
      <c r="I359" s="928"/>
      <c r="J359" s="928"/>
      <c r="K359" s="928"/>
      <c r="L359" s="928"/>
      <c r="M359" s="928"/>
      <c r="N359" s="928"/>
      <c r="O359" s="928"/>
      <c r="P359" s="928"/>
      <c r="Q359" s="928"/>
      <c r="R359" s="928"/>
      <c r="S359" s="928"/>
      <c r="T359" s="928"/>
      <c r="U359" s="928"/>
      <c r="V359" s="928"/>
      <c r="W359" s="928"/>
      <c r="X359" s="928"/>
      <c r="Y359" s="928"/>
      <c r="Z359" s="928"/>
      <c r="AA359" s="928"/>
    </row>
    <row r="360" hidden="1">
      <c r="A360" s="935"/>
      <c r="B360" s="932"/>
      <c r="C360" s="928"/>
      <c r="D360" s="928"/>
      <c r="E360" s="928"/>
      <c r="F360" s="928"/>
      <c r="G360" s="928"/>
      <c r="H360" s="928"/>
      <c r="I360" s="928"/>
      <c r="J360" s="928"/>
      <c r="K360" s="928"/>
      <c r="L360" s="928"/>
      <c r="M360" s="928"/>
      <c r="N360" s="928"/>
      <c r="O360" s="928"/>
      <c r="P360" s="928"/>
      <c r="Q360" s="928"/>
      <c r="R360" s="928"/>
      <c r="S360" s="928"/>
      <c r="T360" s="928"/>
      <c r="U360" s="928"/>
      <c r="V360" s="928"/>
      <c r="W360" s="928"/>
      <c r="X360" s="928"/>
      <c r="Y360" s="928"/>
      <c r="Z360" s="928"/>
      <c r="AA360" s="928"/>
    </row>
    <row r="361" hidden="1">
      <c r="A361" s="935"/>
      <c r="B361" s="932"/>
      <c r="C361" s="928"/>
      <c r="D361" s="928"/>
      <c r="E361" s="928"/>
      <c r="F361" s="928"/>
      <c r="G361" s="928"/>
      <c r="H361" s="928"/>
      <c r="I361" s="928"/>
      <c r="J361" s="928"/>
      <c r="K361" s="928"/>
      <c r="L361" s="928"/>
      <c r="M361" s="928"/>
      <c r="N361" s="928"/>
      <c r="O361" s="928"/>
      <c r="P361" s="928"/>
      <c r="Q361" s="928"/>
      <c r="R361" s="928"/>
      <c r="S361" s="928"/>
      <c r="T361" s="928"/>
      <c r="U361" s="928"/>
      <c r="V361" s="928"/>
      <c r="W361" s="928"/>
      <c r="X361" s="928"/>
      <c r="Y361" s="928"/>
      <c r="Z361" s="928"/>
      <c r="AA361" s="928"/>
    </row>
    <row r="362" hidden="1">
      <c r="A362" s="935"/>
      <c r="B362" s="932"/>
      <c r="C362" s="928"/>
      <c r="D362" s="928"/>
      <c r="E362" s="928"/>
      <c r="F362" s="928"/>
      <c r="G362" s="928"/>
      <c r="H362" s="928"/>
      <c r="I362" s="928"/>
      <c r="J362" s="928"/>
      <c r="K362" s="928"/>
      <c r="L362" s="928"/>
      <c r="M362" s="928"/>
      <c r="N362" s="928"/>
      <c r="O362" s="928"/>
      <c r="P362" s="928"/>
      <c r="Q362" s="928"/>
      <c r="R362" s="928"/>
      <c r="S362" s="928"/>
      <c r="T362" s="928"/>
      <c r="U362" s="928"/>
      <c r="V362" s="928"/>
      <c r="W362" s="928"/>
      <c r="X362" s="928"/>
      <c r="Y362" s="928"/>
      <c r="Z362" s="928"/>
      <c r="AA362" s="928"/>
    </row>
    <row r="363" hidden="1">
      <c r="A363" s="935"/>
      <c r="B363" s="932"/>
      <c r="C363" s="928"/>
      <c r="D363" s="928"/>
      <c r="E363" s="928"/>
      <c r="F363" s="928"/>
      <c r="G363" s="928"/>
      <c r="H363" s="928"/>
      <c r="I363" s="928"/>
      <c r="J363" s="928"/>
      <c r="K363" s="928"/>
      <c r="L363" s="928"/>
      <c r="M363" s="928"/>
      <c r="N363" s="928"/>
      <c r="O363" s="928"/>
      <c r="P363" s="928"/>
      <c r="Q363" s="928"/>
      <c r="R363" s="928"/>
      <c r="S363" s="928"/>
      <c r="T363" s="928"/>
      <c r="U363" s="928"/>
      <c r="V363" s="928"/>
      <c r="W363" s="928"/>
      <c r="X363" s="928"/>
      <c r="Y363" s="928"/>
      <c r="Z363" s="928"/>
      <c r="AA363" s="928"/>
    </row>
    <row r="364" hidden="1">
      <c r="A364" s="935"/>
      <c r="B364" s="932"/>
      <c r="C364" s="928"/>
      <c r="D364" s="928"/>
      <c r="E364" s="928"/>
      <c r="F364" s="928"/>
      <c r="G364" s="928"/>
      <c r="H364" s="928"/>
      <c r="I364" s="928"/>
      <c r="J364" s="928"/>
      <c r="K364" s="928"/>
      <c r="L364" s="928"/>
      <c r="M364" s="928"/>
      <c r="N364" s="928"/>
      <c r="O364" s="928"/>
      <c r="P364" s="928"/>
      <c r="Q364" s="928"/>
      <c r="R364" s="928"/>
      <c r="S364" s="928"/>
      <c r="T364" s="928"/>
      <c r="U364" s="928"/>
      <c r="V364" s="928"/>
      <c r="W364" s="928"/>
      <c r="X364" s="928"/>
      <c r="Y364" s="928"/>
      <c r="Z364" s="928"/>
      <c r="AA364" s="928"/>
    </row>
    <row r="365" hidden="1">
      <c r="A365" s="935"/>
      <c r="B365" s="932"/>
      <c r="C365" s="928"/>
      <c r="D365" s="928"/>
      <c r="E365" s="928"/>
      <c r="F365" s="928"/>
      <c r="G365" s="928"/>
      <c r="H365" s="928"/>
      <c r="I365" s="928"/>
      <c r="J365" s="928"/>
      <c r="K365" s="928"/>
      <c r="L365" s="928"/>
      <c r="M365" s="928"/>
      <c r="N365" s="928"/>
      <c r="O365" s="928"/>
      <c r="P365" s="928"/>
      <c r="Q365" s="928"/>
      <c r="R365" s="928"/>
      <c r="S365" s="928"/>
      <c r="T365" s="928"/>
      <c r="U365" s="928"/>
      <c r="V365" s="928"/>
      <c r="W365" s="928"/>
      <c r="X365" s="928"/>
      <c r="Y365" s="928"/>
      <c r="Z365" s="928"/>
      <c r="AA365" s="928"/>
    </row>
    <row r="366" hidden="1">
      <c r="A366" s="935"/>
      <c r="B366" s="932"/>
      <c r="C366" s="928"/>
      <c r="D366" s="928"/>
      <c r="E366" s="928"/>
      <c r="F366" s="928"/>
      <c r="G366" s="928"/>
      <c r="H366" s="928"/>
      <c r="I366" s="928"/>
      <c r="J366" s="928"/>
      <c r="K366" s="928"/>
      <c r="L366" s="928"/>
      <c r="M366" s="928"/>
      <c r="N366" s="928"/>
      <c r="O366" s="928"/>
      <c r="P366" s="928"/>
      <c r="Q366" s="928"/>
      <c r="R366" s="928"/>
      <c r="S366" s="928"/>
      <c r="T366" s="928"/>
      <c r="U366" s="928"/>
      <c r="V366" s="928"/>
      <c r="W366" s="928"/>
      <c r="X366" s="928"/>
      <c r="Y366" s="928"/>
      <c r="Z366" s="928"/>
      <c r="AA366" s="928"/>
    </row>
    <row r="367" hidden="1">
      <c r="A367" s="935"/>
      <c r="B367" s="932"/>
      <c r="C367" s="928"/>
      <c r="D367" s="928"/>
      <c r="E367" s="928"/>
      <c r="F367" s="928"/>
      <c r="G367" s="928"/>
      <c r="H367" s="928"/>
      <c r="I367" s="928"/>
      <c r="J367" s="928"/>
      <c r="K367" s="928"/>
      <c r="L367" s="928"/>
      <c r="M367" s="928"/>
      <c r="N367" s="928"/>
      <c r="O367" s="928"/>
      <c r="P367" s="928"/>
      <c r="Q367" s="928"/>
      <c r="R367" s="928"/>
      <c r="S367" s="928"/>
      <c r="T367" s="928"/>
      <c r="U367" s="928"/>
      <c r="V367" s="928"/>
      <c r="W367" s="928"/>
      <c r="X367" s="928"/>
      <c r="Y367" s="928"/>
      <c r="Z367" s="928"/>
      <c r="AA367" s="928"/>
    </row>
    <row r="368" hidden="1">
      <c r="A368" s="935"/>
      <c r="B368" s="932"/>
      <c r="C368" s="928"/>
      <c r="D368" s="928"/>
      <c r="E368" s="928"/>
      <c r="F368" s="928"/>
      <c r="G368" s="928"/>
      <c r="H368" s="928"/>
      <c r="I368" s="928"/>
      <c r="J368" s="928"/>
      <c r="K368" s="928"/>
      <c r="L368" s="928"/>
      <c r="M368" s="928"/>
      <c r="N368" s="928"/>
      <c r="O368" s="928"/>
      <c r="P368" s="928"/>
      <c r="Q368" s="928"/>
      <c r="R368" s="928"/>
      <c r="S368" s="928"/>
      <c r="T368" s="928"/>
      <c r="U368" s="928"/>
      <c r="V368" s="928"/>
      <c r="W368" s="928"/>
      <c r="X368" s="928"/>
      <c r="Y368" s="928"/>
      <c r="Z368" s="928"/>
      <c r="AA368" s="928"/>
    </row>
    <row r="369" hidden="1">
      <c r="A369" s="935"/>
      <c r="B369" s="932"/>
      <c r="C369" s="928"/>
      <c r="D369" s="928"/>
      <c r="E369" s="928"/>
      <c r="F369" s="928"/>
      <c r="G369" s="928"/>
      <c r="H369" s="928"/>
      <c r="I369" s="928"/>
      <c r="J369" s="928"/>
      <c r="K369" s="928"/>
      <c r="L369" s="928"/>
      <c r="M369" s="928"/>
      <c r="N369" s="928"/>
      <c r="O369" s="928"/>
      <c r="P369" s="928"/>
      <c r="Q369" s="928"/>
      <c r="R369" s="928"/>
      <c r="S369" s="928"/>
      <c r="T369" s="928"/>
      <c r="U369" s="928"/>
      <c r="V369" s="928"/>
      <c r="W369" s="928"/>
      <c r="X369" s="928"/>
      <c r="Y369" s="928"/>
      <c r="Z369" s="928"/>
      <c r="AA369" s="928"/>
    </row>
    <row r="370" hidden="1">
      <c r="A370" s="935"/>
      <c r="B370" s="932"/>
      <c r="C370" s="928"/>
      <c r="D370" s="928"/>
      <c r="E370" s="928"/>
      <c r="F370" s="928"/>
      <c r="G370" s="928"/>
      <c r="H370" s="928"/>
      <c r="I370" s="928"/>
      <c r="J370" s="928"/>
      <c r="K370" s="928"/>
      <c r="L370" s="928"/>
      <c r="M370" s="928"/>
      <c r="N370" s="928"/>
      <c r="O370" s="928"/>
      <c r="P370" s="928"/>
      <c r="Q370" s="928"/>
      <c r="R370" s="928"/>
      <c r="S370" s="928"/>
      <c r="T370" s="928"/>
      <c r="U370" s="928"/>
      <c r="V370" s="928"/>
      <c r="W370" s="928"/>
      <c r="X370" s="928"/>
      <c r="Y370" s="928"/>
      <c r="Z370" s="928"/>
      <c r="AA370" s="928"/>
    </row>
    <row r="371" hidden="1">
      <c r="A371" s="935"/>
      <c r="B371" s="932"/>
      <c r="C371" s="928"/>
      <c r="D371" s="928"/>
      <c r="E371" s="928"/>
      <c r="F371" s="928"/>
      <c r="G371" s="928"/>
      <c r="H371" s="928"/>
      <c r="I371" s="928"/>
      <c r="J371" s="928"/>
      <c r="K371" s="928"/>
      <c r="L371" s="928"/>
      <c r="M371" s="928"/>
      <c r="N371" s="928"/>
      <c r="O371" s="928"/>
      <c r="P371" s="928"/>
      <c r="Q371" s="928"/>
      <c r="R371" s="928"/>
      <c r="S371" s="928"/>
      <c r="T371" s="928"/>
      <c r="U371" s="928"/>
      <c r="V371" s="928"/>
      <c r="W371" s="928"/>
      <c r="X371" s="928"/>
      <c r="Y371" s="928"/>
      <c r="Z371" s="928"/>
      <c r="AA371" s="928"/>
    </row>
    <row r="372" hidden="1">
      <c r="A372" s="935"/>
      <c r="B372" s="932"/>
      <c r="C372" s="928"/>
      <c r="D372" s="928"/>
      <c r="E372" s="928"/>
      <c r="F372" s="928"/>
      <c r="G372" s="928"/>
      <c r="H372" s="928"/>
      <c r="I372" s="928"/>
      <c r="J372" s="928"/>
      <c r="K372" s="928"/>
      <c r="L372" s="928"/>
      <c r="M372" s="928"/>
      <c r="N372" s="928"/>
      <c r="O372" s="928"/>
      <c r="P372" s="928"/>
      <c r="Q372" s="928"/>
      <c r="R372" s="928"/>
      <c r="S372" s="928"/>
      <c r="T372" s="928"/>
      <c r="U372" s="928"/>
      <c r="V372" s="928"/>
      <c r="W372" s="928"/>
      <c r="X372" s="928"/>
      <c r="Y372" s="928"/>
      <c r="Z372" s="928"/>
      <c r="AA372" s="928"/>
    </row>
    <row r="373" hidden="1">
      <c r="A373" s="935"/>
      <c r="B373" s="932"/>
      <c r="C373" s="928"/>
      <c r="D373" s="928"/>
      <c r="E373" s="928"/>
      <c r="F373" s="928"/>
      <c r="G373" s="928"/>
      <c r="H373" s="928"/>
      <c r="I373" s="928"/>
      <c r="J373" s="928"/>
      <c r="K373" s="928"/>
      <c r="L373" s="928"/>
      <c r="M373" s="928"/>
      <c r="N373" s="928"/>
      <c r="O373" s="928"/>
      <c r="P373" s="928"/>
      <c r="Q373" s="928"/>
      <c r="R373" s="928"/>
      <c r="S373" s="928"/>
      <c r="T373" s="928"/>
      <c r="U373" s="928"/>
      <c r="V373" s="928"/>
      <c r="W373" s="928"/>
      <c r="X373" s="928"/>
      <c r="Y373" s="928"/>
      <c r="Z373" s="928"/>
      <c r="AA373" s="928"/>
    </row>
    <row r="374" hidden="1">
      <c r="A374" s="935"/>
      <c r="B374" s="932"/>
      <c r="C374" s="928"/>
      <c r="D374" s="928"/>
      <c r="E374" s="928"/>
      <c r="F374" s="928"/>
      <c r="G374" s="928"/>
      <c r="H374" s="928"/>
      <c r="I374" s="928"/>
      <c r="J374" s="928"/>
      <c r="K374" s="928"/>
      <c r="L374" s="928"/>
      <c r="M374" s="928"/>
      <c r="N374" s="928"/>
      <c r="O374" s="928"/>
      <c r="P374" s="928"/>
      <c r="Q374" s="928"/>
      <c r="R374" s="928"/>
      <c r="S374" s="928"/>
      <c r="T374" s="928"/>
      <c r="U374" s="928"/>
      <c r="V374" s="928"/>
      <c r="W374" s="928"/>
      <c r="X374" s="928"/>
      <c r="Y374" s="928"/>
      <c r="Z374" s="928"/>
      <c r="AA374" s="928"/>
    </row>
    <row r="375" hidden="1">
      <c r="A375" s="935"/>
      <c r="B375" s="932"/>
      <c r="C375" s="928"/>
      <c r="D375" s="928"/>
      <c r="E375" s="928"/>
      <c r="F375" s="928"/>
      <c r="G375" s="928"/>
      <c r="H375" s="928"/>
      <c r="I375" s="928"/>
      <c r="J375" s="928"/>
      <c r="K375" s="928"/>
      <c r="L375" s="928"/>
      <c r="M375" s="928"/>
      <c r="N375" s="928"/>
      <c r="O375" s="928"/>
      <c r="P375" s="928"/>
      <c r="Q375" s="928"/>
      <c r="R375" s="928"/>
      <c r="S375" s="928"/>
      <c r="T375" s="928"/>
      <c r="U375" s="928"/>
      <c r="V375" s="928"/>
      <c r="W375" s="928"/>
      <c r="X375" s="928"/>
      <c r="Y375" s="928"/>
      <c r="Z375" s="928"/>
      <c r="AA375" s="928"/>
    </row>
    <row r="376" hidden="1">
      <c r="A376" s="935"/>
      <c r="B376" s="932"/>
      <c r="C376" s="928"/>
      <c r="D376" s="928"/>
      <c r="E376" s="928"/>
      <c r="F376" s="928"/>
      <c r="G376" s="928"/>
      <c r="H376" s="928"/>
      <c r="I376" s="928"/>
      <c r="J376" s="928"/>
      <c r="K376" s="928"/>
      <c r="L376" s="928"/>
      <c r="M376" s="928"/>
      <c r="N376" s="928"/>
      <c r="O376" s="928"/>
      <c r="P376" s="928"/>
      <c r="Q376" s="928"/>
      <c r="R376" s="928"/>
      <c r="S376" s="928"/>
      <c r="T376" s="928"/>
      <c r="U376" s="928"/>
      <c r="V376" s="928"/>
      <c r="W376" s="928"/>
      <c r="X376" s="928"/>
      <c r="Y376" s="928"/>
      <c r="Z376" s="928"/>
      <c r="AA376" s="928"/>
    </row>
    <row r="377" hidden="1">
      <c r="A377" s="935"/>
      <c r="B377" s="932"/>
      <c r="C377" s="928"/>
      <c r="D377" s="928"/>
      <c r="E377" s="928"/>
      <c r="F377" s="928"/>
      <c r="G377" s="928"/>
      <c r="H377" s="928"/>
      <c r="I377" s="928"/>
      <c r="J377" s="928"/>
      <c r="K377" s="928"/>
      <c r="L377" s="928"/>
      <c r="M377" s="928"/>
      <c r="N377" s="928"/>
      <c r="O377" s="928"/>
      <c r="P377" s="928"/>
      <c r="Q377" s="928"/>
      <c r="R377" s="928"/>
      <c r="S377" s="928"/>
      <c r="T377" s="928"/>
      <c r="U377" s="928"/>
      <c r="V377" s="928"/>
      <c r="W377" s="928"/>
      <c r="X377" s="928"/>
      <c r="Y377" s="928"/>
      <c r="Z377" s="928"/>
      <c r="AA377" s="928"/>
    </row>
    <row r="378" hidden="1">
      <c r="A378" s="935"/>
      <c r="B378" s="932"/>
      <c r="C378" s="928"/>
      <c r="D378" s="928"/>
      <c r="E378" s="928"/>
      <c r="F378" s="928"/>
      <c r="G378" s="928"/>
      <c r="H378" s="928"/>
      <c r="I378" s="928"/>
      <c r="J378" s="928"/>
      <c r="K378" s="928"/>
      <c r="L378" s="928"/>
      <c r="M378" s="928"/>
      <c r="N378" s="928"/>
      <c r="O378" s="928"/>
      <c r="P378" s="928"/>
      <c r="Q378" s="928"/>
      <c r="R378" s="928"/>
      <c r="S378" s="928"/>
      <c r="T378" s="928"/>
      <c r="U378" s="928"/>
      <c r="V378" s="928"/>
      <c r="W378" s="928"/>
      <c r="X378" s="928"/>
      <c r="Y378" s="928"/>
      <c r="Z378" s="928"/>
      <c r="AA378" s="928"/>
    </row>
    <row r="379" hidden="1">
      <c r="A379" s="935"/>
      <c r="B379" s="932"/>
      <c r="C379" s="928"/>
      <c r="D379" s="928"/>
      <c r="E379" s="928"/>
      <c r="F379" s="928"/>
      <c r="G379" s="928"/>
      <c r="H379" s="928"/>
      <c r="I379" s="928"/>
      <c r="J379" s="928"/>
      <c r="K379" s="928"/>
      <c r="L379" s="928"/>
      <c r="M379" s="928"/>
      <c r="N379" s="928"/>
      <c r="O379" s="928"/>
      <c r="P379" s="928"/>
      <c r="Q379" s="928"/>
      <c r="R379" s="928"/>
      <c r="S379" s="928"/>
      <c r="T379" s="928"/>
      <c r="U379" s="928"/>
      <c r="V379" s="928"/>
      <c r="W379" s="928"/>
      <c r="X379" s="928"/>
      <c r="Y379" s="928"/>
      <c r="Z379" s="928"/>
      <c r="AA379" s="928"/>
    </row>
    <row r="380" hidden="1">
      <c r="A380" s="935"/>
      <c r="B380" s="932"/>
      <c r="C380" s="928"/>
      <c r="D380" s="928"/>
      <c r="E380" s="928"/>
      <c r="F380" s="928"/>
      <c r="G380" s="928"/>
      <c r="H380" s="928"/>
      <c r="I380" s="928"/>
      <c r="J380" s="928"/>
      <c r="K380" s="928"/>
      <c r="L380" s="928"/>
      <c r="M380" s="928"/>
      <c r="N380" s="928"/>
      <c r="O380" s="928"/>
      <c r="P380" s="928"/>
      <c r="Q380" s="928"/>
      <c r="R380" s="928"/>
      <c r="S380" s="928"/>
      <c r="T380" s="928"/>
      <c r="U380" s="928"/>
      <c r="V380" s="928"/>
      <c r="W380" s="928"/>
      <c r="X380" s="928"/>
      <c r="Y380" s="928"/>
      <c r="Z380" s="928"/>
      <c r="AA380" s="928"/>
    </row>
    <row r="381" hidden="1">
      <c r="A381" s="935"/>
      <c r="B381" s="932"/>
      <c r="C381" s="928"/>
      <c r="D381" s="928"/>
      <c r="E381" s="928"/>
      <c r="F381" s="928"/>
      <c r="G381" s="928"/>
      <c r="H381" s="928"/>
      <c r="I381" s="928"/>
      <c r="J381" s="928"/>
      <c r="K381" s="928"/>
      <c r="L381" s="928"/>
      <c r="M381" s="928"/>
      <c r="N381" s="928"/>
      <c r="O381" s="928"/>
      <c r="P381" s="928"/>
      <c r="Q381" s="928"/>
      <c r="R381" s="928"/>
      <c r="S381" s="928"/>
      <c r="T381" s="928"/>
      <c r="U381" s="928"/>
      <c r="V381" s="928"/>
      <c r="W381" s="928"/>
      <c r="X381" s="928"/>
      <c r="Y381" s="928"/>
      <c r="Z381" s="928"/>
      <c r="AA381" s="928"/>
    </row>
    <row r="382" hidden="1">
      <c r="A382" s="935"/>
      <c r="B382" s="932"/>
      <c r="C382" s="928"/>
      <c r="D382" s="928"/>
      <c r="E382" s="928"/>
      <c r="F382" s="928"/>
      <c r="G382" s="928"/>
      <c r="H382" s="928"/>
      <c r="I382" s="928"/>
      <c r="J382" s="928"/>
      <c r="K382" s="928"/>
      <c r="L382" s="928"/>
      <c r="M382" s="928"/>
      <c r="N382" s="928"/>
      <c r="O382" s="928"/>
      <c r="P382" s="928"/>
      <c r="Q382" s="928"/>
      <c r="R382" s="928"/>
      <c r="S382" s="928"/>
      <c r="T382" s="928"/>
      <c r="U382" s="928"/>
      <c r="V382" s="928"/>
      <c r="W382" s="928"/>
      <c r="X382" s="928"/>
      <c r="Y382" s="928"/>
      <c r="Z382" s="928"/>
      <c r="AA382" s="928"/>
    </row>
    <row r="383" hidden="1">
      <c r="A383" s="935"/>
      <c r="B383" s="932"/>
      <c r="C383" s="928"/>
      <c r="D383" s="928"/>
      <c r="E383" s="928"/>
      <c r="F383" s="928"/>
      <c r="G383" s="928"/>
      <c r="H383" s="928"/>
      <c r="I383" s="928"/>
      <c r="J383" s="928"/>
      <c r="K383" s="928"/>
      <c r="L383" s="928"/>
      <c r="M383" s="928"/>
      <c r="N383" s="928"/>
      <c r="O383" s="928"/>
      <c r="P383" s="928"/>
      <c r="Q383" s="928"/>
      <c r="R383" s="928"/>
      <c r="S383" s="928"/>
      <c r="T383" s="928"/>
      <c r="U383" s="928"/>
      <c r="V383" s="928"/>
      <c r="W383" s="928"/>
      <c r="X383" s="928"/>
      <c r="Y383" s="928"/>
      <c r="Z383" s="928"/>
      <c r="AA383" s="928"/>
    </row>
    <row r="384" hidden="1">
      <c r="A384" s="935"/>
      <c r="B384" s="932"/>
      <c r="C384" s="928"/>
      <c r="D384" s="928"/>
      <c r="E384" s="928"/>
      <c r="F384" s="928"/>
      <c r="G384" s="928"/>
      <c r="H384" s="928"/>
      <c r="I384" s="928"/>
      <c r="J384" s="928"/>
      <c r="K384" s="928"/>
      <c r="L384" s="928"/>
      <c r="M384" s="928"/>
      <c r="N384" s="928"/>
      <c r="O384" s="928"/>
      <c r="P384" s="928"/>
      <c r="Q384" s="928"/>
      <c r="R384" s="928"/>
      <c r="S384" s="928"/>
      <c r="T384" s="928"/>
      <c r="U384" s="928"/>
      <c r="V384" s="928"/>
      <c r="W384" s="928"/>
      <c r="X384" s="928"/>
      <c r="Y384" s="928"/>
      <c r="Z384" s="928"/>
      <c r="AA384" s="928"/>
    </row>
    <row r="385" hidden="1">
      <c r="A385" s="935"/>
      <c r="B385" s="932"/>
      <c r="C385" s="928"/>
      <c r="D385" s="928"/>
      <c r="E385" s="928"/>
      <c r="F385" s="928"/>
      <c r="G385" s="928"/>
      <c r="H385" s="928"/>
      <c r="I385" s="928"/>
      <c r="J385" s="928"/>
      <c r="K385" s="928"/>
      <c r="L385" s="928"/>
      <c r="M385" s="928"/>
      <c r="N385" s="928"/>
      <c r="O385" s="928"/>
      <c r="P385" s="928"/>
      <c r="Q385" s="928"/>
      <c r="R385" s="928"/>
      <c r="S385" s="928"/>
      <c r="T385" s="928"/>
      <c r="U385" s="928"/>
      <c r="V385" s="928"/>
      <c r="W385" s="928"/>
      <c r="X385" s="928"/>
      <c r="Y385" s="928"/>
      <c r="Z385" s="928"/>
      <c r="AA385" s="928"/>
    </row>
    <row r="386" hidden="1">
      <c r="A386" s="935"/>
      <c r="B386" s="932"/>
      <c r="C386" s="928"/>
      <c r="D386" s="928"/>
      <c r="E386" s="928"/>
      <c r="F386" s="928"/>
      <c r="G386" s="928"/>
      <c r="H386" s="928"/>
      <c r="I386" s="928"/>
      <c r="J386" s="928"/>
      <c r="K386" s="928"/>
      <c r="L386" s="928"/>
      <c r="M386" s="928"/>
      <c r="N386" s="928"/>
      <c r="O386" s="928"/>
      <c r="P386" s="928"/>
      <c r="Q386" s="928"/>
      <c r="R386" s="928"/>
      <c r="S386" s="928"/>
      <c r="T386" s="928"/>
      <c r="U386" s="928"/>
      <c r="V386" s="928"/>
      <c r="W386" s="928"/>
      <c r="X386" s="928"/>
      <c r="Y386" s="928"/>
      <c r="Z386" s="928"/>
      <c r="AA386" s="928"/>
    </row>
    <row r="387" hidden="1">
      <c r="A387" s="935"/>
      <c r="B387" s="932"/>
      <c r="C387" s="928"/>
      <c r="D387" s="928"/>
      <c r="E387" s="928"/>
      <c r="F387" s="928"/>
      <c r="G387" s="928"/>
      <c r="H387" s="928"/>
      <c r="I387" s="928"/>
      <c r="J387" s="928"/>
      <c r="K387" s="928"/>
      <c r="L387" s="928"/>
      <c r="M387" s="928"/>
      <c r="N387" s="928"/>
      <c r="O387" s="928"/>
      <c r="P387" s="928"/>
      <c r="Q387" s="928"/>
      <c r="R387" s="928"/>
      <c r="S387" s="928"/>
      <c r="T387" s="928"/>
      <c r="U387" s="928"/>
      <c r="V387" s="928"/>
      <c r="W387" s="928"/>
      <c r="X387" s="928"/>
      <c r="Y387" s="928"/>
      <c r="Z387" s="928"/>
      <c r="AA387" s="928"/>
    </row>
    <row r="388" hidden="1">
      <c r="A388" s="935"/>
      <c r="B388" s="932"/>
      <c r="C388" s="928"/>
      <c r="D388" s="928"/>
      <c r="E388" s="928"/>
      <c r="F388" s="928"/>
      <c r="G388" s="928"/>
      <c r="H388" s="928"/>
      <c r="I388" s="928"/>
      <c r="J388" s="928"/>
      <c r="K388" s="928"/>
      <c r="L388" s="928"/>
      <c r="M388" s="928"/>
      <c r="N388" s="928"/>
      <c r="O388" s="928"/>
      <c r="P388" s="928"/>
      <c r="Q388" s="928"/>
      <c r="R388" s="928"/>
      <c r="S388" s="928"/>
      <c r="T388" s="928"/>
      <c r="U388" s="928"/>
      <c r="V388" s="928"/>
      <c r="W388" s="928"/>
      <c r="X388" s="928"/>
      <c r="Y388" s="928"/>
      <c r="Z388" s="928"/>
      <c r="AA388" s="928"/>
    </row>
    <row r="389" hidden="1">
      <c r="A389" s="935"/>
      <c r="B389" s="932"/>
      <c r="C389" s="928"/>
      <c r="D389" s="928"/>
      <c r="E389" s="928"/>
      <c r="F389" s="928"/>
      <c r="G389" s="928"/>
      <c r="H389" s="928"/>
      <c r="I389" s="928"/>
      <c r="J389" s="928"/>
      <c r="K389" s="928"/>
      <c r="L389" s="928"/>
      <c r="M389" s="928"/>
      <c r="N389" s="928"/>
      <c r="O389" s="928"/>
      <c r="P389" s="928"/>
      <c r="Q389" s="928"/>
      <c r="R389" s="928"/>
      <c r="S389" s="928"/>
      <c r="T389" s="928"/>
      <c r="U389" s="928"/>
      <c r="V389" s="928"/>
      <c r="W389" s="928"/>
      <c r="X389" s="928"/>
      <c r="Y389" s="928"/>
      <c r="Z389" s="928"/>
      <c r="AA389" s="928"/>
    </row>
    <row r="390" hidden="1">
      <c r="A390" s="935"/>
      <c r="B390" s="932"/>
      <c r="C390" s="928"/>
      <c r="D390" s="928"/>
      <c r="E390" s="928"/>
      <c r="F390" s="928"/>
      <c r="G390" s="928"/>
      <c r="H390" s="928"/>
      <c r="I390" s="928"/>
      <c r="J390" s="928"/>
      <c r="K390" s="928"/>
      <c r="L390" s="928"/>
      <c r="M390" s="928"/>
      <c r="N390" s="928"/>
      <c r="O390" s="928"/>
      <c r="P390" s="928"/>
      <c r="Q390" s="928"/>
      <c r="R390" s="928"/>
      <c r="S390" s="928"/>
      <c r="T390" s="928"/>
      <c r="U390" s="928"/>
      <c r="V390" s="928"/>
      <c r="W390" s="928"/>
      <c r="X390" s="928"/>
      <c r="Y390" s="928"/>
      <c r="Z390" s="928"/>
      <c r="AA390" s="928"/>
    </row>
    <row r="391" hidden="1">
      <c r="A391" s="935"/>
      <c r="B391" s="932"/>
      <c r="C391" s="928"/>
      <c r="D391" s="928"/>
      <c r="E391" s="928"/>
      <c r="F391" s="928"/>
      <c r="G391" s="928"/>
      <c r="H391" s="928"/>
      <c r="I391" s="928"/>
      <c r="J391" s="928"/>
      <c r="K391" s="928"/>
      <c r="L391" s="928"/>
      <c r="M391" s="928"/>
      <c r="N391" s="928"/>
      <c r="O391" s="928"/>
      <c r="P391" s="928"/>
      <c r="Q391" s="928"/>
      <c r="R391" s="928"/>
      <c r="S391" s="928"/>
      <c r="T391" s="928"/>
      <c r="U391" s="928"/>
      <c r="V391" s="928"/>
      <c r="W391" s="928"/>
      <c r="X391" s="928"/>
      <c r="Y391" s="928"/>
      <c r="Z391" s="928"/>
      <c r="AA391" s="928"/>
    </row>
    <row r="392" hidden="1">
      <c r="A392" s="935"/>
      <c r="B392" s="932"/>
      <c r="C392" s="928"/>
      <c r="D392" s="928"/>
      <c r="E392" s="928"/>
      <c r="F392" s="928"/>
      <c r="G392" s="928"/>
      <c r="H392" s="928"/>
      <c r="I392" s="928"/>
      <c r="J392" s="928"/>
      <c r="K392" s="928"/>
      <c r="L392" s="928"/>
      <c r="M392" s="928"/>
      <c r="N392" s="928"/>
      <c r="O392" s="928"/>
      <c r="P392" s="928"/>
      <c r="Q392" s="928"/>
      <c r="R392" s="928"/>
      <c r="S392" s="928"/>
      <c r="T392" s="928"/>
      <c r="U392" s="928"/>
      <c r="V392" s="928"/>
      <c r="W392" s="928"/>
      <c r="X392" s="928"/>
      <c r="Y392" s="928"/>
      <c r="Z392" s="928"/>
      <c r="AA392" s="928"/>
    </row>
    <row r="393" hidden="1">
      <c r="A393" s="935"/>
      <c r="B393" s="932"/>
      <c r="C393" s="928"/>
      <c r="D393" s="928"/>
      <c r="E393" s="928"/>
      <c r="F393" s="928"/>
      <c r="G393" s="928"/>
      <c r="H393" s="928"/>
      <c r="I393" s="928"/>
      <c r="J393" s="928"/>
      <c r="K393" s="928"/>
      <c r="L393" s="928"/>
      <c r="M393" s="928"/>
      <c r="N393" s="928"/>
      <c r="O393" s="928"/>
      <c r="P393" s="928"/>
      <c r="Q393" s="928"/>
      <c r="R393" s="928"/>
      <c r="S393" s="928"/>
      <c r="T393" s="928"/>
      <c r="U393" s="928"/>
      <c r="V393" s="928"/>
      <c r="W393" s="928"/>
      <c r="X393" s="928"/>
      <c r="Y393" s="928"/>
      <c r="Z393" s="928"/>
      <c r="AA393" s="928"/>
    </row>
    <row r="394" hidden="1">
      <c r="A394" s="935"/>
      <c r="B394" s="932"/>
      <c r="C394" s="928"/>
      <c r="D394" s="928"/>
      <c r="E394" s="928"/>
      <c r="F394" s="928"/>
      <c r="G394" s="928"/>
      <c r="H394" s="928"/>
      <c r="I394" s="928"/>
      <c r="J394" s="928"/>
      <c r="K394" s="928"/>
      <c r="L394" s="928"/>
      <c r="M394" s="928"/>
      <c r="N394" s="928"/>
      <c r="O394" s="928"/>
      <c r="P394" s="928"/>
      <c r="Q394" s="928"/>
      <c r="R394" s="928"/>
      <c r="S394" s="928"/>
      <c r="T394" s="928"/>
      <c r="U394" s="928"/>
      <c r="V394" s="928"/>
      <c r="W394" s="928"/>
      <c r="X394" s="928"/>
      <c r="Y394" s="928"/>
      <c r="Z394" s="928"/>
      <c r="AA394" s="928"/>
    </row>
    <row r="395" hidden="1">
      <c r="A395" s="935"/>
      <c r="B395" s="932"/>
      <c r="C395" s="928"/>
      <c r="D395" s="928"/>
      <c r="E395" s="928"/>
      <c r="F395" s="928"/>
      <c r="G395" s="928"/>
      <c r="H395" s="928"/>
      <c r="I395" s="928"/>
      <c r="J395" s="928"/>
      <c r="K395" s="928"/>
      <c r="L395" s="928"/>
      <c r="M395" s="928"/>
      <c r="N395" s="928"/>
      <c r="O395" s="928"/>
      <c r="P395" s="928"/>
      <c r="Q395" s="928"/>
      <c r="R395" s="928"/>
      <c r="S395" s="928"/>
      <c r="T395" s="928"/>
      <c r="U395" s="928"/>
      <c r="V395" s="928"/>
      <c r="W395" s="928"/>
      <c r="X395" s="928"/>
      <c r="Y395" s="928"/>
      <c r="Z395" s="928"/>
      <c r="AA395" s="928"/>
    </row>
    <row r="396" hidden="1">
      <c r="A396" s="935"/>
      <c r="B396" s="932"/>
      <c r="C396" s="928"/>
      <c r="D396" s="928"/>
      <c r="E396" s="928"/>
      <c r="F396" s="928"/>
      <c r="G396" s="928"/>
      <c r="H396" s="928"/>
      <c r="I396" s="928"/>
      <c r="J396" s="928"/>
      <c r="K396" s="928"/>
      <c r="L396" s="928"/>
      <c r="M396" s="928"/>
      <c r="N396" s="928"/>
      <c r="O396" s="928"/>
      <c r="P396" s="928"/>
      <c r="Q396" s="928"/>
      <c r="R396" s="928"/>
      <c r="S396" s="928"/>
      <c r="T396" s="928"/>
      <c r="U396" s="928"/>
      <c r="V396" s="928"/>
      <c r="W396" s="928"/>
      <c r="X396" s="928"/>
      <c r="Y396" s="928"/>
      <c r="Z396" s="928"/>
      <c r="AA396" s="928"/>
    </row>
    <row r="397" hidden="1">
      <c r="A397" s="935"/>
      <c r="B397" s="932"/>
      <c r="C397" s="928"/>
      <c r="D397" s="928"/>
      <c r="E397" s="928"/>
      <c r="F397" s="928"/>
      <c r="G397" s="928"/>
      <c r="H397" s="928"/>
      <c r="I397" s="928"/>
      <c r="J397" s="928"/>
      <c r="K397" s="928"/>
      <c r="L397" s="928"/>
      <c r="M397" s="928"/>
      <c r="N397" s="928"/>
      <c r="O397" s="928"/>
      <c r="P397" s="928"/>
      <c r="Q397" s="928"/>
      <c r="R397" s="928"/>
      <c r="S397" s="928"/>
      <c r="T397" s="928"/>
      <c r="U397" s="928"/>
      <c r="V397" s="928"/>
      <c r="W397" s="928"/>
      <c r="X397" s="928"/>
      <c r="Y397" s="928"/>
      <c r="Z397" s="928"/>
      <c r="AA397" s="928"/>
    </row>
    <row r="398" hidden="1">
      <c r="A398" s="935"/>
      <c r="B398" s="932"/>
      <c r="C398" s="928"/>
      <c r="D398" s="928"/>
      <c r="E398" s="928"/>
      <c r="F398" s="928"/>
      <c r="G398" s="928"/>
      <c r="H398" s="928"/>
      <c r="I398" s="928"/>
      <c r="J398" s="928"/>
      <c r="K398" s="928"/>
      <c r="L398" s="928"/>
      <c r="M398" s="928"/>
      <c r="N398" s="928"/>
      <c r="O398" s="928"/>
      <c r="P398" s="928"/>
      <c r="Q398" s="928"/>
      <c r="R398" s="928"/>
      <c r="S398" s="928"/>
      <c r="T398" s="928"/>
      <c r="U398" s="928"/>
      <c r="V398" s="928"/>
      <c r="W398" s="928"/>
      <c r="X398" s="928"/>
      <c r="Y398" s="928"/>
      <c r="Z398" s="928"/>
      <c r="AA398" s="928"/>
    </row>
    <row r="399" hidden="1">
      <c r="A399" s="935"/>
      <c r="B399" s="932"/>
      <c r="C399" s="928"/>
      <c r="D399" s="928"/>
      <c r="E399" s="928"/>
      <c r="F399" s="928"/>
      <c r="G399" s="928"/>
      <c r="H399" s="928"/>
      <c r="I399" s="928"/>
      <c r="J399" s="928"/>
      <c r="K399" s="928"/>
      <c r="L399" s="928"/>
      <c r="M399" s="928"/>
      <c r="N399" s="928"/>
      <c r="O399" s="928"/>
      <c r="P399" s="928"/>
      <c r="Q399" s="928"/>
      <c r="R399" s="928"/>
      <c r="S399" s="928"/>
      <c r="T399" s="928"/>
      <c r="U399" s="928"/>
      <c r="V399" s="928"/>
      <c r="W399" s="928"/>
      <c r="X399" s="928"/>
      <c r="Y399" s="928"/>
      <c r="Z399" s="928"/>
      <c r="AA399" s="928"/>
    </row>
    <row r="400" hidden="1">
      <c r="A400" s="935"/>
      <c r="B400" s="932"/>
      <c r="C400" s="928"/>
      <c r="D400" s="928"/>
      <c r="E400" s="928"/>
      <c r="F400" s="928"/>
      <c r="G400" s="928"/>
      <c r="H400" s="928"/>
      <c r="I400" s="928"/>
      <c r="J400" s="928"/>
      <c r="K400" s="928"/>
      <c r="L400" s="928"/>
      <c r="M400" s="928"/>
      <c r="N400" s="928"/>
      <c r="O400" s="928"/>
      <c r="P400" s="928"/>
      <c r="Q400" s="928"/>
      <c r="R400" s="928"/>
      <c r="S400" s="928"/>
      <c r="T400" s="928"/>
      <c r="U400" s="928"/>
      <c r="V400" s="928"/>
      <c r="W400" s="928"/>
      <c r="X400" s="928"/>
      <c r="Y400" s="928"/>
      <c r="Z400" s="928"/>
      <c r="AA400" s="928"/>
    </row>
    <row r="401" hidden="1">
      <c r="A401" s="935"/>
      <c r="B401" s="932"/>
      <c r="C401" s="928"/>
      <c r="D401" s="928"/>
      <c r="E401" s="928"/>
      <c r="F401" s="928"/>
      <c r="G401" s="928"/>
      <c r="H401" s="928"/>
      <c r="I401" s="928"/>
      <c r="J401" s="928"/>
      <c r="K401" s="928"/>
      <c r="L401" s="928"/>
      <c r="M401" s="928"/>
      <c r="N401" s="928"/>
      <c r="O401" s="928"/>
      <c r="P401" s="928"/>
      <c r="Q401" s="928"/>
      <c r="R401" s="928"/>
      <c r="S401" s="928"/>
      <c r="T401" s="928"/>
      <c r="U401" s="928"/>
      <c r="V401" s="928"/>
      <c r="W401" s="928"/>
      <c r="X401" s="928"/>
      <c r="Y401" s="928"/>
      <c r="Z401" s="928"/>
      <c r="AA401" s="928"/>
    </row>
    <row r="402" hidden="1">
      <c r="A402" s="935"/>
      <c r="B402" s="932"/>
      <c r="C402" s="928"/>
      <c r="D402" s="928"/>
      <c r="E402" s="928"/>
      <c r="F402" s="928"/>
      <c r="G402" s="928"/>
      <c r="H402" s="928"/>
      <c r="I402" s="928"/>
      <c r="J402" s="928"/>
      <c r="K402" s="928"/>
      <c r="L402" s="928"/>
      <c r="M402" s="928"/>
      <c r="N402" s="928"/>
      <c r="O402" s="928"/>
      <c r="P402" s="928"/>
      <c r="Q402" s="928"/>
      <c r="R402" s="928"/>
      <c r="S402" s="928"/>
      <c r="T402" s="928"/>
      <c r="U402" s="928"/>
      <c r="V402" s="928"/>
      <c r="W402" s="928"/>
      <c r="X402" s="928"/>
      <c r="Y402" s="928"/>
      <c r="Z402" s="928"/>
      <c r="AA402" s="928"/>
    </row>
    <row r="403" hidden="1">
      <c r="A403" s="935"/>
      <c r="B403" s="932"/>
      <c r="C403" s="928"/>
      <c r="D403" s="928"/>
      <c r="E403" s="928"/>
      <c r="F403" s="928"/>
      <c r="G403" s="928"/>
      <c r="H403" s="928"/>
      <c r="I403" s="928"/>
      <c r="J403" s="928"/>
      <c r="K403" s="928"/>
      <c r="L403" s="928"/>
      <c r="M403" s="928"/>
      <c r="N403" s="928"/>
      <c r="O403" s="928"/>
      <c r="P403" s="928"/>
      <c r="Q403" s="928"/>
      <c r="R403" s="928"/>
      <c r="S403" s="928"/>
      <c r="T403" s="928"/>
      <c r="U403" s="928"/>
      <c r="V403" s="928"/>
      <c r="W403" s="928"/>
      <c r="X403" s="928"/>
      <c r="Y403" s="928"/>
      <c r="Z403" s="928"/>
      <c r="AA403" s="928"/>
    </row>
    <row r="404" hidden="1">
      <c r="A404" s="935"/>
      <c r="B404" s="932"/>
      <c r="C404" s="928"/>
      <c r="D404" s="928"/>
      <c r="E404" s="928"/>
      <c r="F404" s="928"/>
      <c r="G404" s="928"/>
      <c r="H404" s="928"/>
      <c r="I404" s="928"/>
      <c r="J404" s="928"/>
      <c r="K404" s="928"/>
      <c r="L404" s="928"/>
      <c r="M404" s="928"/>
      <c r="N404" s="928"/>
      <c r="O404" s="928"/>
      <c r="P404" s="928"/>
      <c r="Q404" s="928"/>
      <c r="R404" s="928"/>
      <c r="S404" s="928"/>
      <c r="T404" s="928"/>
      <c r="U404" s="928"/>
      <c r="V404" s="928"/>
      <c r="W404" s="928"/>
      <c r="X404" s="928"/>
      <c r="Y404" s="928"/>
      <c r="Z404" s="928"/>
      <c r="AA404" s="928"/>
    </row>
    <row r="405" hidden="1">
      <c r="A405" s="935"/>
      <c r="B405" s="932"/>
      <c r="C405" s="928"/>
      <c r="D405" s="928"/>
      <c r="E405" s="928"/>
      <c r="F405" s="928"/>
      <c r="G405" s="928"/>
      <c r="H405" s="928"/>
      <c r="I405" s="928"/>
      <c r="J405" s="928"/>
      <c r="K405" s="928"/>
      <c r="L405" s="928"/>
      <c r="M405" s="928"/>
      <c r="N405" s="928"/>
      <c r="O405" s="928"/>
      <c r="P405" s="928"/>
      <c r="Q405" s="928"/>
      <c r="R405" s="928"/>
      <c r="S405" s="928"/>
      <c r="T405" s="928"/>
      <c r="U405" s="928"/>
      <c r="V405" s="928"/>
      <c r="W405" s="928"/>
      <c r="X405" s="928"/>
      <c r="Y405" s="928"/>
      <c r="Z405" s="928"/>
      <c r="AA405" s="928"/>
    </row>
    <row r="406" hidden="1">
      <c r="A406" s="935"/>
      <c r="B406" s="932"/>
      <c r="C406" s="928"/>
      <c r="D406" s="928"/>
      <c r="E406" s="928"/>
      <c r="F406" s="928"/>
      <c r="G406" s="928"/>
      <c r="H406" s="928"/>
      <c r="I406" s="928"/>
      <c r="J406" s="928"/>
      <c r="K406" s="928"/>
      <c r="L406" s="928"/>
      <c r="M406" s="928"/>
      <c r="N406" s="928"/>
      <c r="O406" s="928"/>
      <c r="P406" s="928"/>
      <c r="Q406" s="928"/>
      <c r="R406" s="928"/>
      <c r="S406" s="928"/>
      <c r="T406" s="928"/>
      <c r="U406" s="928"/>
      <c r="V406" s="928"/>
      <c r="W406" s="928"/>
      <c r="X406" s="928"/>
      <c r="Y406" s="928"/>
      <c r="Z406" s="928"/>
      <c r="AA406" s="928"/>
    </row>
    <row r="407" hidden="1">
      <c r="A407" s="935"/>
      <c r="B407" s="932"/>
      <c r="C407" s="928"/>
      <c r="D407" s="928"/>
      <c r="E407" s="928"/>
      <c r="F407" s="928"/>
      <c r="G407" s="928"/>
      <c r="H407" s="928"/>
      <c r="I407" s="928"/>
      <c r="J407" s="928"/>
      <c r="K407" s="928"/>
      <c r="L407" s="928"/>
      <c r="M407" s="928"/>
      <c r="N407" s="928"/>
      <c r="O407" s="928"/>
      <c r="P407" s="928"/>
      <c r="Q407" s="928"/>
      <c r="R407" s="928"/>
      <c r="S407" s="928"/>
      <c r="T407" s="928"/>
      <c r="U407" s="928"/>
      <c r="V407" s="928"/>
      <c r="W407" s="928"/>
      <c r="X407" s="928"/>
      <c r="Y407" s="928"/>
      <c r="Z407" s="928"/>
      <c r="AA407" s="928"/>
    </row>
    <row r="408" hidden="1">
      <c r="A408" s="935"/>
      <c r="B408" s="932"/>
      <c r="C408" s="928"/>
      <c r="D408" s="928"/>
      <c r="E408" s="928"/>
      <c r="F408" s="928"/>
      <c r="G408" s="928"/>
      <c r="H408" s="928"/>
      <c r="I408" s="928"/>
      <c r="J408" s="928"/>
      <c r="K408" s="928"/>
      <c r="L408" s="928"/>
      <c r="M408" s="928"/>
      <c r="N408" s="928"/>
      <c r="O408" s="928"/>
      <c r="P408" s="928"/>
      <c r="Q408" s="928"/>
      <c r="R408" s="928"/>
      <c r="S408" s="928"/>
      <c r="T408" s="928"/>
      <c r="U408" s="928"/>
      <c r="V408" s="928"/>
      <c r="W408" s="928"/>
      <c r="X408" s="928"/>
      <c r="Y408" s="928"/>
      <c r="Z408" s="928"/>
      <c r="AA408" s="928"/>
    </row>
    <row r="409" hidden="1">
      <c r="A409" s="935"/>
      <c r="B409" s="932"/>
      <c r="C409" s="928"/>
      <c r="D409" s="928"/>
      <c r="E409" s="928"/>
      <c r="F409" s="928"/>
      <c r="G409" s="928"/>
      <c r="H409" s="928"/>
      <c r="I409" s="928"/>
      <c r="J409" s="928"/>
      <c r="K409" s="928"/>
      <c r="L409" s="928"/>
      <c r="M409" s="928"/>
      <c r="N409" s="928"/>
      <c r="O409" s="928"/>
      <c r="P409" s="928"/>
      <c r="Q409" s="928"/>
      <c r="R409" s="928"/>
      <c r="S409" s="928"/>
      <c r="T409" s="928"/>
      <c r="U409" s="928"/>
      <c r="V409" s="928"/>
      <c r="W409" s="928"/>
      <c r="X409" s="928"/>
      <c r="Y409" s="928"/>
      <c r="Z409" s="928"/>
      <c r="AA409" s="928"/>
    </row>
    <row r="410" hidden="1">
      <c r="A410" s="935"/>
      <c r="B410" s="932"/>
      <c r="C410" s="928"/>
      <c r="D410" s="928"/>
      <c r="E410" s="928"/>
      <c r="F410" s="928"/>
      <c r="G410" s="928"/>
      <c r="H410" s="928"/>
      <c r="I410" s="928"/>
      <c r="J410" s="928"/>
      <c r="K410" s="928"/>
      <c r="L410" s="928"/>
      <c r="M410" s="928"/>
      <c r="N410" s="928"/>
      <c r="O410" s="928"/>
      <c r="P410" s="928"/>
      <c r="Q410" s="928"/>
      <c r="R410" s="928"/>
      <c r="S410" s="928"/>
      <c r="T410" s="928"/>
      <c r="U410" s="928"/>
      <c r="V410" s="928"/>
      <c r="W410" s="928"/>
      <c r="X410" s="928"/>
      <c r="Y410" s="928"/>
      <c r="Z410" s="928"/>
      <c r="AA410" s="928"/>
    </row>
    <row r="411" hidden="1">
      <c r="A411" s="935"/>
      <c r="B411" s="932"/>
      <c r="C411" s="928"/>
      <c r="D411" s="928"/>
      <c r="E411" s="928"/>
      <c r="F411" s="928"/>
      <c r="G411" s="928"/>
      <c r="H411" s="928"/>
      <c r="I411" s="928"/>
      <c r="J411" s="928"/>
      <c r="K411" s="928"/>
      <c r="L411" s="928"/>
      <c r="M411" s="928"/>
      <c r="N411" s="928"/>
      <c r="O411" s="928"/>
      <c r="P411" s="928"/>
      <c r="Q411" s="928"/>
      <c r="R411" s="928"/>
      <c r="S411" s="928"/>
      <c r="T411" s="928"/>
      <c r="U411" s="928"/>
      <c r="V411" s="928"/>
      <c r="W411" s="928"/>
      <c r="X411" s="928"/>
      <c r="Y411" s="928"/>
      <c r="Z411" s="928"/>
      <c r="AA411" s="928"/>
    </row>
    <row r="412" hidden="1">
      <c r="A412" s="935"/>
      <c r="B412" s="932"/>
      <c r="C412" s="928"/>
      <c r="D412" s="928"/>
      <c r="E412" s="928"/>
      <c r="F412" s="928"/>
      <c r="G412" s="928"/>
      <c r="H412" s="928"/>
      <c r="I412" s="928"/>
      <c r="J412" s="928"/>
      <c r="K412" s="928"/>
      <c r="L412" s="928"/>
      <c r="M412" s="928"/>
      <c r="N412" s="928"/>
      <c r="O412" s="928"/>
      <c r="P412" s="928"/>
      <c r="Q412" s="928"/>
      <c r="R412" s="928"/>
      <c r="S412" s="928"/>
      <c r="T412" s="928"/>
      <c r="U412" s="928"/>
      <c r="V412" s="928"/>
      <c r="W412" s="928"/>
      <c r="X412" s="928"/>
      <c r="Y412" s="928"/>
      <c r="Z412" s="928"/>
      <c r="AA412" s="928"/>
    </row>
    <row r="413" hidden="1">
      <c r="A413" s="935"/>
      <c r="B413" s="932"/>
      <c r="C413" s="928"/>
      <c r="D413" s="928"/>
      <c r="E413" s="928"/>
      <c r="F413" s="928"/>
      <c r="G413" s="928"/>
      <c r="H413" s="928"/>
      <c r="I413" s="928"/>
      <c r="J413" s="928"/>
      <c r="K413" s="928"/>
      <c r="L413" s="928"/>
      <c r="M413" s="928"/>
      <c r="N413" s="928"/>
      <c r="O413" s="928"/>
      <c r="P413" s="928"/>
      <c r="Q413" s="928"/>
      <c r="R413" s="928"/>
      <c r="S413" s="928"/>
      <c r="T413" s="928"/>
      <c r="U413" s="928"/>
      <c r="V413" s="928"/>
      <c r="W413" s="928"/>
      <c r="X413" s="928"/>
      <c r="Y413" s="928"/>
      <c r="Z413" s="928"/>
      <c r="AA413" s="928"/>
    </row>
    <row r="414" hidden="1">
      <c r="A414" s="935"/>
      <c r="B414" s="932"/>
      <c r="C414" s="928"/>
      <c r="D414" s="928"/>
      <c r="E414" s="928"/>
      <c r="F414" s="928"/>
      <c r="G414" s="928"/>
      <c r="H414" s="928"/>
      <c r="I414" s="928"/>
      <c r="J414" s="928"/>
      <c r="K414" s="928"/>
      <c r="L414" s="928"/>
      <c r="M414" s="928"/>
      <c r="N414" s="928"/>
      <c r="O414" s="928"/>
      <c r="P414" s="928"/>
      <c r="Q414" s="928"/>
      <c r="R414" s="928"/>
      <c r="S414" s="928"/>
      <c r="T414" s="928"/>
      <c r="U414" s="928"/>
      <c r="V414" s="928"/>
      <c r="W414" s="928"/>
      <c r="X414" s="928"/>
      <c r="Y414" s="928"/>
      <c r="Z414" s="928"/>
      <c r="AA414" s="928"/>
    </row>
    <row r="415" hidden="1">
      <c r="A415" s="935"/>
      <c r="B415" s="932"/>
      <c r="C415" s="928"/>
      <c r="D415" s="928"/>
      <c r="E415" s="928"/>
      <c r="F415" s="928"/>
      <c r="G415" s="928"/>
      <c r="H415" s="928"/>
      <c r="I415" s="928"/>
      <c r="J415" s="928"/>
      <c r="K415" s="928"/>
      <c r="L415" s="928"/>
      <c r="M415" s="928"/>
      <c r="N415" s="928"/>
      <c r="O415" s="928"/>
      <c r="P415" s="928"/>
      <c r="Q415" s="928"/>
      <c r="R415" s="928"/>
      <c r="S415" s="928"/>
      <c r="T415" s="928"/>
      <c r="U415" s="928"/>
      <c r="V415" s="928"/>
      <c r="W415" s="928"/>
      <c r="X415" s="928"/>
      <c r="Y415" s="928"/>
      <c r="Z415" s="928"/>
      <c r="AA415" s="928"/>
    </row>
    <row r="416" hidden="1">
      <c r="A416" s="935"/>
      <c r="B416" s="932"/>
      <c r="C416" s="928"/>
      <c r="D416" s="928"/>
      <c r="E416" s="928"/>
      <c r="F416" s="928"/>
      <c r="G416" s="928"/>
      <c r="H416" s="928"/>
      <c r="I416" s="928"/>
      <c r="J416" s="928"/>
      <c r="K416" s="928"/>
      <c r="L416" s="928"/>
      <c r="M416" s="928"/>
      <c r="N416" s="928"/>
      <c r="O416" s="928"/>
      <c r="P416" s="928"/>
      <c r="Q416" s="928"/>
      <c r="R416" s="928"/>
      <c r="S416" s="928"/>
      <c r="T416" s="928"/>
      <c r="U416" s="928"/>
      <c r="V416" s="928"/>
      <c r="W416" s="928"/>
      <c r="X416" s="928"/>
      <c r="Y416" s="928"/>
      <c r="Z416" s="928"/>
      <c r="AA416" s="928"/>
    </row>
    <row r="417" hidden="1">
      <c r="A417" s="935"/>
      <c r="B417" s="932"/>
      <c r="C417" s="928"/>
      <c r="D417" s="928"/>
      <c r="E417" s="928"/>
      <c r="F417" s="928"/>
      <c r="G417" s="928"/>
      <c r="H417" s="928"/>
      <c r="I417" s="928"/>
      <c r="J417" s="928"/>
      <c r="K417" s="928"/>
      <c r="L417" s="928"/>
      <c r="M417" s="928"/>
      <c r="N417" s="928"/>
      <c r="O417" s="928"/>
      <c r="P417" s="928"/>
      <c r="Q417" s="928"/>
      <c r="R417" s="928"/>
      <c r="S417" s="928"/>
      <c r="T417" s="928"/>
      <c r="U417" s="928"/>
      <c r="V417" s="928"/>
      <c r="W417" s="928"/>
      <c r="X417" s="928"/>
      <c r="Y417" s="928"/>
      <c r="Z417" s="928"/>
      <c r="AA417" s="928"/>
    </row>
    <row r="418" hidden="1">
      <c r="A418" s="935"/>
      <c r="B418" s="932"/>
      <c r="C418" s="928"/>
      <c r="D418" s="928"/>
      <c r="E418" s="928"/>
      <c r="F418" s="928"/>
      <c r="G418" s="928"/>
      <c r="H418" s="928"/>
      <c r="I418" s="928"/>
      <c r="J418" s="928"/>
      <c r="K418" s="928"/>
      <c r="L418" s="928"/>
      <c r="M418" s="928"/>
      <c r="N418" s="928"/>
      <c r="O418" s="928"/>
      <c r="P418" s="928"/>
      <c r="Q418" s="928"/>
      <c r="R418" s="928"/>
      <c r="S418" s="928"/>
      <c r="T418" s="928"/>
      <c r="U418" s="928"/>
      <c r="V418" s="928"/>
      <c r="W418" s="928"/>
      <c r="X418" s="928"/>
      <c r="Y418" s="928"/>
      <c r="Z418" s="928"/>
      <c r="AA418" s="928"/>
    </row>
    <row r="419" hidden="1">
      <c r="A419" s="935"/>
      <c r="B419" s="932"/>
      <c r="C419" s="928"/>
      <c r="D419" s="928"/>
      <c r="E419" s="928"/>
      <c r="F419" s="928"/>
      <c r="G419" s="928"/>
      <c r="H419" s="928"/>
      <c r="I419" s="928"/>
      <c r="J419" s="928"/>
      <c r="K419" s="928"/>
      <c r="L419" s="928"/>
      <c r="M419" s="928"/>
      <c r="N419" s="928"/>
      <c r="O419" s="928"/>
      <c r="P419" s="928"/>
      <c r="Q419" s="928"/>
      <c r="R419" s="928"/>
      <c r="S419" s="928"/>
      <c r="T419" s="928"/>
      <c r="U419" s="928"/>
      <c r="V419" s="928"/>
      <c r="W419" s="928"/>
      <c r="X419" s="928"/>
      <c r="Y419" s="928"/>
      <c r="Z419" s="928"/>
      <c r="AA419" s="928"/>
    </row>
    <row r="420" hidden="1">
      <c r="A420" s="935"/>
      <c r="B420" s="932"/>
      <c r="C420" s="928"/>
      <c r="D420" s="928"/>
      <c r="E420" s="928"/>
      <c r="F420" s="928"/>
      <c r="G420" s="928"/>
      <c r="H420" s="928"/>
      <c r="I420" s="928"/>
      <c r="J420" s="928"/>
      <c r="K420" s="928"/>
      <c r="L420" s="928"/>
      <c r="M420" s="928"/>
      <c r="N420" s="928"/>
      <c r="O420" s="928"/>
      <c r="P420" s="928"/>
      <c r="Q420" s="928"/>
      <c r="R420" s="928"/>
      <c r="S420" s="928"/>
      <c r="T420" s="928"/>
      <c r="U420" s="928"/>
      <c r="V420" s="928"/>
      <c r="W420" s="928"/>
      <c r="X420" s="928"/>
      <c r="Y420" s="928"/>
      <c r="Z420" s="928"/>
      <c r="AA420" s="928"/>
    </row>
    <row r="421" hidden="1">
      <c r="A421" s="935"/>
      <c r="B421" s="932"/>
      <c r="C421" s="928"/>
      <c r="D421" s="928"/>
      <c r="E421" s="928"/>
      <c r="F421" s="928"/>
      <c r="G421" s="928"/>
      <c r="H421" s="928"/>
      <c r="I421" s="928"/>
      <c r="J421" s="928"/>
      <c r="K421" s="928"/>
      <c r="L421" s="928"/>
      <c r="M421" s="928"/>
      <c r="N421" s="928"/>
      <c r="O421" s="928"/>
      <c r="P421" s="928"/>
      <c r="Q421" s="928"/>
      <c r="R421" s="928"/>
      <c r="S421" s="928"/>
      <c r="T421" s="928"/>
      <c r="U421" s="928"/>
      <c r="V421" s="928"/>
      <c r="W421" s="928"/>
      <c r="X421" s="928"/>
      <c r="Y421" s="928"/>
      <c r="Z421" s="928"/>
      <c r="AA421" s="928"/>
    </row>
    <row r="422" hidden="1">
      <c r="A422" s="935"/>
      <c r="B422" s="932"/>
      <c r="C422" s="928"/>
      <c r="D422" s="928"/>
      <c r="E422" s="928"/>
      <c r="F422" s="928"/>
      <c r="G422" s="928"/>
      <c r="H422" s="928"/>
      <c r="I422" s="928"/>
      <c r="J422" s="928"/>
      <c r="K422" s="928"/>
      <c r="L422" s="928"/>
      <c r="M422" s="928"/>
      <c r="N422" s="928"/>
      <c r="O422" s="928"/>
      <c r="P422" s="928"/>
      <c r="Q422" s="928"/>
      <c r="R422" s="928"/>
      <c r="S422" s="928"/>
      <c r="T422" s="928"/>
      <c r="U422" s="928"/>
      <c r="V422" s="928"/>
      <c r="W422" s="928"/>
      <c r="X422" s="928"/>
      <c r="Y422" s="928"/>
      <c r="Z422" s="928"/>
      <c r="AA422" s="928"/>
    </row>
    <row r="423" hidden="1">
      <c r="A423" s="935"/>
      <c r="B423" s="932"/>
      <c r="C423" s="928"/>
      <c r="D423" s="928"/>
      <c r="E423" s="928"/>
      <c r="F423" s="928"/>
      <c r="G423" s="928"/>
      <c r="H423" s="928"/>
      <c r="I423" s="928"/>
      <c r="J423" s="928"/>
      <c r="K423" s="928"/>
      <c r="L423" s="928"/>
      <c r="M423" s="928"/>
      <c r="N423" s="928"/>
      <c r="O423" s="928"/>
      <c r="P423" s="928"/>
      <c r="Q423" s="928"/>
      <c r="R423" s="928"/>
      <c r="S423" s="928"/>
      <c r="T423" s="928"/>
      <c r="U423" s="928"/>
      <c r="V423" s="928"/>
      <c r="W423" s="928"/>
      <c r="X423" s="928"/>
      <c r="Y423" s="928"/>
      <c r="Z423" s="928"/>
      <c r="AA423" s="928"/>
    </row>
    <row r="424" hidden="1">
      <c r="A424" s="935"/>
      <c r="B424" s="932"/>
      <c r="C424" s="928"/>
      <c r="D424" s="928"/>
      <c r="E424" s="928"/>
      <c r="F424" s="928"/>
      <c r="G424" s="928"/>
      <c r="H424" s="928"/>
      <c r="I424" s="928"/>
      <c r="J424" s="928"/>
      <c r="K424" s="928"/>
      <c r="L424" s="928"/>
      <c r="M424" s="928"/>
      <c r="N424" s="928"/>
      <c r="O424" s="928"/>
      <c r="P424" s="928"/>
      <c r="Q424" s="928"/>
      <c r="R424" s="928"/>
      <c r="S424" s="928"/>
      <c r="T424" s="928"/>
      <c r="U424" s="928"/>
      <c r="V424" s="928"/>
      <c r="W424" s="928"/>
      <c r="X424" s="928"/>
      <c r="Y424" s="928"/>
      <c r="Z424" s="928"/>
      <c r="AA424" s="928"/>
    </row>
    <row r="425" hidden="1">
      <c r="A425" s="935"/>
      <c r="B425" s="932"/>
      <c r="C425" s="928"/>
      <c r="D425" s="928"/>
      <c r="E425" s="928"/>
      <c r="F425" s="928"/>
      <c r="G425" s="928"/>
      <c r="H425" s="928"/>
      <c r="I425" s="928"/>
      <c r="J425" s="928"/>
      <c r="K425" s="928"/>
      <c r="L425" s="928"/>
      <c r="M425" s="928"/>
      <c r="N425" s="928"/>
      <c r="O425" s="928"/>
      <c r="P425" s="928"/>
      <c r="Q425" s="928"/>
      <c r="R425" s="928"/>
      <c r="S425" s="928"/>
      <c r="T425" s="928"/>
      <c r="U425" s="928"/>
      <c r="V425" s="928"/>
      <c r="W425" s="928"/>
      <c r="X425" s="928"/>
      <c r="Y425" s="928"/>
      <c r="Z425" s="928"/>
      <c r="AA425" s="928"/>
    </row>
    <row r="426" hidden="1">
      <c r="A426" s="935"/>
      <c r="B426" s="932"/>
      <c r="C426" s="928"/>
      <c r="D426" s="928"/>
      <c r="E426" s="928"/>
      <c r="F426" s="928"/>
      <c r="G426" s="928"/>
      <c r="H426" s="928"/>
      <c r="I426" s="928"/>
      <c r="J426" s="928"/>
      <c r="K426" s="928"/>
      <c r="L426" s="928"/>
      <c r="M426" s="928"/>
      <c r="N426" s="928"/>
      <c r="O426" s="928"/>
      <c r="P426" s="928"/>
      <c r="Q426" s="928"/>
      <c r="R426" s="928"/>
      <c r="S426" s="928"/>
      <c r="T426" s="928"/>
      <c r="U426" s="928"/>
      <c r="V426" s="928"/>
      <c r="W426" s="928"/>
      <c r="X426" s="928"/>
      <c r="Y426" s="928"/>
      <c r="Z426" s="928"/>
      <c r="AA426" s="928"/>
    </row>
    <row r="427" hidden="1">
      <c r="A427" s="935"/>
      <c r="B427" s="932"/>
      <c r="C427" s="928"/>
      <c r="D427" s="928"/>
      <c r="E427" s="928"/>
      <c r="F427" s="928"/>
      <c r="G427" s="928"/>
      <c r="H427" s="928"/>
      <c r="I427" s="928"/>
      <c r="J427" s="928"/>
      <c r="K427" s="928"/>
      <c r="L427" s="928"/>
      <c r="M427" s="928"/>
      <c r="N427" s="928"/>
      <c r="O427" s="928"/>
      <c r="P427" s="928"/>
      <c r="Q427" s="928"/>
      <c r="R427" s="928"/>
      <c r="S427" s="928"/>
      <c r="T427" s="928"/>
      <c r="U427" s="928"/>
      <c r="V427" s="928"/>
      <c r="W427" s="928"/>
      <c r="X427" s="928"/>
      <c r="Y427" s="928"/>
      <c r="Z427" s="928"/>
      <c r="AA427" s="928"/>
    </row>
    <row r="428" hidden="1">
      <c r="A428" s="935"/>
      <c r="B428" s="932"/>
      <c r="C428" s="928"/>
      <c r="D428" s="928"/>
      <c r="E428" s="928"/>
      <c r="F428" s="928"/>
      <c r="G428" s="928"/>
      <c r="H428" s="928"/>
      <c r="I428" s="928"/>
      <c r="J428" s="928"/>
      <c r="K428" s="928"/>
      <c r="L428" s="928"/>
      <c r="M428" s="928"/>
      <c r="N428" s="928"/>
      <c r="O428" s="928"/>
      <c r="P428" s="928"/>
      <c r="Q428" s="928"/>
      <c r="R428" s="928"/>
      <c r="S428" s="928"/>
      <c r="T428" s="928"/>
      <c r="U428" s="928"/>
      <c r="V428" s="928"/>
      <c r="W428" s="928"/>
      <c r="X428" s="928"/>
      <c r="Y428" s="928"/>
      <c r="Z428" s="928"/>
      <c r="AA428" s="928"/>
    </row>
    <row r="429" hidden="1">
      <c r="A429" s="935"/>
      <c r="B429" s="932"/>
      <c r="C429" s="928"/>
      <c r="D429" s="928"/>
      <c r="E429" s="928"/>
      <c r="F429" s="928"/>
      <c r="G429" s="928"/>
      <c r="H429" s="928"/>
      <c r="I429" s="928"/>
      <c r="J429" s="928"/>
      <c r="K429" s="928"/>
      <c r="L429" s="928"/>
      <c r="M429" s="928"/>
      <c r="N429" s="928"/>
      <c r="O429" s="928"/>
      <c r="P429" s="928"/>
      <c r="Q429" s="928"/>
      <c r="R429" s="928"/>
      <c r="S429" s="928"/>
      <c r="T429" s="928"/>
      <c r="U429" s="928"/>
      <c r="V429" s="928"/>
      <c r="W429" s="928"/>
      <c r="X429" s="928"/>
      <c r="Y429" s="928"/>
      <c r="Z429" s="928"/>
      <c r="AA429" s="928"/>
    </row>
    <row r="430" hidden="1">
      <c r="A430" s="935"/>
      <c r="B430" s="932"/>
      <c r="C430" s="928"/>
      <c r="D430" s="928"/>
      <c r="E430" s="928"/>
      <c r="F430" s="928"/>
      <c r="G430" s="928"/>
      <c r="H430" s="928"/>
      <c r="I430" s="928"/>
      <c r="J430" s="928"/>
      <c r="K430" s="928"/>
      <c r="L430" s="928"/>
      <c r="M430" s="928"/>
      <c r="N430" s="928"/>
      <c r="O430" s="928"/>
      <c r="P430" s="928"/>
      <c r="Q430" s="928"/>
      <c r="R430" s="928"/>
      <c r="S430" s="928"/>
      <c r="T430" s="928"/>
      <c r="U430" s="928"/>
      <c r="V430" s="928"/>
      <c r="W430" s="928"/>
      <c r="X430" s="928"/>
      <c r="Y430" s="928"/>
      <c r="Z430" s="928"/>
      <c r="AA430" s="928"/>
    </row>
    <row r="431" hidden="1">
      <c r="A431" s="935"/>
      <c r="B431" s="932"/>
      <c r="C431" s="928"/>
      <c r="D431" s="928"/>
      <c r="E431" s="928"/>
      <c r="F431" s="928"/>
      <c r="G431" s="928"/>
      <c r="H431" s="928"/>
      <c r="I431" s="928"/>
      <c r="J431" s="928"/>
      <c r="K431" s="928"/>
      <c r="L431" s="928"/>
      <c r="M431" s="928"/>
      <c r="N431" s="928"/>
      <c r="O431" s="928"/>
      <c r="P431" s="928"/>
      <c r="Q431" s="928"/>
      <c r="R431" s="928"/>
      <c r="S431" s="928"/>
      <c r="T431" s="928"/>
      <c r="U431" s="928"/>
      <c r="V431" s="928"/>
      <c r="W431" s="928"/>
      <c r="X431" s="928"/>
      <c r="Y431" s="928"/>
      <c r="Z431" s="928"/>
      <c r="AA431" s="928"/>
    </row>
    <row r="432" hidden="1">
      <c r="A432" s="935"/>
      <c r="B432" s="932"/>
      <c r="C432" s="928"/>
      <c r="D432" s="928"/>
      <c r="E432" s="928"/>
      <c r="F432" s="928"/>
      <c r="G432" s="928"/>
      <c r="H432" s="928"/>
      <c r="I432" s="928"/>
      <c r="J432" s="928"/>
      <c r="K432" s="928"/>
      <c r="L432" s="928"/>
      <c r="M432" s="928"/>
      <c r="N432" s="928"/>
      <c r="O432" s="928"/>
      <c r="P432" s="928"/>
      <c r="Q432" s="928"/>
      <c r="R432" s="928"/>
      <c r="S432" s="928"/>
      <c r="T432" s="928"/>
      <c r="U432" s="928"/>
      <c r="V432" s="928"/>
      <c r="W432" s="928"/>
      <c r="X432" s="928"/>
      <c r="Y432" s="928"/>
      <c r="Z432" s="928"/>
      <c r="AA432" s="928"/>
    </row>
    <row r="433" hidden="1">
      <c r="A433" s="935"/>
      <c r="B433" s="932"/>
      <c r="C433" s="928"/>
      <c r="D433" s="928"/>
      <c r="E433" s="928"/>
      <c r="F433" s="928"/>
      <c r="G433" s="928"/>
      <c r="H433" s="928"/>
      <c r="I433" s="928"/>
      <c r="J433" s="928"/>
      <c r="K433" s="928"/>
      <c r="L433" s="928"/>
      <c r="M433" s="928"/>
      <c r="N433" s="928"/>
      <c r="O433" s="928"/>
      <c r="P433" s="928"/>
      <c r="Q433" s="928"/>
      <c r="R433" s="928"/>
      <c r="S433" s="928"/>
      <c r="T433" s="928"/>
      <c r="U433" s="928"/>
      <c r="V433" s="928"/>
      <c r="W433" s="928"/>
      <c r="X433" s="928"/>
      <c r="Y433" s="928"/>
      <c r="Z433" s="928"/>
      <c r="AA433" s="928"/>
    </row>
    <row r="434" hidden="1">
      <c r="A434" s="935"/>
      <c r="B434" s="932"/>
      <c r="C434" s="928"/>
      <c r="D434" s="928"/>
      <c r="E434" s="928"/>
      <c r="F434" s="928"/>
      <c r="G434" s="928"/>
      <c r="H434" s="928"/>
      <c r="I434" s="928"/>
      <c r="J434" s="928"/>
      <c r="K434" s="928"/>
      <c r="L434" s="928"/>
      <c r="M434" s="928"/>
      <c r="N434" s="928"/>
      <c r="O434" s="928"/>
      <c r="P434" s="928"/>
      <c r="Q434" s="928"/>
      <c r="R434" s="928"/>
      <c r="S434" s="928"/>
      <c r="T434" s="928"/>
      <c r="U434" s="928"/>
      <c r="V434" s="928"/>
      <c r="W434" s="928"/>
      <c r="X434" s="928"/>
      <c r="Y434" s="928"/>
      <c r="Z434" s="928"/>
      <c r="AA434" s="928"/>
    </row>
    <row r="435" hidden="1">
      <c r="A435" s="935"/>
      <c r="B435" s="932"/>
      <c r="C435" s="928"/>
      <c r="D435" s="928"/>
      <c r="E435" s="928"/>
      <c r="F435" s="928"/>
      <c r="G435" s="928"/>
      <c r="H435" s="928"/>
      <c r="I435" s="928"/>
      <c r="J435" s="928"/>
      <c r="K435" s="928"/>
      <c r="L435" s="928"/>
      <c r="M435" s="928"/>
      <c r="N435" s="928"/>
      <c r="O435" s="928"/>
      <c r="P435" s="928"/>
      <c r="Q435" s="928"/>
      <c r="R435" s="928"/>
      <c r="S435" s="928"/>
      <c r="T435" s="928"/>
      <c r="U435" s="928"/>
      <c r="V435" s="928"/>
      <c r="W435" s="928"/>
      <c r="X435" s="928"/>
      <c r="Y435" s="928"/>
      <c r="Z435" s="928"/>
      <c r="AA435" s="928"/>
    </row>
    <row r="436" hidden="1">
      <c r="A436" s="935"/>
      <c r="B436" s="932"/>
      <c r="C436" s="928"/>
      <c r="D436" s="928"/>
      <c r="E436" s="928"/>
      <c r="F436" s="928"/>
      <c r="G436" s="928"/>
      <c r="H436" s="928"/>
      <c r="I436" s="928"/>
      <c r="J436" s="928"/>
      <c r="K436" s="928"/>
      <c r="L436" s="928"/>
      <c r="M436" s="928"/>
      <c r="N436" s="928"/>
      <c r="O436" s="928"/>
      <c r="P436" s="928"/>
      <c r="Q436" s="928"/>
      <c r="R436" s="928"/>
      <c r="S436" s="928"/>
      <c r="T436" s="928"/>
      <c r="U436" s="928"/>
      <c r="V436" s="928"/>
      <c r="W436" s="928"/>
      <c r="X436" s="928"/>
      <c r="Y436" s="928"/>
      <c r="Z436" s="928"/>
      <c r="AA436" s="928"/>
    </row>
    <row r="437" hidden="1">
      <c r="A437" s="935"/>
      <c r="B437" s="932"/>
      <c r="C437" s="928"/>
      <c r="D437" s="928"/>
      <c r="E437" s="928"/>
      <c r="F437" s="928"/>
      <c r="G437" s="928"/>
      <c r="H437" s="928"/>
      <c r="I437" s="928"/>
      <c r="J437" s="928"/>
      <c r="K437" s="928"/>
      <c r="L437" s="928"/>
      <c r="M437" s="928"/>
      <c r="N437" s="928"/>
      <c r="O437" s="928"/>
      <c r="P437" s="928"/>
      <c r="Q437" s="928"/>
      <c r="R437" s="928"/>
      <c r="S437" s="928"/>
      <c r="T437" s="928"/>
      <c r="U437" s="928"/>
      <c r="V437" s="928"/>
      <c r="W437" s="928"/>
      <c r="X437" s="928"/>
      <c r="Y437" s="928"/>
      <c r="Z437" s="928"/>
      <c r="AA437" s="928"/>
    </row>
    <row r="438" hidden="1">
      <c r="A438" s="935"/>
      <c r="B438" s="932"/>
      <c r="C438" s="928"/>
      <c r="D438" s="928"/>
      <c r="E438" s="928"/>
      <c r="F438" s="928"/>
      <c r="G438" s="928"/>
      <c r="H438" s="928"/>
      <c r="I438" s="928"/>
      <c r="J438" s="928"/>
      <c r="K438" s="928"/>
      <c r="L438" s="928"/>
      <c r="M438" s="928"/>
      <c r="N438" s="928"/>
      <c r="O438" s="928"/>
      <c r="P438" s="928"/>
      <c r="Q438" s="928"/>
      <c r="R438" s="928"/>
      <c r="S438" s="928"/>
      <c r="T438" s="928"/>
      <c r="U438" s="928"/>
      <c r="V438" s="928"/>
      <c r="W438" s="928"/>
      <c r="X438" s="928"/>
      <c r="Y438" s="928"/>
      <c r="Z438" s="928"/>
      <c r="AA438" s="928"/>
    </row>
    <row r="439" hidden="1">
      <c r="A439" s="935"/>
      <c r="B439" s="932"/>
      <c r="C439" s="928"/>
      <c r="D439" s="928"/>
      <c r="E439" s="928"/>
      <c r="F439" s="928"/>
      <c r="G439" s="928"/>
      <c r="H439" s="928"/>
      <c r="I439" s="928"/>
      <c r="J439" s="928"/>
      <c r="K439" s="928"/>
      <c r="L439" s="928"/>
      <c r="M439" s="928"/>
      <c r="N439" s="928"/>
      <c r="O439" s="928"/>
      <c r="P439" s="928"/>
      <c r="Q439" s="928"/>
      <c r="R439" s="928"/>
      <c r="S439" s="928"/>
      <c r="T439" s="928"/>
      <c r="U439" s="928"/>
      <c r="V439" s="928"/>
      <c r="W439" s="928"/>
      <c r="X439" s="928"/>
      <c r="Y439" s="928"/>
      <c r="Z439" s="928"/>
      <c r="AA439" s="928"/>
    </row>
    <row r="440" hidden="1">
      <c r="A440" s="935"/>
      <c r="B440" s="932"/>
      <c r="C440" s="928"/>
      <c r="D440" s="928"/>
      <c r="E440" s="928"/>
      <c r="F440" s="928"/>
      <c r="G440" s="928"/>
      <c r="H440" s="928"/>
      <c r="I440" s="928"/>
      <c r="J440" s="928"/>
      <c r="K440" s="928"/>
      <c r="L440" s="928"/>
      <c r="M440" s="928"/>
      <c r="N440" s="928"/>
      <c r="O440" s="928"/>
      <c r="P440" s="928"/>
      <c r="Q440" s="928"/>
      <c r="R440" s="928"/>
      <c r="S440" s="928"/>
      <c r="T440" s="928"/>
      <c r="U440" s="928"/>
      <c r="V440" s="928"/>
      <c r="W440" s="928"/>
      <c r="X440" s="928"/>
      <c r="Y440" s="928"/>
      <c r="Z440" s="928"/>
      <c r="AA440" s="928"/>
    </row>
    <row r="441" hidden="1">
      <c r="A441" s="935"/>
      <c r="B441" s="932"/>
      <c r="C441" s="928"/>
      <c r="D441" s="928"/>
      <c r="E441" s="928"/>
      <c r="F441" s="928"/>
      <c r="G441" s="928"/>
      <c r="H441" s="928"/>
      <c r="I441" s="928"/>
      <c r="J441" s="928"/>
      <c r="K441" s="928"/>
      <c r="L441" s="928"/>
      <c r="M441" s="928"/>
      <c r="N441" s="928"/>
      <c r="O441" s="928"/>
      <c r="P441" s="928"/>
      <c r="Q441" s="928"/>
      <c r="R441" s="928"/>
      <c r="S441" s="928"/>
      <c r="T441" s="928"/>
      <c r="U441" s="928"/>
      <c r="V441" s="928"/>
      <c r="W441" s="928"/>
      <c r="X441" s="928"/>
      <c r="Y441" s="928"/>
      <c r="Z441" s="928"/>
      <c r="AA441" s="928"/>
    </row>
    <row r="442" hidden="1">
      <c r="A442" s="935"/>
      <c r="B442" s="932"/>
      <c r="C442" s="928"/>
      <c r="D442" s="928"/>
      <c r="E442" s="928"/>
      <c r="F442" s="928"/>
      <c r="G442" s="928"/>
      <c r="H442" s="928"/>
      <c r="I442" s="928"/>
      <c r="J442" s="928"/>
      <c r="K442" s="928"/>
      <c r="L442" s="928"/>
      <c r="M442" s="928"/>
      <c r="N442" s="928"/>
      <c r="O442" s="928"/>
      <c r="P442" s="928"/>
      <c r="Q442" s="928"/>
      <c r="R442" s="928"/>
      <c r="S442" s="928"/>
      <c r="T442" s="928"/>
      <c r="U442" s="928"/>
      <c r="V442" s="928"/>
      <c r="W442" s="928"/>
      <c r="X442" s="928"/>
      <c r="Y442" s="928"/>
      <c r="Z442" s="928"/>
      <c r="AA442" s="928"/>
    </row>
    <row r="443" hidden="1">
      <c r="A443" s="935"/>
      <c r="B443" s="932"/>
      <c r="C443" s="928"/>
      <c r="D443" s="928"/>
      <c r="E443" s="928"/>
      <c r="F443" s="928"/>
      <c r="G443" s="928"/>
      <c r="H443" s="928"/>
      <c r="I443" s="928"/>
      <c r="J443" s="928"/>
      <c r="K443" s="928"/>
      <c r="L443" s="928"/>
      <c r="M443" s="928"/>
      <c r="N443" s="928"/>
      <c r="O443" s="928"/>
      <c r="P443" s="928"/>
      <c r="Q443" s="928"/>
      <c r="R443" s="928"/>
      <c r="S443" s="928"/>
      <c r="T443" s="928"/>
      <c r="U443" s="928"/>
      <c r="V443" s="928"/>
      <c r="W443" s="928"/>
      <c r="X443" s="928"/>
      <c r="Y443" s="928"/>
      <c r="Z443" s="928"/>
      <c r="AA443" s="928"/>
    </row>
    <row r="444" hidden="1">
      <c r="A444" s="935"/>
      <c r="B444" s="932"/>
      <c r="C444" s="928"/>
      <c r="D444" s="928"/>
      <c r="E444" s="928"/>
      <c r="F444" s="928"/>
      <c r="G444" s="928"/>
      <c r="H444" s="928"/>
      <c r="I444" s="928"/>
      <c r="J444" s="928"/>
      <c r="K444" s="928"/>
      <c r="L444" s="928"/>
      <c r="M444" s="928"/>
      <c r="N444" s="928"/>
      <c r="O444" s="928"/>
      <c r="P444" s="928"/>
      <c r="Q444" s="928"/>
      <c r="R444" s="928"/>
      <c r="S444" s="928"/>
      <c r="T444" s="928"/>
      <c r="U444" s="928"/>
      <c r="V444" s="928"/>
      <c r="W444" s="928"/>
      <c r="X444" s="928"/>
      <c r="Y444" s="928"/>
      <c r="Z444" s="928"/>
      <c r="AA444" s="928"/>
    </row>
    <row r="445" hidden="1">
      <c r="A445" s="935"/>
      <c r="B445" s="932"/>
      <c r="C445" s="928"/>
      <c r="D445" s="928"/>
      <c r="E445" s="928"/>
      <c r="F445" s="928"/>
      <c r="G445" s="928"/>
      <c r="H445" s="928"/>
      <c r="I445" s="928"/>
      <c r="J445" s="928"/>
      <c r="K445" s="928"/>
      <c r="L445" s="928"/>
      <c r="M445" s="928"/>
      <c r="N445" s="928"/>
      <c r="O445" s="928"/>
      <c r="P445" s="928"/>
      <c r="Q445" s="928"/>
      <c r="R445" s="928"/>
      <c r="S445" s="928"/>
      <c r="T445" s="928"/>
      <c r="U445" s="928"/>
      <c r="V445" s="928"/>
      <c r="W445" s="928"/>
      <c r="X445" s="928"/>
      <c r="Y445" s="928"/>
      <c r="Z445" s="928"/>
      <c r="AA445" s="928"/>
    </row>
    <row r="446" hidden="1">
      <c r="A446" s="935"/>
      <c r="B446" s="932"/>
      <c r="C446" s="928"/>
      <c r="D446" s="928"/>
      <c r="E446" s="928"/>
      <c r="F446" s="928"/>
      <c r="G446" s="928"/>
      <c r="H446" s="928"/>
      <c r="I446" s="928"/>
      <c r="J446" s="928"/>
      <c r="K446" s="928"/>
      <c r="L446" s="928"/>
      <c r="M446" s="928"/>
      <c r="N446" s="928"/>
      <c r="O446" s="928"/>
      <c r="P446" s="928"/>
      <c r="Q446" s="928"/>
      <c r="R446" s="928"/>
      <c r="S446" s="928"/>
      <c r="T446" s="928"/>
      <c r="U446" s="928"/>
      <c r="V446" s="928"/>
      <c r="W446" s="928"/>
      <c r="X446" s="928"/>
      <c r="Y446" s="928"/>
      <c r="Z446" s="928"/>
      <c r="AA446" s="928"/>
    </row>
    <row r="447" hidden="1">
      <c r="A447" s="935"/>
      <c r="B447" s="932"/>
      <c r="C447" s="928"/>
      <c r="D447" s="928"/>
      <c r="E447" s="928"/>
      <c r="F447" s="928"/>
      <c r="G447" s="928"/>
      <c r="H447" s="928"/>
      <c r="I447" s="928"/>
      <c r="J447" s="928"/>
      <c r="K447" s="928"/>
      <c r="L447" s="928"/>
      <c r="M447" s="928"/>
      <c r="N447" s="928"/>
      <c r="O447" s="928"/>
      <c r="P447" s="928"/>
      <c r="Q447" s="928"/>
      <c r="R447" s="928"/>
      <c r="S447" s="928"/>
      <c r="T447" s="928"/>
      <c r="U447" s="928"/>
      <c r="V447" s="928"/>
      <c r="W447" s="928"/>
      <c r="X447" s="928"/>
      <c r="Y447" s="928"/>
      <c r="Z447" s="928"/>
      <c r="AA447" s="928"/>
    </row>
    <row r="448" hidden="1">
      <c r="A448" s="935"/>
      <c r="B448" s="932"/>
      <c r="C448" s="928"/>
      <c r="D448" s="928"/>
      <c r="E448" s="928"/>
      <c r="F448" s="928"/>
      <c r="G448" s="928"/>
      <c r="H448" s="928"/>
      <c r="I448" s="928"/>
      <c r="J448" s="928"/>
      <c r="K448" s="928"/>
      <c r="L448" s="928"/>
      <c r="M448" s="928"/>
      <c r="N448" s="928"/>
      <c r="O448" s="928"/>
      <c r="P448" s="928"/>
      <c r="Q448" s="928"/>
      <c r="R448" s="928"/>
      <c r="S448" s="928"/>
      <c r="T448" s="928"/>
      <c r="U448" s="928"/>
      <c r="V448" s="928"/>
      <c r="W448" s="928"/>
      <c r="X448" s="928"/>
      <c r="Y448" s="928"/>
      <c r="Z448" s="928"/>
      <c r="AA448" s="928"/>
    </row>
    <row r="449" hidden="1">
      <c r="A449" s="935"/>
      <c r="B449" s="932"/>
      <c r="C449" s="928"/>
      <c r="D449" s="928"/>
      <c r="E449" s="928"/>
      <c r="F449" s="928"/>
      <c r="G449" s="928"/>
      <c r="H449" s="928"/>
      <c r="I449" s="928"/>
      <c r="J449" s="928"/>
      <c r="K449" s="928"/>
      <c r="L449" s="928"/>
      <c r="M449" s="928"/>
      <c r="N449" s="928"/>
      <c r="O449" s="928"/>
      <c r="P449" s="928"/>
      <c r="Q449" s="928"/>
      <c r="R449" s="928"/>
      <c r="S449" s="928"/>
      <c r="T449" s="928"/>
      <c r="U449" s="928"/>
      <c r="V449" s="928"/>
      <c r="W449" s="928"/>
      <c r="X449" s="928"/>
      <c r="Y449" s="928"/>
      <c r="Z449" s="928"/>
      <c r="AA449" s="928"/>
    </row>
    <row r="450" hidden="1">
      <c r="A450" s="935"/>
      <c r="B450" s="932"/>
      <c r="C450" s="928"/>
      <c r="D450" s="928"/>
      <c r="E450" s="928"/>
      <c r="F450" s="928"/>
      <c r="G450" s="928"/>
      <c r="H450" s="928"/>
      <c r="I450" s="928"/>
      <c r="J450" s="928"/>
      <c r="K450" s="928"/>
      <c r="L450" s="928"/>
      <c r="M450" s="928"/>
      <c r="N450" s="928"/>
      <c r="O450" s="928"/>
      <c r="P450" s="928"/>
      <c r="Q450" s="928"/>
      <c r="R450" s="928"/>
      <c r="S450" s="928"/>
      <c r="T450" s="928"/>
      <c r="U450" s="928"/>
      <c r="V450" s="928"/>
      <c r="W450" s="928"/>
      <c r="X450" s="928"/>
      <c r="Y450" s="928"/>
      <c r="Z450" s="928"/>
      <c r="AA450" s="928"/>
    </row>
    <row r="451" hidden="1">
      <c r="A451" s="935"/>
      <c r="B451" s="932"/>
      <c r="C451" s="928"/>
      <c r="D451" s="928"/>
      <c r="E451" s="928"/>
      <c r="F451" s="928"/>
      <c r="G451" s="928"/>
      <c r="H451" s="928"/>
      <c r="I451" s="928"/>
      <c r="J451" s="928"/>
      <c r="K451" s="928"/>
      <c r="L451" s="928"/>
      <c r="M451" s="928"/>
      <c r="N451" s="928"/>
      <c r="O451" s="928"/>
      <c r="P451" s="928"/>
      <c r="Q451" s="928"/>
      <c r="R451" s="928"/>
      <c r="S451" s="928"/>
      <c r="T451" s="928"/>
      <c r="U451" s="928"/>
      <c r="V451" s="928"/>
      <c r="W451" s="928"/>
      <c r="X451" s="928"/>
      <c r="Y451" s="928"/>
      <c r="Z451" s="928"/>
      <c r="AA451" s="928"/>
    </row>
    <row r="452" hidden="1">
      <c r="A452" s="935"/>
      <c r="B452" s="932"/>
      <c r="C452" s="928"/>
      <c r="D452" s="928"/>
      <c r="E452" s="928"/>
      <c r="F452" s="928"/>
      <c r="G452" s="928"/>
      <c r="H452" s="928"/>
      <c r="I452" s="928"/>
      <c r="J452" s="928"/>
      <c r="K452" s="928"/>
      <c r="L452" s="928"/>
      <c r="M452" s="928"/>
      <c r="N452" s="928"/>
      <c r="O452" s="928"/>
      <c r="P452" s="928"/>
      <c r="Q452" s="928"/>
      <c r="R452" s="928"/>
      <c r="S452" s="928"/>
      <c r="T452" s="928"/>
      <c r="U452" s="928"/>
      <c r="V452" s="928"/>
      <c r="W452" s="928"/>
      <c r="X452" s="928"/>
      <c r="Y452" s="928"/>
      <c r="Z452" s="928"/>
      <c r="AA452" s="928"/>
    </row>
    <row r="453" hidden="1">
      <c r="A453" s="935"/>
      <c r="B453" s="932"/>
      <c r="C453" s="928"/>
      <c r="D453" s="928"/>
      <c r="E453" s="928"/>
      <c r="F453" s="928"/>
      <c r="G453" s="928"/>
      <c r="H453" s="928"/>
      <c r="I453" s="928"/>
      <c r="J453" s="928"/>
      <c r="K453" s="928"/>
      <c r="L453" s="928"/>
      <c r="M453" s="928"/>
      <c r="N453" s="928"/>
      <c r="O453" s="928"/>
      <c r="P453" s="928"/>
      <c r="Q453" s="928"/>
      <c r="R453" s="928"/>
      <c r="S453" s="928"/>
      <c r="T453" s="928"/>
      <c r="U453" s="928"/>
      <c r="V453" s="928"/>
      <c r="W453" s="928"/>
      <c r="X453" s="928"/>
      <c r="Y453" s="928"/>
      <c r="Z453" s="928"/>
      <c r="AA453" s="928"/>
    </row>
    <row r="454" hidden="1">
      <c r="A454" s="935"/>
      <c r="B454" s="932"/>
      <c r="C454" s="928"/>
      <c r="D454" s="928"/>
      <c r="E454" s="928"/>
      <c r="F454" s="928"/>
      <c r="G454" s="928"/>
      <c r="H454" s="928"/>
      <c r="I454" s="928"/>
      <c r="J454" s="928"/>
      <c r="K454" s="928"/>
      <c r="L454" s="928"/>
      <c r="M454" s="928"/>
      <c r="N454" s="928"/>
      <c r="O454" s="928"/>
      <c r="P454" s="928"/>
      <c r="Q454" s="928"/>
      <c r="R454" s="928"/>
      <c r="S454" s="928"/>
      <c r="T454" s="928"/>
      <c r="U454" s="928"/>
      <c r="V454" s="928"/>
      <c r="W454" s="928"/>
      <c r="X454" s="928"/>
      <c r="Y454" s="928"/>
      <c r="Z454" s="928"/>
      <c r="AA454" s="928"/>
    </row>
    <row r="455" hidden="1">
      <c r="A455" s="935"/>
      <c r="B455" s="932"/>
      <c r="C455" s="928"/>
      <c r="D455" s="928"/>
      <c r="E455" s="928"/>
      <c r="F455" s="928"/>
      <c r="G455" s="928"/>
      <c r="H455" s="928"/>
      <c r="I455" s="928"/>
      <c r="J455" s="928"/>
      <c r="K455" s="928"/>
      <c r="L455" s="928"/>
      <c r="M455" s="928"/>
      <c r="N455" s="928"/>
      <c r="O455" s="928"/>
      <c r="P455" s="928"/>
      <c r="Q455" s="928"/>
      <c r="R455" s="928"/>
      <c r="S455" s="928"/>
      <c r="T455" s="928"/>
      <c r="U455" s="928"/>
      <c r="V455" s="928"/>
      <c r="W455" s="928"/>
      <c r="X455" s="928"/>
      <c r="Y455" s="928"/>
      <c r="Z455" s="928"/>
      <c r="AA455" s="928"/>
    </row>
    <row r="456" hidden="1">
      <c r="A456" s="935"/>
      <c r="B456" s="932"/>
      <c r="C456" s="928"/>
      <c r="D456" s="928"/>
      <c r="E456" s="928"/>
      <c r="F456" s="928"/>
      <c r="G456" s="928"/>
      <c r="H456" s="928"/>
      <c r="I456" s="928"/>
      <c r="J456" s="928"/>
      <c r="K456" s="928"/>
      <c r="L456" s="928"/>
      <c r="M456" s="928"/>
      <c r="N456" s="928"/>
      <c r="O456" s="928"/>
      <c r="P456" s="928"/>
      <c r="Q456" s="928"/>
      <c r="R456" s="928"/>
      <c r="S456" s="928"/>
      <c r="T456" s="928"/>
      <c r="U456" s="928"/>
      <c r="V456" s="928"/>
      <c r="W456" s="928"/>
      <c r="X456" s="928"/>
      <c r="Y456" s="928"/>
      <c r="Z456" s="928"/>
      <c r="AA456" s="928"/>
    </row>
    <row r="457" hidden="1">
      <c r="A457" s="935"/>
      <c r="B457" s="932"/>
      <c r="C457" s="928"/>
      <c r="D457" s="928"/>
      <c r="E457" s="928"/>
      <c r="F457" s="928"/>
      <c r="G457" s="928"/>
      <c r="H457" s="928"/>
      <c r="I457" s="928"/>
      <c r="J457" s="928"/>
      <c r="K457" s="928"/>
      <c r="L457" s="928"/>
      <c r="M457" s="928"/>
      <c r="N457" s="928"/>
      <c r="O457" s="928"/>
      <c r="P457" s="928"/>
      <c r="Q457" s="928"/>
      <c r="R457" s="928"/>
      <c r="S457" s="928"/>
      <c r="T457" s="928"/>
      <c r="U457" s="928"/>
      <c r="V457" s="928"/>
      <c r="W457" s="928"/>
      <c r="X457" s="928"/>
      <c r="Y457" s="928"/>
      <c r="Z457" s="928"/>
      <c r="AA457" s="928"/>
    </row>
    <row r="458" hidden="1">
      <c r="A458" s="935"/>
      <c r="B458" s="932"/>
      <c r="C458" s="928"/>
      <c r="D458" s="928"/>
      <c r="E458" s="928"/>
      <c r="F458" s="928"/>
      <c r="G458" s="928"/>
      <c r="H458" s="928"/>
      <c r="I458" s="928"/>
      <c r="J458" s="928"/>
      <c r="K458" s="928"/>
      <c r="L458" s="928"/>
      <c r="M458" s="928"/>
      <c r="N458" s="928"/>
      <c r="O458" s="928"/>
      <c r="P458" s="928"/>
      <c r="Q458" s="928"/>
      <c r="R458" s="928"/>
      <c r="S458" s="928"/>
      <c r="T458" s="928"/>
      <c r="U458" s="928"/>
      <c r="V458" s="928"/>
      <c r="W458" s="928"/>
      <c r="X458" s="928"/>
      <c r="Y458" s="928"/>
      <c r="Z458" s="928"/>
      <c r="AA458" s="928"/>
    </row>
    <row r="459" hidden="1">
      <c r="A459" s="935"/>
      <c r="B459" s="932"/>
      <c r="C459" s="928"/>
      <c r="D459" s="928"/>
      <c r="E459" s="928"/>
      <c r="F459" s="928"/>
      <c r="G459" s="928"/>
      <c r="H459" s="928"/>
      <c r="I459" s="928"/>
      <c r="J459" s="928"/>
      <c r="K459" s="928"/>
      <c r="L459" s="928"/>
      <c r="M459" s="928"/>
      <c r="N459" s="928"/>
      <c r="O459" s="928"/>
      <c r="P459" s="928"/>
      <c r="Q459" s="928"/>
      <c r="R459" s="928"/>
      <c r="S459" s="928"/>
      <c r="T459" s="928"/>
      <c r="U459" s="928"/>
      <c r="V459" s="928"/>
      <c r="W459" s="928"/>
      <c r="X459" s="928"/>
      <c r="Y459" s="928"/>
      <c r="Z459" s="928"/>
      <c r="AA459" s="928"/>
    </row>
    <row r="460" hidden="1">
      <c r="A460" s="935"/>
      <c r="B460" s="932"/>
      <c r="C460" s="928"/>
      <c r="D460" s="928"/>
      <c r="E460" s="928"/>
      <c r="F460" s="928"/>
      <c r="G460" s="928"/>
      <c r="H460" s="928"/>
      <c r="I460" s="928"/>
      <c r="J460" s="928"/>
      <c r="K460" s="928"/>
      <c r="L460" s="928"/>
      <c r="M460" s="928"/>
      <c r="N460" s="928"/>
      <c r="O460" s="928"/>
      <c r="P460" s="928"/>
      <c r="Q460" s="928"/>
      <c r="R460" s="928"/>
      <c r="S460" s="928"/>
      <c r="T460" s="928"/>
      <c r="U460" s="928"/>
      <c r="V460" s="928"/>
      <c r="W460" s="928"/>
      <c r="X460" s="928"/>
      <c r="Y460" s="928"/>
      <c r="Z460" s="928"/>
      <c r="AA460" s="928"/>
    </row>
    <row r="461" hidden="1">
      <c r="A461" s="935"/>
      <c r="B461" s="932"/>
      <c r="C461" s="928"/>
      <c r="D461" s="928"/>
      <c r="E461" s="928"/>
      <c r="F461" s="928"/>
      <c r="G461" s="928"/>
      <c r="H461" s="928"/>
      <c r="I461" s="928"/>
      <c r="J461" s="928"/>
      <c r="K461" s="928"/>
      <c r="L461" s="928"/>
      <c r="M461" s="928"/>
      <c r="N461" s="928"/>
      <c r="O461" s="928"/>
      <c r="P461" s="928"/>
      <c r="Q461" s="928"/>
      <c r="R461" s="928"/>
      <c r="S461" s="928"/>
      <c r="T461" s="928"/>
      <c r="U461" s="928"/>
      <c r="V461" s="928"/>
      <c r="W461" s="928"/>
      <c r="X461" s="928"/>
      <c r="Y461" s="928"/>
      <c r="Z461" s="928"/>
      <c r="AA461" s="928"/>
    </row>
    <row r="462" hidden="1">
      <c r="A462" s="935"/>
      <c r="B462" s="932"/>
      <c r="C462" s="928"/>
      <c r="D462" s="928"/>
      <c r="E462" s="928"/>
      <c r="F462" s="928"/>
      <c r="G462" s="928"/>
      <c r="H462" s="928"/>
      <c r="I462" s="928"/>
      <c r="J462" s="928"/>
      <c r="K462" s="928"/>
      <c r="L462" s="928"/>
      <c r="M462" s="928"/>
      <c r="N462" s="928"/>
      <c r="O462" s="928"/>
      <c r="P462" s="928"/>
      <c r="Q462" s="928"/>
      <c r="R462" s="928"/>
      <c r="S462" s="928"/>
      <c r="T462" s="928"/>
      <c r="U462" s="928"/>
      <c r="V462" s="928"/>
      <c r="W462" s="928"/>
      <c r="X462" s="928"/>
      <c r="Y462" s="928"/>
      <c r="Z462" s="928"/>
      <c r="AA462" s="928"/>
    </row>
    <row r="463" hidden="1">
      <c r="A463" s="935"/>
      <c r="B463" s="932"/>
      <c r="C463" s="928"/>
      <c r="D463" s="928"/>
      <c r="E463" s="928"/>
      <c r="F463" s="928"/>
      <c r="G463" s="928"/>
      <c r="H463" s="928"/>
      <c r="I463" s="928"/>
      <c r="J463" s="928"/>
      <c r="K463" s="928"/>
      <c r="L463" s="928"/>
      <c r="M463" s="928"/>
      <c r="N463" s="928"/>
      <c r="O463" s="928"/>
      <c r="P463" s="928"/>
      <c r="Q463" s="928"/>
      <c r="R463" s="928"/>
      <c r="S463" s="928"/>
      <c r="T463" s="928"/>
      <c r="U463" s="928"/>
      <c r="V463" s="928"/>
      <c r="W463" s="928"/>
      <c r="X463" s="928"/>
      <c r="Y463" s="928"/>
      <c r="Z463" s="928"/>
      <c r="AA463" s="928"/>
    </row>
    <row r="464" hidden="1">
      <c r="A464" s="935"/>
      <c r="B464" s="932"/>
      <c r="C464" s="928"/>
      <c r="D464" s="928"/>
      <c r="E464" s="928"/>
      <c r="F464" s="928"/>
      <c r="G464" s="928"/>
      <c r="H464" s="928"/>
      <c r="I464" s="928"/>
      <c r="J464" s="928"/>
      <c r="K464" s="928"/>
      <c r="L464" s="928"/>
      <c r="M464" s="928"/>
      <c r="N464" s="928"/>
      <c r="O464" s="928"/>
      <c r="P464" s="928"/>
      <c r="Q464" s="928"/>
      <c r="R464" s="928"/>
      <c r="S464" s="928"/>
      <c r="T464" s="928"/>
      <c r="U464" s="928"/>
      <c r="V464" s="928"/>
      <c r="W464" s="928"/>
      <c r="X464" s="928"/>
      <c r="Y464" s="928"/>
      <c r="Z464" s="928"/>
      <c r="AA464" s="928"/>
    </row>
    <row r="465" hidden="1">
      <c r="A465" s="935"/>
      <c r="B465" s="932"/>
      <c r="C465" s="928"/>
      <c r="D465" s="928"/>
      <c r="E465" s="928"/>
      <c r="F465" s="928"/>
      <c r="G465" s="928"/>
      <c r="H465" s="928"/>
      <c r="I465" s="928"/>
      <c r="J465" s="928"/>
      <c r="K465" s="928"/>
      <c r="L465" s="928"/>
      <c r="M465" s="928"/>
      <c r="N465" s="928"/>
      <c r="O465" s="928"/>
      <c r="P465" s="928"/>
      <c r="Q465" s="928"/>
      <c r="R465" s="928"/>
      <c r="S465" s="928"/>
      <c r="T465" s="928"/>
      <c r="U465" s="928"/>
      <c r="V465" s="928"/>
      <c r="W465" s="928"/>
      <c r="X465" s="928"/>
      <c r="Y465" s="928"/>
      <c r="Z465" s="928"/>
      <c r="AA465" s="928"/>
    </row>
    <row r="466" hidden="1">
      <c r="A466" s="935"/>
      <c r="B466" s="932"/>
      <c r="C466" s="928"/>
      <c r="D466" s="928"/>
      <c r="E466" s="928"/>
      <c r="F466" s="928"/>
      <c r="G466" s="928"/>
      <c r="H466" s="928"/>
      <c r="I466" s="928"/>
      <c r="J466" s="928"/>
      <c r="K466" s="928"/>
      <c r="L466" s="928"/>
      <c r="M466" s="928"/>
      <c r="N466" s="928"/>
      <c r="O466" s="928"/>
      <c r="P466" s="928"/>
      <c r="Q466" s="928"/>
      <c r="R466" s="928"/>
      <c r="S466" s="928"/>
      <c r="T466" s="928"/>
      <c r="U466" s="928"/>
      <c r="V466" s="928"/>
      <c r="W466" s="928"/>
      <c r="X466" s="928"/>
      <c r="Y466" s="928"/>
      <c r="Z466" s="928"/>
      <c r="AA466" s="928"/>
    </row>
    <row r="467" hidden="1">
      <c r="A467" s="935"/>
      <c r="B467" s="932"/>
      <c r="C467" s="928"/>
      <c r="D467" s="928"/>
      <c r="E467" s="928"/>
      <c r="F467" s="928"/>
      <c r="G467" s="928"/>
      <c r="H467" s="928"/>
      <c r="I467" s="928"/>
      <c r="J467" s="928"/>
      <c r="K467" s="928"/>
      <c r="L467" s="928"/>
      <c r="M467" s="928"/>
      <c r="N467" s="928"/>
      <c r="O467" s="928"/>
      <c r="P467" s="928"/>
      <c r="Q467" s="928"/>
      <c r="R467" s="928"/>
      <c r="S467" s="928"/>
      <c r="T467" s="928"/>
      <c r="U467" s="928"/>
      <c r="V467" s="928"/>
      <c r="W467" s="928"/>
      <c r="X467" s="928"/>
      <c r="Y467" s="928"/>
      <c r="Z467" s="928"/>
      <c r="AA467" s="928"/>
    </row>
    <row r="468" hidden="1">
      <c r="A468" s="935"/>
      <c r="B468" s="932"/>
      <c r="C468" s="928"/>
      <c r="D468" s="928"/>
      <c r="E468" s="928"/>
      <c r="F468" s="928"/>
      <c r="G468" s="928"/>
      <c r="H468" s="928"/>
      <c r="I468" s="928"/>
      <c r="J468" s="928"/>
      <c r="K468" s="928"/>
      <c r="L468" s="928"/>
      <c r="M468" s="928"/>
      <c r="N468" s="928"/>
      <c r="O468" s="928"/>
      <c r="P468" s="928"/>
      <c r="Q468" s="928"/>
      <c r="R468" s="928"/>
      <c r="S468" s="928"/>
      <c r="T468" s="928"/>
      <c r="U468" s="928"/>
      <c r="V468" s="928"/>
      <c r="W468" s="928"/>
      <c r="X468" s="928"/>
      <c r="Y468" s="928"/>
      <c r="Z468" s="928"/>
      <c r="AA468" s="928"/>
    </row>
    <row r="469" hidden="1">
      <c r="A469" s="935"/>
      <c r="B469" s="932"/>
      <c r="C469" s="928"/>
      <c r="D469" s="928"/>
      <c r="E469" s="928"/>
      <c r="F469" s="928"/>
      <c r="G469" s="928"/>
      <c r="H469" s="928"/>
      <c r="I469" s="928"/>
      <c r="J469" s="928"/>
      <c r="K469" s="928"/>
      <c r="L469" s="928"/>
      <c r="M469" s="928"/>
      <c r="N469" s="928"/>
      <c r="O469" s="928"/>
      <c r="P469" s="928"/>
      <c r="Q469" s="928"/>
      <c r="R469" s="928"/>
      <c r="S469" s="928"/>
      <c r="T469" s="928"/>
      <c r="U469" s="928"/>
      <c r="V469" s="928"/>
      <c r="W469" s="928"/>
      <c r="X469" s="928"/>
      <c r="Y469" s="928"/>
      <c r="Z469" s="928"/>
      <c r="AA469" s="928"/>
    </row>
    <row r="470" hidden="1">
      <c r="A470" s="935"/>
      <c r="B470" s="932"/>
      <c r="C470" s="928"/>
      <c r="D470" s="928"/>
      <c r="E470" s="928"/>
      <c r="F470" s="928"/>
      <c r="G470" s="928"/>
      <c r="H470" s="928"/>
      <c r="I470" s="928"/>
      <c r="J470" s="928"/>
      <c r="K470" s="928"/>
      <c r="L470" s="928"/>
      <c r="M470" s="928"/>
      <c r="N470" s="928"/>
      <c r="O470" s="928"/>
      <c r="P470" s="928"/>
      <c r="Q470" s="928"/>
      <c r="R470" s="928"/>
      <c r="S470" s="928"/>
      <c r="T470" s="928"/>
      <c r="U470" s="928"/>
      <c r="V470" s="928"/>
      <c r="W470" s="928"/>
      <c r="X470" s="928"/>
      <c r="Y470" s="928"/>
      <c r="Z470" s="928"/>
      <c r="AA470" s="928"/>
    </row>
    <row r="471" hidden="1">
      <c r="A471" s="935"/>
      <c r="B471" s="932"/>
      <c r="C471" s="928"/>
      <c r="D471" s="928"/>
      <c r="E471" s="928"/>
      <c r="F471" s="928"/>
      <c r="G471" s="928"/>
      <c r="H471" s="928"/>
      <c r="I471" s="928"/>
      <c r="J471" s="928"/>
      <c r="K471" s="928"/>
      <c r="L471" s="928"/>
      <c r="M471" s="928"/>
      <c r="N471" s="928"/>
      <c r="O471" s="928"/>
      <c r="P471" s="928"/>
      <c r="Q471" s="928"/>
      <c r="R471" s="928"/>
      <c r="S471" s="928"/>
      <c r="T471" s="928"/>
      <c r="U471" s="928"/>
      <c r="V471" s="928"/>
      <c r="W471" s="928"/>
      <c r="X471" s="928"/>
      <c r="Y471" s="928"/>
      <c r="Z471" s="928"/>
      <c r="AA471" s="928"/>
    </row>
    <row r="472" hidden="1">
      <c r="A472" s="935"/>
      <c r="B472" s="932"/>
      <c r="C472" s="928"/>
      <c r="D472" s="928"/>
      <c r="E472" s="928"/>
      <c r="F472" s="928"/>
      <c r="G472" s="928"/>
      <c r="H472" s="928"/>
      <c r="I472" s="928"/>
      <c r="J472" s="928"/>
      <c r="K472" s="928"/>
      <c r="L472" s="928"/>
      <c r="M472" s="928"/>
      <c r="N472" s="928"/>
      <c r="O472" s="928"/>
      <c r="P472" s="928"/>
      <c r="Q472" s="928"/>
      <c r="R472" s="928"/>
      <c r="S472" s="928"/>
      <c r="T472" s="928"/>
      <c r="U472" s="928"/>
      <c r="V472" s="928"/>
      <c r="W472" s="928"/>
      <c r="X472" s="928"/>
      <c r="Y472" s="928"/>
      <c r="Z472" s="928"/>
      <c r="AA472" s="928"/>
    </row>
    <row r="473" hidden="1">
      <c r="A473" s="935"/>
      <c r="B473" s="932"/>
      <c r="C473" s="928"/>
      <c r="D473" s="928"/>
      <c r="E473" s="928"/>
      <c r="F473" s="928"/>
      <c r="G473" s="928"/>
      <c r="H473" s="928"/>
      <c r="I473" s="928"/>
      <c r="J473" s="928"/>
      <c r="K473" s="928"/>
      <c r="L473" s="928"/>
      <c r="M473" s="928"/>
      <c r="N473" s="928"/>
      <c r="O473" s="928"/>
      <c r="P473" s="928"/>
      <c r="Q473" s="928"/>
      <c r="R473" s="928"/>
      <c r="S473" s="928"/>
      <c r="T473" s="928"/>
      <c r="U473" s="928"/>
      <c r="V473" s="928"/>
      <c r="W473" s="928"/>
      <c r="X473" s="928"/>
      <c r="Y473" s="928"/>
      <c r="Z473" s="928"/>
      <c r="AA473" s="928"/>
    </row>
    <row r="474" hidden="1">
      <c r="A474" s="935"/>
      <c r="B474" s="932"/>
      <c r="C474" s="928"/>
      <c r="D474" s="928"/>
      <c r="E474" s="928"/>
      <c r="F474" s="928"/>
      <c r="G474" s="928"/>
      <c r="H474" s="928"/>
      <c r="I474" s="928"/>
      <c r="J474" s="928"/>
      <c r="K474" s="928"/>
      <c r="L474" s="928"/>
      <c r="M474" s="928"/>
      <c r="N474" s="928"/>
      <c r="O474" s="928"/>
      <c r="P474" s="928"/>
      <c r="Q474" s="928"/>
      <c r="R474" s="928"/>
      <c r="S474" s="928"/>
      <c r="T474" s="928"/>
      <c r="U474" s="928"/>
      <c r="V474" s="928"/>
      <c r="W474" s="928"/>
      <c r="X474" s="928"/>
      <c r="Y474" s="928"/>
      <c r="Z474" s="928"/>
      <c r="AA474" s="928"/>
    </row>
    <row r="475" hidden="1">
      <c r="A475" s="935"/>
      <c r="B475" s="932"/>
      <c r="C475" s="928"/>
      <c r="D475" s="928"/>
      <c r="E475" s="928"/>
      <c r="F475" s="928"/>
      <c r="G475" s="928"/>
      <c r="H475" s="928"/>
      <c r="I475" s="928"/>
      <c r="J475" s="928"/>
      <c r="K475" s="928"/>
      <c r="L475" s="928"/>
      <c r="M475" s="928"/>
      <c r="N475" s="928"/>
      <c r="O475" s="928"/>
      <c r="P475" s="928"/>
      <c r="Q475" s="928"/>
      <c r="R475" s="928"/>
      <c r="S475" s="928"/>
      <c r="T475" s="928"/>
      <c r="U475" s="928"/>
      <c r="V475" s="928"/>
      <c r="W475" s="928"/>
      <c r="X475" s="928"/>
      <c r="Y475" s="928"/>
      <c r="Z475" s="928"/>
      <c r="AA475" s="928"/>
    </row>
    <row r="476" hidden="1">
      <c r="A476" s="935"/>
      <c r="B476" s="932"/>
      <c r="C476" s="928"/>
      <c r="D476" s="928"/>
      <c r="E476" s="928"/>
      <c r="F476" s="928"/>
      <c r="G476" s="928"/>
      <c r="H476" s="928"/>
      <c r="I476" s="928"/>
      <c r="J476" s="928"/>
      <c r="K476" s="928"/>
      <c r="L476" s="928"/>
      <c r="M476" s="928"/>
      <c r="N476" s="928"/>
      <c r="O476" s="928"/>
      <c r="P476" s="928"/>
      <c r="Q476" s="928"/>
      <c r="R476" s="928"/>
      <c r="S476" s="928"/>
      <c r="T476" s="928"/>
      <c r="U476" s="928"/>
      <c r="V476" s="928"/>
      <c r="W476" s="928"/>
      <c r="X476" s="928"/>
      <c r="Y476" s="928"/>
      <c r="Z476" s="928"/>
      <c r="AA476" s="928"/>
    </row>
    <row r="477" hidden="1">
      <c r="A477" s="935"/>
      <c r="B477" s="932"/>
      <c r="C477" s="928"/>
      <c r="D477" s="928"/>
      <c r="E477" s="928"/>
      <c r="F477" s="928"/>
      <c r="G477" s="928"/>
      <c r="H477" s="928"/>
      <c r="I477" s="928"/>
      <c r="J477" s="928"/>
      <c r="K477" s="928"/>
      <c r="L477" s="928"/>
      <c r="M477" s="928"/>
      <c r="N477" s="928"/>
      <c r="O477" s="928"/>
      <c r="P477" s="928"/>
      <c r="Q477" s="928"/>
      <c r="R477" s="928"/>
      <c r="S477" s="928"/>
      <c r="T477" s="928"/>
      <c r="U477" s="928"/>
      <c r="V477" s="928"/>
      <c r="W477" s="928"/>
      <c r="X477" s="928"/>
      <c r="Y477" s="928"/>
      <c r="Z477" s="928"/>
      <c r="AA477" s="928"/>
    </row>
    <row r="478" hidden="1">
      <c r="A478" s="935"/>
      <c r="B478" s="932"/>
      <c r="C478" s="928"/>
      <c r="D478" s="928"/>
      <c r="E478" s="928"/>
      <c r="F478" s="928"/>
      <c r="G478" s="928"/>
      <c r="H478" s="928"/>
      <c r="I478" s="928"/>
      <c r="J478" s="928"/>
      <c r="K478" s="928"/>
      <c r="L478" s="928"/>
      <c r="M478" s="928"/>
      <c r="N478" s="928"/>
      <c r="O478" s="928"/>
      <c r="P478" s="928"/>
      <c r="Q478" s="928"/>
      <c r="R478" s="928"/>
      <c r="S478" s="928"/>
      <c r="T478" s="928"/>
      <c r="U478" s="928"/>
      <c r="V478" s="928"/>
      <c r="W478" s="928"/>
      <c r="X478" s="928"/>
      <c r="Y478" s="928"/>
      <c r="Z478" s="928"/>
      <c r="AA478" s="928"/>
    </row>
    <row r="479" hidden="1">
      <c r="A479" s="935"/>
      <c r="B479" s="932"/>
      <c r="C479" s="928"/>
      <c r="D479" s="928"/>
      <c r="E479" s="928"/>
      <c r="F479" s="928"/>
      <c r="G479" s="928"/>
      <c r="H479" s="928"/>
      <c r="I479" s="928"/>
      <c r="J479" s="928"/>
      <c r="K479" s="928"/>
      <c r="L479" s="928"/>
      <c r="M479" s="928"/>
      <c r="N479" s="928"/>
      <c r="O479" s="928"/>
      <c r="P479" s="928"/>
      <c r="Q479" s="928"/>
      <c r="R479" s="928"/>
      <c r="S479" s="928"/>
      <c r="T479" s="928"/>
      <c r="U479" s="928"/>
      <c r="V479" s="928"/>
      <c r="W479" s="928"/>
      <c r="X479" s="928"/>
      <c r="Y479" s="928"/>
      <c r="Z479" s="928"/>
      <c r="AA479" s="928"/>
    </row>
    <row r="480" hidden="1">
      <c r="A480" s="935"/>
      <c r="B480" s="932"/>
      <c r="C480" s="928"/>
      <c r="D480" s="928"/>
      <c r="E480" s="928"/>
      <c r="F480" s="928"/>
      <c r="G480" s="928"/>
      <c r="H480" s="928"/>
      <c r="I480" s="928"/>
      <c r="J480" s="928"/>
      <c r="K480" s="928"/>
      <c r="L480" s="928"/>
      <c r="M480" s="928"/>
      <c r="N480" s="928"/>
      <c r="O480" s="928"/>
      <c r="P480" s="928"/>
      <c r="Q480" s="928"/>
      <c r="R480" s="928"/>
      <c r="S480" s="928"/>
      <c r="T480" s="928"/>
      <c r="U480" s="928"/>
      <c r="V480" s="928"/>
      <c r="W480" s="928"/>
      <c r="X480" s="928"/>
      <c r="Y480" s="928"/>
      <c r="Z480" s="928"/>
      <c r="AA480" s="928"/>
    </row>
    <row r="481" hidden="1">
      <c r="A481" s="935"/>
      <c r="B481" s="932"/>
      <c r="C481" s="928"/>
      <c r="D481" s="928"/>
      <c r="E481" s="928"/>
      <c r="F481" s="928"/>
      <c r="G481" s="928"/>
      <c r="H481" s="928"/>
      <c r="I481" s="928"/>
      <c r="J481" s="928"/>
      <c r="K481" s="928"/>
      <c r="L481" s="928"/>
      <c r="M481" s="928"/>
      <c r="N481" s="928"/>
      <c r="O481" s="928"/>
      <c r="P481" s="928"/>
      <c r="Q481" s="928"/>
      <c r="R481" s="928"/>
      <c r="S481" s="928"/>
      <c r="T481" s="928"/>
      <c r="U481" s="928"/>
      <c r="V481" s="928"/>
      <c r="W481" s="928"/>
      <c r="X481" s="928"/>
      <c r="Y481" s="928"/>
      <c r="Z481" s="928"/>
      <c r="AA481" s="928"/>
    </row>
    <row r="482" hidden="1">
      <c r="A482" s="935"/>
      <c r="B482" s="932"/>
      <c r="C482" s="928"/>
      <c r="D482" s="928"/>
      <c r="E482" s="928"/>
      <c r="F482" s="928"/>
      <c r="G482" s="928"/>
      <c r="H482" s="928"/>
      <c r="I482" s="928"/>
      <c r="J482" s="928"/>
      <c r="K482" s="928"/>
      <c r="L482" s="928"/>
      <c r="M482" s="928"/>
      <c r="N482" s="928"/>
      <c r="O482" s="928"/>
      <c r="P482" s="928"/>
      <c r="Q482" s="928"/>
      <c r="R482" s="928"/>
      <c r="S482" s="928"/>
      <c r="T482" s="928"/>
      <c r="U482" s="928"/>
      <c r="V482" s="928"/>
      <c r="W482" s="928"/>
      <c r="X482" s="928"/>
      <c r="Y482" s="928"/>
      <c r="Z482" s="928"/>
      <c r="AA482" s="928"/>
    </row>
    <row r="483" hidden="1">
      <c r="A483" s="935"/>
      <c r="B483" s="932"/>
      <c r="C483" s="928"/>
      <c r="D483" s="928"/>
      <c r="E483" s="928"/>
      <c r="F483" s="928"/>
      <c r="G483" s="928"/>
      <c r="H483" s="928"/>
      <c r="I483" s="928"/>
      <c r="J483" s="928"/>
      <c r="K483" s="928"/>
      <c r="L483" s="928"/>
      <c r="M483" s="928"/>
      <c r="N483" s="928"/>
      <c r="O483" s="928"/>
      <c r="P483" s="928"/>
      <c r="Q483" s="928"/>
      <c r="R483" s="928"/>
      <c r="S483" s="928"/>
      <c r="T483" s="928"/>
      <c r="U483" s="928"/>
      <c r="V483" s="928"/>
      <c r="W483" s="928"/>
      <c r="X483" s="928"/>
      <c r="Y483" s="928"/>
      <c r="Z483" s="928"/>
      <c r="AA483" s="928"/>
    </row>
    <row r="484" hidden="1">
      <c r="A484" s="935"/>
      <c r="B484" s="932"/>
      <c r="C484" s="928"/>
      <c r="D484" s="928"/>
      <c r="E484" s="928"/>
      <c r="F484" s="928"/>
      <c r="G484" s="928"/>
      <c r="H484" s="928"/>
      <c r="I484" s="928"/>
      <c r="J484" s="928"/>
      <c r="K484" s="928"/>
      <c r="L484" s="928"/>
      <c r="M484" s="928"/>
      <c r="N484" s="928"/>
      <c r="O484" s="928"/>
      <c r="P484" s="928"/>
      <c r="Q484" s="928"/>
      <c r="R484" s="928"/>
      <c r="S484" s="928"/>
      <c r="T484" s="928"/>
      <c r="U484" s="928"/>
      <c r="V484" s="928"/>
      <c r="W484" s="928"/>
      <c r="X484" s="928"/>
      <c r="Y484" s="928"/>
      <c r="Z484" s="928"/>
      <c r="AA484" s="928"/>
    </row>
    <row r="485" hidden="1">
      <c r="A485" s="935"/>
      <c r="B485" s="932"/>
      <c r="C485" s="928"/>
      <c r="D485" s="928"/>
      <c r="E485" s="928"/>
      <c r="F485" s="928"/>
      <c r="G485" s="928"/>
      <c r="H485" s="928"/>
      <c r="I485" s="928"/>
      <c r="J485" s="928"/>
      <c r="K485" s="928"/>
      <c r="L485" s="928"/>
      <c r="M485" s="928"/>
      <c r="N485" s="928"/>
      <c r="O485" s="928"/>
      <c r="P485" s="928"/>
      <c r="Q485" s="928"/>
      <c r="R485" s="928"/>
      <c r="S485" s="928"/>
      <c r="T485" s="928"/>
      <c r="U485" s="928"/>
      <c r="V485" s="928"/>
      <c r="W485" s="928"/>
      <c r="X485" s="928"/>
      <c r="Y485" s="928"/>
      <c r="Z485" s="928"/>
      <c r="AA485" s="928"/>
    </row>
    <row r="486" hidden="1">
      <c r="A486" s="935"/>
      <c r="B486" s="932"/>
      <c r="C486" s="928"/>
      <c r="D486" s="928"/>
      <c r="E486" s="928"/>
      <c r="F486" s="928"/>
      <c r="G486" s="928"/>
      <c r="H486" s="928"/>
      <c r="I486" s="928"/>
      <c r="J486" s="928"/>
      <c r="K486" s="928"/>
      <c r="L486" s="928"/>
      <c r="M486" s="928"/>
      <c r="N486" s="928"/>
      <c r="O486" s="928"/>
      <c r="P486" s="928"/>
      <c r="Q486" s="928"/>
      <c r="R486" s="928"/>
      <c r="S486" s="928"/>
      <c r="T486" s="928"/>
      <c r="U486" s="928"/>
      <c r="V486" s="928"/>
      <c r="W486" s="928"/>
      <c r="X486" s="928"/>
      <c r="Y486" s="928"/>
      <c r="Z486" s="928"/>
      <c r="AA486" s="928"/>
    </row>
    <row r="487" hidden="1">
      <c r="A487" s="935"/>
      <c r="B487" s="932"/>
      <c r="C487" s="928"/>
      <c r="D487" s="928"/>
      <c r="E487" s="928"/>
      <c r="F487" s="928"/>
      <c r="G487" s="928"/>
      <c r="H487" s="928"/>
      <c r="I487" s="928"/>
      <c r="J487" s="928"/>
      <c r="K487" s="928"/>
      <c r="L487" s="928"/>
      <c r="M487" s="928"/>
      <c r="N487" s="928"/>
      <c r="O487" s="928"/>
      <c r="P487" s="928"/>
      <c r="Q487" s="928"/>
      <c r="R487" s="928"/>
      <c r="S487" s="928"/>
      <c r="T487" s="928"/>
      <c r="U487" s="928"/>
      <c r="V487" s="928"/>
      <c r="W487" s="928"/>
      <c r="X487" s="928"/>
      <c r="Y487" s="928"/>
      <c r="Z487" s="928"/>
      <c r="AA487" s="928"/>
    </row>
    <row r="488" hidden="1">
      <c r="A488" s="935"/>
      <c r="B488" s="932"/>
      <c r="C488" s="928"/>
      <c r="D488" s="928"/>
      <c r="E488" s="928"/>
      <c r="F488" s="928"/>
      <c r="G488" s="928"/>
      <c r="H488" s="928"/>
      <c r="I488" s="928"/>
      <c r="J488" s="928"/>
      <c r="K488" s="928"/>
      <c r="L488" s="928"/>
      <c r="M488" s="928"/>
      <c r="N488" s="928"/>
      <c r="O488" s="928"/>
      <c r="P488" s="928"/>
      <c r="Q488" s="928"/>
      <c r="R488" s="928"/>
      <c r="S488" s="928"/>
      <c r="T488" s="928"/>
      <c r="U488" s="928"/>
      <c r="V488" s="928"/>
      <c r="W488" s="928"/>
      <c r="X488" s="928"/>
      <c r="Y488" s="928"/>
      <c r="Z488" s="928"/>
      <c r="AA488" s="928"/>
    </row>
    <row r="489" hidden="1">
      <c r="A489" s="935"/>
      <c r="B489" s="932"/>
      <c r="C489" s="928"/>
      <c r="D489" s="928"/>
      <c r="E489" s="928"/>
      <c r="F489" s="928"/>
      <c r="G489" s="928"/>
      <c r="H489" s="928"/>
      <c r="I489" s="928"/>
      <c r="J489" s="928"/>
      <c r="K489" s="928"/>
      <c r="L489" s="928"/>
      <c r="M489" s="928"/>
      <c r="N489" s="928"/>
      <c r="O489" s="928"/>
      <c r="P489" s="928"/>
      <c r="Q489" s="928"/>
      <c r="R489" s="928"/>
      <c r="S489" s="928"/>
      <c r="T489" s="928"/>
      <c r="U489" s="928"/>
      <c r="V489" s="928"/>
      <c r="W489" s="928"/>
      <c r="X489" s="928"/>
      <c r="Y489" s="928"/>
      <c r="Z489" s="928"/>
      <c r="AA489" s="928"/>
    </row>
    <row r="490" hidden="1">
      <c r="A490" s="935"/>
      <c r="B490" s="932"/>
      <c r="C490" s="928"/>
      <c r="D490" s="928"/>
      <c r="E490" s="928"/>
      <c r="F490" s="928"/>
      <c r="G490" s="928"/>
      <c r="H490" s="928"/>
      <c r="I490" s="928"/>
      <c r="J490" s="928"/>
      <c r="K490" s="928"/>
      <c r="L490" s="928"/>
      <c r="M490" s="928"/>
      <c r="N490" s="928"/>
      <c r="O490" s="928"/>
      <c r="P490" s="928"/>
      <c r="Q490" s="928"/>
      <c r="R490" s="928"/>
      <c r="S490" s="928"/>
      <c r="T490" s="928"/>
      <c r="U490" s="928"/>
      <c r="V490" s="928"/>
      <c r="W490" s="928"/>
      <c r="X490" s="928"/>
      <c r="Y490" s="928"/>
      <c r="Z490" s="928"/>
      <c r="AA490" s="928"/>
    </row>
    <row r="491" hidden="1">
      <c r="A491" s="935"/>
      <c r="B491" s="932"/>
      <c r="C491" s="928"/>
      <c r="D491" s="928"/>
      <c r="E491" s="928"/>
      <c r="F491" s="928"/>
      <c r="G491" s="928"/>
      <c r="H491" s="928"/>
      <c r="I491" s="928"/>
      <c r="J491" s="928"/>
      <c r="K491" s="928"/>
      <c r="L491" s="928"/>
      <c r="M491" s="928"/>
      <c r="N491" s="928"/>
      <c r="O491" s="928"/>
      <c r="P491" s="928"/>
      <c r="Q491" s="928"/>
      <c r="R491" s="928"/>
      <c r="S491" s="928"/>
      <c r="T491" s="928"/>
      <c r="U491" s="928"/>
      <c r="V491" s="928"/>
      <c r="W491" s="928"/>
      <c r="X491" s="928"/>
      <c r="Y491" s="928"/>
      <c r="Z491" s="928"/>
      <c r="AA491" s="928"/>
    </row>
    <row r="492" hidden="1">
      <c r="A492" s="935"/>
      <c r="B492" s="932"/>
      <c r="C492" s="928"/>
      <c r="D492" s="928"/>
      <c r="E492" s="928"/>
      <c r="F492" s="928"/>
      <c r="G492" s="928"/>
      <c r="H492" s="928"/>
      <c r="I492" s="928"/>
      <c r="J492" s="928"/>
      <c r="K492" s="928"/>
      <c r="L492" s="928"/>
      <c r="M492" s="928"/>
      <c r="N492" s="928"/>
      <c r="O492" s="928"/>
      <c r="P492" s="928"/>
      <c r="Q492" s="928"/>
      <c r="R492" s="928"/>
      <c r="S492" s="928"/>
      <c r="T492" s="928"/>
      <c r="U492" s="928"/>
      <c r="V492" s="928"/>
      <c r="W492" s="928"/>
      <c r="X492" s="928"/>
      <c r="Y492" s="928"/>
      <c r="Z492" s="928"/>
      <c r="AA492" s="928"/>
    </row>
    <row r="493" hidden="1">
      <c r="A493" s="935"/>
      <c r="B493" s="932"/>
      <c r="C493" s="928"/>
      <c r="D493" s="928"/>
      <c r="E493" s="928"/>
      <c r="F493" s="928"/>
      <c r="G493" s="928"/>
      <c r="H493" s="928"/>
      <c r="I493" s="928"/>
      <c r="J493" s="928"/>
      <c r="K493" s="928"/>
      <c r="L493" s="928"/>
      <c r="M493" s="928"/>
      <c r="N493" s="928"/>
      <c r="O493" s="928"/>
      <c r="P493" s="928"/>
      <c r="Q493" s="928"/>
      <c r="R493" s="928"/>
      <c r="S493" s="928"/>
      <c r="T493" s="928"/>
      <c r="U493" s="928"/>
      <c r="V493" s="928"/>
      <c r="W493" s="928"/>
      <c r="X493" s="928"/>
      <c r="Y493" s="928"/>
      <c r="Z493" s="928"/>
      <c r="AA493" s="928"/>
    </row>
    <row r="494" hidden="1">
      <c r="A494" s="935"/>
      <c r="B494" s="932"/>
      <c r="C494" s="928"/>
      <c r="D494" s="928"/>
      <c r="E494" s="928"/>
      <c r="F494" s="928"/>
      <c r="G494" s="928"/>
      <c r="H494" s="928"/>
      <c r="I494" s="928"/>
      <c r="J494" s="928"/>
      <c r="K494" s="928"/>
      <c r="L494" s="928"/>
      <c r="M494" s="928"/>
      <c r="N494" s="928"/>
      <c r="O494" s="928"/>
      <c r="P494" s="928"/>
      <c r="Q494" s="928"/>
      <c r="R494" s="928"/>
      <c r="S494" s="928"/>
      <c r="T494" s="928"/>
      <c r="U494" s="928"/>
      <c r="V494" s="928"/>
      <c r="W494" s="928"/>
      <c r="X494" s="928"/>
      <c r="Y494" s="928"/>
      <c r="Z494" s="928"/>
      <c r="AA494" s="928"/>
    </row>
    <row r="495" hidden="1">
      <c r="A495" s="935"/>
      <c r="B495" s="932"/>
      <c r="C495" s="928"/>
      <c r="D495" s="928"/>
      <c r="E495" s="928"/>
      <c r="F495" s="928"/>
      <c r="G495" s="928"/>
      <c r="H495" s="928"/>
      <c r="I495" s="928"/>
      <c r="J495" s="928"/>
      <c r="K495" s="928"/>
      <c r="L495" s="928"/>
      <c r="M495" s="928"/>
      <c r="N495" s="928"/>
      <c r="O495" s="928"/>
      <c r="P495" s="928"/>
      <c r="Q495" s="928"/>
      <c r="R495" s="928"/>
      <c r="S495" s="928"/>
      <c r="T495" s="928"/>
      <c r="U495" s="928"/>
      <c r="V495" s="928"/>
      <c r="W495" s="928"/>
      <c r="X495" s="928"/>
      <c r="Y495" s="928"/>
      <c r="Z495" s="928"/>
      <c r="AA495" s="928"/>
    </row>
    <row r="496" hidden="1">
      <c r="A496" s="935"/>
      <c r="B496" s="932"/>
      <c r="C496" s="928"/>
      <c r="D496" s="928"/>
      <c r="E496" s="928"/>
      <c r="F496" s="928"/>
      <c r="G496" s="928"/>
      <c r="H496" s="928"/>
      <c r="I496" s="928"/>
      <c r="J496" s="928"/>
      <c r="K496" s="928"/>
      <c r="L496" s="928"/>
      <c r="M496" s="928"/>
      <c r="N496" s="928"/>
      <c r="O496" s="928"/>
      <c r="P496" s="928"/>
      <c r="Q496" s="928"/>
      <c r="R496" s="928"/>
      <c r="S496" s="928"/>
      <c r="T496" s="928"/>
      <c r="U496" s="928"/>
      <c r="V496" s="928"/>
      <c r="W496" s="928"/>
      <c r="X496" s="928"/>
      <c r="Y496" s="928"/>
      <c r="Z496" s="928"/>
      <c r="AA496" s="928"/>
    </row>
    <row r="497" hidden="1">
      <c r="A497" s="935"/>
      <c r="B497" s="932"/>
      <c r="C497" s="928"/>
      <c r="D497" s="928"/>
      <c r="E497" s="928"/>
      <c r="F497" s="928"/>
      <c r="G497" s="928"/>
      <c r="H497" s="928"/>
      <c r="I497" s="928"/>
      <c r="J497" s="928"/>
      <c r="K497" s="928"/>
      <c r="L497" s="928"/>
      <c r="M497" s="928"/>
      <c r="N497" s="928"/>
      <c r="O497" s="928"/>
      <c r="P497" s="928"/>
      <c r="Q497" s="928"/>
      <c r="R497" s="928"/>
      <c r="S497" s="928"/>
      <c r="T497" s="928"/>
      <c r="U497" s="928"/>
      <c r="V497" s="928"/>
      <c r="W497" s="928"/>
      <c r="X497" s="928"/>
      <c r="Y497" s="928"/>
      <c r="Z497" s="928"/>
      <c r="AA497" s="928"/>
    </row>
    <row r="498" hidden="1">
      <c r="A498" s="935"/>
      <c r="B498" s="932"/>
      <c r="C498" s="928"/>
      <c r="D498" s="928"/>
      <c r="E498" s="928"/>
      <c r="F498" s="928"/>
      <c r="G498" s="928"/>
      <c r="H498" s="928"/>
      <c r="I498" s="928"/>
      <c r="J498" s="928"/>
      <c r="K498" s="928"/>
      <c r="L498" s="928"/>
      <c r="M498" s="928"/>
      <c r="N498" s="928"/>
      <c r="O498" s="928"/>
      <c r="P498" s="928"/>
      <c r="Q498" s="928"/>
      <c r="R498" s="928"/>
      <c r="S498" s="928"/>
      <c r="T498" s="928"/>
      <c r="U498" s="928"/>
      <c r="V498" s="928"/>
      <c r="W498" s="928"/>
      <c r="X498" s="928"/>
      <c r="Y498" s="928"/>
      <c r="Z498" s="928"/>
      <c r="AA498" s="928"/>
    </row>
    <row r="499" hidden="1">
      <c r="A499" s="935"/>
      <c r="B499" s="932"/>
      <c r="C499" s="928"/>
      <c r="D499" s="928"/>
      <c r="E499" s="928"/>
      <c r="F499" s="928"/>
      <c r="G499" s="928"/>
      <c r="H499" s="928"/>
      <c r="I499" s="928"/>
      <c r="J499" s="928"/>
      <c r="K499" s="928"/>
      <c r="L499" s="928"/>
      <c r="M499" s="928"/>
      <c r="N499" s="928"/>
      <c r="O499" s="928"/>
      <c r="P499" s="928"/>
      <c r="Q499" s="928"/>
      <c r="R499" s="928"/>
      <c r="S499" s="928"/>
      <c r="T499" s="928"/>
      <c r="U499" s="928"/>
      <c r="V499" s="928"/>
      <c r="W499" s="928"/>
      <c r="X499" s="928"/>
      <c r="Y499" s="928"/>
      <c r="Z499" s="928"/>
      <c r="AA499" s="928"/>
    </row>
    <row r="500" hidden="1">
      <c r="A500" s="935"/>
      <c r="B500" s="932"/>
      <c r="C500" s="928"/>
      <c r="D500" s="928"/>
      <c r="E500" s="928"/>
      <c r="F500" s="928"/>
      <c r="G500" s="928"/>
      <c r="H500" s="928"/>
      <c r="I500" s="928"/>
      <c r="J500" s="928"/>
      <c r="K500" s="928"/>
      <c r="L500" s="928"/>
      <c r="M500" s="928"/>
      <c r="N500" s="928"/>
      <c r="O500" s="928"/>
      <c r="P500" s="928"/>
      <c r="Q500" s="928"/>
      <c r="R500" s="928"/>
      <c r="S500" s="928"/>
      <c r="T500" s="928"/>
      <c r="U500" s="928"/>
      <c r="V500" s="928"/>
      <c r="W500" s="928"/>
      <c r="X500" s="928"/>
      <c r="Y500" s="928"/>
      <c r="Z500" s="928"/>
      <c r="AA500" s="928"/>
    </row>
    <row r="501" hidden="1">
      <c r="A501" s="935"/>
      <c r="B501" s="932"/>
      <c r="C501" s="928"/>
      <c r="D501" s="928"/>
      <c r="E501" s="928"/>
      <c r="F501" s="928"/>
      <c r="G501" s="928"/>
      <c r="H501" s="928"/>
      <c r="I501" s="928"/>
      <c r="J501" s="928"/>
      <c r="K501" s="928"/>
      <c r="L501" s="928"/>
      <c r="M501" s="928"/>
      <c r="N501" s="928"/>
      <c r="O501" s="928"/>
      <c r="P501" s="928"/>
      <c r="Q501" s="928"/>
      <c r="R501" s="928"/>
      <c r="S501" s="928"/>
      <c r="T501" s="928"/>
      <c r="U501" s="928"/>
      <c r="V501" s="928"/>
      <c r="W501" s="928"/>
      <c r="X501" s="928"/>
      <c r="Y501" s="928"/>
      <c r="Z501" s="928"/>
      <c r="AA501" s="928"/>
    </row>
    <row r="502" hidden="1">
      <c r="A502" s="935"/>
      <c r="B502" s="932"/>
      <c r="C502" s="928"/>
      <c r="D502" s="928"/>
      <c r="E502" s="928"/>
      <c r="F502" s="928"/>
      <c r="G502" s="928"/>
      <c r="H502" s="928"/>
      <c r="I502" s="928"/>
      <c r="J502" s="928"/>
      <c r="K502" s="928"/>
      <c r="L502" s="928"/>
      <c r="M502" s="928"/>
      <c r="N502" s="928"/>
      <c r="O502" s="928"/>
      <c r="P502" s="928"/>
      <c r="Q502" s="928"/>
      <c r="R502" s="928"/>
      <c r="S502" s="928"/>
      <c r="T502" s="928"/>
      <c r="U502" s="928"/>
      <c r="V502" s="928"/>
      <c r="W502" s="928"/>
      <c r="X502" s="928"/>
      <c r="Y502" s="928"/>
      <c r="Z502" s="928"/>
      <c r="AA502" s="928"/>
    </row>
    <row r="503" hidden="1">
      <c r="A503" s="935"/>
      <c r="B503" s="932"/>
      <c r="C503" s="928"/>
      <c r="D503" s="928"/>
      <c r="E503" s="928"/>
      <c r="F503" s="928"/>
      <c r="G503" s="928"/>
      <c r="H503" s="928"/>
      <c r="I503" s="928"/>
      <c r="J503" s="928"/>
      <c r="K503" s="928"/>
      <c r="L503" s="928"/>
      <c r="M503" s="928"/>
      <c r="N503" s="928"/>
      <c r="O503" s="928"/>
      <c r="P503" s="928"/>
      <c r="Q503" s="928"/>
      <c r="R503" s="928"/>
      <c r="S503" s="928"/>
      <c r="T503" s="928"/>
      <c r="U503" s="928"/>
      <c r="V503" s="928"/>
      <c r="W503" s="928"/>
      <c r="X503" s="928"/>
      <c r="Y503" s="928"/>
      <c r="Z503" s="928"/>
      <c r="AA503" s="928"/>
    </row>
    <row r="504" hidden="1">
      <c r="A504" s="935"/>
      <c r="B504" s="932"/>
      <c r="C504" s="928"/>
      <c r="D504" s="928"/>
      <c r="E504" s="928"/>
      <c r="F504" s="928"/>
      <c r="G504" s="928"/>
      <c r="H504" s="928"/>
      <c r="I504" s="928"/>
      <c r="J504" s="928"/>
      <c r="K504" s="928"/>
      <c r="L504" s="928"/>
      <c r="M504" s="928"/>
      <c r="N504" s="928"/>
      <c r="O504" s="928"/>
      <c r="P504" s="928"/>
      <c r="Q504" s="928"/>
      <c r="R504" s="928"/>
      <c r="S504" s="928"/>
      <c r="T504" s="928"/>
      <c r="U504" s="928"/>
      <c r="V504" s="928"/>
      <c r="W504" s="928"/>
      <c r="X504" s="928"/>
      <c r="Y504" s="928"/>
      <c r="Z504" s="928"/>
      <c r="AA504" s="928"/>
    </row>
    <row r="505" hidden="1">
      <c r="A505" s="935"/>
      <c r="B505" s="932"/>
      <c r="C505" s="928"/>
      <c r="D505" s="928"/>
      <c r="E505" s="928"/>
      <c r="F505" s="928"/>
      <c r="G505" s="928"/>
      <c r="H505" s="928"/>
      <c r="I505" s="928"/>
      <c r="J505" s="928"/>
      <c r="K505" s="928"/>
      <c r="L505" s="928"/>
      <c r="M505" s="928"/>
      <c r="N505" s="928"/>
      <c r="O505" s="928"/>
      <c r="P505" s="928"/>
      <c r="Q505" s="928"/>
      <c r="R505" s="928"/>
      <c r="S505" s="928"/>
      <c r="T505" s="928"/>
      <c r="U505" s="928"/>
      <c r="V505" s="928"/>
      <c r="W505" s="928"/>
      <c r="X505" s="928"/>
      <c r="Y505" s="928"/>
      <c r="Z505" s="928"/>
      <c r="AA505" s="928"/>
    </row>
    <row r="506" hidden="1">
      <c r="A506" s="935"/>
      <c r="B506" s="932"/>
      <c r="C506" s="928"/>
      <c r="D506" s="928"/>
      <c r="E506" s="928"/>
      <c r="F506" s="928"/>
      <c r="G506" s="928"/>
      <c r="H506" s="928"/>
      <c r="I506" s="928"/>
      <c r="J506" s="928"/>
      <c r="K506" s="928"/>
      <c r="L506" s="928"/>
      <c r="M506" s="928"/>
      <c r="N506" s="928"/>
      <c r="O506" s="928"/>
      <c r="P506" s="928"/>
      <c r="Q506" s="928"/>
      <c r="R506" s="928"/>
      <c r="S506" s="928"/>
      <c r="T506" s="928"/>
      <c r="U506" s="928"/>
      <c r="V506" s="928"/>
      <c r="W506" s="928"/>
      <c r="X506" s="928"/>
      <c r="Y506" s="928"/>
      <c r="Z506" s="928"/>
      <c r="AA506" s="928"/>
    </row>
    <row r="507" hidden="1">
      <c r="A507" s="935"/>
      <c r="B507" s="932"/>
      <c r="C507" s="928"/>
      <c r="D507" s="928"/>
      <c r="E507" s="928"/>
      <c r="F507" s="928"/>
      <c r="G507" s="928"/>
      <c r="H507" s="928"/>
      <c r="I507" s="928"/>
      <c r="J507" s="928"/>
      <c r="K507" s="928"/>
      <c r="L507" s="928"/>
      <c r="M507" s="928"/>
      <c r="N507" s="928"/>
      <c r="O507" s="928"/>
      <c r="P507" s="928"/>
      <c r="Q507" s="928"/>
      <c r="R507" s="928"/>
      <c r="S507" s="928"/>
      <c r="T507" s="928"/>
      <c r="U507" s="928"/>
      <c r="V507" s="928"/>
      <c r="W507" s="928"/>
      <c r="X507" s="928"/>
      <c r="Y507" s="928"/>
      <c r="Z507" s="928"/>
      <c r="AA507" s="928"/>
    </row>
    <row r="508" hidden="1">
      <c r="A508" s="935"/>
      <c r="B508" s="932"/>
      <c r="C508" s="928"/>
      <c r="D508" s="928"/>
      <c r="E508" s="928"/>
      <c r="F508" s="928"/>
      <c r="G508" s="928"/>
      <c r="H508" s="928"/>
      <c r="I508" s="928"/>
      <c r="J508" s="928"/>
      <c r="K508" s="928"/>
      <c r="L508" s="928"/>
      <c r="M508" s="928"/>
      <c r="N508" s="928"/>
      <c r="O508" s="928"/>
      <c r="P508" s="928"/>
      <c r="Q508" s="928"/>
      <c r="R508" s="928"/>
      <c r="S508" s="928"/>
      <c r="T508" s="928"/>
      <c r="U508" s="928"/>
      <c r="V508" s="928"/>
      <c r="W508" s="928"/>
      <c r="X508" s="928"/>
      <c r="Y508" s="928"/>
      <c r="Z508" s="928"/>
      <c r="AA508" s="928"/>
    </row>
    <row r="509" hidden="1">
      <c r="A509" s="935"/>
      <c r="B509" s="932"/>
      <c r="C509" s="928"/>
      <c r="D509" s="928"/>
      <c r="E509" s="928"/>
      <c r="F509" s="928"/>
      <c r="G509" s="928"/>
      <c r="H509" s="928"/>
      <c r="I509" s="928"/>
      <c r="J509" s="928"/>
      <c r="K509" s="928"/>
      <c r="L509" s="928"/>
      <c r="M509" s="928"/>
      <c r="N509" s="928"/>
      <c r="O509" s="928"/>
      <c r="P509" s="928"/>
      <c r="Q509" s="928"/>
      <c r="R509" s="928"/>
      <c r="S509" s="928"/>
      <c r="T509" s="928"/>
      <c r="U509" s="928"/>
      <c r="V509" s="928"/>
      <c r="W509" s="928"/>
      <c r="X509" s="928"/>
      <c r="Y509" s="928"/>
      <c r="Z509" s="928"/>
      <c r="AA509" s="928"/>
    </row>
    <row r="510" hidden="1">
      <c r="A510" s="935"/>
      <c r="B510" s="932"/>
      <c r="C510" s="928"/>
      <c r="D510" s="928"/>
      <c r="E510" s="928"/>
      <c r="F510" s="928"/>
      <c r="G510" s="928"/>
      <c r="H510" s="928"/>
      <c r="I510" s="928"/>
      <c r="J510" s="928"/>
      <c r="K510" s="928"/>
      <c r="L510" s="928"/>
      <c r="M510" s="928"/>
      <c r="N510" s="928"/>
      <c r="O510" s="928"/>
      <c r="P510" s="928"/>
      <c r="Q510" s="928"/>
      <c r="R510" s="928"/>
      <c r="S510" s="928"/>
      <c r="T510" s="928"/>
      <c r="U510" s="928"/>
      <c r="V510" s="928"/>
      <c r="W510" s="928"/>
      <c r="X510" s="928"/>
      <c r="Y510" s="928"/>
      <c r="Z510" s="928"/>
      <c r="AA510" s="928"/>
    </row>
    <row r="511" hidden="1">
      <c r="A511" s="935"/>
      <c r="B511" s="932"/>
      <c r="C511" s="928"/>
      <c r="D511" s="928"/>
      <c r="E511" s="928"/>
      <c r="F511" s="928"/>
      <c r="G511" s="928"/>
      <c r="H511" s="928"/>
      <c r="I511" s="928"/>
      <c r="J511" s="928"/>
      <c r="K511" s="928"/>
      <c r="L511" s="928"/>
      <c r="M511" s="928"/>
      <c r="N511" s="928"/>
      <c r="O511" s="928"/>
      <c r="P511" s="928"/>
      <c r="Q511" s="928"/>
      <c r="R511" s="928"/>
      <c r="S511" s="928"/>
      <c r="T511" s="928"/>
      <c r="U511" s="928"/>
      <c r="V511" s="928"/>
      <c r="W511" s="928"/>
      <c r="X511" s="928"/>
      <c r="Y511" s="928"/>
      <c r="Z511" s="928"/>
      <c r="AA511" s="928"/>
    </row>
    <row r="512" hidden="1">
      <c r="A512" s="935"/>
      <c r="B512" s="932"/>
      <c r="C512" s="928"/>
      <c r="D512" s="928"/>
      <c r="E512" s="928"/>
      <c r="F512" s="928"/>
      <c r="G512" s="928"/>
      <c r="H512" s="928"/>
      <c r="I512" s="928"/>
      <c r="J512" s="928"/>
      <c r="K512" s="928"/>
      <c r="L512" s="928"/>
      <c r="M512" s="928"/>
      <c r="N512" s="928"/>
      <c r="O512" s="928"/>
      <c r="P512" s="928"/>
      <c r="Q512" s="928"/>
      <c r="R512" s="928"/>
      <c r="S512" s="928"/>
      <c r="T512" s="928"/>
      <c r="U512" s="928"/>
      <c r="V512" s="928"/>
      <c r="W512" s="928"/>
      <c r="X512" s="928"/>
      <c r="Y512" s="928"/>
      <c r="Z512" s="928"/>
      <c r="AA512" s="928"/>
    </row>
    <row r="513" hidden="1">
      <c r="A513" s="935"/>
      <c r="B513" s="932"/>
      <c r="C513" s="928"/>
      <c r="D513" s="928"/>
      <c r="E513" s="928"/>
      <c r="F513" s="928"/>
      <c r="G513" s="928"/>
      <c r="H513" s="928"/>
      <c r="I513" s="928"/>
      <c r="J513" s="928"/>
      <c r="K513" s="928"/>
      <c r="L513" s="928"/>
      <c r="M513" s="928"/>
      <c r="N513" s="928"/>
      <c r="O513" s="928"/>
      <c r="P513" s="928"/>
      <c r="Q513" s="928"/>
      <c r="R513" s="928"/>
      <c r="S513" s="928"/>
      <c r="T513" s="928"/>
      <c r="U513" s="928"/>
      <c r="V513" s="928"/>
      <c r="W513" s="928"/>
      <c r="X513" s="928"/>
      <c r="Y513" s="928"/>
      <c r="Z513" s="928"/>
      <c r="AA513" s="928"/>
    </row>
    <row r="514" hidden="1">
      <c r="A514" s="935"/>
      <c r="B514" s="932"/>
      <c r="C514" s="928"/>
      <c r="D514" s="928"/>
      <c r="E514" s="928"/>
      <c r="F514" s="928"/>
      <c r="G514" s="928"/>
      <c r="H514" s="928"/>
      <c r="I514" s="928"/>
      <c r="J514" s="928"/>
      <c r="K514" s="928"/>
      <c r="L514" s="928"/>
      <c r="M514" s="928"/>
      <c r="N514" s="928"/>
      <c r="O514" s="928"/>
      <c r="P514" s="928"/>
      <c r="Q514" s="928"/>
      <c r="R514" s="928"/>
      <c r="S514" s="928"/>
      <c r="T514" s="928"/>
      <c r="U514" s="928"/>
      <c r="V514" s="928"/>
      <c r="W514" s="928"/>
      <c r="X514" s="928"/>
      <c r="Y514" s="928"/>
      <c r="Z514" s="928"/>
      <c r="AA514" s="928"/>
    </row>
    <row r="515" hidden="1">
      <c r="A515" s="935"/>
      <c r="B515" s="932"/>
      <c r="C515" s="928"/>
      <c r="D515" s="928"/>
      <c r="E515" s="928"/>
      <c r="F515" s="928"/>
      <c r="G515" s="928"/>
      <c r="H515" s="928"/>
      <c r="I515" s="928"/>
      <c r="J515" s="928"/>
      <c r="K515" s="928"/>
      <c r="L515" s="928"/>
      <c r="M515" s="928"/>
      <c r="N515" s="928"/>
      <c r="O515" s="928"/>
      <c r="P515" s="928"/>
      <c r="Q515" s="928"/>
      <c r="R515" s="928"/>
      <c r="S515" s="928"/>
      <c r="T515" s="928"/>
      <c r="U515" s="928"/>
      <c r="V515" s="928"/>
      <c r="W515" s="928"/>
      <c r="X515" s="928"/>
      <c r="Y515" s="928"/>
      <c r="Z515" s="928"/>
      <c r="AA515" s="928"/>
    </row>
    <row r="516" hidden="1">
      <c r="A516" s="935"/>
      <c r="B516" s="932"/>
      <c r="C516" s="928"/>
      <c r="D516" s="928"/>
      <c r="E516" s="928"/>
      <c r="F516" s="928"/>
      <c r="G516" s="928"/>
      <c r="H516" s="928"/>
      <c r="I516" s="928"/>
      <c r="J516" s="928"/>
      <c r="K516" s="928"/>
      <c r="L516" s="928"/>
      <c r="M516" s="928"/>
      <c r="N516" s="928"/>
      <c r="O516" s="928"/>
      <c r="P516" s="928"/>
      <c r="Q516" s="928"/>
      <c r="R516" s="928"/>
      <c r="S516" s="928"/>
      <c r="T516" s="928"/>
      <c r="U516" s="928"/>
      <c r="V516" s="928"/>
      <c r="W516" s="928"/>
      <c r="X516" s="928"/>
      <c r="Y516" s="928"/>
      <c r="Z516" s="928"/>
      <c r="AA516" s="928"/>
    </row>
    <row r="517" hidden="1">
      <c r="A517" s="935"/>
      <c r="B517" s="932"/>
      <c r="C517" s="928"/>
      <c r="D517" s="928"/>
      <c r="E517" s="928"/>
      <c r="F517" s="928"/>
      <c r="G517" s="928"/>
      <c r="H517" s="928"/>
      <c r="I517" s="928"/>
      <c r="J517" s="928"/>
      <c r="K517" s="928"/>
      <c r="L517" s="928"/>
      <c r="M517" s="928"/>
      <c r="N517" s="928"/>
      <c r="O517" s="928"/>
      <c r="P517" s="928"/>
      <c r="Q517" s="928"/>
      <c r="R517" s="928"/>
      <c r="S517" s="928"/>
      <c r="T517" s="928"/>
      <c r="U517" s="928"/>
      <c r="V517" s="928"/>
      <c r="W517" s="928"/>
      <c r="X517" s="928"/>
      <c r="Y517" s="928"/>
      <c r="Z517" s="928"/>
      <c r="AA517" s="928"/>
    </row>
    <row r="518" hidden="1">
      <c r="A518" s="935"/>
      <c r="B518" s="932"/>
      <c r="C518" s="928"/>
      <c r="D518" s="928"/>
      <c r="E518" s="928"/>
      <c r="F518" s="928"/>
      <c r="G518" s="928"/>
      <c r="H518" s="928"/>
      <c r="I518" s="928"/>
      <c r="J518" s="928"/>
      <c r="K518" s="928"/>
      <c r="L518" s="928"/>
      <c r="M518" s="928"/>
      <c r="N518" s="928"/>
      <c r="O518" s="928"/>
      <c r="P518" s="928"/>
      <c r="Q518" s="928"/>
      <c r="R518" s="928"/>
      <c r="S518" s="928"/>
      <c r="T518" s="928"/>
      <c r="U518" s="928"/>
      <c r="V518" s="928"/>
      <c r="W518" s="928"/>
      <c r="X518" s="928"/>
      <c r="Y518" s="928"/>
      <c r="Z518" s="928"/>
      <c r="AA518" s="928"/>
    </row>
    <row r="519" hidden="1">
      <c r="A519" s="935"/>
      <c r="B519" s="932"/>
      <c r="C519" s="928"/>
      <c r="D519" s="928"/>
      <c r="E519" s="928"/>
      <c r="F519" s="928"/>
      <c r="G519" s="928"/>
      <c r="H519" s="928"/>
      <c r="I519" s="928"/>
      <c r="J519" s="928"/>
      <c r="K519" s="928"/>
      <c r="L519" s="928"/>
      <c r="M519" s="928"/>
      <c r="N519" s="928"/>
      <c r="O519" s="928"/>
      <c r="P519" s="928"/>
      <c r="Q519" s="928"/>
      <c r="R519" s="928"/>
      <c r="S519" s="928"/>
      <c r="T519" s="928"/>
      <c r="U519" s="928"/>
      <c r="V519" s="928"/>
      <c r="W519" s="928"/>
      <c r="X519" s="928"/>
      <c r="Y519" s="928"/>
      <c r="Z519" s="928"/>
      <c r="AA519" s="928"/>
    </row>
    <row r="520" hidden="1">
      <c r="A520" s="935"/>
      <c r="B520" s="932"/>
      <c r="C520" s="928"/>
      <c r="D520" s="928"/>
      <c r="E520" s="928"/>
      <c r="F520" s="928"/>
      <c r="G520" s="928"/>
      <c r="H520" s="928"/>
      <c r="I520" s="928"/>
      <c r="J520" s="928"/>
      <c r="K520" s="928"/>
      <c r="L520" s="928"/>
      <c r="M520" s="928"/>
      <c r="N520" s="928"/>
      <c r="O520" s="928"/>
      <c r="P520" s="928"/>
      <c r="Q520" s="928"/>
      <c r="R520" s="928"/>
      <c r="S520" s="928"/>
      <c r="T520" s="928"/>
      <c r="U520" s="928"/>
      <c r="V520" s="928"/>
      <c r="W520" s="928"/>
      <c r="X520" s="928"/>
      <c r="Y520" s="928"/>
      <c r="Z520" s="928"/>
      <c r="AA520" s="928"/>
    </row>
    <row r="521" hidden="1">
      <c r="A521" s="935"/>
      <c r="B521" s="932"/>
      <c r="C521" s="928"/>
      <c r="D521" s="928"/>
      <c r="E521" s="928"/>
      <c r="F521" s="928"/>
      <c r="G521" s="928"/>
      <c r="H521" s="928"/>
      <c r="I521" s="928"/>
      <c r="J521" s="928"/>
      <c r="K521" s="928"/>
      <c r="L521" s="928"/>
      <c r="M521" s="928"/>
      <c r="N521" s="928"/>
      <c r="O521" s="928"/>
      <c r="P521" s="928"/>
      <c r="Q521" s="928"/>
      <c r="R521" s="928"/>
      <c r="S521" s="928"/>
      <c r="T521" s="928"/>
      <c r="U521" s="928"/>
      <c r="V521" s="928"/>
      <c r="W521" s="928"/>
      <c r="X521" s="928"/>
      <c r="Y521" s="928"/>
      <c r="Z521" s="928"/>
      <c r="AA521" s="928"/>
    </row>
    <row r="522" hidden="1">
      <c r="A522" s="935"/>
      <c r="B522" s="932"/>
      <c r="C522" s="928"/>
      <c r="D522" s="928"/>
      <c r="E522" s="928"/>
      <c r="F522" s="928"/>
      <c r="G522" s="928"/>
      <c r="H522" s="928"/>
      <c r="I522" s="928"/>
      <c r="J522" s="928"/>
      <c r="K522" s="928"/>
      <c r="L522" s="928"/>
      <c r="M522" s="928"/>
      <c r="N522" s="928"/>
      <c r="O522" s="928"/>
      <c r="P522" s="928"/>
      <c r="Q522" s="928"/>
      <c r="R522" s="928"/>
      <c r="S522" s="928"/>
      <c r="T522" s="928"/>
      <c r="U522" s="928"/>
      <c r="V522" s="928"/>
      <c r="W522" s="928"/>
      <c r="X522" s="928"/>
      <c r="Y522" s="928"/>
      <c r="Z522" s="928"/>
      <c r="AA522" s="928"/>
    </row>
    <row r="523" hidden="1">
      <c r="A523" s="935"/>
      <c r="B523" s="932"/>
      <c r="C523" s="928"/>
      <c r="D523" s="928"/>
      <c r="E523" s="928"/>
      <c r="F523" s="928"/>
      <c r="G523" s="928"/>
      <c r="H523" s="928"/>
      <c r="I523" s="928"/>
      <c r="J523" s="928"/>
      <c r="K523" s="928"/>
      <c r="L523" s="928"/>
      <c r="M523" s="928"/>
      <c r="N523" s="928"/>
      <c r="O523" s="928"/>
      <c r="P523" s="928"/>
      <c r="Q523" s="928"/>
      <c r="R523" s="928"/>
      <c r="S523" s="928"/>
      <c r="T523" s="928"/>
      <c r="U523" s="928"/>
      <c r="V523" s="928"/>
      <c r="W523" s="928"/>
      <c r="X523" s="928"/>
      <c r="Y523" s="928"/>
      <c r="Z523" s="928"/>
      <c r="AA523" s="928"/>
    </row>
    <row r="524" hidden="1">
      <c r="A524" s="935"/>
      <c r="B524" s="932"/>
      <c r="C524" s="928"/>
      <c r="D524" s="928"/>
      <c r="E524" s="928"/>
      <c r="F524" s="928"/>
      <c r="G524" s="928"/>
      <c r="H524" s="928"/>
      <c r="I524" s="928"/>
      <c r="J524" s="928"/>
      <c r="K524" s="928"/>
      <c r="L524" s="928"/>
      <c r="M524" s="928"/>
      <c r="N524" s="928"/>
      <c r="O524" s="928"/>
      <c r="P524" s="928"/>
      <c r="Q524" s="928"/>
      <c r="R524" s="928"/>
      <c r="S524" s="928"/>
      <c r="T524" s="928"/>
      <c r="U524" s="928"/>
      <c r="V524" s="928"/>
      <c r="W524" s="928"/>
      <c r="X524" s="928"/>
      <c r="Y524" s="928"/>
      <c r="Z524" s="928"/>
      <c r="AA524" s="928"/>
    </row>
    <row r="525" hidden="1">
      <c r="A525" s="935"/>
      <c r="B525" s="932"/>
      <c r="C525" s="928"/>
      <c r="D525" s="928"/>
      <c r="E525" s="928"/>
      <c r="F525" s="928"/>
      <c r="G525" s="928"/>
      <c r="H525" s="928"/>
      <c r="I525" s="928"/>
      <c r="J525" s="928"/>
      <c r="K525" s="928"/>
      <c r="L525" s="928"/>
      <c r="M525" s="928"/>
      <c r="N525" s="928"/>
      <c r="O525" s="928"/>
      <c r="P525" s="928"/>
      <c r="Q525" s="928"/>
      <c r="R525" s="928"/>
      <c r="S525" s="928"/>
      <c r="T525" s="928"/>
      <c r="U525" s="928"/>
      <c r="V525" s="928"/>
      <c r="W525" s="928"/>
      <c r="X525" s="928"/>
      <c r="Y525" s="928"/>
      <c r="Z525" s="928"/>
      <c r="AA525" s="928"/>
    </row>
    <row r="526" hidden="1">
      <c r="A526" s="935"/>
      <c r="B526" s="932"/>
      <c r="C526" s="928"/>
      <c r="D526" s="928"/>
      <c r="E526" s="928"/>
      <c r="F526" s="928"/>
      <c r="G526" s="928"/>
      <c r="H526" s="928"/>
      <c r="I526" s="928"/>
      <c r="J526" s="928"/>
      <c r="K526" s="928"/>
      <c r="L526" s="928"/>
      <c r="M526" s="928"/>
      <c r="N526" s="928"/>
      <c r="O526" s="928"/>
      <c r="P526" s="928"/>
      <c r="Q526" s="928"/>
      <c r="R526" s="928"/>
      <c r="S526" s="928"/>
      <c r="T526" s="928"/>
      <c r="U526" s="928"/>
      <c r="V526" s="928"/>
      <c r="W526" s="928"/>
      <c r="X526" s="928"/>
      <c r="Y526" s="928"/>
      <c r="Z526" s="928"/>
      <c r="AA526" s="928"/>
    </row>
    <row r="527" hidden="1">
      <c r="A527" s="935"/>
      <c r="B527" s="932"/>
      <c r="C527" s="928"/>
      <c r="D527" s="928"/>
      <c r="E527" s="928"/>
      <c r="F527" s="928"/>
      <c r="G527" s="928"/>
      <c r="H527" s="928"/>
      <c r="I527" s="928"/>
      <c r="J527" s="928"/>
      <c r="K527" s="928"/>
      <c r="L527" s="928"/>
      <c r="M527" s="928"/>
      <c r="N527" s="928"/>
      <c r="O527" s="928"/>
      <c r="P527" s="928"/>
      <c r="Q527" s="928"/>
      <c r="R527" s="928"/>
      <c r="S527" s="928"/>
      <c r="T527" s="928"/>
      <c r="U527" s="928"/>
      <c r="V527" s="928"/>
      <c r="W527" s="928"/>
      <c r="X527" s="928"/>
      <c r="Y527" s="928"/>
      <c r="Z527" s="928"/>
      <c r="AA527" s="928"/>
    </row>
    <row r="528" hidden="1">
      <c r="A528" s="935"/>
      <c r="B528" s="932"/>
      <c r="C528" s="928"/>
      <c r="D528" s="928"/>
      <c r="E528" s="928"/>
      <c r="F528" s="928"/>
      <c r="G528" s="928"/>
      <c r="H528" s="928"/>
      <c r="I528" s="928"/>
      <c r="J528" s="928"/>
      <c r="K528" s="928"/>
      <c r="L528" s="928"/>
      <c r="M528" s="928"/>
      <c r="N528" s="928"/>
      <c r="O528" s="928"/>
      <c r="P528" s="928"/>
      <c r="Q528" s="928"/>
      <c r="R528" s="928"/>
      <c r="S528" s="928"/>
      <c r="T528" s="928"/>
      <c r="U528" s="928"/>
      <c r="V528" s="928"/>
      <c r="W528" s="928"/>
      <c r="X528" s="928"/>
      <c r="Y528" s="928"/>
      <c r="Z528" s="928"/>
      <c r="AA528" s="928"/>
    </row>
    <row r="529" hidden="1">
      <c r="A529" s="935"/>
      <c r="B529" s="932"/>
      <c r="C529" s="928"/>
      <c r="D529" s="928"/>
      <c r="E529" s="928"/>
      <c r="F529" s="928"/>
      <c r="G529" s="928"/>
      <c r="H529" s="928"/>
      <c r="I529" s="928"/>
      <c r="J529" s="928"/>
      <c r="K529" s="928"/>
      <c r="L529" s="928"/>
      <c r="M529" s="928"/>
      <c r="N529" s="928"/>
      <c r="O529" s="928"/>
      <c r="P529" s="928"/>
      <c r="Q529" s="928"/>
      <c r="R529" s="928"/>
      <c r="S529" s="928"/>
      <c r="T529" s="928"/>
      <c r="U529" s="928"/>
      <c r="V529" s="928"/>
      <c r="W529" s="928"/>
      <c r="X529" s="928"/>
      <c r="Y529" s="928"/>
      <c r="Z529" s="928"/>
      <c r="AA529" s="928"/>
    </row>
    <row r="530" hidden="1">
      <c r="A530" s="935"/>
      <c r="B530" s="932"/>
      <c r="C530" s="928"/>
      <c r="D530" s="928"/>
      <c r="E530" s="928"/>
      <c r="F530" s="928"/>
      <c r="G530" s="928"/>
      <c r="H530" s="928"/>
      <c r="I530" s="928"/>
      <c r="J530" s="928"/>
      <c r="K530" s="928"/>
      <c r="L530" s="928"/>
      <c r="M530" s="928"/>
      <c r="N530" s="928"/>
      <c r="O530" s="928"/>
      <c r="P530" s="928"/>
      <c r="Q530" s="928"/>
      <c r="R530" s="928"/>
      <c r="S530" s="928"/>
      <c r="T530" s="928"/>
      <c r="U530" s="928"/>
      <c r="V530" s="928"/>
      <c r="W530" s="928"/>
      <c r="X530" s="928"/>
      <c r="Y530" s="928"/>
      <c r="Z530" s="928"/>
      <c r="AA530" s="928"/>
    </row>
    <row r="531" hidden="1">
      <c r="A531" s="935"/>
      <c r="B531" s="932"/>
      <c r="C531" s="928"/>
      <c r="D531" s="928"/>
      <c r="E531" s="928"/>
      <c r="F531" s="928"/>
      <c r="G531" s="928"/>
      <c r="H531" s="928"/>
      <c r="I531" s="928"/>
      <c r="J531" s="928"/>
      <c r="K531" s="928"/>
      <c r="L531" s="928"/>
      <c r="M531" s="928"/>
      <c r="N531" s="928"/>
      <c r="O531" s="928"/>
      <c r="P531" s="928"/>
      <c r="Q531" s="928"/>
      <c r="R531" s="928"/>
      <c r="S531" s="928"/>
      <c r="T531" s="928"/>
      <c r="U531" s="928"/>
      <c r="V531" s="928"/>
      <c r="W531" s="928"/>
      <c r="X531" s="928"/>
      <c r="Y531" s="928"/>
      <c r="Z531" s="928"/>
      <c r="AA531" s="928"/>
    </row>
    <row r="532" hidden="1">
      <c r="A532" s="935"/>
      <c r="B532" s="932"/>
      <c r="C532" s="928"/>
      <c r="D532" s="928"/>
      <c r="E532" s="928"/>
      <c r="F532" s="928"/>
      <c r="G532" s="928"/>
      <c r="H532" s="928"/>
      <c r="I532" s="928"/>
      <c r="J532" s="928"/>
      <c r="K532" s="928"/>
      <c r="L532" s="928"/>
      <c r="M532" s="928"/>
      <c r="N532" s="928"/>
      <c r="O532" s="928"/>
      <c r="P532" s="928"/>
      <c r="Q532" s="928"/>
      <c r="R532" s="928"/>
      <c r="S532" s="928"/>
      <c r="T532" s="928"/>
      <c r="U532" s="928"/>
      <c r="V532" s="928"/>
      <c r="W532" s="928"/>
      <c r="X532" s="928"/>
      <c r="Y532" s="928"/>
      <c r="Z532" s="928"/>
      <c r="AA532" s="928"/>
    </row>
    <row r="533" hidden="1">
      <c r="A533" s="935"/>
      <c r="B533" s="932"/>
      <c r="C533" s="928"/>
      <c r="D533" s="928"/>
      <c r="E533" s="928"/>
      <c r="F533" s="928"/>
      <c r="G533" s="928"/>
      <c r="H533" s="928"/>
      <c r="I533" s="928"/>
      <c r="J533" s="928"/>
      <c r="K533" s="928"/>
      <c r="L533" s="928"/>
      <c r="M533" s="928"/>
      <c r="N533" s="928"/>
      <c r="O533" s="928"/>
      <c r="P533" s="928"/>
      <c r="Q533" s="928"/>
      <c r="R533" s="928"/>
      <c r="S533" s="928"/>
      <c r="T533" s="928"/>
      <c r="U533" s="928"/>
      <c r="V533" s="928"/>
      <c r="W533" s="928"/>
      <c r="X533" s="928"/>
      <c r="Y533" s="928"/>
      <c r="Z533" s="928"/>
      <c r="AA533" s="928"/>
    </row>
    <row r="534" hidden="1">
      <c r="A534" s="935"/>
      <c r="B534" s="932"/>
      <c r="C534" s="928"/>
      <c r="D534" s="928"/>
      <c r="E534" s="928"/>
      <c r="F534" s="928"/>
      <c r="G534" s="928"/>
      <c r="H534" s="928"/>
      <c r="I534" s="928"/>
      <c r="J534" s="928"/>
      <c r="K534" s="928"/>
      <c r="L534" s="928"/>
      <c r="M534" s="928"/>
      <c r="N534" s="928"/>
      <c r="O534" s="928"/>
      <c r="P534" s="928"/>
      <c r="Q534" s="928"/>
      <c r="R534" s="928"/>
      <c r="S534" s="928"/>
      <c r="T534" s="928"/>
      <c r="U534" s="928"/>
      <c r="V534" s="928"/>
      <c r="W534" s="928"/>
      <c r="X534" s="928"/>
      <c r="Y534" s="928"/>
      <c r="Z534" s="928"/>
      <c r="AA534" s="928"/>
    </row>
    <row r="535" hidden="1">
      <c r="A535" s="935"/>
      <c r="B535" s="932"/>
      <c r="C535" s="928"/>
      <c r="D535" s="928"/>
      <c r="E535" s="928"/>
      <c r="F535" s="928"/>
      <c r="G535" s="928"/>
      <c r="H535" s="928"/>
      <c r="I535" s="928"/>
      <c r="J535" s="928"/>
      <c r="K535" s="928"/>
      <c r="L535" s="928"/>
      <c r="M535" s="928"/>
      <c r="N535" s="928"/>
      <c r="O535" s="928"/>
      <c r="P535" s="928"/>
      <c r="Q535" s="928"/>
      <c r="R535" s="928"/>
      <c r="S535" s="928"/>
      <c r="T535" s="928"/>
      <c r="U535" s="928"/>
      <c r="V535" s="928"/>
      <c r="W535" s="928"/>
      <c r="X535" s="928"/>
      <c r="Y535" s="928"/>
      <c r="Z535" s="928"/>
      <c r="AA535" s="928"/>
    </row>
    <row r="536" hidden="1">
      <c r="A536" s="935"/>
      <c r="B536" s="932"/>
      <c r="C536" s="928"/>
      <c r="D536" s="928"/>
      <c r="E536" s="928"/>
      <c r="F536" s="928"/>
      <c r="G536" s="928"/>
      <c r="H536" s="928"/>
      <c r="I536" s="928"/>
      <c r="J536" s="928"/>
      <c r="K536" s="928"/>
      <c r="L536" s="928"/>
      <c r="M536" s="928"/>
      <c r="N536" s="928"/>
      <c r="O536" s="928"/>
      <c r="P536" s="928"/>
      <c r="Q536" s="928"/>
      <c r="R536" s="928"/>
      <c r="S536" s="928"/>
      <c r="T536" s="928"/>
      <c r="U536" s="928"/>
      <c r="V536" s="928"/>
      <c r="W536" s="928"/>
      <c r="X536" s="928"/>
      <c r="Y536" s="928"/>
      <c r="Z536" s="928"/>
      <c r="AA536" s="928"/>
    </row>
    <row r="537" hidden="1">
      <c r="A537" s="935"/>
      <c r="B537" s="932"/>
      <c r="C537" s="928"/>
      <c r="D537" s="928"/>
      <c r="E537" s="928"/>
      <c r="F537" s="928"/>
      <c r="G537" s="928"/>
      <c r="H537" s="928"/>
      <c r="I537" s="928"/>
      <c r="J537" s="928"/>
      <c r="K537" s="928"/>
      <c r="L537" s="928"/>
      <c r="M537" s="928"/>
      <c r="N537" s="928"/>
      <c r="O537" s="928"/>
      <c r="P537" s="928"/>
      <c r="Q537" s="928"/>
      <c r="R537" s="928"/>
      <c r="S537" s="928"/>
      <c r="T537" s="928"/>
      <c r="U537" s="928"/>
      <c r="V537" s="928"/>
      <c r="W537" s="928"/>
      <c r="X537" s="928"/>
      <c r="Y537" s="928"/>
      <c r="Z537" s="928"/>
      <c r="AA537" s="928"/>
    </row>
    <row r="538" hidden="1">
      <c r="A538" s="935"/>
      <c r="B538" s="932"/>
      <c r="C538" s="928"/>
      <c r="D538" s="928"/>
      <c r="E538" s="928"/>
      <c r="F538" s="928"/>
      <c r="G538" s="928"/>
      <c r="H538" s="928"/>
      <c r="I538" s="928"/>
      <c r="J538" s="928"/>
      <c r="K538" s="928"/>
      <c r="L538" s="928"/>
      <c r="M538" s="928"/>
      <c r="N538" s="928"/>
      <c r="O538" s="928"/>
      <c r="P538" s="928"/>
      <c r="Q538" s="928"/>
      <c r="R538" s="928"/>
      <c r="S538" s="928"/>
      <c r="T538" s="928"/>
      <c r="U538" s="928"/>
      <c r="V538" s="928"/>
      <c r="W538" s="928"/>
      <c r="X538" s="928"/>
      <c r="Y538" s="928"/>
      <c r="Z538" s="928"/>
      <c r="AA538" s="928"/>
    </row>
    <row r="539" hidden="1">
      <c r="A539" s="935"/>
      <c r="B539" s="932"/>
      <c r="C539" s="928"/>
      <c r="D539" s="928"/>
      <c r="E539" s="928"/>
      <c r="F539" s="928"/>
      <c r="G539" s="928"/>
      <c r="H539" s="928"/>
      <c r="I539" s="928"/>
      <c r="J539" s="928"/>
      <c r="K539" s="928"/>
      <c r="L539" s="928"/>
      <c r="M539" s="928"/>
      <c r="N539" s="928"/>
      <c r="O539" s="928"/>
      <c r="P539" s="928"/>
      <c r="Q539" s="928"/>
      <c r="R539" s="928"/>
      <c r="S539" s="928"/>
      <c r="T539" s="928"/>
      <c r="U539" s="928"/>
      <c r="V539" s="928"/>
      <c r="W539" s="928"/>
      <c r="X539" s="928"/>
      <c r="Y539" s="928"/>
      <c r="Z539" s="928"/>
      <c r="AA539" s="928"/>
    </row>
    <row r="540" hidden="1">
      <c r="A540" s="935"/>
      <c r="B540" s="932"/>
      <c r="C540" s="928"/>
      <c r="D540" s="928"/>
      <c r="E540" s="928"/>
      <c r="F540" s="928"/>
      <c r="G540" s="928"/>
      <c r="H540" s="928"/>
      <c r="I540" s="928"/>
      <c r="J540" s="928"/>
      <c r="K540" s="928"/>
      <c r="L540" s="928"/>
      <c r="M540" s="928"/>
      <c r="N540" s="928"/>
      <c r="O540" s="928"/>
      <c r="P540" s="928"/>
      <c r="Q540" s="928"/>
      <c r="R540" s="928"/>
      <c r="S540" s="928"/>
      <c r="T540" s="928"/>
      <c r="U540" s="928"/>
      <c r="V540" s="928"/>
      <c r="W540" s="928"/>
      <c r="X540" s="928"/>
      <c r="Y540" s="928"/>
      <c r="Z540" s="928"/>
      <c r="AA540" s="928"/>
    </row>
    <row r="541" hidden="1">
      <c r="A541" s="935"/>
      <c r="B541" s="932"/>
      <c r="C541" s="928"/>
      <c r="D541" s="928"/>
      <c r="E541" s="928"/>
      <c r="F541" s="928"/>
      <c r="G541" s="928"/>
      <c r="H541" s="928"/>
      <c r="I541" s="928"/>
      <c r="J541" s="928"/>
      <c r="K541" s="928"/>
      <c r="L541" s="928"/>
      <c r="M541" s="928"/>
      <c r="N541" s="928"/>
      <c r="O541" s="928"/>
      <c r="P541" s="928"/>
      <c r="Q541" s="928"/>
      <c r="R541" s="928"/>
      <c r="S541" s="928"/>
      <c r="T541" s="928"/>
      <c r="U541" s="928"/>
      <c r="V541" s="928"/>
      <c r="W541" s="928"/>
      <c r="X541" s="928"/>
      <c r="Y541" s="928"/>
      <c r="Z541" s="928"/>
      <c r="AA541" s="928"/>
    </row>
    <row r="542" hidden="1">
      <c r="A542" s="935"/>
      <c r="B542" s="932"/>
      <c r="C542" s="928"/>
      <c r="D542" s="928"/>
      <c r="E542" s="928"/>
      <c r="F542" s="928"/>
      <c r="G542" s="928"/>
      <c r="H542" s="928"/>
      <c r="I542" s="928"/>
      <c r="J542" s="928"/>
      <c r="K542" s="928"/>
      <c r="L542" s="928"/>
      <c r="M542" s="928"/>
      <c r="N542" s="928"/>
      <c r="O542" s="928"/>
      <c r="P542" s="928"/>
      <c r="Q542" s="928"/>
      <c r="R542" s="928"/>
      <c r="S542" s="928"/>
      <c r="T542" s="928"/>
      <c r="U542" s="928"/>
      <c r="V542" s="928"/>
      <c r="W542" s="928"/>
      <c r="X542" s="928"/>
      <c r="Y542" s="928"/>
      <c r="Z542" s="928"/>
      <c r="AA542" s="928"/>
    </row>
    <row r="543" hidden="1">
      <c r="A543" s="935"/>
      <c r="B543" s="932"/>
      <c r="C543" s="928"/>
      <c r="D543" s="928"/>
      <c r="E543" s="928"/>
      <c r="F543" s="928"/>
      <c r="G543" s="928"/>
      <c r="H543" s="928"/>
      <c r="I543" s="928"/>
      <c r="J543" s="928"/>
      <c r="K543" s="928"/>
      <c r="L543" s="928"/>
      <c r="M543" s="928"/>
      <c r="N543" s="928"/>
      <c r="O543" s="928"/>
      <c r="P543" s="928"/>
      <c r="Q543" s="928"/>
      <c r="R543" s="928"/>
      <c r="S543" s="928"/>
      <c r="T543" s="928"/>
      <c r="U543" s="928"/>
      <c r="V543" s="928"/>
      <c r="W543" s="928"/>
      <c r="X543" s="928"/>
      <c r="Y543" s="928"/>
      <c r="Z543" s="928"/>
      <c r="AA543" s="928"/>
    </row>
    <row r="544" hidden="1">
      <c r="A544" s="935"/>
      <c r="B544" s="932"/>
      <c r="C544" s="928"/>
      <c r="D544" s="928"/>
      <c r="E544" s="928"/>
      <c r="F544" s="928"/>
      <c r="G544" s="928"/>
      <c r="H544" s="928"/>
      <c r="I544" s="928"/>
      <c r="J544" s="928"/>
      <c r="K544" s="928"/>
      <c r="L544" s="928"/>
      <c r="M544" s="928"/>
      <c r="N544" s="928"/>
      <c r="O544" s="928"/>
      <c r="P544" s="928"/>
      <c r="Q544" s="928"/>
      <c r="R544" s="928"/>
      <c r="S544" s="928"/>
      <c r="T544" s="928"/>
      <c r="U544" s="928"/>
      <c r="V544" s="928"/>
      <c r="W544" s="928"/>
      <c r="X544" s="928"/>
      <c r="Y544" s="928"/>
      <c r="Z544" s="928"/>
      <c r="AA544" s="928"/>
    </row>
    <row r="545" hidden="1">
      <c r="A545" s="935"/>
      <c r="B545" s="932"/>
      <c r="C545" s="928"/>
      <c r="D545" s="928"/>
      <c r="E545" s="928"/>
      <c r="F545" s="928"/>
      <c r="G545" s="928"/>
      <c r="H545" s="928"/>
      <c r="I545" s="928"/>
      <c r="J545" s="928"/>
      <c r="K545" s="928"/>
      <c r="L545" s="928"/>
      <c r="M545" s="928"/>
      <c r="N545" s="928"/>
      <c r="O545" s="928"/>
      <c r="P545" s="928"/>
      <c r="Q545" s="928"/>
      <c r="R545" s="928"/>
      <c r="S545" s="928"/>
      <c r="T545" s="928"/>
      <c r="U545" s="928"/>
      <c r="V545" s="928"/>
      <c r="W545" s="928"/>
      <c r="X545" s="928"/>
      <c r="Y545" s="928"/>
      <c r="Z545" s="928"/>
      <c r="AA545" s="928"/>
    </row>
    <row r="546" hidden="1">
      <c r="A546" s="935"/>
      <c r="B546" s="932"/>
      <c r="C546" s="928"/>
      <c r="D546" s="928"/>
      <c r="E546" s="928"/>
      <c r="F546" s="928"/>
      <c r="G546" s="928"/>
      <c r="H546" s="928"/>
      <c r="I546" s="928"/>
      <c r="J546" s="928"/>
      <c r="K546" s="928"/>
      <c r="L546" s="928"/>
      <c r="M546" s="928"/>
      <c r="N546" s="928"/>
      <c r="O546" s="928"/>
      <c r="P546" s="928"/>
      <c r="Q546" s="928"/>
      <c r="R546" s="928"/>
      <c r="S546" s="928"/>
      <c r="T546" s="928"/>
      <c r="U546" s="928"/>
      <c r="V546" s="928"/>
      <c r="W546" s="928"/>
      <c r="X546" s="928"/>
      <c r="Y546" s="928"/>
      <c r="Z546" s="928"/>
      <c r="AA546" s="928"/>
    </row>
    <row r="547" hidden="1">
      <c r="A547" s="935"/>
      <c r="B547" s="932"/>
      <c r="C547" s="928"/>
      <c r="D547" s="928"/>
      <c r="E547" s="928"/>
      <c r="F547" s="928"/>
      <c r="G547" s="928"/>
      <c r="H547" s="928"/>
      <c r="I547" s="928"/>
      <c r="J547" s="928"/>
      <c r="K547" s="928"/>
      <c r="L547" s="928"/>
      <c r="M547" s="928"/>
      <c r="N547" s="928"/>
      <c r="O547" s="928"/>
      <c r="P547" s="928"/>
      <c r="Q547" s="928"/>
      <c r="R547" s="928"/>
      <c r="S547" s="928"/>
      <c r="T547" s="928"/>
      <c r="U547" s="928"/>
      <c r="V547" s="928"/>
      <c r="W547" s="928"/>
      <c r="X547" s="928"/>
      <c r="Y547" s="928"/>
      <c r="Z547" s="928"/>
      <c r="AA547" s="928"/>
    </row>
    <row r="548" hidden="1">
      <c r="A548" s="935"/>
      <c r="B548" s="932"/>
      <c r="C548" s="928"/>
      <c r="D548" s="928"/>
      <c r="E548" s="928"/>
      <c r="F548" s="928"/>
      <c r="G548" s="928"/>
      <c r="H548" s="928"/>
      <c r="I548" s="928"/>
      <c r="J548" s="928"/>
      <c r="K548" s="928"/>
      <c r="L548" s="928"/>
      <c r="M548" s="928"/>
      <c r="N548" s="928"/>
      <c r="O548" s="928"/>
      <c r="P548" s="928"/>
      <c r="Q548" s="928"/>
      <c r="R548" s="928"/>
      <c r="S548" s="928"/>
      <c r="T548" s="928"/>
      <c r="U548" s="928"/>
      <c r="V548" s="928"/>
      <c r="W548" s="928"/>
      <c r="X548" s="928"/>
      <c r="Y548" s="928"/>
      <c r="Z548" s="928"/>
      <c r="AA548" s="928"/>
    </row>
    <row r="549" hidden="1">
      <c r="A549" s="935"/>
      <c r="B549" s="932"/>
      <c r="C549" s="928"/>
      <c r="D549" s="928"/>
      <c r="E549" s="928"/>
      <c r="F549" s="928"/>
      <c r="G549" s="928"/>
      <c r="H549" s="928"/>
      <c r="I549" s="928"/>
      <c r="J549" s="928"/>
      <c r="K549" s="928"/>
      <c r="L549" s="928"/>
      <c r="M549" s="928"/>
      <c r="N549" s="928"/>
      <c r="O549" s="928"/>
      <c r="P549" s="928"/>
      <c r="Q549" s="928"/>
      <c r="R549" s="928"/>
      <c r="S549" s="928"/>
      <c r="T549" s="928"/>
      <c r="U549" s="928"/>
      <c r="V549" s="928"/>
      <c r="W549" s="928"/>
      <c r="X549" s="928"/>
      <c r="Y549" s="928"/>
      <c r="Z549" s="928"/>
      <c r="AA549" s="928"/>
    </row>
    <row r="550" hidden="1">
      <c r="A550" s="935"/>
      <c r="B550" s="932"/>
      <c r="C550" s="928"/>
      <c r="D550" s="928"/>
      <c r="E550" s="928"/>
      <c r="F550" s="928"/>
      <c r="G550" s="928"/>
      <c r="H550" s="928"/>
      <c r="I550" s="928"/>
      <c r="J550" s="928"/>
      <c r="K550" s="928"/>
      <c r="L550" s="928"/>
      <c r="M550" s="928"/>
      <c r="N550" s="928"/>
      <c r="O550" s="928"/>
      <c r="P550" s="928"/>
      <c r="Q550" s="928"/>
      <c r="R550" s="928"/>
      <c r="S550" s="928"/>
      <c r="T550" s="928"/>
      <c r="U550" s="928"/>
      <c r="V550" s="928"/>
      <c r="W550" s="928"/>
      <c r="X550" s="928"/>
      <c r="Y550" s="928"/>
      <c r="Z550" s="928"/>
      <c r="AA550" s="928"/>
    </row>
    <row r="551" hidden="1">
      <c r="A551" s="935"/>
      <c r="B551" s="932"/>
      <c r="C551" s="928"/>
      <c r="D551" s="928"/>
      <c r="E551" s="928"/>
      <c r="F551" s="928"/>
      <c r="G551" s="928"/>
      <c r="H551" s="928"/>
      <c r="I551" s="928"/>
      <c r="J551" s="928"/>
      <c r="K551" s="928"/>
      <c r="L551" s="928"/>
      <c r="M551" s="928"/>
      <c r="N551" s="928"/>
      <c r="O551" s="928"/>
      <c r="P551" s="928"/>
      <c r="Q551" s="928"/>
      <c r="R551" s="928"/>
      <c r="S551" s="928"/>
      <c r="T551" s="928"/>
      <c r="U551" s="928"/>
      <c r="V551" s="928"/>
      <c r="W551" s="928"/>
      <c r="X551" s="928"/>
      <c r="Y551" s="928"/>
      <c r="Z551" s="928"/>
      <c r="AA551" s="928"/>
    </row>
    <row r="552" hidden="1">
      <c r="A552" s="935"/>
      <c r="B552" s="932"/>
      <c r="C552" s="928"/>
      <c r="D552" s="928"/>
      <c r="E552" s="928"/>
      <c r="F552" s="928"/>
      <c r="G552" s="928"/>
      <c r="H552" s="928"/>
      <c r="I552" s="928"/>
      <c r="J552" s="928"/>
      <c r="K552" s="928"/>
      <c r="L552" s="928"/>
      <c r="M552" s="928"/>
      <c r="N552" s="928"/>
      <c r="O552" s="928"/>
      <c r="P552" s="928"/>
      <c r="Q552" s="928"/>
      <c r="R552" s="928"/>
      <c r="S552" s="928"/>
      <c r="T552" s="928"/>
      <c r="U552" s="928"/>
      <c r="V552" s="928"/>
      <c r="W552" s="928"/>
      <c r="X552" s="928"/>
      <c r="Y552" s="928"/>
      <c r="Z552" s="928"/>
      <c r="AA552" s="928"/>
    </row>
    <row r="553" hidden="1">
      <c r="A553" s="935"/>
      <c r="B553" s="932"/>
      <c r="C553" s="928"/>
      <c r="D553" s="928"/>
      <c r="E553" s="928"/>
      <c r="F553" s="928"/>
      <c r="G553" s="928"/>
      <c r="H553" s="928"/>
      <c r="I553" s="928"/>
      <c r="J553" s="928"/>
      <c r="K553" s="928"/>
      <c r="L553" s="928"/>
      <c r="M553" s="928"/>
      <c r="N553" s="928"/>
      <c r="O553" s="928"/>
      <c r="P553" s="928"/>
      <c r="Q553" s="928"/>
      <c r="R553" s="928"/>
      <c r="S553" s="928"/>
      <c r="T553" s="928"/>
      <c r="U553" s="928"/>
      <c r="V553" s="928"/>
      <c r="W553" s="928"/>
      <c r="X553" s="928"/>
      <c r="Y553" s="928"/>
      <c r="Z553" s="928"/>
      <c r="AA553" s="928"/>
    </row>
    <row r="554" hidden="1">
      <c r="A554" s="935"/>
      <c r="B554" s="932"/>
      <c r="C554" s="928"/>
      <c r="D554" s="928"/>
      <c r="E554" s="928"/>
      <c r="F554" s="928"/>
      <c r="G554" s="928"/>
      <c r="H554" s="928"/>
      <c r="I554" s="928"/>
      <c r="J554" s="928"/>
      <c r="K554" s="928"/>
      <c r="L554" s="928"/>
      <c r="M554" s="928"/>
      <c r="N554" s="928"/>
      <c r="O554" s="928"/>
      <c r="P554" s="928"/>
      <c r="Q554" s="928"/>
      <c r="R554" s="928"/>
      <c r="S554" s="928"/>
      <c r="T554" s="928"/>
      <c r="U554" s="928"/>
      <c r="V554" s="928"/>
      <c r="W554" s="928"/>
      <c r="X554" s="928"/>
      <c r="Y554" s="928"/>
      <c r="Z554" s="928"/>
      <c r="AA554" s="928"/>
    </row>
    <row r="555" hidden="1">
      <c r="A555" s="935"/>
      <c r="B555" s="932"/>
      <c r="C555" s="928"/>
      <c r="D555" s="928"/>
      <c r="E555" s="928"/>
      <c r="F555" s="928"/>
      <c r="G555" s="928"/>
      <c r="H555" s="928"/>
      <c r="I555" s="928"/>
      <c r="J555" s="928"/>
      <c r="K555" s="928"/>
      <c r="L555" s="928"/>
      <c r="M555" s="928"/>
      <c r="N555" s="928"/>
      <c r="O555" s="928"/>
      <c r="P555" s="928"/>
      <c r="Q555" s="928"/>
      <c r="R555" s="928"/>
      <c r="S555" s="928"/>
      <c r="T555" s="928"/>
      <c r="U555" s="928"/>
      <c r="V555" s="928"/>
      <c r="W555" s="928"/>
      <c r="X555" s="928"/>
      <c r="Y555" s="928"/>
      <c r="Z555" s="928"/>
      <c r="AA555" s="928"/>
    </row>
    <row r="556" hidden="1">
      <c r="A556" s="935"/>
      <c r="B556" s="932"/>
      <c r="C556" s="928"/>
      <c r="D556" s="928"/>
      <c r="E556" s="928"/>
      <c r="F556" s="928"/>
      <c r="G556" s="928"/>
      <c r="H556" s="928"/>
      <c r="I556" s="928"/>
      <c r="J556" s="928"/>
      <c r="K556" s="928"/>
      <c r="L556" s="928"/>
      <c r="M556" s="928"/>
      <c r="N556" s="928"/>
      <c r="O556" s="928"/>
      <c r="P556" s="928"/>
      <c r="Q556" s="928"/>
      <c r="R556" s="928"/>
      <c r="S556" s="928"/>
      <c r="T556" s="928"/>
      <c r="U556" s="928"/>
      <c r="V556" s="928"/>
      <c r="W556" s="928"/>
      <c r="X556" s="928"/>
      <c r="Y556" s="928"/>
      <c r="Z556" s="928"/>
      <c r="AA556" s="928"/>
    </row>
    <row r="557" hidden="1">
      <c r="A557" s="935"/>
      <c r="B557" s="932"/>
      <c r="C557" s="928"/>
      <c r="D557" s="928"/>
      <c r="E557" s="928"/>
      <c r="F557" s="928"/>
      <c r="G557" s="928"/>
      <c r="H557" s="928"/>
      <c r="I557" s="928"/>
      <c r="J557" s="928"/>
      <c r="K557" s="928"/>
      <c r="L557" s="928"/>
      <c r="M557" s="928"/>
      <c r="N557" s="928"/>
      <c r="O557" s="928"/>
      <c r="P557" s="928"/>
      <c r="Q557" s="928"/>
      <c r="R557" s="928"/>
      <c r="S557" s="928"/>
      <c r="T557" s="928"/>
      <c r="U557" s="928"/>
      <c r="V557" s="928"/>
      <c r="W557" s="928"/>
      <c r="X557" s="928"/>
      <c r="Y557" s="928"/>
      <c r="Z557" s="928"/>
      <c r="AA557" s="928"/>
    </row>
    <row r="558" hidden="1">
      <c r="A558" s="935"/>
      <c r="B558" s="932"/>
      <c r="C558" s="928"/>
      <c r="D558" s="928"/>
      <c r="E558" s="928"/>
      <c r="F558" s="928"/>
      <c r="G558" s="928"/>
      <c r="H558" s="928"/>
      <c r="I558" s="928"/>
      <c r="J558" s="928"/>
      <c r="K558" s="928"/>
      <c r="L558" s="928"/>
      <c r="M558" s="928"/>
      <c r="N558" s="928"/>
      <c r="O558" s="928"/>
      <c r="P558" s="928"/>
      <c r="Q558" s="928"/>
      <c r="R558" s="928"/>
      <c r="S558" s="928"/>
      <c r="T558" s="928"/>
      <c r="U558" s="928"/>
      <c r="V558" s="928"/>
      <c r="W558" s="928"/>
      <c r="X558" s="928"/>
      <c r="Y558" s="928"/>
      <c r="Z558" s="928"/>
      <c r="AA558" s="928"/>
    </row>
    <row r="559" hidden="1">
      <c r="A559" s="935"/>
      <c r="B559" s="932"/>
      <c r="C559" s="928"/>
      <c r="D559" s="928"/>
      <c r="E559" s="928"/>
      <c r="F559" s="928"/>
      <c r="G559" s="928"/>
      <c r="H559" s="928"/>
      <c r="I559" s="928"/>
      <c r="J559" s="928"/>
      <c r="K559" s="928"/>
      <c r="L559" s="928"/>
      <c r="M559" s="928"/>
      <c r="N559" s="928"/>
      <c r="O559" s="928"/>
      <c r="P559" s="928"/>
      <c r="Q559" s="928"/>
      <c r="R559" s="928"/>
      <c r="S559" s="928"/>
      <c r="T559" s="928"/>
      <c r="U559" s="928"/>
      <c r="V559" s="928"/>
      <c r="W559" s="928"/>
      <c r="X559" s="928"/>
      <c r="Y559" s="928"/>
      <c r="Z559" s="928"/>
      <c r="AA559" s="928"/>
    </row>
    <row r="560" hidden="1">
      <c r="A560" s="935"/>
      <c r="B560" s="932"/>
      <c r="C560" s="928"/>
      <c r="D560" s="928"/>
      <c r="E560" s="928"/>
      <c r="F560" s="928"/>
      <c r="G560" s="928"/>
      <c r="H560" s="928"/>
      <c r="I560" s="928"/>
      <c r="J560" s="928"/>
      <c r="K560" s="928"/>
      <c r="L560" s="928"/>
      <c r="M560" s="928"/>
      <c r="N560" s="928"/>
      <c r="O560" s="928"/>
      <c r="P560" s="928"/>
      <c r="Q560" s="928"/>
      <c r="R560" s="928"/>
      <c r="S560" s="928"/>
      <c r="T560" s="928"/>
      <c r="U560" s="928"/>
      <c r="V560" s="928"/>
      <c r="W560" s="928"/>
      <c r="X560" s="928"/>
      <c r="Y560" s="928"/>
      <c r="Z560" s="928"/>
      <c r="AA560" s="928"/>
    </row>
    <row r="561" hidden="1">
      <c r="A561" s="935"/>
      <c r="B561" s="932"/>
      <c r="C561" s="928"/>
      <c r="D561" s="928"/>
      <c r="E561" s="928"/>
      <c r="F561" s="928"/>
      <c r="G561" s="928"/>
      <c r="H561" s="928"/>
      <c r="I561" s="928"/>
      <c r="J561" s="928"/>
      <c r="K561" s="928"/>
      <c r="L561" s="928"/>
      <c r="M561" s="928"/>
      <c r="N561" s="928"/>
      <c r="O561" s="928"/>
      <c r="P561" s="928"/>
      <c r="Q561" s="928"/>
      <c r="R561" s="928"/>
      <c r="S561" s="928"/>
      <c r="T561" s="928"/>
      <c r="U561" s="928"/>
      <c r="V561" s="928"/>
      <c r="W561" s="928"/>
      <c r="X561" s="928"/>
      <c r="Y561" s="928"/>
      <c r="Z561" s="928"/>
      <c r="AA561" s="928"/>
    </row>
    <row r="562" hidden="1">
      <c r="A562" s="935"/>
      <c r="B562" s="932"/>
      <c r="C562" s="928"/>
      <c r="D562" s="928"/>
      <c r="E562" s="928"/>
      <c r="F562" s="928"/>
      <c r="G562" s="928"/>
      <c r="H562" s="928"/>
      <c r="I562" s="928"/>
      <c r="J562" s="928"/>
      <c r="K562" s="928"/>
      <c r="L562" s="928"/>
      <c r="M562" s="928"/>
      <c r="N562" s="928"/>
      <c r="O562" s="928"/>
      <c r="P562" s="928"/>
      <c r="Q562" s="928"/>
      <c r="R562" s="928"/>
      <c r="S562" s="928"/>
      <c r="T562" s="928"/>
      <c r="U562" s="928"/>
      <c r="V562" s="928"/>
      <c r="W562" s="928"/>
      <c r="X562" s="928"/>
      <c r="Y562" s="928"/>
      <c r="Z562" s="928"/>
      <c r="AA562" s="928"/>
    </row>
    <row r="563" hidden="1">
      <c r="A563" s="935"/>
      <c r="B563" s="932"/>
      <c r="C563" s="928"/>
      <c r="D563" s="928"/>
      <c r="E563" s="928"/>
      <c r="F563" s="928"/>
      <c r="G563" s="928"/>
      <c r="H563" s="928"/>
      <c r="I563" s="928"/>
      <c r="J563" s="928"/>
      <c r="K563" s="928"/>
      <c r="L563" s="928"/>
      <c r="M563" s="928"/>
      <c r="N563" s="928"/>
      <c r="O563" s="928"/>
      <c r="P563" s="928"/>
      <c r="Q563" s="928"/>
      <c r="R563" s="928"/>
      <c r="S563" s="928"/>
      <c r="T563" s="928"/>
      <c r="U563" s="928"/>
      <c r="V563" s="928"/>
      <c r="W563" s="928"/>
      <c r="X563" s="928"/>
      <c r="Y563" s="928"/>
      <c r="Z563" s="928"/>
      <c r="AA563" s="928"/>
    </row>
    <row r="564" hidden="1">
      <c r="A564" s="935"/>
      <c r="B564" s="932"/>
      <c r="C564" s="928"/>
      <c r="D564" s="928"/>
      <c r="E564" s="928"/>
      <c r="F564" s="928"/>
      <c r="G564" s="928"/>
      <c r="H564" s="928"/>
      <c r="I564" s="928"/>
      <c r="J564" s="928"/>
      <c r="K564" s="928"/>
      <c r="L564" s="928"/>
      <c r="M564" s="928"/>
      <c r="N564" s="928"/>
      <c r="O564" s="928"/>
      <c r="P564" s="928"/>
      <c r="Q564" s="928"/>
      <c r="R564" s="928"/>
      <c r="S564" s="928"/>
      <c r="T564" s="928"/>
      <c r="U564" s="928"/>
      <c r="V564" s="928"/>
      <c r="W564" s="928"/>
      <c r="X564" s="928"/>
      <c r="Y564" s="928"/>
      <c r="Z564" s="928"/>
      <c r="AA564" s="928"/>
    </row>
    <row r="565" hidden="1">
      <c r="A565" s="935"/>
      <c r="B565" s="932"/>
      <c r="C565" s="928"/>
      <c r="D565" s="928"/>
      <c r="E565" s="928"/>
      <c r="F565" s="928"/>
      <c r="G565" s="928"/>
      <c r="H565" s="928"/>
      <c r="I565" s="928"/>
      <c r="J565" s="928"/>
      <c r="K565" s="928"/>
      <c r="L565" s="928"/>
      <c r="M565" s="928"/>
      <c r="N565" s="928"/>
      <c r="O565" s="928"/>
      <c r="P565" s="928"/>
      <c r="Q565" s="928"/>
      <c r="R565" s="928"/>
      <c r="S565" s="928"/>
      <c r="T565" s="928"/>
      <c r="U565" s="928"/>
      <c r="V565" s="928"/>
      <c r="W565" s="928"/>
      <c r="X565" s="928"/>
      <c r="Y565" s="928"/>
      <c r="Z565" s="928"/>
      <c r="AA565" s="928"/>
    </row>
    <row r="566" hidden="1">
      <c r="A566" s="935"/>
      <c r="B566" s="932"/>
      <c r="C566" s="928"/>
      <c r="D566" s="928"/>
      <c r="E566" s="928"/>
      <c r="F566" s="928"/>
      <c r="G566" s="928"/>
      <c r="H566" s="928"/>
      <c r="I566" s="928"/>
      <c r="J566" s="928"/>
      <c r="K566" s="928"/>
      <c r="L566" s="928"/>
      <c r="M566" s="928"/>
      <c r="N566" s="928"/>
      <c r="O566" s="928"/>
      <c r="P566" s="928"/>
      <c r="Q566" s="928"/>
      <c r="R566" s="928"/>
      <c r="S566" s="928"/>
      <c r="T566" s="928"/>
      <c r="U566" s="928"/>
      <c r="V566" s="928"/>
      <c r="W566" s="928"/>
      <c r="X566" s="928"/>
      <c r="Y566" s="928"/>
      <c r="Z566" s="928"/>
      <c r="AA566" s="928"/>
    </row>
    <row r="567" hidden="1">
      <c r="A567" s="935"/>
      <c r="B567" s="932"/>
      <c r="C567" s="928"/>
      <c r="D567" s="928"/>
      <c r="E567" s="928"/>
      <c r="F567" s="928"/>
      <c r="G567" s="928"/>
      <c r="H567" s="928"/>
      <c r="I567" s="928"/>
      <c r="J567" s="928"/>
      <c r="K567" s="928"/>
      <c r="L567" s="928"/>
      <c r="M567" s="928"/>
      <c r="N567" s="928"/>
      <c r="O567" s="928"/>
      <c r="P567" s="928"/>
      <c r="Q567" s="928"/>
      <c r="R567" s="928"/>
      <c r="S567" s="928"/>
      <c r="T567" s="928"/>
      <c r="U567" s="928"/>
      <c r="V567" s="928"/>
      <c r="W567" s="928"/>
      <c r="X567" s="928"/>
      <c r="Y567" s="928"/>
      <c r="Z567" s="928"/>
      <c r="AA567" s="928"/>
    </row>
    <row r="568" hidden="1">
      <c r="A568" s="935"/>
      <c r="B568" s="932"/>
      <c r="C568" s="928"/>
      <c r="D568" s="928"/>
      <c r="E568" s="928"/>
      <c r="F568" s="928"/>
      <c r="G568" s="928"/>
      <c r="H568" s="928"/>
      <c r="I568" s="928"/>
      <c r="J568" s="928"/>
      <c r="K568" s="928"/>
      <c r="L568" s="928"/>
      <c r="M568" s="928"/>
      <c r="N568" s="928"/>
      <c r="O568" s="928"/>
      <c r="P568" s="928"/>
      <c r="Q568" s="928"/>
      <c r="R568" s="928"/>
      <c r="S568" s="928"/>
      <c r="T568" s="928"/>
      <c r="U568" s="928"/>
      <c r="V568" s="928"/>
      <c r="W568" s="928"/>
      <c r="X568" s="928"/>
      <c r="Y568" s="928"/>
      <c r="Z568" s="928"/>
      <c r="AA568" s="928"/>
    </row>
    <row r="569" hidden="1">
      <c r="A569" s="935"/>
      <c r="B569" s="932"/>
      <c r="C569" s="928"/>
      <c r="D569" s="928"/>
      <c r="E569" s="928"/>
      <c r="F569" s="928"/>
      <c r="G569" s="928"/>
      <c r="H569" s="928"/>
      <c r="I569" s="928"/>
      <c r="J569" s="928"/>
      <c r="K569" s="928"/>
      <c r="L569" s="928"/>
      <c r="M569" s="928"/>
      <c r="N569" s="928"/>
      <c r="O569" s="928"/>
      <c r="P569" s="928"/>
      <c r="Q569" s="928"/>
      <c r="R569" s="928"/>
      <c r="S569" s="928"/>
      <c r="T569" s="928"/>
      <c r="U569" s="928"/>
      <c r="V569" s="928"/>
      <c r="W569" s="928"/>
      <c r="X569" s="928"/>
      <c r="Y569" s="928"/>
      <c r="Z569" s="928"/>
      <c r="AA569" s="928"/>
    </row>
    <row r="570" hidden="1">
      <c r="A570" s="935"/>
      <c r="B570" s="932"/>
      <c r="C570" s="928"/>
      <c r="D570" s="928"/>
      <c r="E570" s="928"/>
      <c r="F570" s="928"/>
      <c r="G570" s="928"/>
      <c r="H570" s="928"/>
      <c r="I570" s="928"/>
      <c r="J570" s="928"/>
      <c r="K570" s="928"/>
      <c r="L570" s="928"/>
      <c r="M570" s="928"/>
      <c r="N570" s="928"/>
      <c r="O570" s="928"/>
      <c r="P570" s="928"/>
      <c r="Q570" s="928"/>
      <c r="R570" s="928"/>
      <c r="S570" s="928"/>
      <c r="T570" s="928"/>
      <c r="U570" s="928"/>
      <c r="V570" s="928"/>
      <c r="W570" s="928"/>
      <c r="X570" s="928"/>
      <c r="Y570" s="928"/>
      <c r="Z570" s="928"/>
      <c r="AA570" s="928"/>
    </row>
    <row r="571" hidden="1">
      <c r="A571" s="935"/>
      <c r="B571" s="932"/>
      <c r="C571" s="928"/>
      <c r="D571" s="928"/>
      <c r="E571" s="928"/>
      <c r="F571" s="928"/>
      <c r="G571" s="928"/>
      <c r="H571" s="928"/>
      <c r="I571" s="928"/>
      <c r="J571" s="928"/>
      <c r="K571" s="928"/>
      <c r="L571" s="928"/>
      <c r="M571" s="928"/>
      <c r="N571" s="928"/>
      <c r="O571" s="928"/>
      <c r="P571" s="928"/>
      <c r="Q571" s="928"/>
      <c r="R571" s="928"/>
      <c r="S571" s="928"/>
      <c r="T571" s="928"/>
      <c r="U571" s="928"/>
      <c r="V571" s="928"/>
      <c r="W571" s="928"/>
      <c r="X571" s="928"/>
      <c r="Y571" s="928"/>
      <c r="Z571" s="928"/>
      <c r="AA571" s="928"/>
    </row>
    <row r="572" hidden="1">
      <c r="A572" s="935"/>
      <c r="B572" s="932"/>
      <c r="C572" s="928"/>
      <c r="D572" s="928"/>
      <c r="E572" s="928"/>
      <c r="F572" s="928"/>
      <c r="G572" s="928"/>
      <c r="H572" s="928"/>
      <c r="I572" s="928"/>
      <c r="J572" s="928"/>
      <c r="K572" s="928"/>
      <c r="L572" s="928"/>
      <c r="M572" s="928"/>
      <c r="N572" s="928"/>
      <c r="O572" s="928"/>
      <c r="P572" s="928"/>
      <c r="Q572" s="928"/>
      <c r="R572" s="928"/>
      <c r="S572" s="928"/>
      <c r="T572" s="928"/>
      <c r="U572" s="928"/>
      <c r="V572" s="928"/>
      <c r="W572" s="928"/>
      <c r="X572" s="928"/>
      <c r="Y572" s="928"/>
      <c r="Z572" s="928"/>
      <c r="AA572" s="928"/>
    </row>
    <row r="573" hidden="1">
      <c r="A573" s="935"/>
      <c r="B573" s="932"/>
      <c r="C573" s="928"/>
      <c r="D573" s="928"/>
      <c r="E573" s="928"/>
      <c r="F573" s="928"/>
      <c r="G573" s="928"/>
      <c r="H573" s="928"/>
      <c r="I573" s="928"/>
      <c r="J573" s="928"/>
      <c r="K573" s="928"/>
      <c r="L573" s="928"/>
      <c r="M573" s="928"/>
      <c r="N573" s="928"/>
      <c r="O573" s="928"/>
      <c r="P573" s="928"/>
      <c r="Q573" s="928"/>
      <c r="R573" s="928"/>
      <c r="S573" s="928"/>
      <c r="T573" s="928"/>
      <c r="U573" s="928"/>
      <c r="V573" s="928"/>
      <c r="W573" s="928"/>
      <c r="X573" s="928"/>
      <c r="Y573" s="928"/>
      <c r="Z573" s="928"/>
      <c r="AA573" s="928"/>
    </row>
    <row r="574" hidden="1">
      <c r="A574" s="935"/>
      <c r="B574" s="932"/>
      <c r="C574" s="928"/>
      <c r="D574" s="928"/>
      <c r="E574" s="928"/>
      <c r="F574" s="928"/>
      <c r="G574" s="928"/>
      <c r="H574" s="928"/>
      <c r="I574" s="928"/>
      <c r="J574" s="928"/>
      <c r="K574" s="928"/>
      <c r="L574" s="928"/>
      <c r="M574" s="928"/>
      <c r="N574" s="928"/>
      <c r="O574" s="928"/>
      <c r="P574" s="928"/>
      <c r="Q574" s="928"/>
      <c r="R574" s="928"/>
      <c r="S574" s="928"/>
      <c r="T574" s="928"/>
      <c r="U574" s="928"/>
      <c r="V574" s="928"/>
      <c r="W574" s="928"/>
      <c r="X574" s="928"/>
      <c r="Y574" s="928"/>
      <c r="Z574" s="928"/>
      <c r="AA574" s="928"/>
    </row>
    <row r="575" hidden="1">
      <c r="A575" s="935"/>
      <c r="B575" s="932"/>
      <c r="C575" s="928"/>
      <c r="D575" s="928"/>
      <c r="E575" s="928"/>
      <c r="F575" s="928"/>
      <c r="G575" s="928"/>
      <c r="H575" s="928"/>
      <c r="I575" s="928"/>
      <c r="J575" s="928"/>
      <c r="K575" s="928"/>
      <c r="L575" s="928"/>
      <c r="M575" s="928"/>
      <c r="N575" s="928"/>
      <c r="O575" s="928"/>
      <c r="P575" s="928"/>
      <c r="Q575" s="928"/>
      <c r="R575" s="928"/>
      <c r="S575" s="928"/>
      <c r="T575" s="928"/>
      <c r="U575" s="928"/>
      <c r="V575" s="928"/>
      <c r="W575" s="928"/>
      <c r="X575" s="928"/>
      <c r="Y575" s="928"/>
      <c r="Z575" s="928"/>
      <c r="AA575" s="928"/>
    </row>
    <row r="576" hidden="1">
      <c r="A576" s="935"/>
      <c r="B576" s="932"/>
      <c r="C576" s="928"/>
      <c r="D576" s="928"/>
      <c r="E576" s="928"/>
      <c r="F576" s="928"/>
      <c r="G576" s="928"/>
      <c r="H576" s="928"/>
      <c r="I576" s="928"/>
      <c r="J576" s="928"/>
      <c r="K576" s="928"/>
      <c r="L576" s="928"/>
      <c r="M576" s="928"/>
      <c r="N576" s="928"/>
      <c r="O576" s="928"/>
      <c r="P576" s="928"/>
      <c r="Q576" s="928"/>
      <c r="R576" s="928"/>
      <c r="S576" s="928"/>
      <c r="T576" s="928"/>
      <c r="U576" s="928"/>
      <c r="V576" s="928"/>
      <c r="W576" s="928"/>
      <c r="X576" s="928"/>
      <c r="Y576" s="928"/>
      <c r="Z576" s="928"/>
      <c r="AA576" s="928"/>
    </row>
    <row r="577" hidden="1">
      <c r="A577" s="935"/>
      <c r="B577" s="932"/>
      <c r="C577" s="928"/>
      <c r="D577" s="928"/>
      <c r="E577" s="928"/>
      <c r="F577" s="928"/>
      <c r="G577" s="928"/>
      <c r="H577" s="928"/>
      <c r="I577" s="928"/>
      <c r="J577" s="928"/>
      <c r="K577" s="928"/>
      <c r="L577" s="928"/>
      <c r="M577" s="928"/>
      <c r="N577" s="928"/>
      <c r="O577" s="928"/>
      <c r="P577" s="928"/>
      <c r="Q577" s="928"/>
      <c r="R577" s="928"/>
      <c r="S577" s="928"/>
      <c r="T577" s="928"/>
      <c r="U577" s="928"/>
      <c r="V577" s="928"/>
      <c r="W577" s="928"/>
      <c r="X577" s="928"/>
      <c r="Y577" s="928"/>
      <c r="Z577" s="928"/>
      <c r="AA577" s="928"/>
    </row>
    <row r="578" hidden="1">
      <c r="A578" s="935"/>
      <c r="B578" s="932"/>
      <c r="C578" s="928"/>
      <c r="D578" s="928"/>
      <c r="E578" s="928"/>
      <c r="F578" s="928"/>
      <c r="G578" s="928"/>
      <c r="H578" s="928"/>
      <c r="I578" s="928"/>
      <c r="J578" s="928"/>
      <c r="K578" s="928"/>
      <c r="L578" s="928"/>
      <c r="M578" s="928"/>
      <c r="N578" s="928"/>
      <c r="O578" s="928"/>
      <c r="P578" s="928"/>
      <c r="Q578" s="928"/>
      <c r="R578" s="928"/>
      <c r="S578" s="928"/>
      <c r="T578" s="928"/>
      <c r="U578" s="928"/>
      <c r="V578" s="928"/>
      <c r="W578" s="928"/>
      <c r="X578" s="928"/>
      <c r="Y578" s="928"/>
      <c r="Z578" s="928"/>
      <c r="AA578" s="928"/>
    </row>
    <row r="579" hidden="1">
      <c r="A579" s="935"/>
      <c r="B579" s="932"/>
      <c r="C579" s="928"/>
      <c r="D579" s="928"/>
      <c r="E579" s="928"/>
      <c r="F579" s="928"/>
      <c r="G579" s="928"/>
      <c r="H579" s="928"/>
      <c r="I579" s="928"/>
      <c r="J579" s="928"/>
      <c r="K579" s="928"/>
      <c r="L579" s="928"/>
      <c r="M579" s="928"/>
      <c r="N579" s="928"/>
      <c r="O579" s="928"/>
      <c r="P579" s="928"/>
      <c r="Q579" s="928"/>
      <c r="R579" s="928"/>
      <c r="S579" s="928"/>
      <c r="T579" s="928"/>
      <c r="U579" s="928"/>
      <c r="V579" s="928"/>
      <c r="W579" s="928"/>
      <c r="X579" s="928"/>
      <c r="Y579" s="928"/>
      <c r="Z579" s="928"/>
      <c r="AA579" s="928"/>
    </row>
    <row r="580" hidden="1">
      <c r="A580" s="935"/>
      <c r="B580" s="932"/>
      <c r="C580" s="928"/>
      <c r="D580" s="928"/>
      <c r="E580" s="928"/>
      <c r="F580" s="928"/>
      <c r="G580" s="928"/>
      <c r="H580" s="928"/>
      <c r="I580" s="928"/>
      <c r="J580" s="928"/>
      <c r="K580" s="928"/>
      <c r="L580" s="928"/>
      <c r="M580" s="928"/>
      <c r="N580" s="928"/>
      <c r="O580" s="928"/>
      <c r="P580" s="928"/>
      <c r="Q580" s="928"/>
      <c r="R580" s="928"/>
      <c r="S580" s="928"/>
      <c r="T580" s="928"/>
      <c r="U580" s="928"/>
      <c r="V580" s="928"/>
      <c r="W580" s="928"/>
      <c r="X580" s="928"/>
      <c r="Y580" s="928"/>
      <c r="Z580" s="928"/>
      <c r="AA580" s="928"/>
    </row>
    <row r="581" hidden="1">
      <c r="A581" s="935"/>
      <c r="B581" s="932"/>
      <c r="C581" s="928"/>
      <c r="D581" s="928"/>
      <c r="E581" s="928"/>
      <c r="F581" s="928"/>
      <c r="G581" s="928"/>
      <c r="H581" s="928"/>
      <c r="I581" s="928"/>
      <c r="J581" s="928"/>
      <c r="K581" s="928"/>
      <c r="L581" s="928"/>
      <c r="M581" s="928"/>
      <c r="N581" s="928"/>
      <c r="O581" s="928"/>
      <c r="P581" s="928"/>
      <c r="Q581" s="928"/>
      <c r="R581" s="928"/>
      <c r="S581" s="928"/>
      <c r="T581" s="928"/>
      <c r="U581" s="928"/>
      <c r="V581" s="928"/>
      <c r="W581" s="928"/>
      <c r="X581" s="928"/>
      <c r="Y581" s="928"/>
      <c r="Z581" s="928"/>
      <c r="AA581" s="928"/>
    </row>
    <row r="582" hidden="1">
      <c r="A582" s="935"/>
      <c r="B582" s="932"/>
      <c r="C582" s="928"/>
      <c r="D582" s="928"/>
      <c r="E582" s="928"/>
      <c r="F582" s="928"/>
      <c r="G582" s="928"/>
      <c r="H582" s="928"/>
      <c r="I582" s="928"/>
      <c r="J582" s="928"/>
      <c r="K582" s="928"/>
      <c r="L582" s="928"/>
      <c r="M582" s="928"/>
      <c r="N582" s="928"/>
      <c r="O582" s="928"/>
      <c r="P582" s="928"/>
      <c r="Q582" s="928"/>
      <c r="R582" s="928"/>
      <c r="S582" s="928"/>
      <c r="T582" s="928"/>
      <c r="U582" s="928"/>
      <c r="V582" s="928"/>
      <c r="W582" s="928"/>
      <c r="X582" s="928"/>
      <c r="Y582" s="928"/>
      <c r="Z582" s="928"/>
      <c r="AA582" s="928"/>
    </row>
    <row r="583" hidden="1">
      <c r="A583" s="935"/>
      <c r="B583" s="932"/>
      <c r="C583" s="928"/>
      <c r="D583" s="928"/>
      <c r="E583" s="928"/>
      <c r="F583" s="928"/>
      <c r="G583" s="928"/>
      <c r="H583" s="928"/>
      <c r="I583" s="928"/>
      <c r="J583" s="928"/>
      <c r="K583" s="928"/>
      <c r="L583" s="928"/>
      <c r="M583" s="928"/>
      <c r="N583" s="928"/>
      <c r="O583" s="928"/>
      <c r="P583" s="928"/>
      <c r="Q583" s="928"/>
      <c r="R583" s="928"/>
      <c r="S583" s="928"/>
      <c r="T583" s="928"/>
      <c r="U583" s="928"/>
      <c r="V583" s="928"/>
      <c r="W583" s="928"/>
      <c r="X583" s="928"/>
      <c r="Y583" s="928"/>
      <c r="Z583" s="928"/>
      <c r="AA583" s="928"/>
    </row>
    <row r="584" hidden="1">
      <c r="A584" s="935"/>
      <c r="B584" s="932"/>
      <c r="C584" s="928"/>
      <c r="D584" s="928"/>
      <c r="E584" s="928"/>
      <c r="F584" s="928"/>
      <c r="G584" s="928"/>
      <c r="H584" s="928"/>
      <c r="I584" s="928"/>
      <c r="J584" s="928"/>
      <c r="K584" s="928"/>
      <c r="L584" s="928"/>
      <c r="M584" s="928"/>
      <c r="N584" s="928"/>
      <c r="O584" s="928"/>
      <c r="P584" s="928"/>
      <c r="Q584" s="928"/>
      <c r="R584" s="928"/>
      <c r="S584" s="928"/>
      <c r="T584" s="928"/>
      <c r="U584" s="928"/>
      <c r="V584" s="928"/>
      <c r="W584" s="928"/>
      <c r="X584" s="928"/>
      <c r="Y584" s="928"/>
      <c r="Z584" s="928"/>
      <c r="AA584" s="928"/>
    </row>
    <row r="585" hidden="1">
      <c r="A585" s="935"/>
      <c r="B585" s="932"/>
      <c r="C585" s="928"/>
      <c r="D585" s="928"/>
      <c r="E585" s="928"/>
      <c r="F585" s="928"/>
      <c r="G585" s="928"/>
      <c r="H585" s="928"/>
      <c r="I585" s="928"/>
      <c r="J585" s="928"/>
      <c r="K585" s="928"/>
      <c r="L585" s="928"/>
      <c r="M585" s="928"/>
      <c r="N585" s="928"/>
      <c r="O585" s="928"/>
      <c r="P585" s="928"/>
      <c r="Q585" s="928"/>
      <c r="R585" s="928"/>
      <c r="S585" s="928"/>
      <c r="T585" s="928"/>
      <c r="U585" s="928"/>
      <c r="V585" s="928"/>
      <c r="W585" s="928"/>
      <c r="X585" s="928"/>
      <c r="Y585" s="928"/>
      <c r="Z585" s="928"/>
      <c r="AA585" s="928"/>
    </row>
    <row r="586" hidden="1">
      <c r="A586" s="935"/>
      <c r="B586" s="932"/>
      <c r="C586" s="928"/>
      <c r="D586" s="928"/>
      <c r="E586" s="928"/>
      <c r="F586" s="928"/>
      <c r="G586" s="928"/>
      <c r="H586" s="928"/>
      <c r="I586" s="928"/>
      <c r="J586" s="928"/>
      <c r="K586" s="928"/>
      <c r="L586" s="928"/>
      <c r="M586" s="928"/>
      <c r="N586" s="928"/>
      <c r="O586" s="928"/>
      <c r="P586" s="928"/>
      <c r="Q586" s="928"/>
      <c r="R586" s="928"/>
      <c r="S586" s="928"/>
      <c r="T586" s="928"/>
      <c r="U586" s="928"/>
      <c r="V586" s="928"/>
      <c r="W586" s="928"/>
      <c r="X586" s="928"/>
      <c r="Y586" s="928"/>
      <c r="Z586" s="928"/>
      <c r="AA586" s="928"/>
    </row>
    <row r="587" hidden="1">
      <c r="A587" s="935"/>
      <c r="B587" s="932"/>
      <c r="C587" s="928"/>
      <c r="D587" s="928"/>
      <c r="E587" s="928"/>
      <c r="F587" s="928"/>
      <c r="G587" s="928"/>
      <c r="H587" s="928"/>
      <c r="I587" s="928"/>
      <c r="J587" s="928"/>
      <c r="K587" s="928"/>
      <c r="L587" s="928"/>
      <c r="M587" s="928"/>
      <c r="N587" s="928"/>
      <c r="O587" s="928"/>
      <c r="P587" s="928"/>
      <c r="Q587" s="928"/>
      <c r="R587" s="928"/>
      <c r="S587" s="928"/>
      <c r="T587" s="928"/>
      <c r="U587" s="928"/>
      <c r="V587" s="928"/>
      <c r="W587" s="928"/>
      <c r="X587" s="928"/>
      <c r="Y587" s="928"/>
      <c r="Z587" s="928"/>
      <c r="AA587" s="928"/>
    </row>
    <row r="588" hidden="1">
      <c r="A588" s="935"/>
      <c r="B588" s="932"/>
      <c r="C588" s="928"/>
      <c r="D588" s="928"/>
      <c r="E588" s="928"/>
      <c r="F588" s="928"/>
      <c r="G588" s="928"/>
      <c r="H588" s="928"/>
      <c r="I588" s="928"/>
      <c r="J588" s="928"/>
      <c r="K588" s="928"/>
      <c r="L588" s="928"/>
      <c r="M588" s="928"/>
      <c r="N588" s="928"/>
      <c r="O588" s="928"/>
      <c r="P588" s="928"/>
      <c r="Q588" s="928"/>
      <c r="R588" s="928"/>
      <c r="S588" s="928"/>
      <c r="T588" s="928"/>
      <c r="U588" s="928"/>
      <c r="V588" s="928"/>
      <c r="W588" s="928"/>
      <c r="X588" s="928"/>
      <c r="Y588" s="928"/>
      <c r="Z588" s="928"/>
      <c r="AA588" s="928"/>
    </row>
    <row r="589" hidden="1">
      <c r="A589" s="935"/>
      <c r="B589" s="932"/>
      <c r="C589" s="928"/>
      <c r="D589" s="928"/>
      <c r="E589" s="928"/>
      <c r="F589" s="928"/>
      <c r="G589" s="928"/>
      <c r="H589" s="928"/>
      <c r="I589" s="928"/>
      <c r="J589" s="928"/>
      <c r="K589" s="928"/>
      <c r="L589" s="928"/>
      <c r="M589" s="928"/>
      <c r="N589" s="928"/>
      <c r="O589" s="928"/>
      <c r="P589" s="928"/>
      <c r="Q589" s="928"/>
      <c r="R589" s="928"/>
      <c r="S589" s="928"/>
      <c r="T589" s="928"/>
      <c r="U589" s="928"/>
      <c r="V589" s="928"/>
      <c r="W589" s="928"/>
      <c r="X589" s="928"/>
      <c r="Y589" s="928"/>
      <c r="Z589" s="928"/>
      <c r="AA589" s="928"/>
    </row>
    <row r="590" hidden="1">
      <c r="A590" s="935"/>
      <c r="B590" s="932"/>
      <c r="C590" s="928"/>
      <c r="D590" s="928"/>
      <c r="E590" s="928"/>
      <c r="F590" s="928"/>
      <c r="G590" s="928"/>
      <c r="H590" s="928"/>
      <c r="I590" s="928"/>
      <c r="J590" s="928"/>
      <c r="K590" s="928"/>
      <c r="L590" s="928"/>
      <c r="M590" s="928"/>
      <c r="N590" s="928"/>
      <c r="O590" s="928"/>
      <c r="P590" s="928"/>
      <c r="Q590" s="928"/>
      <c r="R590" s="928"/>
      <c r="S590" s="928"/>
      <c r="T590" s="928"/>
      <c r="U590" s="928"/>
      <c r="V590" s="928"/>
      <c r="W590" s="928"/>
      <c r="X590" s="928"/>
      <c r="Y590" s="928"/>
      <c r="Z590" s="928"/>
      <c r="AA590" s="928"/>
    </row>
    <row r="591" hidden="1">
      <c r="A591" s="935"/>
      <c r="B591" s="932"/>
      <c r="C591" s="928"/>
      <c r="D591" s="928"/>
      <c r="E591" s="928"/>
      <c r="F591" s="928"/>
      <c r="G591" s="928"/>
      <c r="H591" s="928"/>
      <c r="I591" s="928"/>
      <c r="J591" s="928"/>
      <c r="K591" s="928"/>
      <c r="L591" s="928"/>
      <c r="M591" s="928"/>
      <c r="N591" s="928"/>
      <c r="O591" s="928"/>
      <c r="P591" s="928"/>
      <c r="Q591" s="928"/>
      <c r="R591" s="928"/>
      <c r="S591" s="928"/>
      <c r="T591" s="928"/>
      <c r="U591" s="928"/>
      <c r="V591" s="928"/>
      <c r="W591" s="928"/>
      <c r="X591" s="928"/>
      <c r="Y591" s="928"/>
      <c r="Z591" s="928"/>
      <c r="AA591" s="928"/>
    </row>
    <row r="592" hidden="1">
      <c r="A592" s="935"/>
      <c r="B592" s="932"/>
      <c r="C592" s="928"/>
      <c r="D592" s="928"/>
      <c r="E592" s="928"/>
      <c r="F592" s="928"/>
      <c r="G592" s="928"/>
      <c r="H592" s="928"/>
      <c r="I592" s="928"/>
      <c r="J592" s="928"/>
      <c r="K592" s="928"/>
      <c r="L592" s="928"/>
      <c r="M592" s="928"/>
      <c r="N592" s="928"/>
      <c r="O592" s="928"/>
      <c r="P592" s="928"/>
      <c r="Q592" s="928"/>
      <c r="R592" s="928"/>
      <c r="S592" s="928"/>
      <c r="T592" s="928"/>
      <c r="U592" s="928"/>
      <c r="V592" s="928"/>
      <c r="W592" s="928"/>
      <c r="X592" s="928"/>
      <c r="Y592" s="928"/>
      <c r="Z592" s="928"/>
      <c r="AA592" s="928"/>
    </row>
    <row r="593" hidden="1">
      <c r="A593" s="935"/>
      <c r="B593" s="932"/>
      <c r="C593" s="928"/>
      <c r="D593" s="928"/>
      <c r="E593" s="928"/>
      <c r="F593" s="928"/>
      <c r="G593" s="928"/>
      <c r="H593" s="928"/>
      <c r="I593" s="928"/>
      <c r="J593" s="928"/>
      <c r="K593" s="928"/>
      <c r="L593" s="928"/>
      <c r="M593" s="928"/>
      <c r="N593" s="928"/>
      <c r="O593" s="928"/>
      <c r="P593" s="928"/>
      <c r="Q593" s="928"/>
      <c r="R593" s="928"/>
      <c r="S593" s="928"/>
      <c r="T593" s="928"/>
      <c r="U593" s="928"/>
      <c r="V593" s="928"/>
      <c r="W593" s="928"/>
      <c r="X593" s="928"/>
      <c r="Y593" s="928"/>
      <c r="Z593" s="928"/>
      <c r="AA593" s="928"/>
    </row>
    <row r="594" hidden="1">
      <c r="A594" s="935"/>
      <c r="B594" s="932"/>
      <c r="C594" s="928"/>
      <c r="D594" s="928"/>
      <c r="E594" s="928"/>
      <c r="F594" s="928"/>
      <c r="G594" s="928"/>
      <c r="H594" s="928"/>
      <c r="I594" s="928"/>
      <c r="J594" s="928"/>
      <c r="K594" s="928"/>
      <c r="L594" s="928"/>
      <c r="M594" s="928"/>
      <c r="N594" s="928"/>
      <c r="O594" s="928"/>
      <c r="P594" s="928"/>
      <c r="Q594" s="928"/>
      <c r="R594" s="928"/>
      <c r="S594" s="928"/>
      <c r="T594" s="928"/>
      <c r="U594" s="928"/>
      <c r="V594" s="928"/>
      <c r="W594" s="928"/>
      <c r="X594" s="928"/>
      <c r="Y594" s="928"/>
      <c r="Z594" s="928"/>
      <c r="AA594" s="928"/>
    </row>
    <row r="595" hidden="1">
      <c r="A595" s="935"/>
      <c r="B595" s="932"/>
      <c r="C595" s="928"/>
      <c r="D595" s="928"/>
      <c r="E595" s="928"/>
      <c r="F595" s="928"/>
      <c r="G595" s="928"/>
      <c r="H595" s="928"/>
      <c r="I595" s="928"/>
      <c r="J595" s="928"/>
      <c r="K595" s="928"/>
      <c r="L595" s="928"/>
      <c r="M595" s="928"/>
      <c r="N595" s="928"/>
      <c r="O595" s="928"/>
      <c r="P595" s="928"/>
      <c r="Q595" s="928"/>
      <c r="R595" s="928"/>
      <c r="S595" s="928"/>
      <c r="T595" s="928"/>
      <c r="U595" s="928"/>
      <c r="V595" s="928"/>
      <c r="W595" s="928"/>
      <c r="X595" s="928"/>
      <c r="Y595" s="928"/>
      <c r="Z595" s="928"/>
      <c r="AA595" s="928"/>
    </row>
    <row r="596" hidden="1">
      <c r="A596" s="935"/>
      <c r="B596" s="932"/>
      <c r="C596" s="928"/>
      <c r="D596" s="928"/>
      <c r="E596" s="928"/>
      <c r="F596" s="928"/>
      <c r="G596" s="928"/>
      <c r="H596" s="928"/>
      <c r="I596" s="928"/>
      <c r="J596" s="928"/>
      <c r="K596" s="928"/>
      <c r="L596" s="928"/>
      <c r="M596" s="928"/>
      <c r="N596" s="928"/>
      <c r="O596" s="928"/>
      <c r="P596" s="928"/>
      <c r="Q596" s="928"/>
      <c r="R596" s="928"/>
      <c r="S596" s="928"/>
      <c r="T596" s="928"/>
      <c r="U596" s="928"/>
      <c r="V596" s="928"/>
      <c r="W596" s="928"/>
      <c r="X596" s="928"/>
      <c r="Y596" s="928"/>
      <c r="Z596" s="928"/>
      <c r="AA596" s="928"/>
    </row>
    <row r="597" hidden="1">
      <c r="A597" s="935"/>
      <c r="B597" s="932"/>
      <c r="C597" s="928"/>
      <c r="D597" s="928"/>
      <c r="E597" s="928"/>
      <c r="F597" s="928"/>
      <c r="G597" s="928"/>
      <c r="H597" s="928"/>
      <c r="I597" s="928"/>
      <c r="J597" s="928"/>
      <c r="K597" s="928"/>
      <c r="L597" s="928"/>
      <c r="M597" s="928"/>
      <c r="N597" s="928"/>
      <c r="O597" s="928"/>
      <c r="P597" s="928"/>
      <c r="Q597" s="928"/>
      <c r="R597" s="928"/>
      <c r="S597" s="928"/>
      <c r="T597" s="928"/>
      <c r="U597" s="928"/>
      <c r="V597" s="928"/>
      <c r="W597" s="928"/>
      <c r="X597" s="928"/>
      <c r="Y597" s="928"/>
      <c r="Z597" s="928"/>
      <c r="AA597" s="928"/>
    </row>
    <row r="598" hidden="1">
      <c r="A598" s="935"/>
      <c r="B598" s="932"/>
      <c r="C598" s="928"/>
      <c r="D598" s="928"/>
      <c r="E598" s="928"/>
      <c r="F598" s="928"/>
      <c r="G598" s="928"/>
      <c r="H598" s="928"/>
      <c r="I598" s="928"/>
      <c r="J598" s="928"/>
      <c r="K598" s="928"/>
      <c r="L598" s="928"/>
      <c r="M598" s="928"/>
      <c r="N598" s="928"/>
      <c r="O598" s="928"/>
      <c r="P598" s="928"/>
      <c r="Q598" s="928"/>
      <c r="R598" s="928"/>
      <c r="S598" s="928"/>
      <c r="T598" s="928"/>
      <c r="U598" s="928"/>
      <c r="V598" s="928"/>
      <c r="W598" s="928"/>
      <c r="X598" s="928"/>
      <c r="Y598" s="928"/>
      <c r="Z598" s="928"/>
      <c r="AA598" s="928"/>
    </row>
    <row r="599" hidden="1">
      <c r="A599" s="935"/>
      <c r="B599" s="932"/>
      <c r="C599" s="928"/>
      <c r="D599" s="928"/>
      <c r="E599" s="928"/>
      <c r="F599" s="928"/>
      <c r="G599" s="928"/>
      <c r="H599" s="928"/>
      <c r="I599" s="928"/>
      <c r="J599" s="928"/>
      <c r="K599" s="928"/>
      <c r="L599" s="928"/>
      <c r="M599" s="928"/>
      <c r="N599" s="928"/>
      <c r="O599" s="928"/>
      <c r="P599" s="928"/>
      <c r="Q599" s="928"/>
      <c r="R599" s="928"/>
      <c r="S599" s="928"/>
      <c r="T599" s="928"/>
      <c r="U599" s="928"/>
      <c r="V599" s="928"/>
      <c r="W599" s="928"/>
      <c r="X599" s="928"/>
      <c r="Y599" s="928"/>
      <c r="Z599" s="928"/>
      <c r="AA599" s="928"/>
    </row>
    <row r="600" hidden="1">
      <c r="A600" s="935"/>
      <c r="B600" s="932"/>
      <c r="C600" s="928"/>
      <c r="D600" s="928"/>
      <c r="E600" s="928"/>
      <c r="F600" s="928"/>
      <c r="G600" s="928"/>
      <c r="H600" s="928"/>
      <c r="I600" s="928"/>
      <c r="J600" s="928"/>
      <c r="K600" s="928"/>
      <c r="L600" s="928"/>
      <c r="M600" s="928"/>
      <c r="N600" s="928"/>
      <c r="O600" s="928"/>
      <c r="P600" s="928"/>
      <c r="Q600" s="928"/>
      <c r="R600" s="928"/>
      <c r="S600" s="928"/>
      <c r="T600" s="928"/>
      <c r="U600" s="928"/>
      <c r="V600" s="928"/>
      <c r="W600" s="928"/>
      <c r="X600" s="928"/>
      <c r="Y600" s="928"/>
      <c r="Z600" s="928"/>
      <c r="AA600" s="928"/>
    </row>
    <row r="601" hidden="1">
      <c r="A601" s="935"/>
      <c r="B601" s="932"/>
      <c r="C601" s="928"/>
      <c r="D601" s="928"/>
      <c r="E601" s="928"/>
      <c r="F601" s="928"/>
      <c r="G601" s="928"/>
      <c r="H601" s="928"/>
      <c r="I601" s="928"/>
      <c r="J601" s="928"/>
      <c r="K601" s="928"/>
      <c r="L601" s="928"/>
      <c r="M601" s="928"/>
      <c r="N601" s="928"/>
      <c r="O601" s="928"/>
      <c r="P601" s="928"/>
      <c r="Q601" s="928"/>
      <c r="R601" s="928"/>
      <c r="S601" s="928"/>
      <c r="T601" s="928"/>
      <c r="U601" s="928"/>
      <c r="V601" s="928"/>
      <c r="W601" s="928"/>
      <c r="X601" s="928"/>
      <c r="Y601" s="928"/>
      <c r="Z601" s="928"/>
      <c r="AA601" s="928"/>
    </row>
    <row r="602" hidden="1">
      <c r="A602" s="935"/>
      <c r="B602" s="932"/>
      <c r="C602" s="928"/>
      <c r="D602" s="928"/>
      <c r="E602" s="928"/>
      <c r="F602" s="928"/>
      <c r="G602" s="928"/>
      <c r="H602" s="928"/>
      <c r="I602" s="928"/>
      <c r="J602" s="928"/>
      <c r="K602" s="928"/>
      <c r="L602" s="928"/>
      <c r="M602" s="928"/>
      <c r="N602" s="928"/>
      <c r="O602" s="928"/>
      <c r="P602" s="928"/>
      <c r="Q602" s="928"/>
      <c r="R602" s="928"/>
      <c r="S602" s="928"/>
      <c r="T602" s="928"/>
      <c r="U602" s="928"/>
      <c r="V602" s="928"/>
      <c r="W602" s="928"/>
      <c r="X602" s="928"/>
      <c r="Y602" s="928"/>
      <c r="Z602" s="928"/>
      <c r="AA602" s="928"/>
    </row>
    <row r="603" hidden="1">
      <c r="A603" s="935"/>
      <c r="B603" s="932"/>
      <c r="C603" s="928"/>
      <c r="D603" s="928"/>
      <c r="E603" s="928"/>
      <c r="F603" s="928"/>
      <c r="G603" s="928"/>
      <c r="H603" s="928"/>
      <c r="I603" s="928"/>
      <c r="J603" s="928"/>
      <c r="K603" s="928"/>
      <c r="L603" s="928"/>
      <c r="M603" s="928"/>
      <c r="N603" s="928"/>
      <c r="O603" s="928"/>
      <c r="P603" s="928"/>
      <c r="Q603" s="928"/>
      <c r="R603" s="928"/>
      <c r="S603" s="928"/>
      <c r="T603" s="928"/>
      <c r="U603" s="928"/>
      <c r="V603" s="928"/>
      <c r="W603" s="928"/>
      <c r="X603" s="928"/>
      <c r="Y603" s="928"/>
      <c r="Z603" s="928"/>
      <c r="AA603" s="928"/>
    </row>
    <row r="604" hidden="1">
      <c r="A604" s="935"/>
      <c r="B604" s="932"/>
      <c r="C604" s="928"/>
      <c r="D604" s="928"/>
      <c r="E604" s="928"/>
      <c r="F604" s="928"/>
      <c r="G604" s="928"/>
      <c r="H604" s="928"/>
      <c r="I604" s="928"/>
      <c r="J604" s="928"/>
      <c r="K604" s="928"/>
      <c r="L604" s="928"/>
      <c r="M604" s="928"/>
      <c r="N604" s="928"/>
      <c r="O604" s="928"/>
      <c r="P604" s="928"/>
      <c r="Q604" s="928"/>
      <c r="R604" s="928"/>
      <c r="S604" s="928"/>
      <c r="T604" s="928"/>
      <c r="U604" s="928"/>
      <c r="V604" s="928"/>
      <c r="W604" s="928"/>
      <c r="X604" s="928"/>
      <c r="Y604" s="928"/>
      <c r="Z604" s="928"/>
      <c r="AA604" s="928"/>
    </row>
    <row r="605" hidden="1">
      <c r="A605" s="935"/>
      <c r="B605" s="932"/>
      <c r="C605" s="928"/>
      <c r="D605" s="928"/>
      <c r="E605" s="928"/>
      <c r="F605" s="928"/>
      <c r="G605" s="928"/>
      <c r="H605" s="928"/>
      <c r="I605" s="928"/>
      <c r="J605" s="928"/>
      <c r="K605" s="928"/>
      <c r="L605" s="928"/>
      <c r="M605" s="928"/>
      <c r="N605" s="928"/>
      <c r="O605" s="928"/>
      <c r="P605" s="928"/>
      <c r="Q605" s="928"/>
      <c r="R605" s="928"/>
      <c r="S605" s="928"/>
      <c r="T605" s="928"/>
      <c r="U605" s="928"/>
      <c r="V605" s="928"/>
      <c r="W605" s="928"/>
      <c r="X605" s="928"/>
      <c r="Y605" s="928"/>
      <c r="Z605" s="928"/>
      <c r="AA605" s="928"/>
    </row>
    <row r="606" hidden="1">
      <c r="A606" s="935"/>
      <c r="B606" s="932"/>
      <c r="C606" s="928"/>
      <c r="D606" s="928"/>
      <c r="E606" s="928"/>
      <c r="F606" s="928"/>
      <c r="G606" s="928"/>
      <c r="H606" s="928"/>
      <c r="I606" s="928"/>
      <c r="J606" s="928"/>
      <c r="K606" s="928"/>
      <c r="L606" s="928"/>
      <c r="M606" s="928"/>
      <c r="N606" s="928"/>
      <c r="O606" s="928"/>
      <c r="P606" s="928"/>
      <c r="Q606" s="928"/>
      <c r="R606" s="928"/>
      <c r="S606" s="928"/>
      <c r="T606" s="928"/>
      <c r="U606" s="928"/>
      <c r="V606" s="928"/>
      <c r="W606" s="928"/>
      <c r="X606" s="928"/>
      <c r="Y606" s="928"/>
      <c r="Z606" s="928"/>
      <c r="AA606" s="928"/>
    </row>
    <row r="607" hidden="1">
      <c r="A607" s="935"/>
      <c r="B607" s="932"/>
      <c r="C607" s="928"/>
      <c r="D607" s="928"/>
      <c r="E607" s="928"/>
      <c r="F607" s="928"/>
      <c r="G607" s="928"/>
      <c r="H607" s="928"/>
      <c r="I607" s="928"/>
      <c r="J607" s="928"/>
      <c r="K607" s="928"/>
      <c r="L607" s="928"/>
      <c r="M607" s="928"/>
      <c r="N607" s="928"/>
      <c r="O607" s="928"/>
      <c r="P607" s="928"/>
      <c r="Q607" s="928"/>
      <c r="R607" s="928"/>
      <c r="S607" s="928"/>
      <c r="T607" s="928"/>
      <c r="U607" s="928"/>
      <c r="V607" s="928"/>
      <c r="W607" s="928"/>
      <c r="X607" s="928"/>
      <c r="Y607" s="928"/>
      <c r="Z607" s="928"/>
      <c r="AA607" s="928"/>
    </row>
    <row r="608" hidden="1">
      <c r="A608" s="935"/>
      <c r="B608" s="932"/>
      <c r="C608" s="928"/>
      <c r="D608" s="928"/>
      <c r="E608" s="928"/>
      <c r="F608" s="928"/>
      <c r="G608" s="928"/>
      <c r="H608" s="928"/>
      <c r="I608" s="928"/>
      <c r="J608" s="928"/>
      <c r="K608" s="928"/>
      <c r="L608" s="928"/>
      <c r="M608" s="928"/>
      <c r="N608" s="928"/>
      <c r="O608" s="928"/>
      <c r="P608" s="928"/>
      <c r="Q608" s="928"/>
      <c r="R608" s="928"/>
      <c r="S608" s="928"/>
      <c r="T608" s="928"/>
      <c r="U608" s="928"/>
      <c r="V608" s="928"/>
      <c r="W608" s="928"/>
      <c r="X608" s="928"/>
      <c r="Y608" s="928"/>
      <c r="Z608" s="928"/>
      <c r="AA608" s="928"/>
    </row>
    <row r="609" hidden="1">
      <c r="A609" s="935"/>
      <c r="B609" s="932"/>
      <c r="C609" s="928"/>
      <c r="D609" s="928"/>
      <c r="E609" s="928"/>
      <c r="F609" s="928"/>
      <c r="G609" s="928"/>
      <c r="H609" s="928"/>
      <c r="I609" s="928"/>
      <c r="J609" s="928"/>
      <c r="K609" s="928"/>
      <c r="L609" s="928"/>
      <c r="M609" s="928"/>
      <c r="N609" s="928"/>
      <c r="O609" s="928"/>
      <c r="P609" s="928"/>
      <c r="Q609" s="928"/>
      <c r="R609" s="928"/>
      <c r="S609" s="928"/>
      <c r="T609" s="928"/>
      <c r="U609" s="928"/>
      <c r="V609" s="928"/>
      <c r="W609" s="928"/>
      <c r="X609" s="928"/>
      <c r="Y609" s="928"/>
      <c r="Z609" s="928"/>
      <c r="AA609" s="928"/>
    </row>
    <row r="610" hidden="1">
      <c r="A610" s="935"/>
      <c r="B610" s="932"/>
      <c r="C610" s="928"/>
      <c r="D610" s="928"/>
      <c r="E610" s="928"/>
      <c r="F610" s="928"/>
      <c r="G610" s="928"/>
      <c r="H610" s="928"/>
      <c r="I610" s="928"/>
      <c r="J610" s="928"/>
      <c r="K610" s="928"/>
      <c r="L610" s="928"/>
      <c r="M610" s="928"/>
      <c r="N610" s="928"/>
      <c r="O610" s="928"/>
      <c r="P610" s="928"/>
      <c r="Q610" s="928"/>
      <c r="R610" s="928"/>
      <c r="S610" s="928"/>
      <c r="T610" s="928"/>
      <c r="U610" s="928"/>
      <c r="V610" s="928"/>
      <c r="W610" s="928"/>
      <c r="X610" s="928"/>
      <c r="Y610" s="928"/>
      <c r="Z610" s="928"/>
      <c r="AA610" s="928"/>
    </row>
    <row r="611" hidden="1">
      <c r="A611" s="935"/>
      <c r="B611" s="932"/>
      <c r="C611" s="928"/>
      <c r="D611" s="928"/>
      <c r="E611" s="928"/>
      <c r="F611" s="928"/>
      <c r="G611" s="928"/>
      <c r="H611" s="928"/>
      <c r="I611" s="928"/>
      <c r="J611" s="928"/>
      <c r="K611" s="928"/>
      <c r="L611" s="928"/>
      <c r="M611" s="928"/>
      <c r="N611" s="928"/>
      <c r="O611" s="928"/>
      <c r="P611" s="928"/>
      <c r="Q611" s="928"/>
      <c r="R611" s="928"/>
      <c r="S611" s="928"/>
      <c r="T611" s="928"/>
      <c r="U611" s="928"/>
      <c r="V611" s="928"/>
      <c r="W611" s="928"/>
      <c r="X611" s="928"/>
      <c r="Y611" s="928"/>
      <c r="Z611" s="928"/>
      <c r="AA611" s="928"/>
    </row>
    <row r="612" hidden="1">
      <c r="A612" s="935"/>
      <c r="B612" s="932"/>
      <c r="C612" s="928"/>
      <c r="D612" s="928"/>
      <c r="E612" s="928"/>
      <c r="F612" s="928"/>
      <c r="G612" s="928"/>
      <c r="H612" s="928"/>
      <c r="I612" s="928"/>
      <c r="J612" s="928"/>
      <c r="K612" s="928"/>
      <c r="L612" s="928"/>
      <c r="M612" s="928"/>
      <c r="N612" s="928"/>
      <c r="O612" s="928"/>
      <c r="P612" s="928"/>
      <c r="Q612" s="928"/>
      <c r="R612" s="928"/>
      <c r="S612" s="928"/>
      <c r="T612" s="928"/>
      <c r="U612" s="928"/>
      <c r="V612" s="928"/>
      <c r="W612" s="928"/>
      <c r="X612" s="928"/>
      <c r="Y612" s="928"/>
      <c r="Z612" s="928"/>
      <c r="AA612" s="928"/>
    </row>
    <row r="613" hidden="1">
      <c r="A613" s="935"/>
      <c r="B613" s="932"/>
      <c r="C613" s="928"/>
      <c r="D613" s="928"/>
      <c r="E613" s="928"/>
      <c r="F613" s="928"/>
      <c r="G613" s="928"/>
      <c r="H613" s="928"/>
      <c r="I613" s="928"/>
      <c r="J613" s="928"/>
      <c r="K613" s="928"/>
      <c r="L613" s="928"/>
      <c r="M613" s="928"/>
      <c r="N613" s="928"/>
      <c r="O613" s="928"/>
      <c r="P613" s="928"/>
      <c r="Q613" s="928"/>
      <c r="R613" s="928"/>
      <c r="S613" s="928"/>
      <c r="T613" s="928"/>
      <c r="U613" s="928"/>
      <c r="V613" s="928"/>
      <c r="W613" s="928"/>
      <c r="X613" s="928"/>
      <c r="Y613" s="928"/>
      <c r="Z613" s="928"/>
      <c r="AA613" s="928"/>
    </row>
    <row r="614" hidden="1">
      <c r="A614" s="935"/>
      <c r="B614" s="932"/>
      <c r="C614" s="928"/>
      <c r="D614" s="928"/>
      <c r="E614" s="928"/>
      <c r="F614" s="928"/>
      <c r="G614" s="928"/>
      <c r="H614" s="928"/>
      <c r="I614" s="928"/>
      <c r="J614" s="928"/>
      <c r="K614" s="928"/>
      <c r="L614" s="928"/>
      <c r="M614" s="928"/>
      <c r="N614" s="928"/>
      <c r="O614" s="928"/>
      <c r="P614" s="928"/>
      <c r="Q614" s="928"/>
      <c r="R614" s="928"/>
      <c r="S614" s="928"/>
      <c r="T614" s="928"/>
      <c r="U614" s="928"/>
      <c r="V614" s="928"/>
      <c r="W614" s="928"/>
      <c r="X614" s="928"/>
      <c r="Y614" s="928"/>
      <c r="Z614" s="928"/>
      <c r="AA614" s="928"/>
    </row>
    <row r="615" hidden="1">
      <c r="A615" s="935"/>
      <c r="B615" s="932"/>
      <c r="C615" s="928"/>
      <c r="D615" s="928"/>
      <c r="E615" s="928"/>
      <c r="F615" s="928"/>
      <c r="G615" s="928"/>
      <c r="H615" s="928"/>
      <c r="I615" s="928"/>
      <c r="J615" s="928"/>
      <c r="K615" s="928"/>
      <c r="L615" s="928"/>
      <c r="M615" s="928"/>
      <c r="N615" s="928"/>
      <c r="O615" s="928"/>
      <c r="P615" s="928"/>
      <c r="Q615" s="928"/>
      <c r="R615" s="928"/>
      <c r="S615" s="928"/>
      <c r="T615" s="928"/>
      <c r="U615" s="928"/>
      <c r="V615" s="928"/>
      <c r="W615" s="928"/>
      <c r="X615" s="928"/>
      <c r="Y615" s="928"/>
      <c r="Z615" s="928"/>
      <c r="AA615" s="928"/>
    </row>
    <row r="616" hidden="1">
      <c r="A616" s="935"/>
      <c r="B616" s="932"/>
      <c r="C616" s="928"/>
      <c r="D616" s="928"/>
      <c r="E616" s="928"/>
      <c r="F616" s="928"/>
      <c r="G616" s="928"/>
      <c r="H616" s="928"/>
      <c r="I616" s="928"/>
      <c r="J616" s="928"/>
      <c r="K616" s="928"/>
      <c r="L616" s="928"/>
      <c r="M616" s="928"/>
      <c r="N616" s="928"/>
      <c r="O616" s="928"/>
      <c r="P616" s="928"/>
      <c r="Q616" s="928"/>
      <c r="R616" s="928"/>
      <c r="S616" s="928"/>
      <c r="T616" s="928"/>
      <c r="U616" s="928"/>
      <c r="V616" s="928"/>
      <c r="W616" s="928"/>
      <c r="X616" s="928"/>
      <c r="Y616" s="928"/>
      <c r="Z616" s="928"/>
      <c r="AA616" s="928"/>
    </row>
    <row r="617" hidden="1">
      <c r="A617" s="935"/>
      <c r="B617" s="932"/>
      <c r="C617" s="928"/>
      <c r="D617" s="928"/>
      <c r="E617" s="928"/>
      <c r="F617" s="928"/>
      <c r="G617" s="928"/>
      <c r="H617" s="928"/>
      <c r="I617" s="928"/>
      <c r="J617" s="928"/>
      <c r="K617" s="928"/>
      <c r="L617" s="928"/>
      <c r="M617" s="928"/>
      <c r="N617" s="928"/>
      <c r="O617" s="928"/>
      <c r="P617" s="928"/>
      <c r="Q617" s="928"/>
      <c r="R617" s="928"/>
      <c r="S617" s="928"/>
      <c r="T617" s="928"/>
      <c r="U617" s="928"/>
      <c r="V617" s="928"/>
      <c r="W617" s="928"/>
      <c r="X617" s="928"/>
      <c r="Y617" s="928"/>
      <c r="Z617" s="928"/>
      <c r="AA617" s="928"/>
    </row>
    <row r="618" hidden="1">
      <c r="A618" s="935"/>
      <c r="B618" s="932"/>
      <c r="C618" s="928"/>
      <c r="D618" s="928"/>
      <c r="E618" s="928"/>
      <c r="F618" s="928"/>
      <c r="G618" s="928"/>
      <c r="H618" s="928"/>
      <c r="I618" s="928"/>
      <c r="J618" s="928"/>
      <c r="K618" s="928"/>
      <c r="L618" s="928"/>
      <c r="M618" s="928"/>
      <c r="N618" s="928"/>
      <c r="O618" s="928"/>
      <c r="P618" s="928"/>
      <c r="Q618" s="928"/>
      <c r="R618" s="928"/>
      <c r="S618" s="928"/>
      <c r="T618" s="928"/>
      <c r="U618" s="928"/>
      <c r="V618" s="928"/>
      <c r="W618" s="928"/>
      <c r="X618" s="928"/>
      <c r="Y618" s="928"/>
      <c r="Z618" s="928"/>
      <c r="AA618" s="928"/>
    </row>
    <row r="619" hidden="1">
      <c r="A619" s="935"/>
      <c r="B619" s="932"/>
      <c r="C619" s="928"/>
      <c r="D619" s="928"/>
      <c r="E619" s="928"/>
      <c r="F619" s="928"/>
      <c r="G619" s="928"/>
      <c r="H619" s="928"/>
      <c r="I619" s="928"/>
      <c r="J619" s="928"/>
      <c r="K619" s="928"/>
      <c r="L619" s="928"/>
      <c r="M619" s="928"/>
      <c r="N619" s="928"/>
      <c r="O619" s="928"/>
      <c r="P619" s="928"/>
      <c r="Q619" s="928"/>
      <c r="R619" s="928"/>
      <c r="S619" s="928"/>
      <c r="T619" s="928"/>
      <c r="U619" s="928"/>
      <c r="V619" s="928"/>
      <c r="W619" s="928"/>
      <c r="X619" s="928"/>
      <c r="Y619" s="928"/>
      <c r="Z619" s="928"/>
      <c r="AA619" s="928"/>
    </row>
    <row r="620" hidden="1">
      <c r="A620" s="935"/>
      <c r="B620" s="932"/>
      <c r="C620" s="928"/>
      <c r="D620" s="928"/>
      <c r="E620" s="928"/>
      <c r="F620" s="928"/>
      <c r="G620" s="928"/>
      <c r="H620" s="928"/>
      <c r="I620" s="928"/>
      <c r="J620" s="928"/>
      <c r="K620" s="928"/>
      <c r="L620" s="928"/>
      <c r="M620" s="928"/>
      <c r="N620" s="928"/>
      <c r="O620" s="928"/>
      <c r="P620" s="928"/>
      <c r="Q620" s="928"/>
      <c r="R620" s="928"/>
      <c r="S620" s="928"/>
      <c r="T620" s="928"/>
      <c r="U620" s="928"/>
      <c r="V620" s="928"/>
      <c r="W620" s="928"/>
      <c r="X620" s="928"/>
      <c r="Y620" s="928"/>
      <c r="Z620" s="928"/>
      <c r="AA620" s="928"/>
    </row>
    <row r="621" hidden="1">
      <c r="A621" s="935"/>
      <c r="B621" s="932"/>
      <c r="C621" s="928"/>
      <c r="D621" s="928"/>
      <c r="E621" s="928"/>
      <c r="F621" s="928"/>
      <c r="G621" s="928"/>
      <c r="H621" s="928"/>
      <c r="I621" s="928"/>
      <c r="J621" s="928"/>
      <c r="K621" s="928"/>
      <c r="L621" s="928"/>
      <c r="M621" s="928"/>
      <c r="N621" s="928"/>
      <c r="O621" s="928"/>
      <c r="P621" s="928"/>
      <c r="Q621" s="928"/>
      <c r="R621" s="928"/>
      <c r="S621" s="928"/>
      <c r="T621" s="928"/>
      <c r="U621" s="928"/>
      <c r="V621" s="928"/>
      <c r="W621" s="928"/>
      <c r="X621" s="928"/>
      <c r="Y621" s="928"/>
      <c r="Z621" s="928"/>
      <c r="AA621" s="928"/>
    </row>
    <row r="622" hidden="1">
      <c r="A622" s="935"/>
      <c r="B622" s="932"/>
      <c r="C622" s="928"/>
      <c r="D622" s="928"/>
      <c r="E622" s="928"/>
      <c r="F622" s="928"/>
      <c r="G622" s="928"/>
      <c r="H622" s="928"/>
      <c r="I622" s="928"/>
      <c r="J622" s="928"/>
      <c r="K622" s="928"/>
      <c r="L622" s="928"/>
      <c r="M622" s="928"/>
      <c r="N622" s="928"/>
      <c r="O622" s="928"/>
      <c r="P622" s="928"/>
      <c r="Q622" s="928"/>
      <c r="R622" s="928"/>
      <c r="S622" s="928"/>
      <c r="T622" s="928"/>
      <c r="U622" s="928"/>
      <c r="V622" s="928"/>
      <c r="W622" s="928"/>
      <c r="X622" s="928"/>
      <c r="Y622" s="928"/>
      <c r="Z622" s="928"/>
      <c r="AA622" s="928"/>
    </row>
    <row r="623" hidden="1">
      <c r="A623" s="935"/>
      <c r="B623" s="932"/>
      <c r="C623" s="928"/>
      <c r="D623" s="928"/>
      <c r="E623" s="928"/>
      <c r="F623" s="928"/>
      <c r="G623" s="928"/>
      <c r="H623" s="928"/>
      <c r="I623" s="928"/>
      <c r="J623" s="928"/>
      <c r="K623" s="928"/>
      <c r="L623" s="928"/>
      <c r="M623" s="928"/>
      <c r="N623" s="928"/>
      <c r="O623" s="928"/>
      <c r="P623" s="928"/>
      <c r="Q623" s="928"/>
      <c r="R623" s="928"/>
      <c r="S623" s="928"/>
      <c r="T623" s="928"/>
      <c r="U623" s="928"/>
      <c r="V623" s="928"/>
      <c r="W623" s="928"/>
      <c r="X623" s="928"/>
      <c r="Y623" s="928"/>
      <c r="Z623" s="928"/>
      <c r="AA623" s="928"/>
    </row>
    <row r="624" hidden="1">
      <c r="A624" s="935"/>
      <c r="B624" s="932"/>
      <c r="C624" s="928"/>
      <c r="D624" s="928"/>
      <c r="E624" s="928"/>
      <c r="F624" s="928"/>
      <c r="G624" s="928"/>
      <c r="H624" s="928"/>
      <c r="I624" s="928"/>
      <c r="J624" s="928"/>
      <c r="K624" s="928"/>
      <c r="L624" s="928"/>
      <c r="M624" s="928"/>
      <c r="N624" s="928"/>
      <c r="O624" s="928"/>
      <c r="P624" s="928"/>
      <c r="Q624" s="928"/>
      <c r="R624" s="928"/>
      <c r="S624" s="928"/>
      <c r="T624" s="928"/>
      <c r="U624" s="928"/>
      <c r="V624" s="928"/>
      <c r="W624" s="928"/>
      <c r="X624" s="928"/>
      <c r="Y624" s="928"/>
      <c r="Z624" s="928"/>
      <c r="AA624" s="928"/>
    </row>
    <row r="625" hidden="1">
      <c r="A625" s="935"/>
      <c r="B625" s="932"/>
      <c r="C625" s="928"/>
      <c r="D625" s="928"/>
      <c r="E625" s="928"/>
      <c r="F625" s="928"/>
      <c r="G625" s="928"/>
      <c r="H625" s="928"/>
      <c r="I625" s="928"/>
      <c r="J625" s="928"/>
      <c r="K625" s="928"/>
      <c r="L625" s="928"/>
      <c r="M625" s="928"/>
      <c r="N625" s="928"/>
      <c r="O625" s="928"/>
      <c r="P625" s="928"/>
      <c r="Q625" s="928"/>
      <c r="R625" s="928"/>
      <c r="S625" s="928"/>
      <c r="T625" s="928"/>
      <c r="U625" s="928"/>
      <c r="V625" s="928"/>
      <c r="W625" s="928"/>
      <c r="X625" s="928"/>
      <c r="Y625" s="928"/>
      <c r="Z625" s="928"/>
      <c r="AA625" s="928"/>
    </row>
    <row r="626" hidden="1">
      <c r="A626" s="935"/>
      <c r="B626" s="932"/>
      <c r="C626" s="928"/>
      <c r="D626" s="928"/>
      <c r="E626" s="928"/>
      <c r="F626" s="928"/>
      <c r="G626" s="928"/>
      <c r="H626" s="928"/>
      <c r="I626" s="928"/>
      <c r="J626" s="928"/>
      <c r="K626" s="928"/>
      <c r="L626" s="928"/>
      <c r="M626" s="928"/>
      <c r="N626" s="928"/>
      <c r="O626" s="928"/>
      <c r="P626" s="928"/>
      <c r="Q626" s="928"/>
      <c r="R626" s="928"/>
      <c r="S626" s="928"/>
      <c r="T626" s="928"/>
      <c r="U626" s="928"/>
      <c r="V626" s="928"/>
      <c r="W626" s="928"/>
      <c r="X626" s="928"/>
      <c r="Y626" s="928"/>
      <c r="Z626" s="928"/>
      <c r="AA626" s="928"/>
    </row>
    <row r="627" hidden="1">
      <c r="A627" s="935"/>
      <c r="B627" s="932"/>
      <c r="C627" s="928"/>
      <c r="D627" s="928"/>
      <c r="E627" s="928"/>
      <c r="F627" s="928"/>
      <c r="G627" s="928"/>
      <c r="H627" s="928"/>
      <c r="I627" s="928"/>
      <c r="J627" s="928"/>
      <c r="K627" s="928"/>
      <c r="L627" s="928"/>
      <c r="M627" s="928"/>
      <c r="N627" s="928"/>
      <c r="O627" s="928"/>
      <c r="P627" s="928"/>
      <c r="Q627" s="928"/>
      <c r="R627" s="928"/>
      <c r="S627" s="928"/>
      <c r="T627" s="928"/>
      <c r="U627" s="928"/>
      <c r="V627" s="928"/>
      <c r="W627" s="928"/>
      <c r="X627" s="928"/>
      <c r="Y627" s="928"/>
      <c r="Z627" s="928"/>
      <c r="AA627" s="928"/>
    </row>
    <row r="628" hidden="1">
      <c r="A628" s="935"/>
      <c r="B628" s="932"/>
      <c r="C628" s="928"/>
      <c r="D628" s="928"/>
      <c r="E628" s="928"/>
      <c r="F628" s="928"/>
      <c r="G628" s="928"/>
      <c r="H628" s="928"/>
      <c r="I628" s="928"/>
      <c r="J628" s="928"/>
      <c r="K628" s="928"/>
      <c r="L628" s="928"/>
      <c r="M628" s="928"/>
      <c r="N628" s="928"/>
      <c r="O628" s="928"/>
      <c r="P628" s="928"/>
      <c r="Q628" s="928"/>
      <c r="R628" s="928"/>
      <c r="S628" s="928"/>
      <c r="T628" s="928"/>
      <c r="U628" s="928"/>
      <c r="V628" s="928"/>
      <c r="W628" s="928"/>
      <c r="X628" s="928"/>
      <c r="Y628" s="928"/>
      <c r="Z628" s="928"/>
      <c r="AA628" s="928"/>
    </row>
    <row r="629" hidden="1">
      <c r="A629" s="935"/>
      <c r="B629" s="932"/>
      <c r="C629" s="928"/>
      <c r="D629" s="928"/>
      <c r="E629" s="928"/>
      <c r="F629" s="928"/>
      <c r="G629" s="928"/>
      <c r="H629" s="928"/>
      <c r="I629" s="928"/>
      <c r="J629" s="928"/>
      <c r="K629" s="928"/>
      <c r="L629" s="928"/>
      <c r="M629" s="928"/>
      <c r="N629" s="928"/>
      <c r="O629" s="928"/>
      <c r="P629" s="928"/>
      <c r="Q629" s="928"/>
      <c r="R629" s="928"/>
      <c r="S629" s="928"/>
      <c r="T629" s="928"/>
      <c r="U629" s="928"/>
      <c r="V629" s="928"/>
      <c r="W629" s="928"/>
      <c r="X629" s="928"/>
      <c r="Y629" s="928"/>
      <c r="Z629" s="928"/>
      <c r="AA629" s="928"/>
    </row>
    <row r="630" hidden="1">
      <c r="A630" s="935"/>
      <c r="B630" s="932"/>
      <c r="C630" s="928"/>
      <c r="D630" s="928"/>
      <c r="E630" s="928"/>
      <c r="F630" s="928"/>
      <c r="G630" s="928"/>
      <c r="H630" s="928"/>
      <c r="I630" s="928"/>
      <c r="J630" s="928"/>
      <c r="K630" s="928"/>
      <c r="L630" s="928"/>
      <c r="M630" s="928"/>
      <c r="N630" s="928"/>
      <c r="O630" s="928"/>
      <c r="P630" s="928"/>
      <c r="Q630" s="928"/>
      <c r="R630" s="928"/>
      <c r="S630" s="928"/>
      <c r="T630" s="928"/>
      <c r="U630" s="928"/>
      <c r="V630" s="928"/>
      <c r="W630" s="928"/>
      <c r="X630" s="928"/>
      <c r="Y630" s="928"/>
      <c r="Z630" s="928"/>
      <c r="AA630" s="928"/>
    </row>
    <row r="631" hidden="1">
      <c r="A631" s="935"/>
      <c r="B631" s="932"/>
      <c r="C631" s="928"/>
      <c r="D631" s="928"/>
      <c r="E631" s="928"/>
      <c r="F631" s="928"/>
      <c r="G631" s="928"/>
      <c r="H631" s="928"/>
      <c r="I631" s="928"/>
      <c r="J631" s="928"/>
      <c r="K631" s="928"/>
      <c r="L631" s="928"/>
      <c r="M631" s="928"/>
      <c r="N631" s="928"/>
      <c r="O631" s="928"/>
      <c r="P631" s="928"/>
      <c r="Q631" s="928"/>
      <c r="R631" s="928"/>
      <c r="S631" s="928"/>
      <c r="T631" s="928"/>
      <c r="U631" s="928"/>
      <c r="V631" s="928"/>
      <c r="W631" s="928"/>
      <c r="X631" s="928"/>
      <c r="Y631" s="928"/>
      <c r="Z631" s="928"/>
      <c r="AA631" s="928"/>
    </row>
    <row r="632" hidden="1">
      <c r="A632" s="935"/>
      <c r="B632" s="932"/>
      <c r="C632" s="928"/>
      <c r="D632" s="928"/>
      <c r="E632" s="928"/>
      <c r="F632" s="928"/>
      <c r="G632" s="928"/>
      <c r="H632" s="928"/>
      <c r="I632" s="928"/>
      <c r="J632" s="928"/>
      <c r="K632" s="928"/>
      <c r="L632" s="928"/>
      <c r="M632" s="928"/>
      <c r="N632" s="928"/>
      <c r="O632" s="928"/>
      <c r="P632" s="928"/>
      <c r="Q632" s="928"/>
      <c r="R632" s="928"/>
      <c r="S632" s="928"/>
      <c r="T632" s="928"/>
      <c r="U632" s="928"/>
      <c r="V632" s="928"/>
      <c r="W632" s="928"/>
      <c r="X632" s="928"/>
      <c r="Y632" s="928"/>
      <c r="Z632" s="928"/>
      <c r="AA632" s="928"/>
    </row>
    <row r="633" hidden="1">
      <c r="A633" s="935"/>
      <c r="B633" s="932"/>
      <c r="C633" s="928"/>
      <c r="D633" s="928"/>
      <c r="E633" s="928"/>
      <c r="F633" s="928"/>
      <c r="G633" s="928"/>
      <c r="H633" s="928"/>
      <c r="I633" s="928"/>
      <c r="J633" s="928"/>
      <c r="K633" s="928"/>
      <c r="L633" s="928"/>
      <c r="M633" s="928"/>
      <c r="N633" s="928"/>
      <c r="O633" s="928"/>
      <c r="P633" s="928"/>
      <c r="Q633" s="928"/>
      <c r="R633" s="928"/>
      <c r="S633" s="928"/>
      <c r="T633" s="928"/>
      <c r="U633" s="928"/>
      <c r="V633" s="928"/>
      <c r="W633" s="928"/>
      <c r="X633" s="928"/>
      <c r="Y633" s="928"/>
      <c r="Z633" s="928"/>
      <c r="AA633" s="928"/>
    </row>
    <row r="634" hidden="1">
      <c r="A634" s="935"/>
      <c r="B634" s="932"/>
      <c r="C634" s="928"/>
      <c r="D634" s="928"/>
      <c r="E634" s="928"/>
      <c r="F634" s="928"/>
      <c r="G634" s="928"/>
      <c r="H634" s="928"/>
      <c r="I634" s="928"/>
      <c r="J634" s="928"/>
      <c r="K634" s="928"/>
      <c r="L634" s="928"/>
      <c r="M634" s="928"/>
      <c r="N634" s="928"/>
      <c r="O634" s="928"/>
      <c r="P634" s="928"/>
      <c r="Q634" s="928"/>
      <c r="R634" s="928"/>
      <c r="S634" s="928"/>
      <c r="T634" s="928"/>
      <c r="U634" s="928"/>
      <c r="V634" s="928"/>
      <c r="W634" s="928"/>
      <c r="X634" s="928"/>
      <c r="Y634" s="928"/>
      <c r="Z634" s="928"/>
      <c r="AA634" s="928"/>
    </row>
    <row r="635" hidden="1">
      <c r="A635" s="935"/>
      <c r="B635" s="932"/>
      <c r="C635" s="928"/>
      <c r="D635" s="928"/>
      <c r="E635" s="928"/>
      <c r="F635" s="928"/>
      <c r="G635" s="928"/>
      <c r="H635" s="928"/>
      <c r="I635" s="928"/>
      <c r="J635" s="928"/>
      <c r="K635" s="928"/>
      <c r="L635" s="928"/>
      <c r="M635" s="928"/>
      <c r="N635" s="928"/>
      <c r="O635" s="928"/>
      <c r="P635" s="928"/>
      <c r="Q635" s="928"/>
      <c r="R635" s="928"/>
      <c r="S635" s="928"/>
      <c r="T635" s="928"/>
      <c r="U635" s="928"/>
      <c r="V635" s="928"/>
      <c r="W635" s="928"/>
      <c r="X635" s="928"/>
      <c r="Y635" s="928"/>
      <c r="Z635" s="928"/>
      <c r="AA635" s="928"/>
    </row>
    <row r="636" hidden="1">
      <c r="A636" s="935"/>
      <c r="B636" s="932"/>
      <c r="C636" s="928"/>
      <c r="D636" s="928"/>
      <c r="E636" s="928"/>
      <c r="F636" s="928"/>
      <c r="G636" s="928"/>
      <c r="H636" s="928"/>
      <c r="I636" s="928"/>
      <c r="J636" s="928"/>
      <c r="K636" s="928"/>
      <c r="L636" s="928"/>
      <c r="M636" s="928"/>
      <c r="N636" s="928"/>
      <c r="O636" s="928"/>
      <c r="P636" s="928"/>
      <c r="Q636" s="928"/>
      <c r="R636" s="928"/>
      <c r="S636" s="928"/>
      <c r="T636" s="928"/>
      <c r="U636" s="928"/>
      <c r="V636" s="928"/>
      <c r="W636" s="928"/>
      <c r="X636" s="928"/>
      <c r="Y636" s="928"/>
      <c r="Z636" s="928"/>
      <c r="AA636" s="928"/>
    </row>
    <row r="637" hidden="1">
      <c r="A637" s="935"/>
      <c r="B637" s="932"/>
      <c r="C637" s="928"/>
      <c r="D637" s="928"/>
      <c r="E637" s="928"/>
      <c r="F637" s="928"/>
      <c r="G637" s="928"/>
      <c r="H637" s="928"/>
      <c r="I637" s="928"/>
      <c r="J637" s="928"/>
      <c r="K637" s="928"/>
      <c r="L637" s="928"/>
      <c r="M637" s="928"/>
      <c r="N637" s="928"/>
      <c r="O637" s="928"/>
      <c r="P637" s="928"/>
      <c r="Q637" s="928"/>
      <c r="R637" s="928"/>
      <c r="S637" s="928"/>
      <c r="T637" s="928"/>
      <c r="U637" s="928"/>
      <c r="V637" s="928"/>
      <c r="W637" s="928"/>
      <c r="X637" s="928"/>
      <c r="Y637" s="928"/>
      <c r="Z637" s="928"/>
      <c r="AA637" s="928"/>
    </row>
    <row r="638" hidden="1">
      <c r="A638" s="935"/>
      <c r="B638" s="932"/>
      <c r="C638" s="928"/>
      <c r="D638" s="928"/>
      <c r="E638" s="928"/>
      <c r="F638" s="928"/>
      <c r="G638" s="928"/>
      <c r="H638" s="928"/>
      <c r="I638" s="928"/>
      <c r="J638" s="928"/>
      <c r="K638" s="928"/>
      <c r="L638" s="928"/>
      <c r="M638" s="928"/>
      <c r="N638" s="928"/>
      <c r="O638" s="928"/>
      <c r="P638" s="928"/>
      <c r="Q638" s="928"/>
      <c r="R638" s="928"/>
      <c r="S638" s="928"/>
      <c r="T638" s="928"/>
      <c r="U638" s="928"/>
      <c r="V638" s="928"/>
      <c r="W638" s="928"/>
      <c r="X638" s="928"/>
      <c r="Y638" s="928"/>
      <c r="Z638" s="928"/>
      <c r="AA638" s="928"/>
    </row>
    <row r="639" hidden="1">
      <c r="A639" s="935"/>
      <c r="B639" s="932"/>
      <c r="C639" s="928"/>
      <c r="D639" s="928"/>
      <c r="E639" s="928"/>
      <c r="F639" s="928"/>
      <c r="G639" s="928"/>
      <c r="H639" s="928"/>
      <c r="I639" s="928"/>
      <c r="J639" s="928"/>
      <c r="K639" s="928"/>
      <c r="L639" s="928"/>
      <c r="M639" s="928"/>
      <c r="N639" s="928"/>
      <c r="O639" s="928"/>
      <c r="P639" s="928"/>
      <c r="Q639" s="928"/>
      <c r="R639" s="928"/>
      <c r="S639" s="928"/>
      <c r="T639" s="928"/>
      <c r="U639" s="928"/>
      <c r="V639" s="928"/>
      <c r="W639" s="928"/>
      <c r="X639" s="928"/>
      <c r="Y639" s="928"/>
      <c r="Z639" s="928"/>
      <c r="AA639" s="928"/>
    </row>
    <row r="640" hidden="1">
      <c r="A640" s="935"/>
      <c r="B640" s="932"/>
      <c r="C640" s="928"/>
      <c r="D640" s="928"/>
      <c r="E640" s="928"/>
      <c r="F640" s="928"/>
      <c r="G640" s="928"/>
      <c r="H640" s="928"/>
      <c r="I640" s="928"/>
      <c r="J640" s="928"/>
      <c r="K640" s="928"/>
      <c r="L640" s="928"/>
      <c r="M640" s="928"/>
      <c r="N640" s="928"/>
      <c r="O640" s="928"/>
      <c r="P640" s="928"/>
      <c r="Q640" s="928"/>
      <c r="R640" s="928"/>
      <c r="S640" s="928"/>
      <c r="T640" s="928"/>
      <c r="U640" s="928"/>
      <c r="V640" s="928"/>
      <c r="W640" s="928"/>
      <c r="X640" s="928"/>
      <c r="Y640" s="928"/>
      <c r="Z640" s="928"/>
      <c r="AA640" s="928"/>
    </row>
    <row r="641" hidden="1">
      <c r="A641" s="935"/>
      <c r="B641" s="932"/>
      <c r="C641" s="928"/>
      <c r="D641" s="928"/>
      <c r="E641" s="928"/>
      <c r="F641" s="928"/>
      <c r="G641" s="928"/>
      <c r="H641" s="928"/>
      <c r="I641" s="928"/>
      <c r="J641" s="928"/>
      <c r="K641" s="928"/>
      <c r="L641" s="928"/>
      <c r="M641" s="928"/>
      <c r="N641" s="928"/>
      <c r="O641" s="928"/>
      <c r="P641" s="928"/>
      <c r="Q641" s="928"/>
      <c r="R641" s="928"/>
      <c r="S641" s="928"/>
      <c r="T641" s="928"/>
      <c r="U641" s="928"/>
      <c r="V641" s="928"/>
      <c r="W641" s="928"/>
      <c r="X641" s="928"/>
      <c r="Y641" s="928"/>
      <c r="Z641" s="928"/>
      <c r="AA641" s="928"/>
    </row>
    <row r="642" hidden="1">
      <c r="A642" s="935"/>
      <c r="B642" s="932"/>
      <c r="C642" s="928"/>
      <c r="D642" s="928"/>
      <c r="E642" s="928"/>
      <c r="F642" s="928"/>
      <c r="G642" s="928"/>
      <c r="H642" s="928"/>
      <c r="I642" s="928"/>
      <c r="J642" s="928"/>
      <c r="K642" s="928"/>
      <c r="L642" s="928"/>
      <c r="M642" s="928"/>
      <c r="N642" s="928"/>
      <c r="O642" s="928"/>
      <c r="P642" s="928"/>
      <c r="Q642" s="928"/>
      <c r="R642" s="928"/>
      <c r="S642" s="928"/>
      <c r="T642" s="928"/>
      <c r="U642" s="928"/>
      <c r="V642" s="928"/>
      <c r="W642" s="928"/>
      <c r="X642" s="928"/>
      <c r="Y642" s="928"/>
      <c r="Z642" s="928"/>
      <c r="AA642" s="928"/>
    </row>
    <row r="643" hidden="1">
      <c r="A643" s="935"/>
      <c r="B643" s="932"/>
      <c r="C643" s="928"/>
      <c r="D643" s="928"/>
      <c r="E643" s="928"/>
      <c r="F643" s="928"/>
      <c r="G643" s="928"/>
      <c r="H643" s="928"/>
      <c r="I643" s="928"/>
      <c r="J643" s="928"/>
      <c r="K643" s="928"/>
      <c r="L643" s="928"/>
      <c r="M643" s="928"/>
      <c r="N643" s="928"/>
      <c r="O643" s="928"/>
      <c r="P643" s="928"/>
      <c r="Q643" s="928"/>
      <c r="R643" s="928"/>
      <c r="S643" s="928"/>
      <c r="T643" s="928"/>
      <c r="U643" s="928"/>
      <c r="V643" s="928"/>
      <c r="W643" s="928"/>
      <c r="X643" s="928"/>
      <c r="Y643" s="928"/>
      <c r="Z643" s="928"/>
      <c r="AA643" s="928"/>
    </row>
    <row r="644" hidden="1">
      <c r="A644" s="935"/>
      <c r="B644" s="932"/>
      <c r="C644" s="928"/>
      <c r="D644" s="928"/>
      <c r="E644" s="928"/>
      <c r="F644" s="928"/>
      <c r="G644" s="928"/>
      <c r="H644" s="928"/>
      <c r="I644" s="928"/>
      <c r="J644" s="928"/>
      <c r="K644" s="928"/>
      <c r="L644" s="928"/>
      <c r="M644" s="928"/>
      <c r="N644" s="928"/>
      <c r="O644" s="928"/>
      <c r="P644" s="928"/>
      <c r="Q644" s="928"/>
      <c r="R644" s="928"/>
      <c r="S644" s="928"/>
      <c r="T644" s="928"/>
      <c r="U644" s="928"/>
      <c r="V644" s="928"/>
      <c r="W644" s="928"/>
      <c r="X644" s="928"/>
      <c r="Y644" s="928"/>
      <c r="Z644" s="928"/>
      <c r="AA644" s="928"/>
    </row>
    <row r="645" hidden="1">
      <c r="A645" s="935"/>
      <c r="B645" s="932"/>
      <c r="C645" s="928"/>
      <c r="D645" s="928"/>
      <c r="E645" s="928"/>
      <c r="F645" s="928"/>
      <c r="G645" s="928"/>
      <c r="H645" s="928"/>
      <c r="I645" s="928"/>
      <c r="J645" s="928"/>
      <c r="K645" s="928"/>
      <c r="L645" s="928"/>
      <c r="M645" s="928"/>
      <c r="N645" s="928"/>
      <c r="O645" s="928"/>
      <c r="P645" s="928"/>
      <c r="Q645" s="928"/>
      <c r="R645" s="928"/>
      <c r="S645" s="928"/>
      <c r="T645" s="928"/>
      <c r="U645" s="928"/>
      <c r="V645" s="928"/>
      <c r="W645" s="928"/>
      <c r="X645" s="928"/>
      <c r="Y645" s="928"/>
      <c r="Z645" s="928"/>
      <c r="AA645" s="928"/>
    </row>
    <row r="646" hidden="1">
      <c r="A646" s="935"/>
      <c r="B646" s="932"/>
      <c r="C646" s="928"/>
      <c r="D646" s="928"/>
      <c r="E646" s="928"/>
      <c r="F646" s="928"/>
      <c r="G646" s="928"/>
      <c r="H646" s="928"/>
      <c r="I646" s="928"/>
      <c r="J646" s="928"/>
      <c r="K646" s="928"/>
      <c r="L646" s="928"/>
      <c r="M646" s="928"/>
      <c r="N646" s="928"/>
      <c r="O646" s="928"/>
      <c r="P646" s="928"/>
      <c r="Q646" s="928"/>
      <c r="R646" s="928"/>
      <c r="S646" s="928"/>
      <c r="T646" s="928"/>
      <c r="U646" s="928"/>
      <c r="V646" s="928"/>
      <c r="W646" s="928"/>
      <c r="X646" s="928"/>
      <c r="Y646" s="928"/>
      <c r="Z646" s="928"/>
      <c r="AA646" s="928"/>
    </row>
    <row r="647" hidden="1">
      <c r="A647" s="935"/>
      <c r="B647" s="932"/>
      <c r="C647" s="928"/>
      <c r="D647" s="928"/>
      <c r="E647" s="928"/>
      <c r="F647" s="928"/>
      <c r="G647" s="928"/>
      <c r="H647" s="928"/>
      <c r="I647" s="928"/>
      <c r="J647" s="928"/>
      <c r="K647" s="928"/>
      <c r="L647" s="928"/>
      <c r="M647" s="928"/>
      <c r="N647" s="928"/>
      <c r="O647" s="928"/>
      <c r="P647" s="928"/>
      <c r="Q647" s="928"/>
      <c r="R647" s="928"/>
      <c r="S647" s="928"/>
      <c r="T647" s="928"/>
      <c r="U647" s="928"/>
      <c r="V647" s="928"/>
      <c r="W647" s="928"/>
      <c r="X647" s="928"/>
      <c r="Y647" s="928"/>
      <c r="Z647" s="928"/>
      <c r="AA647" s="928"/>
    </row>
    <row r="648" hidden="1">
      <c r="A648" s="935"/>
      <c r="B648" s="932"/>
      <c r="C648" s="928"/>
      <c r="D648" s="928"/>
      <c r="E648" s="928"/>
      <c r="F648" s="928"/>
      <c r="G648" s="928"/>
      <c r="H648" s="928"/>
      <c r="I648" s="928"/>
      <c r="J648" s="928"/>
      <c r="K648" s="928"/>
      <c r="L648" s="928"/>
      <c r="M648" s="928"/>
      <c r="N648" s="928"/>
      <c r="O648" s="928"/>
      <c r="P648" s="928"/>
      <c r="Q648" s="928"/>
      <c r="R648" s="928"/>
      <c r="S648" s="928"/>
      <c r="T648" s="928"/>
      <c r="U648" s="928"/>
      <c r="V648" s="928"/>
      <c r="W648" s="928"/>
      <c r="X648" s="928"/>
      <c r="Y648" s="928"/>
      <c r="Z648" s="928"/>
      <c r="AA648" s="928"/>
    </row>
    <row r="649" hidden="1">
      <c r="A649" s="935"/>
      <c r="B649" s="932"/>
      <c r="C649" s="928"/>
      <c r="D649" s="928"/>
      <c r="E649" s="928"/>
      <c r="F649" s="928"/>
      <c r="G649" s="928"/>
      <c r="H649" s="928"/>
      <c r="I649" s="928"/>
      <c r="J649" s="928"/>
      <c r="K649" s="928"/>
      <c r="L649" s="928"/>
      <c r="M649" s="928"/>
      <c r="N649" s="928"/>
      <c r="O649" s="928"/>
      <c r="P649" s="928"/>
      <c r="Q649" s="928"/>
      <c r="R649" s="928"/>
      <c r="S649" s="928"/>
      <c r="T649" s="928"/>
      <c r="U649" s="928"/>
      <c r="V649" s="928"/>
      <c r="W649" s="928"/>
      <c r="X649" s="928"/>
      <c r="Y649" s="928"/>
      <c r="Z649" s="928"/>
      <c r="AA649" s="928"/>
    </row>
    <row r="650" hidden="1">
      <c r="A650" s="935"/>
      <c r="B650" s="932"/>
      <c r="C650" s="928"/>
      <c r="D650" s="928"/>
      <c r="E650" s="928"/>
      <c r="F650" s="928"/>
      <c r="G650" s="928"/>
      <c r="H650" s="928"/>
      <c r="I650" s="928"/>
      <c r="J650" s="928"/>
      <c r="K650" s="928"/>
      <c r="L650" s="928"/>
      <c r="M650" s="928"/>
      <c r="N650" s="928"/>
      <c r="O650" s="928"/>
      <c r="P650" s="928"/>
      <c r="Q650" s="928"/>
      <c r="R650" s="928"/>
      <c r="S650" s="928"/>
      <c r="T650" s="928"/>
      <c r="U650" s="928"/>
      <c r="V650" s="928"/>
      <c r="W650" s="928"/>
      <c r="X650" s="928"/>
      <c r="Y650" s="928"/>
      <c r="Z650" s="928"/>
      <c r="AA650" s="928"/>
    </row>
    <row r="651" hidden="1">
      <c r="A651" s="935"/>
      <c r="B651" s="932"/>
      <c r="C651" s="928"/>
      <c r="D651" s="928"/>
      <c r="E651" s="928"/>
      <c r="F651" s="928"/>
      <c r="G651" s="928"/>
      <c r="H651" s="928"/>
      <c r="I651" s="928"/>
      <c r="J651" s="928"/>
      <c r="K651" s="928"/>
      <c r="L651" s="928"/>
      <c r="M651" s="928"/>
      <c r="N651" s="928"/>
      <c r="O651" s="928"/>
      <c r="P651" s="928"/>
      <c r="Q651" s="928"/>
      <c r="R651" s="928"/>
      <c r="S651" s="928"/>
      <c r="T651" s="928"/>
      <c r="U651" s="928"/>
      <c r="V651" s="928"/>
      <c r="W651" s="928"/>
      <c r="X651" s="928"/>
      <c r="Y651" s="928"/>
      <c r="Z651" s="928"/>
      <c r="AA651" s="928"/>
    </row>
    <row r="652" hidden="1">
      <c r="A652" s="935"/>
      <c r="B652" s="932"/>
      <c r="C652" s="928"/>
      <c r="D652" s="928"/>
      <c r="E652" s="928"/>
      <c r="F652" s="928"/>
      <c r="G652" s="928"/>
      <c r="H652" s="928"/>
      <c r="I652" s="928"/>
      <c r="J652" s="928"/>
      <c r="K652" s="928"/>
      <c r="L652" s="928"/>
      <c r="M652" s="928"/>
      <c r="N652" s="928"/>
      <c r="O652" s="928"/>
      <c r="P652" s="928"/>
      <c r="Q652" s="928"/>
      <c r="R652" s="928"/>
      <c r="S652" s="928"/>
      <c r="T652" s="928"/>
      <c r="U652" s="928"/>
      <c r="V652" s="928"/>
      <c r="W652" s="928"/>
      <c r="X652" s="928"/>
      <c r="Y652" s="928"/>
      <c r="Z652" s="928"/>
      <c r="AA652" s="928"/>
    </row>
    <row r="653" hidden="1">
      <c r="A653" s="935"/>
      <c r="B653" s="932"/>
      <c r="C653" s="928"/>
      <c r="D653" s="928"/>
      <c r="E653" s="928"/>
      <c r="F653" s="928"/>
      <c r="G653" s="928"/>
      <c r="H653" s="928"/>
      <c r="I653" s="928"/>
      <c r="J653" s="928"/>
      <c r="K653" s="928"/>
      <c r="L653" s="928"/>
      <c r="M653" s="928"/>
      <c r="N653" s="928"/>
      <c r="O653" s="928"/>
      <c r="P653" s="928"/>
      <c r="Q653" s="928"/>
      <c r="R653" s="928"/>
      <c r="S653" s="928"/>
      <c r="T653" s="928"/>
      <c r="U653" s="928"/>
      <c r="V653" s="928"/>
      <c r="W653" s="928"/>
      <c r="X653" s="928"/>
      <c r="Y653" s="928"/>
      <c r="Z653" s="928"/>
      <c r="AA653" s="928"/>
    </row>
    <row r="654" hidden="1">
      <c r="A654" s="935"/>
      <c r="B654" s="932"/>
      <c r="C654" s="928"/>
      <c r="D654" s="928"/>
      <c r="E654" s="928"/>
      <c r="F654" s="928"/>
      <c r="G654" s="928"/>
      <c r="H654" s="928"/>
      <c r="I654" s="928"/>
      <c r="J654" s="928"/>
      <c r="K654" s="928"/>
      <c r="L654" s="928"/>
      <c r="M654" s="928"/>
      <c r="N654" s="928"/>
      <c r="O654" s="928"/>
      <c r="P654" s="928"/>
      <c r="Q654" s="928"/>
      <c r="R654" s="928"/>
      <c r="S654" s="928"/>
      <c r="T654" s="928"/>
      <c r="U654" s="928"/>
      <c r="V654" s="928"/>
      <c r="W654" s="928"/>
      <c r="X654" s="928"/>
      <c r="Y654" s="928"/>
      <c r="Z654" s="928"/>
      <c r="AA654" s="928"/>
    </row>
    <row r="655" hidden="1">
      <c r="A655" s="935"/>
      <c r="B655" s="932"/>
      <c r="C655" s="928"/>
      <c r="D655" s="928"/>
      <c r="E655" s="928"/>
      <c r="F655" s="928"/>
      <c r="G655" s="928"/>
      <c r="H655" s="928"/>
      <c r="I655" s="928"/>
      <c r="J655" s="928"/>
      <c r="K655" s="928"/>
      <c r="L655" s="928"/>
      <c r="M655" s="928"/>
      <c r="N655" s="928"/>
      <c r="O655" s="928"/>
      <c r="P655" s="928"/>
      <c r="Q655" s="928"/>
      <c r="R655" s="928"/>
      <c r="S655" s="928"/>
      <c r="T655" s="928"/>
      <c r="U655" s="928"/>
      <c r="V655" s="928"/>
      <c r="W655" s="928"/>
      <c r="X655" s="928"/>
      <c r="Y655" s="928"/>
      <c r="Z655" s="928"/>
      <c r="AA655" s="928"/>
    </row>
    <row r="656" hidden="1">
      <c r="A656" s="935"/>
      <c r="B656" s="932"/>
      <c r="C656" s="928"/>
      <c r="D656" s="928"/>
      <c r="E656" s="928"/>
      <c r="F656" s="928"/>
      <c r="G656" s="928"/>
      <c r="H656" s="928"/>
      <c r="I656" s="928"/>
      <c r="J656" s="928"/>
      <c r="K656" s="928"/>
      <c r="L656" s="928"/>
      <c r="M656" s="928"/>
      <c r="N656" s="928"/>
      <c r="O656" s="928"/>
      <c r="P656" s="928"/>
      <c r="Q656" s="928"/>
      <c r="R656" s="928"/>
      <c r="S656" s="928"/>
      <c r="T656" s="928"/>
      <c r="U656" s="928"/>
      <c r="V656" s="928"/>
      <c r="W656" s="928"/>
      <c r="X656" s="928"/>
      <c r="Y656" s="928"/>
      <c r="Z656" s="928"/>
      <c r="AA656" s="928"/>
    </row>
    <row r="657" hidden="1">
      <c r="A657" s="935"/>
      <c r="B657" s="932"/>
      <c r="C657" s="928"/>
      <c r="D657" s="928"/>
      <c r="E657" s="928"/>
      <c r="F657" s="928"/>
      <c r="G657" s="928"/>
      <c r="H657" s="928"/>
      <c r="I657" s="928"/>
      <c r="J657" s="928"/>
      <c r="K657" s="928"/>
      <c r="L657" s="928"/>
      <c r="M657" s="928"/>
      <c r="N657" s="928"/>
      <c r="O657" s="928"/>
      <c r="P657" s="928"/>
      <c r="Q657" s="928"/>
      <c r="R657" s="928"/>
      <c r="S657" s="928"/>
      <c r="T657" s="928"/>
      <c r="U657" s="928"/>
      <c r="V657" s="928"/>
      <c r="W657" s="928"/>
      <c r="X657" s="928"/>
      <c r="Y657" s="928"/>
      <c r="Z657" s="928"/>
      <c r="AA657" s="928"/>
    </row>
    <row r="658" hidden="1">
      <c r="A658" s="935"/>
      <c r="B658" s="932"/>
      <c r="C658" s="928"/>
      <c r="D658" s="928"/>
      <c r="E658" s="928"/>
      <c r="F658" s="928"/>
      <c r="G658" s="928"/>
      <c r="H658" s="928"/>
      <c r="I658" s="928"/>
      <c r="J658" s="928"/>
      <c r="K658" s="928"/>
      <c r="L658" s="928"/>
      <c r="M658" s="928"/>
      <c r="N658" s="928"/>
      <c r="O658" s="928"/>
      <c r="P658" s="928"/>
      <c r="Q658" s="928"/>
      <c r="R658" s="928"/>
      <c r="S658" s="928"/>
      <c r="T658" s="928"/>
      <c r="U658" s="928"/>
      <c r="V658" s="928"/>
      <c r="W658" s="928"/>
      <c r="X658" s="928"/>
      <c r="Y658" s="928"/>
      <c r="Z658" s="928"/>
      <c r="AA658" s="928"/>
    </row>
    <row r="659" hidden="1">
      <c r="A659" s="935"/>
      <c r="B659" s="932"/>
      <c r="C659" s="928"/>
      <c r="D659" s="928"/>
      <c r="E659" s="928"/>
      <c r="F659" s="928"/>
      <c r="G659" s="928"/>
      <c r="H659" s="928"/>
      <c r="I659" s="928"/>
      <c r="J659" s="928"/>
      <c r="K659" s="928"/>
      <c r="L659" s="928"/>
      <c r="M659" s="928"/>
      <c r="N659" s="928"/>
      <c r="O659" s="928"/>
      <c r="P659" s="928"/>
      <c r="Q659" s="928"/>
      <c r="R659" s="928"/>
      <c r="S659" s="928"/>
      <c r="T659" s="928"/>
      <c r="U659" s="928"/>
      <c r="V659" s="928"/>
      <c r="W659" s="928"/>
      <c r="X659" s="928"/>
      <c r="Y659" s="928"/>
      <c r="Z659" s="928"/>
      <c r="AA659" s="928"/>
    </row>
    <row r="660" hidden="1">
      <c r="A660" s="935"/>
      <c r="B660" s="932"/>
      <c r="C660" s="928"/>
      <c r="D660" s="928"/>
      <c r="E660" s="928"/>
      <c r="F660" s="928"/>
      <c r="G660" s="928"/>
      <c r="H660" s="928"/>
      <c r="I660" s="928"/>
      <c r="J660" s="928"/>
      <c r="K660" s="928"/>
      <c r="L660" s="928"/>
      <c r="M660" s="928"/>
      <c r="N660" s="928"/>
      <c r="O660" s="928"/>
      <c r="P660" s="928"/>
      <c r="Q660" s="928"/>
      <c r="R660" s="928"/>
      <c r="S660" s="928"/>
      <c r="T660" s="928"/>
      <c r="U660" s="928"/>
      <c r="V660" s="928"/>
      <c r="W660" s="928"/>
      <c r="X660" s="928"/>
      <c r="Y660" s="928"/>
      <c r="Z660" s="928"/>
      <c r="AA660" s="928"/>
    </row>
    <row r="661" hidden="1">
      <c r="A661" s="935"/>
      <c r="B661" s="932"/>
      <c r="C661" s="928"/>
      <c r="D661" s="928"/>
      <c r="E661" s="928"/>
      <c r="F661" s="928"/>
      <c r="G661" s="928"/>
      <c r="H661" s="928"/>
      <c r="I661" s="928"/>
      <c r="J661" s="928"/>
      <c r="K661" s="928"/>
      <c r="L661" s="928"/>
      <c r="M661" s="928"/>
      <c r="N661" s="928"/>
      <c r="O661" s="928"/>
      <c r="P661" s="928"/>
      <c r="Q661" s="928"/>
      <c r="R661" s="928"/>
      <c r="S661" s="928"/>
      <c r="T661" s="928"/>
      <c r="U661" s="928"/>
      <c r="V661" s="928"/>
      <c r="W661" s="928"/>
      <c r="X661" s="928"/>
      <c r="Y661" s="928"/>
      <c r="Z661" s="928"/>
      <c r="AA661" s="928"/>
    </row>
    <row r="662" hidden="1">
      <c r="A662" s="935"/>
      <c r="B662" s="932"/>
      <c r="C662" s="928"/>
      <c r="D662" s="928"/>
      <c r="E662" s="928"/>
      <c r="F662" s="928"/>
      <c r="G662" s="928"/>
      <c r="H662" s="928"/>
      <c r="I662" s="928"/>
      <c r="J662" s="928"/>
      <c r="K662" s="928"/>
      <c r="L662" s="928"/>
      <c r="M662" s="928"/>
      <c r="N662" s="928"/>
      <c r="O662" s="928"/>
      <c r="P662" s="928"/>
      <c r="Q662" s="928"/>
      <c r="R662" s="928"/>
      <c r="S662" s="928"/>
      <c r="T662" s="928"/>
      <c r="U662" s="928"/>
      <c r="V662" s="928"/>
      <c r="W662" s="928"/>
      <c r="X662" s="928"/>
      <c r="Y662" s="928"/>
      <c r="Z662" s="928"/>
      <c r="AA662" s="928"/>
    </row>
    <row r="663" hidden="1">
      <c r="A663" s="935"/>
      <c r="B663" s="932"/>
      <c r="C663" s="928"/>
      <c r="D663" s="928"/>
      <c r="E663" s="928"/>
      <c r="F663" s="928"/>
      <c r="G663" s="928"/>
      <c r="H663" s="928"/>
      <c r="I663" s="928"/>
      <c r="J663" s="928"/>
      <c r="K663" s="928"/>
      <c r="L663" s="928"/>
      <c r="M663" s="928"/>
      <c r="N663" s="928"/>
      <c r="O663" s="928"/>
      <c r="P663" s="928"/>
      <c r="Q663" s="928"/>
      <c r="R663" s="928"/>
      <c r="S663" s="928"/>
      <c r="T663" s="928"/>
      <c r="U663" s="928"/>
      <c r="V663" s="928"/>
      <c r="W663" s="928"/>
      <c r="X663" s="928"/>
      <c r="Y663" s="928"/>
      <c r="Z663" s="928"/>
      <c r="AA663" s="928"/>
    </row>
    <row r="664" hidden="1">
      <c r="A664" s="935"/>
      <c r="B664" s="932"/>
      <c r="C664" s="928"/>
      <c r="D664" s="928"/>
      <c r="E664" s="928"/>
      <c r="F664" s="928"/>
      <c r="G664" s="928"/>
      <c r="H664" s="928"/>
      <c r="I664" s="928"/>
      <c r="J664" s="928"/>
      <c r="K664" s="928"/>
      <c r="L664" s="928"/>
      <c r="M664" s="928"/>
      <c r="N664" s="928"/>
      <c r="O664" s="928"/>
      <c r="P664" s="928"/>
      <c r="Q664" s="928"/>
      <c r="R664" s="928"/>
      <c r="S664" s="928"/>
      <c r="T664" s="928"/>
      <c r="U664" s="928"/>
      <c r="V664" s="928"/>
      <c r="W664" s="928"/>
      <c r="X664" s="928"/>
      <c r="Y664" s="928"/>
      <c r="Z664" s="928"/>
      <c r="AA664" s="928"/>
    </row>
    <row r="665" hidden="1">
      <c r="A665" s="935"/>
      <c r="B665" s="932"/>
      <c r="C665" s="928"/>
      <c r="D665" s="928"/>
      <c r="E665" s="928"/>
      <c r="F665" s="928"/>
      <c r="G665" s="928"/>
      <c r="H665" s="928"/>
      <c r="I665" s="928"/>
      <c r="J665" s="928"/>
      <c r="K665" s="928"/>
      <c r="L665" s="928"/>
      <c r="M665" s="928"/>
      <c r="N665" s="928"/>
      <c r="O665" s="928"/>
      <c r="P665" s="928"/>
      <c r="Q665" s="928"/>
      <c r="R665" s="928"/>
      <c r="S665" s="928"/>
      <c r="T665" s="928"/>
      <c r="U665" s="928"/>
      <c r="V665" s="928"/>
      <c r="W665" s="928"/>
      <c r="X665" s="928"/>
      <c r="Y665" s="928"/>
      <c r="Z665" s="928"/>
      <c r="AA665" s="928"/>
    </row>
    <row r="666" hidden="1">
      <c r="A666" s="935"/>
      <c r="B666" s="932"/>
      <c r="C666" s="928"/>
      <c r="D666" s="928"/>
      <c r="E666" s="928"/>
      <c r="F666" s="928"/>
      <c r="G666" s="928"/>
      <c r="H666" s="928"/>
      <c r="I666" s="928"/>
      <c r="J666" s="928"/>
      <c r="K666" s="928"/>
      <c r="L666" s="928"/>
      <c r="M666" s="928"/>
      <c r="N666" s="928"/>
      <c r="O666" s="928"/>
      <c r="P666" s="928"/>
      <c r="Q666" s="928"/>
      <c r="R666" s="928"/>
      <c r="S666" s="928"/>
      <c r="T666" s="928"/>
      <c r="U666" s="928"/>
      <c r="V666" s="928"/>
      <c r="W666" s="928"/>
      <c r="X666" s="928"/>
      <c r="Y666" s="928"/>
      <c r="Z666" s="928"/>
      <c r="AA666" s="928"/>
    </row>
    <row r="667" hidden="1">
      <c r="A667" s="935"/>
      <c r="B667" s="932"/>
      <c r="C667" s="928"/>
      <c r="D667" s="928"/>
      <c r="E667" s="928"/>
      <c r="F667" s="928"/>
      <c r="G667" s="928"/>
      <c r="H667" s="928"/>
      <c r="I667" s="928"/>
      <c r="J667" s="928"/>
      <c r="K667" s="928"/>
      <c r="L667" s="928"/>
      <c r="M667" s="928"/>
      <c r="N667" s="928"/>
      <c r="O667" s="928"/>
      <c r="P667" s="928"/>
      <c r="Q667" s="928"/>
      <c r="R667" s="928"/>
      <c r="S667" s="928"/>
      <c r="T667" s="928"/>
      <c r="U667" s="928"/>
      <c r="V667" s="928"/>
      <c r="W667" s="928"/>
      <c r="X667" s="928"/>
      <c r="Y667" s="928"/>
      <c r="Z667" s="928"/>
      <c r="AA667" s="928"/>
    </row>
    <row r="668" hidden="1">
      <c r="A668" s="935"/>
      <c r="B668" s="932"/>
      <c r="C668" s="928"/>
      <c r="D668" s="928"/>
      <c r="E668" s="928"/>
      <c r="F668" s="928"/>
      <c r="G668" s="928"/>
      <c r="H668" s="928"/>
      <c r="I668" s="928"/>
      <c r="J668" s="928"/>
      <c r="K668" s="928"/>
      <c r="L668" s="928"/>
      <c r="M668" s="928"/>
      <c r="N668" s="928"/>
      <c r="O668" s="928"/>
      <c r="P668" s="928"/>
      <c r="Q668" s="928"/>
      <c r="R668" s="928"/>
      <c r="S668" s="928"/>
      <c r="T668" s="928"/>
      <c r="U668" s="928"/>
      <c r="V668" s="928"/>
      <c r="W668" s="928"/>
      <c r="X668" s="928"/>
      <c r="Y668" s="928"/>
      <c r="Z668" s="928"/>
      <c r="AA668" s="928"/>
    </row>
    <row r="669" hidden="1">
      <c r="A669" s="935"/>
      <c r="B669" s="932"/>
      <c r="C669" s="928"/>
      <c r="D669" s="928"/>
      <c r="E669" s="928"/>
      <c r="F669" s="928"/>
      <c r="G669" s="928"/>
      <c r="H669" s="928"/>
      <c r="I669" s="928"/>
      <c r="J669" s="928"/>
      <c r="K669" s="928"/>
      <c r="L669" s="928"/>
      <c r="M669" s="928"/>
      <c r="N669" s="928"/>
      <c r="O669" s="928"/>
      <c r="P669" s="928"/>
      <c r="Q669" s="928"/>
      <c r="R669" s="928"/>
      <c r="S669" s="928"/>
      <c r="T669" s="928"/>
      <c r="U669" s="928"/>
      <c r="V669" s="928"/>
      <c r="W669" s="928"/>
      <c r="X669" s="928"/>
      <c r="Y669" s="928"/>
      <c r="Z669" s="928"/>
      <c r="AA669" s="928"/>
    </row>
    <row r="670" hidden="1">
      <c r="A670" s="935"/>
      <c r="B670" s="932"/>
      <c r="C670" s="928"/>
      <c r="D670" s="928"/>
      <c r="E670" s="928"/>
      <c r="F670" s="928"/>
      <c r="G670" s="928"/>
      <c r="H670" s="928"/>
      <c r="I670" s="928"/>
      <c r="J670" s="928"/>
      <c r="K670" s="928"/>
      <c r="L670" s="928"/>
      <c r="M670" s="928"/>
      <c r="N670" s="928"/>
      <c r="O670" s="928"/>
      <c r="P670" s="928"/>
      <c r="Q670" s="928"/>
      <c r="R670" s="928"/>
      <c r="S670" s="928"/>
      <c r="T670" s="928"/>
      <c r="U670" s="928"/>
      <c r="V670" s="928"/>
      <c r="W670" s="928"/>
      <c r="X670" s="928"/>
      <c r="Y670" s="928"/>
      <c r="Z670" s="928"/>
      <c r="AA670" s="928"/>
    </row>
    <row r="671" hidden="1">
      <c r="A671" s="935"/>
      <c r="B671" s="932"/>
      <c r="C671" s="928"/>
      <c r="D671" s="928"/>
      <c r="E671" s="928"/>
      <c r="F671" s="928"/>
      <c r="G671" s="928"/>
      <c r="H671" s="928"/>
      <c r="I671" s="928"/>
      <c r="J671" s="928"/>
      <c r="K671" s="928"/>
      <c r="L671" s="928"/>
      <c r="M671" s="928"/>
      <c r="N671" s="928"/>
      <c r="O671" s="928"/>
      <c r="P671" s="928"/>
      <c r="Q671" s="928"/>
      <c r="R671" s="928"/>
      <c r="S671" s="928"/>
      <c r="T671" s="928"/>
      <c r="U671" s="928"/>
      <c r="V671" s="928"/>
      <c r="W671" s="928"/>
      <c r="X671" s="928"/>
      <c r="Y671" s="928"/>
      <c r="Z671" s="928"/>
      <c r="AA671" s="928"/>
    </row>
    <row r="672" hidden="1">
      <c r="A672" s="935"/>
      <c r="B672" s="932"/>
      <c r="C672" s="928"/>
      <c r="D672" s="928"/>
      <c r="E672" s="928"/>
      <c r="F672" s="928"/>
      <c r="G672" s="928"/>
      <c r="H672" s="928"/>
      <c r="I672" s="928"/>
      <c r="J672" s="928"/>
      <c r="K672" s="928"/>
      <c r="L672" s="928"/>
      <c r="M672" s="928"/>
      <c r="N672" s="928"/>
      <c r="O672" s="928"/>
      <c r="P672" s="928"/>
      <c r="Q672" s="928"/>
      <c r="R672" s="928"/>
      <c r="S672" s="928"/>
      <c r="T672" s="928"/>
      <c r="U672" s="928"/>
      <c r="V672" s="928"/>
      <c r="W672" s="928"/>
      <c r="X672" s="928"/>
      <c r="Y672" s="928"/>
      <c r="Z672" s="928"/>
      <c r="AA672" s="928"/>
    </row>
    <row r="673" hidden="1">
      <c r="A673" s="935"/>
      <c r="B673" s="932"/>
      <c r="C673" s="928"/>
      <c r="D673" s="928"/>
      <c r="E673" s="928"/>
      <c r="F673" s="928"/>
      <c r="G673" s="928"/>
      <c r="H673" s="928"/>
      <c r="I673" s="928"/>
      <c r="J673" s="928"/>
      <c r="K673" s="928"/>
      <c r="L673" s="928"/>
      <c r="M673" s="928"/>
      <c r="N673" s="928"/>
      <c r="O673" s="928"/>
      <c r="P673" s="928"/>
      <c r="Q673" s="928"/>
      <c r="R673" s="928"/>
      <c r="S673" s="928"/>
      <c r="T673" s="928"/>
      <c r="U673" s="928"/>
      <c r="V673" s="928"/>
      <c r="W673" s="928"/>
      <c r="X673" s="928"/>
      <c r="Y673" s="928"/>
      <c r="Z673" s="928"/>
      <c r="AA673" s="928"/>
    </row>
    <row r="674" hidden="1">
      <c r="A674" s="935"/>
      <c r="B674" s="932"/>
      <c r="C674" s="928"/>
      <c r="D674" s="928"/>
      <c r="E674" s="928"/>
      <c r="F674" s="928"/>
      <c r="G674" s="928"/>
      <c r="H674" s="928"/>
      <c r="I674" s="928"/>
      <c r="J674" s="928"/>
      <c r="K674" s="928"/>
      <c r="L674" s="928"/>
      <c r="M674" s="928"/>
      <c r="N674" s="928"/>
      <c r="O674" s="928"/>
      <c r="P674" s="928"/>
      <c r="Q674" s="928"/>
      <c r="R674" s="928"/>
      <c r="S674" s="928"/>
      <c r="T674" s="928"/>
      <c r="U674" s="928"/>
      <c r="V674" s="928"/>
      <c r="W674" s="928"/>
      <c r="X674" s="928"/>
      <c r="Y674" s="928"/>
      <c r="Z674" s="928"/>
      <c r="AA674" s="928"/>
    </row>
    <row r="675" hidden="1">
      <c r="A675" s="935"/>
      <c r="B675" s="932"/>
      <c r="C675" s="928"/>
      <c r="D675" s="928"/>
      <c r="E675" s="928"/>
      <c r="F675" s="928"/>
      <c r="G675" s="928"/>
      <c r="H675" s="928"/>
      <c r="I675" s="928"/>
      <c r="J675" s="928"/>
      <c r="K675" s="928"/>
      <c r="L675" s="928"/>
      <c r="M675" s="928"/>
      <c r="N675" s="928"/>
      <c r="O675" s="928"/>
      <c r="P675" s="928"/>
      <c r="Q675" s="928"/>
      <c r="R675" s="928"/>
      <c r="S675" s="928"/>
      <c r="T675" s="928"/>
      <c r="U675" s="928"/>
      <c r="V675" s="928"/>
      <c r="W675" s="928"/>
      <c r="X675" s="928"/>
      <c r="Y675" s="928"/>
      <c r="Z675" s="928"/>
      <c r="AA675" s="928"/>
    </row>
    <row r="676" hidden="1">
      <c r="A676" s="935"/>
      <c r="B676" s="932"/>
      <c r="C676" s="928"/>
      <c r="D676" s="928"/>
      <c r="E676" s="928"/>
      <c r="F676" s="928"/>
      <c r="G676" s="928"/>
      <c r="H676" s="928"/>
      <c r="I676" s="928"/>
      <c r="J676" s="928"/>
      <c r="K676" s="928"/>
      <c r="L676" s="928"/>
      <c r="M676" s="928"/>
      <c r="N676" s="928"/>
      <c r="O676" s="928"/>
      <c r="P676" s="928"/>
      <c r="Q676" s="928"/>
      <c r="R676" s="928"/>
      <c r="S676" s="928"/>
      <c r="T676" s="928"/>
      <c r="U676" s="928"/>
      <c r="V676" s="928"/>
      <c r="W676" s="928"/>
      <c r="X676" s="928"/>
      <c r="Y676" s="928"/>
      <c r="Z676" s="928"/>
      <c r="AA676" s="928"/>
    </row>
    <row r="677" hidden="1">
      <c r="A677" s="935"/>
      <c r="B677" s="932"/>
      <c r="C677" s="928"/>
      <c r="D677" s="928"/>
      <c r="E677" s="928"/>
      <c r="F677" s="928"/>
      <c r="G677" s="928"/>
      <c r="H677" s="928"/>
      <c r="I677" s="928"/>
      <c r="J677" s="928"/>
      <c r="K677" s="928"/>
      <c r="L677" s="928"/>
      <c r="M677" s="928"/>
      <c r="N677" s="928"/>
      <c r="O677" s="928"/>
      <c r="P677" s="928"/>
      <c r="Q677" s="928"/>
      <c r="R677" s="928"/>
      <c r="S677" s="928"/>
      <c r="T677" s="928"/>
      <c r="U677" s="928"/>
      <c r="V677" s="928"/>
      <c r="W677" s="928"/>
      <c r="X677" s="928"/>
      <c r="Y677" s="928"/>
      <c r="Z677" s="928"/>
      <c r="AA677" s="928"/>
    </row>
    <row r="678" hidden="1">
      <c r="A678" s="935"/>
      <c r="B678" s="932"/>
      <c r="C678" s="928"/>
      <c r="D678" s="928"/>
      <c r="E678" s="928"/>
      <c r="F678" s="928"/>
      <c r="G678" s="928"/>
      <c r="H678" s="928"/>
      <c r="I678" s="928"/>
      <c r="J678" s="928"/>
      <c r="K678" s="928"/>
      <c r="L678" s="928"/>
      <c r="M678" s="928"/>
      <c r="N678" s="928"/>
      <c r="O678" s="928"/>
      <c r="P678" s="928"/>
      <c r="Q678" s="928"/>
      <c r="R678" s="928"/>
      <c r="S678" s="928"/>
      <c r="T678" s="928"/>
      <c r="U678" s="928"/>
      <c r="V678" s="928"/>
      <c r="W678" s="928"/>
      <c r="X678" s="928"/>
      <c r="Y678" s="928"/>
      <c r="Z678" s="928"/>
      <c r="AA678" s="928"/>
    </row>
    <row r="679" hidden="1">
      <c r="A679" s="935"/>
      <c r="B679" s="932"/>
      <c r="C679" s="928"/>
      <c r="D679" s="928"/>
      <c r="E679" s="928"/>
      <c r="F679" s="928"/>
      <c r="G679" s="928"/>
      <c r="H679" s="928"/>
      <c r="I679" s="928"/>
      <c r="J679" s="928"/>
      <c r="K679" s="928"/>
      <c r="L679" s="928"/>
      <c r="M679" s="928"/>
      <c r="N679" s="928"/>
      <c r="O679" s="928"/>
      <c r="P679" s="928"/>
      <c r="Q679" s="928"/>
      <c r="R679" s="928"/>
      <c r="S679" s="928"/>
      <c r="T679" s="928"/>
      <c r="U679" s="928"/>
      <c r="V679" s="928"/>
      <c r="W679" s="928"/>
      <c r="X679" s="928"/>
      <c r="Y679" s="928"/>
      <c r="Z679" s="928"/>
      <c r="AA679" s="928"/>
    </row>
    <row r="680" hidden="1">
      <c r="A680" s="935"/>
      <c r="B680" s="932"/>
      <c r="C680" s="928"/>
      <c r="D680" s="928"/>
      <c r="E680" s="928"/>
      <c r="F680" s="928"/>
      <c r="G680" s="928"/>
      <c r="H680" s="928"/>
      <c r="I680" s="928"/>
      <c r="J680" s="928"/>
      <c r="K680" s="928"/>
      <c r="L680" s="928"/>
      <c r="M680" s="928"/>
      <c r="N680" s="928"/>
      <c r="O680" s="928"/>
      <c r="P680" s="928"/>
      <c r="Q680" s="928"/>
      <c r="R680" s="928"/>
      <c r="S680" s="928"/>
      <c r="T680" s="928"/>
      <c r="U680" s="928"/>
      <c r="V680" s="928"/>
      <c r="W680" s="928"/>
      <c r="X680" s="928"/>
      <c r="Y680" s="928"/>
      <c r="Z680" s="928"/>
      <c r="AA680" s="928"/>
    </row>
    <row r="681" hidden="1">
      <c r="A681" s="935"/>
      <c r="B681" s="932"/>
      <c r="C681" s="928"/>
      <c r="D681" s="928"/>
      <c r="E681" s="928"/>
      <c r="F681" s="928"/>
      <c r="G681" s="928"/>
      <c r="H681" s="928"/>
      <c r="I681" s="928"/>
      <c r="J681" s="928"/>
      <c r="K681" s="928"/>
      <c r="L681" s="928"/>
      <c r="M681" s="928"/>
      <c r="N681" s="928"/>
      <c r="O681" s="928"/>
      <c r="P681" s="928"/>
      <c r="Q681" s="928"/>
      <c r="R681" s="928"/>
      <c r="S681" s="928"/>
      <c r="T681" s="928"/>
      <c r="U681" s="928"/>
      <c r="V681" s="928"/>
      <c r="W681" s="928"/>
      <c r="X681" s="928"/>
      <c r="Y681" s="928"/>
      <c r="Z681" s="928"/>
      <c r="AA681" s="928"/>
    </row>
    <row r="682" hidden="1">
      <c r="A682" s="935"/>
      <c r="B682" s="932"/>
      <c r="C682" s="928"/>
      <c r="D682" s="928"/>
      <c r="E682" s="928"/>
      <c r="F682" s="928"/>
      <c r="G682" s="928"/>
      <c r="H682" s="928"/>
      <c r="I682" s="928"/>
      <c r="J682" s="928"/>
      <c r="K682" s="928"/>
      <c r="L682" s="928"/>
      <c r="M682" s="928"/>
      <c r="N682" s="928"/>
      <c r="O682" s="928"/>
      <c r="P682" s="928"/>
      <c r="Q682" s="928"/>
      <c r="R682" s="928"/>
      <c r="S682" s="928"/>
      <c r="T682" s="928"/>
      <c r="U682" s="928"/>
      <c r="V682" s="928"/>
      <c r="W682" s="928"/>
      <c r="X682" s="928"/>
      <c r="Y682" s="928"/>
      <c r="Z682" s="928"/>
      <c r="AA682" s="928"/>
    </row>
    <row r="683" hidden="1">
      <c r="A683" s="935"/>
      <c r="B683" s="932"/>
      <c r="C683" s="928"/>
      <c r="D683" s="928"/>
      <c r="E683" s="928"/>
      <c r="F683" s="928"/>
      <c r="G683" s="928"/>
      <c r="H683" s="928"/>
      <c r="I683" s="928"/>
      <c r="J683" s="928"/>
      <c r="K683" s="928"/>
      <c r="L683" s="928"/>
      <c r="M683" s="928"/>
      <c r="N683" s="928"/>
      <c r="O683" s="928"/>
      <c r="P683" s="928"/>
      <c r="Q683" s="928"/>
      <c r="R683" s="928"/>
      <c r="S683" s="928"/>
      <c r="T683" s="928"/>
      <c r="U683" s="928"/>
      <c r="V683" s="928"/>
      <c r="W683" s="928"/>
      <c r="X683" s="928"/>
      <c r="Y683" s="928"/>
      <c r="Z683" s="928"/>
      <c r="AA683" s="928"/>
    </row>
    <row r="684" hidden="1">
      <c r="A684" s="935"/>
      <c r="B684" s="932"/>
      <c r="C684" s="928"/>
      <c r="D684" s="928"/>
      <c r="E684" s="928"/>
      <c r="F684" s="928"/>
      <c r="G684" s="928"/>
      <c r="H684" s="928"/>
      <c r="I684" s="928"/>
      <c r="J684" s="928"/>
      <c r="K684" s="928"/>
      <c r="L684" s="928"/>
      <c r="M684" s="928"/>
      <c r="N684" s="928"/>
      <c r="O684" s="928"/>
      <c r="P684" s="928"/>
      <c r="Q684" s="928"/>
      <c r="R684" s="928"/>
      <c r="S684" s="928"/>
      <c r="T684" s="928"/>
      <c r="U684" s="928"/>
      <c r="V684" s="928"/>
      <c r="W684" s="928"/>
      <c r="X684" s="928"/>
      <c r="Y684" s="928"/>
      <c r="Z684" s="928"/>
      <c r="AA684" s="928"/>
    </row>
    <row r="685" hidden="1">
      <c r="A685" s="935"/>
      <c r="B685" s="932"/>
      <c r="C685" s="928"/>
      <c r="D685" s="928"/>
      <c r="E685" s="928"/>
      <c r="F685" s="928"/>
      <c r="G685" s="928"/>
      <c r="H685" s="928"/>
      <c r="I685" s="928"/>
      <c r="J685" s="928"/>
      <c r="K685" s="928"/>
      <c r="L685" s="928"/>
      <c r="M685" s="928"/>
      <c r="N685" s="928"/>
      <c r="O685" s="928"/>
      <c r="P685" s="928"/>
      <c r="Q685" s="928"/>
      <c r="R685" s="928"/>
      <c r="S685" s="928"/>
      <c r="T685" s="928"/>
      <c r="U685" s="928"/>
      <c r="V685" s="928"/>
      <c r="W685" s="928"/>
      <c r="X685" s="928"/>
      <c r="Y685" s="928"/>
      <c r="Z685" s="928"/>
      <c r="AA685" s="928"/>
    </row>
    <row r="686" hidden="1">
      <c r="A686" s="935"/>
      <c r="B686" s="932"/>
      <c r="C686" s="928"/>
      <c r="D686" s="928"/>
      <c r="E686" s="928"/>
      <c r="F686" s="928"/>
      <c r="G686" s="928"/>
      <c r="H686" s="928"/>
      <c r="I686" s="928"/>
      <c r="J686" s="928"/>
      <c r="K686" s="928"/>
      <c r="L686" s="928"/>
      <c r="M686" s="928"/>
      <c r="N686" s="928"/>
      <c r="O686" s="928"/>
      <c r="P686" s="928"/>
      <c r="Q686" s="928"/>
      <c r="R686" s="928"/>
      <c r="S686" s="928"/>
      <c r="T686" s="928"/>
      <c r="U686" s="928"/>
      <c r="V686" s="928"/>
      <c r="W686" s="928"/>
      <c r="X686" s="928"/>
      <c r="Y686" s="928"/>
      <c r="Z686" s="928"/>
      <c r="AA686" s="928"/>
    </row>
    <row r="687" hidden="1">
      <c r="A687" s="935"/>
      <c r="B687" s="932"/>
      <c r="C687" s="928"/>
      <c r="D687" s="928"/>
      <c r="E687" s="928"/>
      <c r="F687" s="928"/>
      <c r="G687" s="928"/>
      <c r="H687" s="928"/>
      <c r="I687" s="928"/>
      <c r="J687" s="928"/>
      <c r="K687" s="928"/>
      <c r="L687" s="928"/>
      <c r="M687" s="928"/>
      <c r="N687" s="928"/>
      <c r="O687" s="928"/>
      <c r="P687" s="928"/>
      <c r="Q687" s="928"/>
      <c r="R687" s="928"/>
      <c r="S687" s="928"/>
      <c r="T687" s="928"/>
      <c r="U687" s="928"/>
      <c r="V687" s="928"/>
      <c r="W687" s="928"/>
      <c r="X687" s="928"/>
      <c r="Y687" s="928"/>
      <c r="Z687" s="928"/>
      <c r="AA687" s="928"/>
    </row>
    <row r="688" hidden="1">
      <c r="A688" s="935"/>
      <c r="B688" s="932"/>
      <c r="C688" s="928"/>
      <c r="D688" s="928"/>
      <c r="E688" s="928"/>
      <c r="F688" s="928"/>
      <c r="G688" s="928"/>
      <c r="H688" s="928"/>
      <c r="I688" s="928"/>
      <c r="J688" s="928"/>
      <c r="K688" s="928"/>
      <c r="L688" s="928"/>
      <c r="M688" s="928"/>
      <c r="N688" s="928"/>
      <c r="O688" s="928"/>
      <c r="P688" s="928"/>
      <c r="Q688" s="928"/>
      <c r="R688" s="928"/>
      <c r="S688" s="928"/>
      <c r="T688" s="928"/>
      <c r="U688" s="928"/>
      <c r="V688" s="928"/>
      <c r="W688" s="928"/>
      <c r="X688" s="928"/>
      <c r="Y688" s="928"/>
      <c r="Z688" s="928"/>
      <c r="AA688" s="928"/>
    </row>
    <row r="689" hidden="1">
      <c r="A689" s="935"/>
      <c r="B689" s="932"/>
      <c r="C689" s="928"/>
      <c r="D689" s="928"/>
      <c r="E689" s="928"/>
      <c r="F689" s="928"/>
      <c r="G689" s="928"/>
      <c r="H689" s="928"/>
      <c r="I689" s="928"/>
      <c r="J689" s="928"/>
      <c r="K689" s="928"/>
      <c r="L689" s="928"/>
      <c r="M689" s="928"/>
      <c r="N689" s="928"/>
      <c r="O689" s="928"/>
      <c r="P689" s="928"/>
      <c r="Q689" s="928"/>
      <c r="R689" s="928"/>
      <c r="S689" s="928"/>
      <c r="T689" s="928"/>
      <c r="U689" s="928"/>
      <c r="V689" s="928"/>
      <c r="W689" s="928"/>
      <c r="X689" s="928"/>
      <c r="Y689" s="928"/>
      <c r="Z689" s="928"/>
      <c r="AA689" s="928"/>
    </row>
    <row r="690" hidden="1">
      <c r="A690" s="935"/>
      <c r="B690" s="932"/>
      <c r="C690" s="928"/>
      <c r="D690" s="928"/>
      <c r="E690" s="928"/>
      <c r="F690" s="928"/>
      <c r="G690" s="928"/>
      <c r="H690" s="928"/>
      <c r="I690" s="928"/>
      <c r="J690" s="928"/>
      <c r="K690" s="928"/>
      <c r="L690" s="928"/>
      <c r="M690" s="928"/>
      <c r="N690" s="928"/>
      <c r="O690" s="928"/>
      <c r="P690" s="928"/>
      <c r="Q690" s="928"/>
      <c r="R690" s="928"/>
      <c r="S690" s="928"/>
      <c r="T690" s="928"/>
      <c r="U690" s="928"/>
      <c r="V690" s="928"/>
      <c r="W690" s="928"/>
      <c r="X690" s="928"/>
      <c r="Y690" s="928"/>
      <c r="Z690" s="928"/>
      <c r="AA690" s="928"/>
    </row>
    <row r="691" hidden="1">
      <c r="A691" s="935"/>
      <c r="B691" s="932"/>
      <c r="C691" s="928"/>
      <c r="D691" s="928"/>
      <c r="E691" s="928"/>
      <c r="F691" s="928"/>
      <c r="G691" s="928"/>
      <c r="H691" s="928"/>
      <c r="I691" s="928"/>
      <c r="J691" s="928"/>
      <c r="K691" s="928"/>
      <c r="L691" s="928"/>
      <c r="M691" s="928"/>
      <c r="N691" s="928"/>
      <c r="O691" s="928"/>
      <c r="P691" s="928"/>
      <c r="Q691" s="928"/>
      <c r="R691" s="928"/>
      <c r="S691" s="928"/>
      <c r="T691" s="928"/>
      <c r="U691" s="928"/>
      <c r="V691" s="928"/>
      <c r="W691" s="928"/>
      <c r="X691" s="928"/>
      <c r="Y691" s="928"/>
      <c r="Z691" s="928"/>
      <c r="AA691" s="928"/>
    </row>
    <row r="692" hidden="1">
      <c r="A692" s="935"/>
      <c r="B692" s="932"/>
      <c r="C692" s="928"/>
      <c r="D692" s="928"/>
      <c r="E692" s="928"/>
      <c r="F692" s="928"/>
      <c r="G692" s="928"/>
      <c r="H692" s="928"/>
      <c r="I692" s="928"/>
      <c r="J692" s="928"/>
      <c r="K692" s="928"/>
      <c r="L692" s="928"/>
      <c r="M692" s="928"/>
      <c r="N692" s="928"/>
      <c r="O692" s="928"/>
      <c r="P692" s="928"/>
      <c r="Q692" s="928"/>
      <c r="R692" s="928"/>
      <c r="S692" s="928"/>
      <c r="T692" s="928"/>
      <c r="U692" s="928"/>
      <c r="V692" s="928"/>
      <c r="W692" s="928"/>
      <c r="X692" s="928"/>
      <c r="Y692" s="928"/>
      <c r="Z692" s="928"/>
      <c r="AA692" s="928"/>
    </row>
    <row r="693" hidden="1">
      <c r="A693" s="935"/>
      <c r="B693" s="932"/>
      <c r="C693" s="928"/>
      <c r="D693" s="928"/>
      <c r="E693" s="928"/>
      <c r="F693" s="928"/>
      <c r="G693" s="928"/>
      <c r="H693" s="928"/>
      <c r="I693" s="928"/>
      <c r="J693" s="928"/>
      <c r="K693" s="928"/>
      <c r="L693" s="928"/>
      <c r="M693" s="928"/>
      <c r="N693" s="928"/>
      <c r="O693" s="928"/>
      <c r="P693" s="928"/>
      <c r="Q693" s="928"/>
      <c r="R693" s="928"/>
      <c r="S693" s="928"/>
      <c r="T693" s="928"/>
      <c r="U693" s="928"/>
      <c r="V693" s="928"/>
      <c r="W693" s="928"/>
      <c r="X693" s="928"/>
      <c r="Y693" s="928"/>
      <c r="Z693" s="928"/>
      <c r="AA693" s="928"/>
    </row>
    <row r="694" hidden="1">
      <c r="A694" s="935"/>
      <c r="B694" s="932"/>
      <c r="C694" s="928"/>
      <c r="D694" s="928"/>
      <c r="E694" s="928"/>
      <c r="F694" s="928"/>
      <c r="G694" s="928"/>
      <c r="H694" s="928"/>
      <c r="I694" s="928"/>
      <c r="J694" s="928"/>
      <c r="K694" s="928"/>
      <c r="L694" s="928"/>
      <c r="M694" s="928"/>
      <c r="N694" s="928"/>
      <c r="O694" s="928"/>
      <c r="P694" s="928"/>
      <c r="Q694" s="928"/>
      <c r="R694" s="928"/>
      <c r="S694" s="928"/>
      <c r="T694" s="928"/>
      <c r="U694" s="928"/>
      <c r="V694" s="928"/>
      <c r="W694" s="928"/>
      <c r="X694" s="928"/>
      <c r="Y694" s="928"/>
      <c r="Z694" s="928"/>
      <c r="AA694" s="928"/>
    </row>
    <row r="695" hidden="1">
      <c r="A695" s="935"/>
      <c r="B695" s="932"/>
      <c r="C695" s="928"/>
      <c r="D695" s="928"/>
      <c r="E695" s="928"/>
      <c r="F695" s="928"/>
      <c r="G695" s="928"/>
      <c r="H695" s="928"/>
      <c r="I695" s="928"/>
      <c r="J695" s="928"/>
      <c r="K695" s="928"/>
      <c r="L695" s="928"/>
      <c r="M695" s="928"/>
      <c r="N695" s="928"/>
      <c r="O695" s="928"/>
      <c r="P695" s="928"/>
      <c r="Q695" s="928"/>
      <c r="R695" s="928"/>
      <c r="S695" s="928"/>
      <c r="T695" s="928"/>
      <c r="U695" s="928"/>
      <c r="V695" s="928"/>
      <c r="W695" s="928"/>
      <c r="X695" s="928"/>
      <c r="Y695" s="928"/>
      <c r="Z695" s="928"/>
      <c r="AA695" s="928"/>
    </row>
    <row r="696" hidden="1">
      <c r="A696" s="935"/>
      <c r="B696" s="932"/>
      <c r="C696" s="928"/>
      <c r="D696" s="928"/>
      <c r="E696" s="928"/>
      <c r="F696" s="928"/>
      <c r="G696" s="928"/>
      <c r="H696" s="928"/>
      <c r="I696" s="928"/>
      <c r="J696" s="928"/>
      <c r="K696" s="928"/>
      <c r="L696" s="928"/>
      <c r="M696" s="928"/>
      <c r="N696" s="928"/>
      <c r="O696" s="928"/>
      <c r="P696" s="928"/>
      <c r="Q696" s="928"/>
      <c r="R696" s="928"/>
      <c r="S696" s="928"/>
      <c r="T696" s="928"/>
      <c r="U696" s="928"/>
      <c r="V696" s="928"/>
      <c r="W696" s="928"/>
      <c r="X696" s="928"/>
      <c r="Y696" s="928"/>
      <c r="Z696" s="928"/>
      <c r="AA696" s="928"/>
    </row>
    <row r="697" hidden="1">
      <c r="A697" s="935"/>
      <c r="B697" s="932"/>
      <c r="C697" s="928"/>
      <c r="D697" s="928"/>
      <c r="E697" s="928"/>
      <c r="F697" s="928"/>
      <c r="G697" s="928"/>
      <c r="H697" s="928"/>
      <c r="I697" s="928"/>
      <c r="J697" s="928"/>
      <c r="K697" s="928"/>
      <c r="L697" s="928"/>
      <c r="M697" s="928"/>
      <c r="N697" s="928"/>
      <c r="O697" s="928"/>
      <c r="P697" s="928"/>
      <c r="Q697" s="928"/>
      <c r="R697" s="928"/>
      <c r="S697" s="928"/>
      <c r="T697" s="928"/>
      <c r="U697" s="928"/>
      <c r="V697" s="928"/>
      <c r="W697" s="928"/>
      <c r="X697" s="928"/>
      <c r="Y697" s="928"/>
      <c r="Z697" s="928"/>
      <c r="AA697" s="928"/>
    </row>
    <row r="698" hidden="1">
      <c r="A698" s="935"/>
      <c r="B698" s="932"/>
      <c r="C698" s="928"/>
      <c r="D698" s="928"/>
      <c r="E698" s="928"/>
      <c r="F698" s="928"/>
      <c r="G698" s="928"/>
      <c r="H698" s="928"/>
      <c r="I698" s="928"/>
      <c r="J698" s="928"/>
      <c r="K698" s="928"/>
      <c r="L698" s="928"/>
      <c r="M698" s="928"/>
      <c r="N698" s="928"/>
      <c r="O698" s="928"/>
      <c r="P698" s="928"/>
      <c r="Q698" s="928"/>
      <c r="R698" s="928"/>
      <c r="S698" s="928"/>
      <c r="T698" s="928"/>
      <c r="U698" s="928"/>
      <c r="V698" s="928"/>
      <c r="W698" s="928"/>
      <c r="X698" s="928"/>
      <c r="Y698" s="928"/>
      <c r="Z698" s="928"/>
      <c r="AA698" s="928"/>
    </row>
    <row r="699" hidden="1">
      <c r="A699" s="935"/>
      <c r="B699" s="932"/>
      <c r="C699" s="928"/>
      <c r="D699" s="928"/>
      <c r="E699" s="928"/>
      <c r="F699" s="928"/>
      <c r="G699" s="928"/>
      <c r="H699" s="928"/>
      <c r="I699" s="928"/>
      <c r="J699" s="928"/>
      <c r="K699" s="928"/>
      <c r="L699" s="928"/>
      <c r="M699" s="928"/>
      <c r="N699" s="928"/>
      <c r="O699" s="928"/>
      <c r="P699" s="928"/>
      <c r="Q699" s="928"/>
      <c r="R699" s="928"/>
      <c r="S699" s="928"/>
      <c r="T699" s="928"/>
      <c r="U699" s="928"/>
      <c r="V699" s="928"/>
      <c r="W699" s="928"/>
      <c r="X699" s="928"/>
      <c r="Y699" s="928"/>
      <c r="Z699" s="928"/>
      <c r="AA699" s="928"/>
    </row>
    <row r="700" hidden="1">
      <c r="A700" s="935"/>
      <c r="B700" s="932"/>
      <c r="C700" s="928"/>
      <c r="D700" s="928"/>
      <c r="E700" s="928"/>
      <c r="F700" s="928"/>
      <c r="G700" s="928"/>
      <c r="H700" s="928"/>
      <c r="I700" s="928"/>
      <c r="J700" s="928"/>
      <c r="K700" s="928"/>
      <c r="L700" s="928"/>
      <c r="M700" s="928"/>
      <c r="N700" s="928"/>
      <c r="O700" s="928"/>
      <c r="P700" s="928"/>
      <c r="Q700" s="928"/>
      <c r="R700" s="928"/>
      <c r="S700" s="928"/>
      <c r="T700" s="928"/>
      <c r="U700" s="928"/>
      <c r="V700" s="928"/>
      <c r="W700" s="928"/>
      <c r="X700" s="928"/>
      <c r="Y700" s="928"/>
      <c r="Z700" s="928"/>
      <c r="AA700" s="928"/>
    </row>
    <row r="701" hidden="1">
      <c r="A701" s="935"/>
      <c r="B701" s="932"/>
      <c r="C701" s="928"/>
      <c r="D701" s="928"/>
      <c r="E701" s="928"/>
      <c r="F701" s="928"/>
      <c r="G701" s="928"/>
      <c r="H701" s="928"/>
      <c r="I701" s="928"/>
      <c r="J701" s="928"/>
      <c r="K701" s="928"/>
      <c r="L701" s="928"/>
      <c r="M701" s="928"/>
      <c r="N701" s="928"/>
      <c r="O701" s="928"/>
      <c r="P701" s="928"/>
      <c r="Q701" s="928"/>
      <c r="R701" s="928"/>
      <c r="S701" s="928"/>
      <c r="T701" s="928"/>
      <c r="U701" s="928"/>
      <c r="V701" s="928"/>
      <c r="W701" s="928"/>
      <c r="X701" s="928"/>
      <c r="Y701" s="928"/>
      <c r="Z701" s="928"/>
      <c r="AA701" s="928"/>
    </row>
    <row r="702" hidden="1">
      <c r="A702" s="935"/>
      <c r="B702" s="932"/>
      <c r="C702" s="928"/>
      <c r="D702" s="928"/>
      <c r="E702" s="928"/>
      <c r="F702" s="928"/>
      <c r="G702" s="928"/>
      <c r="H702" s="928"/>
      <c r="I702" s="928"/>
      <c r="J702" s="928"/>
      <c r="K702" s="928"/>
      <c r="L702" s="928"/>
      <c r="M702" s="928"/>
      <c r="N702" s="928"/>
      <c r="O702" s="928"/>
      <c r="P702" s="928"/>
      <c r="Q702" s="928"/>
      <c r="R702" s="928"/>
      <c r="S702" s="928"/>
      <c r="T702" s="928"/>
      <c r="U702" s="928"/>
      <c r="V702" s="928"/>
      <c r="W702" s="928"/>
      <c r="X702" s="928"/>
      <c r="Y702" s="928"/>
      <c r="Z702" s="928"/>
      <c r="AA702" s="928"/>
    </row>
    <row r="703" hidden="1">
      <c r="A703" s="935"/>
      <c r="B703" s="932"/>
      <c r="C703" s="928"/>
      <c r="D703" s="928"/>
      <c r="E703" s="928"/>
      <c r="F703" s="928"/>
      <c r="G703" s="928"/>
      <c r="H703" s="928"/>
      <c r="I703" s="928"/>
      <c r="J703" s="928"/>
      <c r="K703" s="928"/>
      <c r="L703" s="928"/>
      <c r="M703" s="928"/>
      <c r="N703" s="928"/>
      <c r="O703" s="928"/>
      <c r="P703" s="928"/>
      <c r="Q703" s="928"/>
      <c r="R703" s="928"/>
      <c r="S703" s="928"/>
      <c r="T703" s="928"/>
      <c r="U703" s="928"/>
      <c r="V703" s="928"/>
      <c r="W703" s="928"/>
      <c r="X703" s="928"/>
      <c r="Y703" s="928"/>
      <c r="Z703" s="928"/>
      <c r="AA703" s="928"/>
    </row>
    <row r="704" hidden="1">
      <c r="A704" s="935"/>
      <c r="B704" s="932"/>
      <c r="C704" s="928"/>
      <c r="D704" s="928"/>
      <c r="E704" s="928"/>
      <c r="F704" s="928"/>
      <c r="G704" s="928"/>
      <c r="H704" s="928"/>
      <c r="I704" s="928"/>
      <c r="J704" s="928"/>
      <c r="K704" s="928"/>
      <c r="L704" s="928"/>
      <c r="M704" s="928"/>
      <c r="N704" s="928"/>
      <c r="O704" s="928"/>
      <c r="P704" s="928"/>
      <c r="Q704" s="928"/>
      <c r="R704" s="928"/>
      <c r="S704" s="928"/>
      <c r="T704" s="928"/>
      <c r="U704" s="928"/>
      <c r="V704" s="928"/>
      <c r="W704" s="928"/>
      <c r="X704" s="928"/>
      <c r="Y704" s="928"/>
      <c r="Z704" s="928"/>
      <c r="AA704" s="928"/>
    </row>
    <row r="705" hidden="1">
      <c r="A705" s="935"/>
      <c r="B705" s="932"/>
      <c r="C705" s="928"/>
      <c r="D705" s="928"/>
      <c r="E705" s="928"/>
      <c r="F705" s="928"/>
      <c r="G705" s="928"/>
      <c r="H705" s="928"/>
      <c r="I705" s="928"/>
      <c r="J705" s="928"/>
      <c r="K705" s="928"/>
      <c r="L705" s="928"/>
      <c r="M705" s="928"/>
      <c r="N705" s="928"/>
      <c r="O705" s="928"/>
      <c r="P705" s="928"/>
      <c r="Q705" s="928"/>
      <c r="R705" s="928"/>
      <c r="S705" s="928"/>
      <c r="T705" s="928"/>
      <c r="U705" s="928"/>
      <c r="V705" s="928"/>
      <c r="W705" s="928"/>
      <c r="X705" s="928"/>
      <c r="Y705" s="928"/>
      <c r="Z705" s="928"/>
      <c r="AA705" s="928"/>
    </row>
    <row r="706" hidden="1">
      <c r="A706" s="935"/>
      <c r="B706" s="932"/>
      <c r="C706" s="928"/>
      <c r="D706" s="928"/>
      <c r="E706" s="928"/>
      <c r="F706" s="928"/>
      <c r="G706" s="928"/>
      <c r="H706" s="928"/>
      <c r="I706" s="928"/>
      <c r="J706" s="928"/>
      <c r="K706" s="928"/>
      <c r="L706" s="928"/>
      <c r="M706" s="928"/>
      <c r="N706" s="928"/>
      <c r="O706" s="928"/>
      <c r="P706" s="928"/>
      <c r="Q706" s="928"/>
      <c r="R706" s="928"/>
      <c r="S706" s="928"/>
      <c r="T706" s="928"/>
      <c r="U706" s="928"/>
      <c r="V706" s="928"/>
      <c r="W706" s="928"/>
      <c r="X706" s="928"/>
      <c r="Y706" s="928"/>
      <c r="Z706" s="928"/>
      <c r="AA706" s="928"/>
    </row>
    <row r="707" hidden="1">
      <c r="A707" s="935"/>
      <c r="B707" s="932"/>
      <c r="C707" s="928"/>
      <c r="D707" s="928"/>
      <c r="E707" s="928"/>
      <c r="F707" s="928"/>
      <c r="G707" s="928"/>
      <c r="H707" s="928"/>
      <c r="I707" s="928"/>
      <c r="J707" s="928"/>
      <c r="K707" s="928"/>
      <c r="L707" s="928"/>
      <c r="M707" s="928"/>
      <c r="N707" s="928"/>
      <c r="O707" s="928"/>
      <c r="P707" s="928"/>
      <c r="Q707" s="928"/>
      <c r="R707" s="928"/>
      <c r="S707" s="928"/>
      <c r="T707" s="928"/>
      <c r="U707" s="928"/>
      <c r="V707" s="928"/>
      <c r="W707" s="928"/>
      <c r="X707" s="928"/>
      <c r="Y707" s="928"/>
      <c r="Z707" s="928"/>
      <c r="AA707" s="928"/>
    </row>
    <row r="708" hidden="1">
      <c r="A708" s="935"/>
      <c r="B708" s="932"/>
      <c r="C708" s="928"/>
      <c r="D708" s="928"/>
      <c r="E708" s="928"/>
      <c r="F708" s="928"/>
      <c r="G708" s="928"/>
      <c r="H708" s="928"/>
      <c r="I708" s="928"/>
      <c r="J708" s="928"/>
      <c r="K708" s="928"/>
      <c r="L708" s="928"/>
      <c r="M708" s="928"/>
      <c r="N708" s="928"/>
      <c r="O708" s="928"/>
      <c r="P708" s="928"/>
      <c r="Q708" s="928"/>
      <c r="R708" s="928"/>
      <c r="S708" s="928"/>
      <c r="T708" s="928"/>
      <c r="U708" s="928"/>
      <c r="V708" s="928"/>
      <c r="W708" s="928"/>
      <c r="X708" s="928"/>
      <c r="Y708" s="928"/>
      <c r="Z708" s="928"/>
      <c r="AA708" s="928"/>
    </row>
    <row r="709" hidden="1">
      <c r="A709" s="935"/>
      <c r="B709" s="932"/>
      <c r="C709" s="928"/>
      <c r="D709" s="928"/>
      <c r="E709" s="928"/>
      <c r="F709" s="928"/>
      <c r="G709" s="928"/>
      <c r="H709" s="928"/>
      <c r="I709" s="928"/>
      <c r="J709" s="928"/>
      <c r="K709" s="928"/>
      <c r="L709" s="928"/>
      <c r="M709" s="928"/>
      <c r="N709" s="928"/>
      <c r="O709" s="928"/>
      <c r="P709" s="928"/>
      <c r="Q709" s="928"/>
      <c r="R709" s="928"/>
      <c r="S709" s="928"/>
      <c r="T709" s="928"/>
      <c r="U709" s="928"/>
      <c r="V709" s="928"/>
      <c r="W709" s="928"/>
      <c r="X709" s="928"/>
      <c r="Y709" s="928"/>
      <c r="Z709" s="928"/>
      <c r="AA709" s="928"/>
    </row>
    <row r="710" hidden="1">
      <c r="A710" s="935"/>
      <c r="B710" s="932"/>
      <c r="C710" s="928"/>
      <c r="D710" s="928"/>
      <c r="E710" s="928"/>
      <c r="F710" s="928"/>
      <c r="G710" s="928"/>
      <c r="H710" s="928"/>
      <c r="I710" s="928"/>
      <c r="J710" s="928"/>
      <c r="K710" s="928"/>
      <c r="L710" s="928"/>
      <c r="M710" s="928"/>
      <c r="N710" s="928"/>
      <c r="O710" s="928"/>
      <c r="P710" s="928"/>
      <c r="Q710" s="928"/>
      <c r="R710" s="928"/>
      <c r="S710" s="928"/>
      <c r="T710" s="928"/>
      <c r="U710" s="928"/>
      <c r="V710" s="928"/>
      <c r="W710" s="928"/>
      <c r="X710" s="928"/>
      <c r="Y710" s="928"/>
      <c r="Z710" s="928"/>
      <c r="AA710" s="928"/>
    </row>
    <row r="711" hidden="1">
      <c r="A711" s="935"/>
      <c r="B711" s="932"/>
      <c r="C711" s="928"/>
      <c r="D711" s="928"/>
      <c r="E711" s="928"/>
      <c r="F711" s="928"/>
      <c r="G711" s="928"/>
      <c r="H711" s="928"/>
      <c r="I711" s="928"/>
      <c r="J711" s="928"/>
      <c r="K711" s="928"/>
      <c r="L711" s="928"/>
      <c r="M711" s="928"/>
      <c r="N711" s="928"/>
      <c r="O711" s="928"/>
      <c r="P711" s="928"/>
      <c r="Q711" s="928"/>
      <c r="R711" s="928"/>
      <c r="S711" s="928"/>
      <c r="T711" s="928"/>
      <c r="U711" s="928"/>
      <c r="V711" s="928"/>
      <c r="W711" s="928"/>
      <c r="X711" s="928"/>
      <c r="Y711" s="928"/>
      <c r="Z711" s="928"/>
      <c r="AA711" s="928"/>
    </row>
    <row r="712" hidden="1">
      <c r="A712" s="935"/>
      <c r="B712" s="932"/>
      <c r="C712" s="928"/>
      <c r="D712" s="928"/>
      <c r="E712" s="928"/>
      <c r="F712" s="928"/>
      <c r="G712" s="928"/>
      <c r="H712" s="928"/>
      <c r="I712" s="928"/>
      <c r="J712" s="928"/>
      <c r="K712" s="928"/>
      <c r="L712" s="928"/>
      <c r="M712" s="928"/>
      <c r="N712" s="928"/>
      <c r="O712" s="928"/>
      <c r="P712" s="928"/>
      <c r="Q712" s="928"/>
      <c r="R712" s="928"/>
      <c r="S712" s="928"/>
      <c r="T712" s="928"/>
      <c r="U712" s="928"/>
      <c r="V712" s="928"/>
      <c r="W712" s="928"/>
      <c r="X712" s="928"/>
      <c r="Y712" s="928"/>
      <c r="Z712" s="928"/>
      <c r="AA712" s="928"/>
    </row>
    <row r="713" hidden="1">
      <c r="A713" s="935"/>
      <c r="B713" s="932"/>
      <c r="C713" s="928"/>
      <c r="D713" s="928"/>
      <c r="E713" s="928"/>
      <c r="F713" s="928"/>
      <c r="G713" s="928"/>
      <c r="H713" s="928"/>
      <c r="I713" s="928"/>
      <c r="J713" s="928"/>
      <c r="K713" s="928"/>
      <c r="L713" s="928"/>
      <c r="M713" s="928"/>
      <c r="N713" s="928"/>
      <c r="O713" s="928"/>
      <c r="P713" s="928"/>
      <c r="Q713" s="928"/>
      <c r="R713" s="928"/>
      <c r="S713" s="928"/>
      <c r="T713" s="928"/>
      <c r="U713" s="928"/>
      <c r="V713" s="928"/>
      <c r="W713" s="928"/>
      <c r="X713" s="928"/>
      <c r="Y713" s="928"/>
      <c r="Z713" s="928"/>
      <c r="AA713" s="928"/>
    </row>
    <row r="714" hidden="1">
      <c r="A714" s="935"/>
      <c r="B714" s="932"/>
      <c r="C714" s="928"/>
      <c r="D714" s="928"/>
      <c r="E714" s="928"/>
      <c r="F714" s="928"/>
      <c r="G714" s="928"/>
      <c r="H714" s="928"/>
      <c r="I714" s="928"/>
      <c r="J714" s="928"/>
      <c r="K714" s="928"/>
      <c r="L714" s="928"/>
      <c r="M714" s="928"/>
      <c r="N714" s="928"/>
      <c r="O714" s="928"/>
      <c r="P714" s="928"/>
      <c r="Q714" s="928"/>
      <c r="R714" s="928"/>
      <c r="S714" s="928"/>
      <c r="T714" s="928"/>
      <c r="U714" s="928"/>
      <c r="V714" s="928"/>
      <c r="W714" s="928"/>
      <c r="X714" s="928"/>
      <c r="Y714" s="928"/>
      <c r="Z714" s="928"/>
      <c r="AA714" s="928"/>
    </row>
    <row r="715" hidden="1">
      <c r="A715" s="935"/>
      <c r="B715" s="932"/>
      <c r="C715" s="928"/>
      <c r="D715" s="928"/>
      <c r="E715" s="928"/>
      <c r="F715" s="928"/>
      <c r="G715" s="928"/>
      <c r="H715" s="928"/>
      <c r="I715" s="928"/>
      <c r="J715" s="928"/>
      <c r="K715" s="928"/>
      <c r="L715" s="928"/>
      <c r="M715" s="928"/>
      <c r="N715" s="928"/>
      <c r="O715" s="928"/>
      <c r="P715" s="928"/>
      <c r="Q715" s="928"/>
      <c r="R715" s="928"/>
      <c r="S715" s="928"/>
      <c r="T715" s="928"/>
      <c r="U715" s="928"/>
      <c r="V715" s="928"/>
      <c r="W715" s="928"/>
      <c r="X715" s="928"/>
      <c r="Y715" s="928"/>
      <c r="Z715" s="928"/>
      <c r="AA715" s="928"/>
    </row>
    <row r="716" hidden="1">
      <c r="A716" s="935"/>
      <c r="B716" s="932"/>
      <c r="C716" s="928"/>
      <c r="D716" s="928"/>
      <c r="E716" s="928"/>
      <c r="F716" s="928"/>
      <c r="G716" s="928"/>
      <c r="H716" s="928"/>
      <c r="I716" s="928"/>
      <c r="J716" s="928"/>
      <c r="K716" s="928"/>
      <c r="L716" s="928"/>
      <c r="M716" s="928"/>
      <c r="N716" s="928"/>
      <c r="O716" s="928"/>
      <c r="P716" s="928"/>
      <c r="Q716" s="928"/>
      <c r="R716" s="928"/>
      <c r="S716" s="928"/>
      <c r="T716" s="928"/>
      <c r="U716" s="928"/>
      <c r="V716" s="928"/>
      <c r="W716" s="928"/>
      <c r="X716" s="928"/>
      <c r="Y716" s="928"/>
      <c r="Z716" s="928"/>
      <c r="AA716" s="928"/>
    </row>
    <row r="717" hidden="1">
      <c r="A717" s="935"/>
      <c r="B717" s="932"/>
      <c r="C717" s="928"/>
      <c r="D717" s="928"/>
      <c r="E717" s="928"/>
      <c r="F717" s="928"/>
      <c r="G717" s="928"/>
      <c r="H717" s="928"/>
      <c r="I717" s="928"/>
      <c r="J717" s="928"/>
      <c r="K717" s="928"/>
      <c r="L717" s="928"/>
      <c r="M717" s="928"/>
      <c r="N717" s="928"/>
      <c r="O717" s="928"/>
      <c r="P717" s="928"/>
      <c r="Q717" s="928"/>
      <c r="R717" s="928"/>
      <c r="S717" s="928"/>
      <c r="T717" s="928"/>
      <c r="U717" s="928"/>
      <c r="V717" s="928"/>
      <c r="W717" s="928"/>
      <c r="X717" s="928"/>
      <c r="Y717" s="928"/>
      <c r="Z717" s="928"/>
      <c r="AA717" s="928"/>
    </row>
    <row r="718" hidden="1">
      <c r="A718" s="935"/>
      <c r="B718" s="932"/>
      <c r="C718" s="928"/>
      <c r="D718" s="928"/>
      <c r="E718" s="928"/>
      <c r="F718" s="928"/>
      <c r="G718" s="928"/>
      <c r="H718" s="928"/>
      <c r="I718" s="928"/>
      <c r="J718" s="928"/>
      <c r="K718" s="928"/>
      <c r="L718" s="928"/>
      <c r="M718" s="928"/>
      <c r="N718" s="928"/>
      <c r="O718" s="928"/>
      <c r="P718" s="928"/>
      <c r="Q718" s="928"/>
      <c r="R718" s="928"/>
      <c r="S718" s="928"/>
      <c r="T718" s="928"/>
      <c r="U718" s="928"/>
      <c r="V718" s="928"/>
      <c r="W718" s="928"/>
      <c r="X718" s="928"/>
      <c r="Y718" s="928"/>
      <c r="Z718" s="928"/>
      <c r="AA718" s="928"/>
    </row>
    <row r="719" hidden="1">
      <c r="A719" s="935"/>
      <c r="B719" s="932"/>
      <c r="C719" s="928"/>
      <c r="D719" s="928"/>
      <c r="E719" s="928"/>
      <c r="F719" s="928"/>
      <c r="G719" s="928"/>
      <c r="H719" s="928"/>
      <c r="I719" s="928"/>
      <c r="J719" s="928"/>
      <c r="K719" s="928"/>
      <c r="L719" s="928"/>
      <c r="M719" s="928"/>
      <c r="N719" s="928"/>
      <c r="O719" s="928"/>
      <c r="P719" s="928"/>
      <c r="Q719" s="928"/>
      <c r="R719" s="928"/>
      <c r="S719" s="928"/>
      <c r="T719" s="928"/>
      <c r="U719" s="928"/>
      <c r="V719" s="928"/>
      <c r="W719" s="928"/>
      <c r="X719" s="928"/>
      <c r="Y719" s="928"/>
      <c r="Z719" s="928"/>
      <c r="AA719" s="928"/>
    </row>
    <row r="720" hidden="1">
      <c r="A720" s="935"/>
      <c r="B720" s="932"/>
      <c r="C720" s="928"/>
      <c r="D720" s="928"/>
      <c r="E720" s="928"/>
      <c r="F720" s="928"/>
      <c r="G720" s="928"/>
      <c r="H720" s="928"/>
      <c r="I720" s="928"/>
      <c r="J720" s="928"/>
      <c r="K720" s="928"/>
      <c r="L720" s="928"/>
      <c r="M720" s="928"/>
      <c r="N720" s="928"/>
      <c r="O720" s="928"/>
      <c r="P720" s="928"/>
      <c r="Q720" s="928"/>
      <c r="R720" s="928"/>
      <c r="S720" s="928"/>
      <c r="T720" s="928"/>
      <c r="U720" s="928"/>
      <c r="V720" s="928"/>
      <c r="W720" s="928"/>
      <c r="X720" s="928"/>
      <c r="Y720" s="928"/>
      <c r="Z720" s="928"/>
      <c r="AA720" s="928"/>
    </row>
    <row r="721" hidden="1">
      <c r="A721" s="935"/>
      <c r="B721" s="932"/>
      <c r="C721" s="928"/>
      <c r="D721" s="928"/>
      <c r="E721" s="928"/>
      <c r="F721" s="928"/>
      <c r="G721" s="928"/>
      <c r="H721" s="928"/>
      <c r="I721" s="928"/>
      <c r="J721" s="928"/>
      <c r="K721" s="928"/>
      <c r="L721" s="928"/>
      <c r="M721" s="928"/>
      <c r="N721" s="928"/>
      <c r="O721" s="928"/>
      <c r="P721" s="928"/>
      <c r="Q721" s="928"/>
      <c r="R721" s="928"/>
      <c r="S721" s="928"/>
      <c r="T721" s="928"/>
      <c r="U721" s="928"/>
      <c r="V721" s="928"/>
      <c r="W721" s="928"/>
      <c r="X721" s="928"/>
      <c r="Y721" s="928"/>
      <c r="Z721" s="928"/>
      <c r="AA721" s="928"/>
    </row>
    <row r="722" hidden="1">
      <c r="A722" s="935"/>
      <c r="B722" s="932"/>
      <c r="C722" s="928"/>
      <c r="D722" s="928"/>
      <c r="E722" s="928"/>
      <c r="F722" s="928"/>
      <c r="G722" s="928"/>
      <c r="H722" s="928"/>
      <c r="I722" s="928"/>
      <c r="J722" s="928"/>
      <c r="K722" s="928"/>
      <c r="L722" s="928"/>
      <c r="M722" s="928"/>
      <c r="N722" s="928"/>
      <c r="O722" s="928"/>
      <c r="P722" s="928"/>
      <c r="Q722" s="928"/>
      <c r="R722" s="928"/>
      <c r="S722" s="928"/>
      <c r="T722" s="928"/>
      <c r="U722" s="928"/>
      <c r="V722" s="928"/>
      <c r="W722" s="928"/>
      <c r="X722" s="928"/>
      <c r="Y722" s="928"/>
      <c r="Z722" s="928"/>
      <c r="AA722" s="928"/>
    </row>
    <row r="723" hidden="1">
      <c r="A723" s="935"/>
      <c r="B723" s="932"/>
      <c r="C723" s="928"/>
      <c r="D723" s="928"/>
      <c r="E723" s="928"/>
      <c r="F723" s="928"/>
      <c r="G723" s="928"/>
      <c r="H723" s="928"/>
      <c r="I723" s="928"/>
      <c r="J723" s="928"/>
      <c r="K723" s="928"/>
      <c r="L723" s="928"/>
      <c r="M723" s="928"/>
      <c r="N723" s="928"/>
      <c r="O723" s="928"/>
      <c r="P723" s="928"/>
      <c r="Q723" s="928"/>
      <c r="R723" s="928"/>
      <c r="S723" s="928"/>
      <c r="T723" s="928"/>
      <c r="U723" s="928"/>
      <c r="V723" s="928"/>
      <c r="W723" s="928"/>
      <c r="X723" s="928"/>
      <c r="Y723" s="928"/>
      <c r="Z723" s="928"/>
      <c r="AA723" s="928"/>
    </row>
    <row r="724" hidden="1">
      <c r="A724" s="935"/>
      <c r="B724" s="932"/>
      <c r="C724" s="928"/>
      <c r="D724" s="928"/>
      <c r="E724" s="928"/>
      <c r="F724" s="928"/>
      <c r="G724" s="928"/>
      <c r="H724" s="928"/>
      <c r="I724" s="928"/>
      <c r="J724" s="928"/>
      <c r="K724" s="928"/>
      <c r="L724" s="928"/>
      <c r="M724" s="928"/>
      <c r="N724" s="928"/>
      <c r="O724" s="928"/>
      <c r="P724" s="928"/>
      <c r="Q724" s="928"/>
      <c r="R724" s="928"/>
      <c r="S724" s="928"/>
      <c r="T724" s="928"/>
      <c r="U724" s="928"/>
      <c r="V724" s="928"/>
      <c r="W724" s="928"/>
      <c r="X724" s="928"/>
      <c r="Y724" s="928"/>
      <c r="Z724" s="928"/>
      <c r="AA724" s="928"/>
    </row>
    <row r="725" hidden="1">
      <c r="A725" s="935"/>
      <c r="B725" s="932"/>
      <c r="C725" s="928"/>
      <c r="D725" s="928"/>
      <c r="E725" s="928"/>
      <c r="F725" s="928"/>
      <c r="G725" s="928"/>
      <c r="H725" s="928"/>
      <c r="I725" s="928"/>
      <c r="J725" s="928"/>
      <c r="K725" s="928"/>
      <c r="L725" s="928"/>
      <c r="M725" s="928"/>
      <c r="N725" s="928"/>
      <c r="O725" s="928"/>
      <c r="P725" s="928"/>
      <c r="Q725" s="928"/>
      <c r="R725" s="928"/>
      <c r="S725" s="928"/>
      <c r="T725" s="928"/>
      <c r="U725" s="928"/>
      <c r="V725" s="928"/>
      <c r="W725" s="928"/>
      <c r="X725" s="928"/>
      <c r="Y725" s="928"/>
      <c r="Z725" s="928"/>
      <c r="AA725" s="928"/>
    </row>
    <row r="726" hidden="1">
      <c r="A726" s="935"/>
      <c r="B726" s="932"/>
      <c r="C726" s="928"/>
      <c r="D726" s="928"/>
      <c r="E726" s="928"/>
      <c r="F726" s="928"/>
      <c r="G726" s="928"/>
      <c r="H726" s="928"/>
      <c r="I726" s="928"/>
      <c r="J726" s="928"/>
      <c r="K726" s="928"/>
      <c r="L726" s="928"/>
      <c r="M726" s="928"/>
      <c r="N726" s="928"/>
      <c r="O726" s="928"/>
      <c r="P726" s="928"/>
      <c r="Q726" s="928"/>
      <c r="R726" s="928"/>
      <c r="S726" s="928"/>
      <c r="T726" s="928"/>
      <c r="U726" s="928"/>
      <c r="V726" s="928"/>
      <c r="W726" s="928"/>
      <c r="X726" s="928"/>
      <c r="Y726" s="928"/>
      <c r="Z726" s="928"/>
      <c r="AA726" s="928"/>
    </row>
    <row r="727" hidden="1">
      <c r="A727" s="935"/>
      <c r="B727" s="932"/>
      <c r="C727" s="928"/>
      <c r="D727" s="928"/>
      <c r="E727" s="928"/>
      <c r="F727" s="928"/>
      <c r="G727" s="928"/>
      <c r="H727" s="928"/>
      <c r="I727" s="928"/>
      <c r="J727" s="928"/>
      <c r="K727" s="928"/>
      <c r="L727" s="928"/>
      <c r="M727" s="928"/>
      <c r="N727" s="928"/>
      <c r="O727" s="928"/>
      <c r="P727" s="928"/>
      <c r="Q727" s="928"/>
      <c r="R727" s="928"/>
      <c r="S727" s="928"/>
      <c r="T727" s="928"/>
      <c r="U727" s="928"/>
      <c r="V727" s="928"/>
      <c r="W727" s="928"/>
      <c r="X727" s="928"/>
      <c r="Y727" s="928"/>
      <c r="Z727" s="928"/>
      <c r="AA727" s="928"/>
    </row>
    <row r="728" hidden="1">
      <c r="A728" s="935"/>
      <c r="B728" s="932"/>
      <c r="C728" s="928"/>
      <c r="D728" s="928"/>
      <c r="E728" s="928"/>
      <c r="F728" s="928"/>
      <c r="G728" s="928"/>
      <c r="H728" s="928"/>
      <c r="I728" s="928"/>
      <c r="J728" s="928"/>
      <c r="K728" s="928"/>
      <c r="L728" s="928"/>
      <c r="M728" s="928"/>
      <c r="N728" s="928"/>
      <c r="O728" s="928"/>
      <c r="P728" s="928"/>
      <c r="Q728" s="928"/>
      <c r="R728" s="928"/>
      <c r="S728" s="928"/>
      <c r="T728" s="928"/>
      <c r="U728" s="928"/>
      <c r="V728" s="928"/>
      <c r="W728" s="928"/>
      <c r="X728" s="928"/>
      <c r="Y728" s="928"/>
      <c r="Z728" s="928"/>
      <c r="AA728" s="928"/>
    </row>
    <row r="729" hidden="1">
      <c r="A729" s="935"/>
      <c r="B729" s="932"/>
      <c r="C729" s="928"/>
      <c r="D729" s="928"/>
      <c r="E729" s="928"/>
      <c r="F729" s="928"/>
      <c r="G729" s="928"/>
      <c r="H729" s="928"/>
      <c r="I729" s="928"/>
      <c r="J729" s="928"/>
      <c r="K729" s="928"/>
      <c r="L729" s="928"/>
      <c r="M729" s="928"/>
      <c r="N729" s="928"/>
      <c r="O729" s="928"/>
      <c r="P729" s="928"/>
      <c r="Q729" s="928"/>
      <c r="R729" s="928"/>
      <c r="S729" s="928"/>
      <c r="T729" s="928"/>
      <c r="U729" s="928"/>
      <c r="V729" s="928"/>
      <c r="W729" s="928"/>
      <c r="X729" s="928"/>
      <c r="Y729" s="928"/>
      <c r="Z729" s="928"/>
      <c r="AA729" s="928"/>
    </row>
    <row r="730" hidden="1">
      <c r="A730" s="935"/>
      <c r="B730" s="932"/>
      <c r="C730" s="928"/>
      <c r="D730" s="928"/>
      <c r="E730" s="928"/>
      <c r="F730" s="928"/>
      <c r="G730" s="928"/>
      <c r="H730" s="928"/>
      <c r="I730" s="928"/>
      <c r="J730" s="928"/>
      <c r="K730" s="928"/>
      <c r="L730" s="928"/>
      <c r="M730" s="928"/>
      <c r="N730" s="928"/>
      <c r="O730" s="928"/>
      <c r="P730" s="928"/>
      <c r="Q730" s="928"/>
      <c r="R730" s="928"/>
      <c r="S730" s="928"/>
      <c r="T730" s="928"/>
      <c r="U730" s="928"/>
      <c r="V730" s="928"/>
      <c r="W730" s="928"/>
      <c r="X730" s="928"/>
      <c r="Y730" s="928"/>
      <c r="Z730" s="928"/>
      <c r="AA730" s="928"/>
    </row>
    <row r="731" hidden="1">
      <c r="A731" s="935"/>
      <c r="B731" s="932"/>
      <c r="C731" s="928"/>
      <c r="D731" s="928"/>
      <c r="E731" s="928"/>
      <c r="F731" s="928"/>
      <c r="G731" s="928"/>
      <c r="H731" s="928"/>
      <c r="I731" s="928"/>
      <c r="J731" s="928"/>
      <c r="K731" s="928"/>
      <c r="L731" s="928"/>
      <c r="M731" s="928"/>
      <c r="N731" s="928"/>
      <c r="O731" s="928"/>
      <c r="P731" s="928"/>
      <c r="Q731" s="928"/>
      <c r="R731" s="928"/>
      <c r="S731" s="928"/>
      <c r="T731" s="928"/>
      <c r="U731" s="928"/>
      <c r="V731" s="928"/>
      <c r="W731" s="928"/>
      <c r="X731" s="928"/>
      <c r="Y731" s="928"/>
      <c r="Z731" s="928"/>
      <c r="AA731" s="928"/>
    </row>
    <row r="732" hidden="1">
      <c r="A732" s="935"/>
      <c r="B732" s="932"/>
      <c r="C732" s="928"/>
      <c r="D732" s="928"/>
      <c r="E732" s="928"/>
      <c r="F732" s="928"/>
      <c r="G732" s="928"/>
      <c r="H732" s="928"/>
      <c r="I732" s="928"/>
      <c r="J732" s="928"/>
      <c r="K732" s="928"/>
      <c r="L732" s="928"/>
      <c r="M732" s="928"/>
      <c r="N732" s="928"/>
      <c r="O732" s="928"/>
      <c r="P732" s="928"/>
      <c r="Q732" s="928"/>
      <c r="R732" s="928"/>
      <c r="S732" s="928"/>
      <c r="T732" s="928"/>
      <c r="U732" s="928"/>
      <c r="V732" s="928"/>
      <c r="W732" s="928"/>
      <c r="X732" s="928"/>
      <c r="Y732" s="928"/>
      <c r="Z732" s="928"/>
      <c r="AA732" s="928"/>
    </row>
    <row r="733" hidden="1">
      <c r="A733" s="935"/>
      <c r="B733" s="932"/>
      <c r="C733" s="928"/>
      <c r="D733" s="928"/>
      <c r="E733" s="928"/>
      <c r="F733" s="928"/>
      <c r="G733" s="928"/>
      <c r="H733" s="928"/>
      <c r="I733" s="928"/>
      <c r="J733" s="928"/>
      <c r="K733" s="928"/>
      <c r="L733" s="928"/>
      <c r="M733" s="928"/>
      <c r="N733" s="928"/>
      <c r="O733" s="928"/>
      <c r="P733" s="928"/>
      <c r="Q733" s="928"/>
      <c r="R733" s="928"/>
      <c r="S733" s="928"/>
      <c r="T733" s="928"/>
      <c r="U733" s="928"/>
      <c r="V733" s="928"/>
      <c r="W733" s="928"/>
      <c r="X733" s="928"/>
      <c r="Y733" s="928"/>
      <c r="Z733" s="928"/>
      <c r="AA733" s="928"/>
    </row>
    <row r="734" hidden="1">
      <c r="A734" s="935"/>
      <c r="B734" s="932"/>
      <c r="C734" s="928"/>
      <c r="D734" s="928"/>
      <c r="E734" s="928"/>
      <c r="F734" s="928"/>
      <c r="G734" s="928"/>
      <c r="H734" s="928"/>
      <c r="I734" s="928"/>
      <c r="J734" s="928"/>
      <c r="K734" s="928"/>
      <c r="L734" s="928"/>
      <c r="M734" s="928"/>
      <c r="N734" s="928"/>
      <c r="O734" s="928"/>
      <c r="P734" s="928"/>
      <c r="Q734" s="928"/>
      <c r="R734" s="928"/>
      <c r="S734" s="928"/>
      <c r="T734" s="928"/>
      <c r="U734" s="928"/>
      <c r="V734" s="928"/>
      <c r="W734" s="928"/>
      <c r="X734" s="928"/>
      <c r="Y734" s="928"/>
      <c r="Z734" s="928"/>
      <c r="AA734" s="928"/>
    </row>
    <row r="735" hidden="1">
      <c r="A735" s="935"/>
      <c r="B735" s="932"/>
      <c r="C735" s="928"/>
      <c r="D735" s="928"/>
      <c r="E735" s="928"/>
      <c r="F735" s="928"/>
      <c r="G735" s="928"/>
      <c r="H735" s="928"/>
      <c r="I735" s="928"/>
      <c r="J735" s="928"/>
      <c r="K735" s="928"/>
      <c r="L735" s="928"/>
      <c r="M735" s="928"/>
      <c r="N735" s="928"/>
      <c r="O735" s="928"/>
      <c r="P735" s="928"/>
      <c r="Q735" s="928"/>
      <c r="R735" s="928"/>
      <c r="S735" s="928"/>
      <c r="T735" s="928"/>
      <c r="U735" s="928"/>
      <c r="V735" s="928"/>
      <c r="W735" s="928"/>
      <c r="X735" s="928"/>
      <c r="Y735" s="928"/>
      <c r="Z735" s="928"/>
      <c r="AA735" s="928"/>
    </row>
    <row r="736" hidden="1">
      <c r="A736" s="935"/>
      <c r="B736" s="932"/>
      <c r="C736" s="928"/>
      <c r="D736" s="928"/>
      <c r="E736" s="928"/>
      <c r="F736" s="928"/>
      <c r="G736" s="928"/>
      <c r="H736" s="928"/>
      <c r="I736" s="928"/>
      <c r="J736" s="928"/>
      <c r="K736" s="928"/>
      <c r="L736" s="928"/>
      <c r="M736" s="928"/>
      <c r="N736" s="928"/>
      <c r="O736" s="928"/>
      <c r="P736" s="928"/>
      <c r="Q736" s="928"/>
      <c r="R736" s="928"/>
      <c r="S736" s="928"/>
      <c r="T736" s="928"/>
      <c r="U736" s="928"/>
      <c r="V736" s="928"/>
      <c r="W736" s="928"/>
      <c r="X736" s="928"/>
      <c r="Y736" s="928"/>
      <c r="Z736" s="928"/>
      <c r="AA736" s="928"/>
    </row>
    <row r="737" hidden="1">
      <c r="A737" s="935"/>
      <c r="B737" s="932"/>
      <c r="C737" s="928"/>
      <c r="D737" s="928"/>
      <c r="E737" s="928"/>
      <c r="F737" s="928"/>
      <c r="G737" s="928"/>
      <c r="H737" s="928"/>
      <c r="I737" s="928"/>
      <c r="J737" s="928"/>
      <c r="K737" s="928"/>
      <c r="L737" s="928"/>
      <c r="M737" s="928"/>
      <c r="N737" s="928"/>
      <c r="O737" s="928"/>
      <c r="P737" s="928"/>
      <c r="Q737" s="928"/>
      <c r="R737" s="928"/>
      <c r="S737" s="928"/>
      <c r="T737" s="928"/>
      <c r="U737" s="928"/>
      <c r="V737" s="928"/>
      <c r="W737" s="928"/>
      <c r="X737" s="928"/>
      <c r="Y737" s="928"/>
      <c r="Z737" s="928"/>
      <c r="AA737" s="928"/>
    </row>
    <row r="738" hidden="1">
      <c r="A738" s="935"/>
      <c r="B738" s="932"/>
      <c r="C738" s="928"/>
      <c r="D738" s="928"/>
      <c r="E738" s="928"/>
      <c r="F738" s="928"/>
      <c r="G738" s="928"/>
      <c r="H738" s="928"/>
      <c r="I738" s="928"/>
      <c r="J738" s="928"/>
      <c r="K738" s="928"/>
      <c r="L738" s="928"/>
      <c r="M738" s="928"/>
      <c r="N738" s="928"/>
      <c r="O738" s="928"/>
      <c r="P738" s="928"/>
      <c r="Q738" s="928"/>
      <c r="R738" s="928"/>
      <c r="S738" s="928"/>
      <c r="T738" s="928"/>
      <c r="U738" s="928"/>
      <c r="V738" s="928"/>
      <c r="W738" s="928"/>
      <c r="X738" s="928"/>
      <c r="Y738" s="928"/>
      <c r="Z738" s="928"/>
      <c r="AA738" s="928"/>
    </row>
    <row r="739" hidden="1">
      <c r="A739" s="935"/>
      <c r="B739" s="932"/>
      <c r="C739" s="928"/>
      <c r="D739" s="928"/>
      <c r="E739" s="928"/>
      <c r="F739" s="928"/>
      <c r="G739" s="928"/>
      <c r="H739" s="928"/>
      <c r="I739" s="928"/>
      <c r="J739" s="928"/>
      <c r="K739" s="928"/>
      <c r="L739" s="928"/>
      <c r="M739" s="928"/>
      <c r="N739" s="928"/>
      <c r="O739" s="928"/>
      <c r="P739" s="928"/>
      <c r="Q739" s="928"/>
      <c r="R739" s="928"/>
      <c r="S739" s="928"/>
      <c r="T739" s="928"/>
      <c r="U739" s="928"/>
      <c r="V739" s="928"/>
      <c r="W739" s="928"/>
      <c r="X739" s="928"/>
      <c r="Y739" s="928"/>
      <c r="Z739" s="928"/>
      <c r="AA739" s="928"/>
    </row>
    <row r="740" hidden="1">
      <c r="A740" s="935"/>
      <c r="B740" s="932"/>
      <c r="C740" s="928"/>
      <c r="D740" s="928"/>
      <c r="E740" s="928"/>
      <c r="F740" s="928"/>
      <c r="G740" s="928"/>
      <c r="H740" s="928"/>
      <c r="I740" s="928"/>
      <c r="J740" s="928"/>
      <c r="K740" s="928"/>
      <c r="L740" s="928"/>
      <c r="M740" s="928"/>
      <c r="N740" s="928"/>
      <c r="O740" s="928"/>
      <c r="P740" s="928"/>
      <c r="Q740" s="928"/>
      <c r="R740" s="928"/>
      <c r="S740" s="928"/>
      <c r="T740" s="928"/>
      <c r="U740" s="928"/>
      <c r="V740" s="928"/>
      <c r="W740" s="928"/>
      <c r="X740" s="928"/>
      <c r="Y740" s="928"/>
      <c r="Z740" s="928"/>
      <c r="AA740" s="928"/>
    </row>
    <row r="741" hidden="1">
      <c r="A741" s="935"/>
      <c r="B741" s="932"/>
      <c r="C741" s="928"/>
      <c r="D741" s="928"/>
      <c r="E741" s="928"/>
      <c r="F741" s="928"/>
      <c r="G741" s="928"/>
      <c r="H741" s="928"/>
      <c r="I741" s="928"/>
      <c r="J741" s="928"/>
      <c r="K741" s="928"/>
      <c r="L741" s="928"/>
      <c r="M741" s="928"/>
      <c r="N741" s="928"/>
      <c r="O741" s="928"/>
      <c r="P741" s="928"/>
      <c r="Q741" s="928"/>
      <c r="R741" s="928"/>
      <c r="S741" s="928"/>
      <c r="T741" s="928"/>
      <c r="U741" s="928"/>
      <c r="V741" s="928"/>
      <c r="W741" s="928"/>
      <c r="X741" s="928"/>
      <c r="Y741" s="928"/>
      <c r="Z741" s="928"/>
      <c r="AA741" s="928"/>
    </row>
    <row r="742" hidden="1">
      <c r="A742" s="935"/>
      <c r="B742" s="932"/>
      <c r="C742" s="928"/>
      <c r="D742" s="928"/>
      <c r="E742" s="928"/>
      <c r="F742" s="928"/>
      <c r="G742" s="928"/>
      <c r="H742" s="928"/>
      <c r="I742" s="928"/>
      <c r="J742" s="928"/>
      <c r="K742" s="928"/>
      <c r="L742" s="928"/>
      <c r="M742" s="928"/>
      <c r="N742" s="928"/>
      <c r="O742" s="928"/>
      <c r="P742" s="928"/>
      <c r="Q742" s="928"/>
      <c r="R742" s="928"/>
      <c r="S742" s="928"/>
      <c r="T742" s="928"/>
      <c r="U742" s="928"/>
      <c r="V742" s="928"/>
      <c r="W742" s="928"/>
      <c r="X742" s="928"/>
      <c r="Y742" s="928"/>
      <c r="Z742" s="928"/>
      <c r="AA742" s="928"/>
    </row>
    <row r="743" hidden="1">
      <c r="A743" s="935"/>
      <c r="B743" s="932"/>
      <c r="C743" s="928"/>
      <c r="D743" s="928"/>
      <c r="E743" s="928"/>
      <c r="F743" s="928"/>
      <c r="G743" s="928"/>
      <c r="H743" s="928"/>
      <c r="I743" s="928"/>
      <c r="J743" s="928"/>
      <c r="K743" s="928"/>
      <c r="L743" s="928"/>
      <c r="M743" s="928"/>
      <c r="N743" s="928"/>
      <c r="O743" s="928"/>
      <c r="P743" s="928"/>
      <c r="Q743" s="928"/>
      <c r="R743" s="928"/>
      <c r="S743" s="928"/>
      <c r="T743" s="928"/>
      <c r="U743" s="928"/>
      <c r="V743" s="928"/>
      <c r="W743" s="928"/>
      <c r="X743" s="928"/>
      <c r="Y743" s="928"/>
      <c r="Z743" s="928"/>
      <c r="AA743" s="928"/>
    </row>
    <row r="744" hidden="1">
      <c r="A744" s="935"/>
      <c r="B744" s="932"/>
      <c r="C744" s="928"/>
      <c r="D744" s="928"/>
      <c r="E744" s="928"/>
      <c r="F744" s="928"/>
      <c r="G744" s="928"/>
      <c r="H744" s="928"/>
      <c r="I744" s="928"/>
      <c r="J744" s="928"/>
      <c r="K744" s="928"/>
      <c r="L744" s="928"/>
      <c r="M744" s="928"/>
      <c r="N744" s="928"/>
      <c r="O744" s="928"/>
      <c r="P744" s="928"/>
      <c r="Q744" s="928"/>
      <c r="R744" s="928"/>
      <c r="S744" s="928"/>
      <c r="T744" s="928"/>
      <c r="U744" s="928"/>
      <c r="V744" s="928"/>
      <c r="W744" s="928"/>
      <c r="X744" s="928"/>
      <c r="Y744" s="928"/>
      <c r="Z744" s="928"/>
      <c r="AA744" s="928"/>
    </row>
    <row r="745" hidden="1">
      <c r="A745" s="935"/>
      <c r="B745" s="932"/>
      <c r="C745" s="928"/>
      <c r="D745" s="928"/>
      <c r="E745" s="928"/>
      <c r="F745" s="928"/>
      <c r="G745" s="928"/>
      <c r="H745" s="928"/>
      <c r="I745" s="928"/>
      <c r="J745" s="928"/>
      <c r="K745" s="928"/>
      <c r="L745" s="928"/>
      <c r="M745" s="928"/>
      <c r="N745" s="928"/>
      <c r="O745" s="928"/>
      <c r="P745" s="928"/>
      <c r="Q745" s="928"/>
      <c r="R745" s="928"/>
      <c r="S745" s="928"/>
      <c r="T745" s="928"/>
      <c r="U745" s="928"/>
      <c r="V745" s="928"/>
      <c r="W745" s="928"/>
      <c r="X745" s="928"/>
      <c r="Y745" s="928"/>
      <c r="Z745" s="928"/>
      <c r="AA745" s="928"/>
    </row>
    <row r="746" hidden="1">
      <c r="A746" s="935"/>
      <c r="B746" s="932"/>
      <c r="C746" s="928"/>
      <c r="D746" s="928"/>
      <c r="E746" s="928"/>
      <c r="F746" s="928"/>
      <c r="G746" s="928"/>
      <c r="H746" s="928"/>
      <c r="I746" s="928"/>
      <c r="J746" s="928"/>
      <c r="K746" s="928"/>
      <c r="L746" s="928"/>
      <c r="M746" s="928"/>
      <c r="N746" s="928"/>
      <c r="O746" s="928"/>
      <c r="P746" s="928"/>
      <c r="Q746" s="928"/>
      <c r="R746" s="928"/>
      <c r="S746" s="928"/>
      <c r="T746" s="928"/>
      <c r="U746" s="928"/>
      <c r="V746" s="928"/>
      <c r="W746" s="928"/>
      <c r="X746" s="928"/>
      <c r="Y746" s="928"/>
      <c r="Z746" s="928"/>
      <c r="AA746" s="928"/>
    </row>
    <row r="747" hidden="1">
      <c r="A747" s="935"/>
      <c r="B747" s="932"/>
      <c r="C747" s="928"/>
      <c r="D747" s="928"/>
      <c r="E747" s="928"/>
      <c r="F747" s="928"/>
      <c r="G747" s="928"/>
      <c r="H747" s="928"/>
      <c r="I747" s="928"/>
      <c r="J747" s="928"/>
      <c r="K747" s="928"/>
      <c r="L747" s="928"/>
      <c r="M747" s="928"/>
      <c r="N747" s="928"/>
      <c r="O747" s="928"/>
      <c r="P747" s="928"/>
      <c r="Q747" s="928"/>
      <c r="R747" s="928"/>
      <c r="S747" s="928"/>
      <c r="T747" s="928"/>
      <c r="U747" s="928"/>
      <c r="V747" s="928"/>
      <c r="W747" s="928"/>
      <c r="X747" s="928"/>
      <c r="Y747" s="928"/>
      <c r="Z747" s="928"/>
      <c r="AA747" s="928"/>
    </row>
    <row r="748" hidden="1">
      <c r="A748" s="935"/>
      <c r="B748" s="932"/>
      <c r="C748" s="928"/>
      <c r="D748" s="928"/>
      <c r="E748" s="928"/>
      <c r="F748" s="928"/>
      <c r="G748" s="928"/>
      <c r="H748" s="928"/>
      <c r="I748" s="928"/>
      <c r="J748" s="928"/>
      <c r="K748" s="928"/>
      <c r="L748" s="928"/>
      <c r="M748" s="928"/>
      <c r="N748" s="928"/>
      <c r="O748" s="928"/>
      <c r="P748" s="928"/>
      <c r="Q748" s="928"/>
      <c r="R748" s="928"/>
      <c r="S748" s="928"/>
      <c r="T748" s="928"/>
      <c r="U748" s="928"/>
      <c r="V748" s="928"/>
      <c r="W748" s="928"/>
      <c r="X748" s="928"/>
      <c r="Y748" s="928"/>
      <c r="Z748" s="928"/>
      <c r="AA748" s="928"/>
    </row>
    <row r="749" hidden="1">
      <c r="A749" s="935"/>
      <c r="B749" s="932"/>
      <c r="C749" s="928"/>
      <c r="D749" s="928"/>
      <c r="E749" s="928"/>
      <c r="F749" s="928"/>
      <c r="G749" s="928"/>
      <c r="H749" s="928"/>
      <c r="I749" s="928"/>
      <c r="J749" s="928"/>
      <c r="K749" s="928"/>
      <c r="L749" s="928"/>
      <c r="M749" s="928"/>
      <c r="N749" s="928"/>
      <c r="O749" s="928"/>
      <c r="P749" s="928"/>
      <c r="Q749" s="928"/>
      <c r="R749" s="928"/>
      <c r="S749" s="928"/>
      <c r="T749" s="928"/>
      <c r="U749" s="928"/>
      <c r="V749" s="928"/>
      <c r="W749" s="928"/>
      <c r="X749" s="928"/>
      <c r="Y749" s="928"/>
      <c r="Z749" s="928"/>
      <c r="AA749" s="928"/>
    </row>
    <row r="750" hidden="1">
      <c r="A750" s="935"/>
      <c r="B750" s="932"/>
      <c r="C750" s="928"/>
      <c r="D750" s="928"/>
      <c r="E750" s="928"/>
      <c r="F750" s="928"/>
      <c r="G750" s="928"/>
      <c r="H750" s="928"/>
      <c r="I750" s="928"/>
      <c r="J750" s="928"/>
      <c r="K750" s="928"/>
      <c r="L750" s="928"/>
      <c r="M750" s="928"/>
      <c r="N750" s="928"/>
      <c r="O750" s="928"/>
      <c r="P750" s="928"/>
      <c r="Q750" s="928"/>
      <c r="R750" s="928"/>
      <c r="S750" s="928"/>
      <c r="T750" s="928"/>
      <c r="U750" s="928"/>
      <c r="V750" s="928"/>
      <c r="W750" s="928"/>
      <c r="X750" s="928"/>
      <c r="Y750" s="928"/>
      <c r="Z750" s="928"/>
      <c r="AA750" s="928"/>
    </row>
    <row r="751" hidden="1">
      <c r="A751" s="935"/>
      <c r="B751" s="932"/>
      <c r="C751" s="928"/>
      <c r="D751" s="928"/>
      <c r="E751" s="928"/>
      <c r="F751" s="928"/>
      <c r="G751" s="928"/>
      <c r="H751" s="928"/>
      <c r="I751" s="928"/>
      <c r="J751" s="928"/>
      <c r="K751" s="928"/>
      <c r="L751" s="928"/>
      <c r="M751" s="928"/>
      <c r="N751" s="928"/>
      <c r="O751" s="928"/>
      <c r="P751" s="928"/>
      <c r="Q751" s="928"/>
      <c r="R751" s="928"/>
      <c r="S751" s="928"/>
      <c r="T751" s="928"/>
      <c r="U751" s="928"/>
      <c r="V751" s="928"/>
      <c r="W751" s="928"/>
      <c r="X751" s="928"/>
      <c r="Y751" s="928"/>
      <c r="Z751" s="928"/>
      <c r="AA751" s="928"/>
    </row>
    <row r="752" hidden="1">
      <c r="A752" s="935"/>
      <c r="B752" s="932"/>
      <c r="C752" s="928"/>
      <c r="D752" s="928"/>
      <c r="E752" s="928"/>
      <c r="F752" s="928"/>
      <c r="G752" s="928"/>
      <c r="H752" s="928"/>
      <c r="I752" s="928"/>
      <c r="J752" s="928"/>
      <c r="K752" s="928"/>
      <c r="L752" s="928"/>
      <c r="M752" s="928"/>
      <c r="N752" s="928"/>
      <c r="O752" s="928"/>
      <c r="P752" s="928"/>
      <c r="Q752" s="928"/>
      <c r="R752" s="928"/>
      <c r="S752" s="928"/>
      <c r="T752" s="928"/>
      <c r="U752" s="928"/>
      <c r="V752" s="928"/>
      <c r="W752" s="928"/>
      <c r="X752" s="928"/>
      <c r="Y752" s="928"/>
      <c r="Z752" s="928"/>
      <c r="AA752" s="928"/>
    </row>
    <row r="753" hidden="1">
      <c r="A753" s="935"/>
      <c r="B753" s="932"/>
      <c r="C753" s="928"/>
      <c r="D753" s="928"/>
      <c r="E753" s="928"/>
      <c r="F753" s="928"/>
      <c r="G753" s="928"/>
      <c r="H753" s="928"/>
      <c r="I753" s="928"/>
      <c r="J753" s="928"/>
      <c r="K753" s="928"/>
      <c r="L753" s="928"/>
      <c r="M753" s="928"/>
      <c r="N753" s="928"/>
      <c r="O753" s="928"/>
      <c r="P753" s="928"/>
      <c r="Q753" s="928"/>
      <c r="R753" s="928"/>
      <c r="S753" s="928"/>
      <c r="T753" s="928"/>
      <c r="U753" s="928"/>
      <c r="V753" s="928"/>
      <c r="W753" s="928"/>
      <c r="X753" s="928"/>
      <c r="Y753" s="928"/>
      <c r="Z753" s="928"/>
      <c r="AA753" s="928"/>
    </row>
    <row r="754" hidden="1">
      <c r="A754" s="935"/>
      <c r="B754" s="932"/>
      <c r="C754" s="928"/>
      <c r="D754" s="928"/>
      <c r="E754" s="928"/>
      <c r="F754" s="928"/>
      <c r="G754" s="928"/>
      <c r="H754" s="928"/>
      <c r="I754" s="928"/>
      <c r="J754" s="928"/>
      <c r="K754" s="928"/>
      <c r="L754" s="928"/>
      <c r="M754" s="928"/>
      <c r="N754" s="928"/>
      <c r="O754" s="928"/>
      <c r="P754" s="928"/>
      <c r="Q754" s="928"/>
      <c r="R754" s="928"/>
      <c r="S754" s="928"/>
      <c r="T754" s="928"/>
      <c r="U754" s="928"/>
      <c r="V754" s="928"/>
      <c r="W754" s="928"/>
      <c r="X754" s="928"/>
      <c r="Y754" s="928"/>
      <c r="Z754" s="928"/>
      <c r="AA754" s="928"/>
    </row>
    <row r="755" hidden="1">
      <c r="A755" s="935"/>
      <c r="B755" s="932"/>
      <c r="C755" s="928"/>
      <c r="D755" s="928"/>
      <c r="E755" s="928"/>
      <c r="F755" s="928"/>
      <c r="G755" s="928"/>
      <c r="H755" s="928"/>
      <c r="I755" s="928"/>
      <c r="J755" s="928"/>
      <c r="K755" s="928"/>
      <c r="L755" s="928"/>
      <c r="M755" s="928"/>
      <c r="N755" s="928"/>
      <c r="O755" s="928"/>
      <c r="P755" s="928"/>
      <c r="Q755" s="928"/>
      <c r="R755" s="928"/>
      <c r="S755" s="928"/>
      <c r="T755" s="928"/>
      <c r="U755" s="928"/>
      <c r="V755" s="928"/>
      <c r="W755" s="928"/>
      <c r="X755" s="928"/>
      <c r="Y755" s="928"/>
      <c r="Z755" s="928"/>
      <c r="AA755" s="928"/>
    </row>
    <row r="756" hidden="1">
      <c r="A756" s="935"/>
      <c r="B756" s="932"/>
      <c r="C756" s="928"/>
      <c r="D756" s="928"/>
      <c r="E756" s="928"/>
      <c r="F756" s="928"/>
      <c r="G756" s="928"/>
      <c r="H756" s="928"/>
      <c r="I756" s="928"/>
      <c r="J756" s="928"/>
      <c r="K756" s="928"/>
      <c r="L756" s="928"/>
      <c r="M756" s="928"/>
      <c r="N756" s="928"/>
      <c r="O756" s="928"/>
      <c r="P756" s="928"/>
      <c r="Q756" s="928"/>
      <c r="R756" s="928"/>
      <c r="S756" s="928"/>
      <c r="T756" s="928"/>
      <c r="U756" s="928"/>
      <c r="V756" s="928"/>
      <c r="W756" s="928"/>
      <c r="X756" s="928"/>
      <c r="Y756" s="928"/>
      <c r="Z756" s="928"/>
      <c r="AA756" s="928"/>
    </row>
    <row r="757" hidden="1">
      <c r="A757" s="935"/>
      <c r="B757" s="932"/>
      <c r="C757" s="928"/>
      <c r="D757" s="928"/>
      <c r="E757" s="928"/>
      <c r="F757" s="928"/>
      <c r="G757" s="928"/>
      <c r="H757" s="928"/>
      <c r="I757" s="928"/>
      <c r="J757" s="928"/>
      <c r="K757" s="928"/>
      <c r="L757" s="928"/>
      <c r="M757" s="928"/>
      <c r="N757" s="928"/>
      <c r="O757" s="928"/>
      <c r="P757" s="928"/>
      <c r="Q757" s="928"/>
      <c r="R757" s="928"/>
      <c r="S757" s="928"/>
      <c r="T757" s="928"/>
      <c r="U757" s="928"/>
      <c r="V757" s="928"/>
      <c r="W757" s="928"/>
      <c r="X757" s="928"/>
      <c r="Y757" s="928"/>
      <c r="Z757" s="928"/>
      <c r="AA757" s="928"/>
    </row>
    <row r="758" hidden="1">
      <c r="A758" s="935"/>
      <c r="B758" s="932"/>
      <c r="C758" s="928"/>
      <c r="D758" s="928"/>
      <c r="E758" s="928"/>
      <c r="F758" s="928"/>
      <c r="G758" s="928"/>
      <c r="H758" s="928"/>
      <c r="I758" s="928"/>
      <c r="J758" s="928"/>
      <c r="K758" s="928"/>
      <c r="L758" s="928"/>
      <c r="M758" s="928"/>
      <c r="N758" s="928"/>
      <c r="O758" s="928"/>
      <c r="P758" s="928"/>
      <c r="Q758" s="928"/>
      <c r="R758" s="928"/>
      <c r="S758" s="928"/>
      <c r="T758" s="928"/>
      <c r="U758" s="928"/>
      <c r="V758" s="928"/>
      <c r="W758" s="928"/>
      <c r="X758" s="928"/>
      <c r="Y758" s="928"/>
      <c r="Z758" s="928"/>
      <c r="AA758" s="928"/>
    </row>
    <row r="759" hidden="1">
      <c r="A759" s="935"/>
      <c r="B759" s="932"/>
      <c r="C759" s="928"/>
      <c r="D759" s="928"/>
      <c r="E759" s="928"/>
      <c r="F759" s="928"/>
      <c r="G759" s="928"/>
      <c r="H759" s="928"/>
      <c r="I759" s="928"/>
      <c r="J759" s="928"/>
      <c r="K759" s="928"/>
      <c r="L759" s="928"/>
      <c r="M759" s="928"/>
      <c r="N759" s="928"/>
      <c r="O759" s="928"/>
      <c r="P759" s="928"/>
      <c r="Q759" s="928"/>
      <c r="R759" s="928"/>
      <c r="S759" s="928"/>
      <c r="T759" s="928"/>
      <c r="U759" s="928"/>
      <c r="V759" s="928"/>
      <c r="W759" s="928"/>
      <c r="X759" s="928"/>
      <c r="Y759" s="928"/>
      <c r="Z759" s="928"/>
      <c r="AA759" s="928"/>
    </row>
    <row r="760" hidden="1">
      <c r="A760" s="935"/>
      <c r="B760" s="932"/>
      <c r="C760" s="928"/>
      <c r="D760" s="928"/>
      <c r="E760" s="928"/>
      <c r="F760" s="928"/>
      <c r="G760" s="928"/>
      <c r="H760" s="928"/>
      <c r="I760" s="928"/>
      <c r="J760" s="928"/>
      <c r="K760" s="928"/>
      <c r="L760" s="928"/>
      <c r="M760" s="928"/>
      <c r="N760" s="928"/>
      <c r="O760" s="928"/>
      <c r="P760" s="928"/>
      <c r="Q760" s="928"/>
      <c r="R760" s="928"/>
      <c r="S760" s="928"/>
      <c r="T760" s="928"/>
      <c r="U760" s="928"/>
      <c r="V760" s="928"/>
      <c r="W760" s="928"/>
      <c r="X760" s="928"/>
      <c r="Y760" s="928"/>
      <c r="Z760" s="928"/>
      <c r="AA760" s="928"/>
    </row>
    <row r="761" hidden="1">
      <c r="A761" s="935"/>
      <c r="B761" s="932"/>
      <c r="C761" s="928"/>
      <c r="D761" s="928"/>
      <c r="E761" s="928"/>
      <c r="F761" s="928"/>
      <c r="G761" s="928"/>
      <c r="H761" s="928"/>
      <c r="I761" s="928"/>
      <c r="J761" s="928"/>
      <c r="K761" s="928"/>
      <c r="L761" s="928"/>
      <c r="M761" s="928"/>
      <c r="N761" s="928"/>
      <c r="O761" s="928"/>
      <c r="P761" s="928"/>
      <c r="Q761" s="928"/>
      <c r="R761" s="928"/>
      <c r="S761" s="928"/>
      <c r="T761" s="928"/>
      <c r="U761" s="928"/>
      <c r="V761" s="928"/>
      <c r="W761" s="928"/>
      <c r="X761" s="928"/>
      <c r="Y761" s="928"/>
      <c r="Z761" s="928"/>
      <c r="AA761" s="928"/>
    </row>
    <row r="762" hidden="1">
      <c r="A762" s="935"/>
      <c r="B762" s="932"/>
      <c r="C762" s="928"/>
      <c r="D762" s="928"/>
      <c r="E762" s="928"/>
      <c r="F762" s="928"/>
      <c r="G762" s="928"/>
      <c r="H762" s="928"/>
      <c r="I762" s="928"/>
      <c r="J762" s="928"/>
      <c r="K762" s="928"/>
      <c r="L762" s="928"/>
      <c r="M762" s="928"/>
      <c r="N762" s="928"/>
      <c r="O762" s="928"/>
      <c r="P762" s="928"/>
      <c r="Q762" s="928"/>
      <c r="R762" s="928"/>
      <c r="S762" s="928"/>
      <c r="T762" s="928"/>
      <c r="U762" s="928"/>
      <c r="V762" s="928"/>
      <c r="W762" s="928"/>
      <c r="X762" s="928"/>
      <c r="Y762" s="928"/>
      <c r="Z762" s="928"/>
      <c r="AA762" s="928"/>
    </row>
    <row r="763" hidden="1">
      <c r="A763" s="935"/>
      <c r="B763" s="932"/>
      <c r="C763" s="928"/>
      <c r="D763" s="928"/>
      <c r="E763" s="928"/>
      <c r="F763" s="928"/>
      <c r="G763" s="928"/>
      <c r="H763" s="928"/>
      <c r="I763" s="928"/>
      <c r="J763" s="928"/>
      <c r="K763" s="928"/>
      <c r="L763" s="928"/>
      <c r="M763" s="928"/>
      <c r="N763" s="928"/>
      <c r="O763" s="928"/>
      <c r="P763" s="928"/>
      <c r="Q763" s="928"/>
      <c r="R763" s="928"/>
      <c r="S763" s="928"/>
      <c r="T763" s="928"/>
      <c r="U763" s="928"/>
      <c r="V763" s="928"/>
      <c r="W763" s="928"/>
      <c r="X763" s="928"/>
      <c r="Y763" s="928"/>
      <c r="Z763" s="928"/>
      <c r="AA763" s="928"/>
    </row>
    <row r="764" hidden="1">
      <c r="A764" s="935"/>
      <c r="B764" s="932"/>
      <c r="C764" s="928"/>
      <c r="D764" s="928"/>
      <c r="E764" s="928"/>
      <c r="F764" s="928"/>
      <c r="G764" s="928"/>
      <c r="H764" s="928"/>
      <c r="I764" s="928"/>
      <c r="J764" s="928"/>
      <c r="K764" s="928"/>
      <c r="L764" s="928"/>
      <c r="M764" s="928"/>
      <c r="N764" s="928"/>
      <c r="O764" s="928"/>
      <c r="P764" s="928"/>
      <c r="Q764" s="928"/>
      <c r="R764" s="928"/>
      <c r="S764" s="928"/>
      <c r="T764" s="928"/>
      <c r="U764" s="928"/>
      <c r="V764" s="928"/>
      <c r="W764" s="928"/>
      <c r="X764" s="928"/>
      <c r="Y764" s="928"/>
      <c r="Z764" s="928"/>
      <c r="AA764" s="928"/>
    </row>
    <row r="765" hidden="1">
      <c r="A765" s="935"/>
      <c r="B765" s="932"/>
      <c r="C765" s="928"/>
      <c r="D765" s="928"/>
      <c r="E765" s="928"/>
      <c r="F765" s="928"/>
      <c r="G765" s="928"/>
      <c r="H765" s="928"/>
      <c r="I765" s="928"/>
      <c r="J765" s="928"/>
      <c r="K765" s="928"/>
      <c r="L765" s="928"/>
      <c r="M765" s="928"/>
      <c r="N765" s="928"/>
      <c r="O765" s="928"/>
      <c r="P765" s="928"/>
      <c r="Q765" s="928"/>
      <c r="R765" s="928"/>
      <c r="S765" s="928"/>
      <c r="T765" s="928"/>
      <c r="U765" s="928"/>
      <c r="V765" s="928"/>
      <c r="W765" s="928"/>
      <c r="X765" s="928"/>
      <c r="Y765" s="928"/>
      <c r="Z765" s="928"/>
      <c r="AA765" s="928"/>
    </row>
    <row r="766" hidden="1">
      <c r="A766" s="935"/>
      <c r="B766" s="932"/>
      <c r="C766" s="928"/>
      <c r="D766" s="928"/>
      <c r="E766" s="928"/>
      <c r="F766" s="928"/>
      <c r="G766" s="928"/>
      <c r="H766" s="928"/>
      <c r="I766" s="928"/>
      <c r="J766" s="928"/>
      <c r="K766" s="928"/>
      <c r="L766" s="928"/>
      <c r="M766" s="928"/>
      <c r="N766" s="928"/>
      <c r="O766" s="928"/>
      <c r="P766" s="928"/>
      <c r="Q766" s="928"/>
      <c r="R766" s="928"/>
      <c r="S766" s="928"/>
      <c r="T766" s="928"/>
      <c r="U766" s="928"/>
      <c r="V766" s="928"/>
      <c r="W766" s="928"/>
      <c r="X766" s="928"/>
      <c r="Y766" s="928"/>
      <c r="Z766" s="928"/>
      <c r="AA766" s="928"/>
    </row>
    <row r="767" hidden="1">
      <c r="A767" s="935"/>
      <c r="B767" s="932"/>
      <c r="C767" s="928"/>
      <c r="D767" s="928"/>
      <c r="E767" s="928"/>
      <c r="F767" s="928"/>
      <c r="G767" s="928"/>
      <c r="H767" s="928"/>
      <c r="I767" s="928"/>
      <c r="J767" s="928"/>
      <c r="K767" s="928"/>
      <c r="L767" s="928"/>
      <c r="M767" s="928"/>
      <c r="N767" s="928"/>
      <c r="O767" s="928"/>
      <c r="P767" s="928"/>
      <c r="Q767" s="928"/>
      <c r="R767" s="928"/>
      <c r="S767" s="928"/>
      <c r="T767" s="928"/>
      <c r="U767" s="928"/>
      <c r="V767" s="928"/>
      <c r="W767" s="928"/>
      <c r="X767" s="928"/>
      <c r="Y767" s="928"/>
      <c r="Z767" s="928"/>
      <c r="AA767" s="928"/>
    </row>
    <row r="768" hidden="1">
      <c r="A768" s="935"/>
      <c r="B768" s="932"/>
      <c r="C768" s="928"/>
      <c r="D768" s="928"/>
      <c r="E768" s="928"/>
      <c r="F768" s="928"/>
      <c r="G768" s="928"/>
      <c r="H768" s="928"/>
      <c r="I768" s="928"/>
      <c r="J768" s="928"/>
      <c r="K768" s="928"/>
      <c r="L768" s="928"/>
      <c r="M768" s="928"/>
      <c r="N768" s="928"/>
      <c r="O768" s="928"/>
      <c r="P768" s="928"/>
      <c r="Q768" s="928"/>
      <c r="R768" s="928"/>
      <c r="S768" s="928"/>
      <c r="T768" s="928"/>
      <c r="U768" s="928"/>
      <c r="V768" s="928"/>
      <c r="W768" s="928"/>
      <c r="X768" s="928"/>
      <c r="Y768" s="928"/>
      <c r="Z768" s="928"/>
      <c r="AA768" s="928"/>
    </row>
    <row r="769" hidden="1">
      <c r="A769" s="935"/>
      <c r="B769" s="932"/>
      <c r="C769" s="928"/>
      <c r="D769" s="928"/>
      <c r="E769" s="928"/>
      <c r="F769" s="928"/>
      <c r="G769" s="928"/>
      <c r="H769" s="928"/>
      <c r="I769" s="928"/>
      <c r="J769" s="928"/>
      <c r="K769" s="928"/>
      <c r="L769" s="928"/>
      <c r="M769" s="928"/>
      <c r="N769" s="928"/>
      <c r="O769" s="928"/>
      <c r="P769" s="928"/>
      <c r="Q769" s="928"/>
      <c r="R769" s="928"/>
      <c r="S769" s="928"/>
      <c r="T769" s="928"/>
      <c r="U769" s="928"/>
      <c r="V769" s="928"/>
      <c r="W769" s="928"/>
      <c r="X769" s="928"/>
      <c r="Y769" s="928"/>
      <c r="Z769" s="928"/>
      <c r="AA769" s="928"/>
    </row>
    <row r="770" hidden="1">
      <c r="A770" s="935"/>
      <c r="B770" s="932"/>
      <c r="C770" s="928"/>
      <c r="D770" s="928"/>
      <c r="E770" s="928"/>
      <c r="F770" s="928"/>
      <c r="G770" s="928"/>
      <c r="H770" s="928"/>
      <c r="I770" s="928"/>
      <c r="J770" s="928"/>
      <c r="K770" s="928"/>
      <c r="L770" s="928"/>
      <c r="M770" s="928"/>
      <c r="N770" s="928"/>
      <c r="O770" s="928"/>
      <c r="P770" s="928"/>
      <c r="Q770" s="928"/>
      <c r="R770" s="928"/>
      <c r="S770" s="928"/>
      <c r="T770" s="928"/>
      <c r="U770" s="928"/>
      <c r="V770" s="928"/>
      <c r="W770" s="928"/>
      <c r="X770" s="928"/>
      <c r="Y770" s="928"/>
      <c r="Z770" s="928"/>
      <c r="AA770" s="928"/>
    </row>
    <row r="771" hidden="1">
      <c r="A771" s="935"/>
      <c r="B771" s="932"/>
      <c r="C771" s="928"/>
      <c r="D771" s="928"/>
      <c r="E771" s="928"/>
      <c r="F771" s="928"/>
      <c r="G771" s="928"/>
      <c r="H771" s="928"/>
      <c r="I771" s="928"/>
      <c r="J771" s="928"/>
      <c r="K771" s="928"/>
      <c r="L771" s="928"/>
      <c r="M771" s="928"/>
      <c r="N771" s="928"/>
      <c r="O771" s="928"/>
      <c r="P771" s="928"/>
      <c r="Q771" s="928"/>
      <c r="R771" s="928"/>
      <c r="S771" s="928"/>
      <c r="T771" s="928"/>
      <c r="U771" s="928"/>
      <c r="V771" s="928"/>
      <c r="W771" s="928"/>
      <c r="X771" s="928"/>
      <c r="Y771" s="928"/>
      <c r="Z771" s="928"/>
      <c r="AA771" s="928"/>
    </row>
    <row r="772" hidden="1">
      <c r="A772" s="935"/>
      <c r="B772" s="932"/>
      <c r="C772" s="928"/>
      <c r="D772" s="928"/>
      <c r="E772" s="928"/>
      <c r="F772" s="928"/>
      <c r="G772" s="928"/>
      <c r="H772" s="928"/>
      <c r="I772" s="928"/>
      <c r="J772" s="928"/>
      <c r="K772" s="928"/>
      <c r="L772" s="928"/>
      <c r="M772" s="928"/>
      <c r="N772" s="928"/>
      <c r="O772" s="928"/>
      <c r="P772" s="928"/>
      <c r="Q772" s="928"/>
      <c r="R772" s="928"/>
      <c r="S772" s="928"/>
      <c r="T772" s="928"/>
      <c r="U772" s="928"/>
      <c r="V772" s="928"/>
      <c r="W772" s="928"/>
      <c r="X772" s="928"/>
      <c r="Y772" s="928"/>
      <c r="Z772" s="928"/>
      <c r="AA772" s="928"/>
    </row>
    <row r="773" hidden="1">
      <c r="A773" s="935"/>
      <c r="B773" s="932"/>
      <c r="C773" s="928"/>
      <c r="D773" s="928"/>
      <c r="E773" s="928"/>
      <c r="F773" s="928"/>
      <c r="G773" s="928"/>
      <c r="H773" s="928"/>
      <c r="I773" s="928"/>
      <c r="J773" s="928"/>
      <c r="K773" s="928"/>
      <c r="L773" s="928"/>
      <c r="M773" s="928"/>
      <c r="N773" s="928"/>
      <c r="O773" s="928"/>
      <c r="P773" s="928"/>
      <c r="Q773" s="928"/>
      <c r="R773" s="928"/>
      <c r="S773" s="928"/>
      <c r="T773" s="928"/>
      <c r="U773" s="928"/>
      <c r="V773" s="928"/>
      <c r="W773" s="928"/>
      <c r="X773" s="928"/>
      <c r="Y773" s="928"/>
      <c r="Z773" s="928"/>
      <c r="AA773" s="928"/>
    </row>
    <row r="774" hidden="1">
      <c r="A774" s="935"/>
      <c r="B774" s="932"/>
      <c r="C774" s="928"/>
      <c r="D774" s="928"/>
      <c r="E774" s="928"/>
      <c r="F774" s="928"/>
      <c r="G774" s="928"/>
      <c r="H774" s="928"/>
      <c r="I774" s="928"/>
      <c r="J774" s="928"/>
      <c r="K774" s="928"/>
      <c r="L774" s="928"/>
      <c r="M774" s="928"/>
      <c r="N774" s="928"/>
      <c r="O774" s="928"/>
      <c r="P774" s="928"/>
      <c r="Q774" s="928"/>
      <c r="R774" s="928"/>
      <c r="S774" s="928"/>
      <c r="T774" s="928"/>
      <c r="U774" s="928"/>
      <c r="V774" s="928"/>
      <c r="W774" s="928"/>
      <c r="X774" s="928"/>
      <c r="Y774" s="928"/>
      <c r="Z774" s="928"/>
      <c r="AA774" s="928"/>
    </row>
    <row r="775" hidden="1">
      <c r="A775" s="935"/>
      <c r="B775" s="932"/>
      <c r="C775" s="928"/>
      <c r="D775" s="928"/>
      <c r="E775" s="928"/>
      <c r="F775" s="928"/>
      <c r="G775" s="928"/>
      <c r="H775" s="928"/>
      <c r="I775" s="928"/>
      <c r="J775" s="928"/>
      <c r="K775" s="928"/>
      <c r="L775" s="928"/>
      <c r="M775" s="928"/>
      <c r="N775" s="928"/>
      <c r="O775" s="928"/>
      <c r="P775" s="928"/>
      <c r="Q775" s="928"/>
      <c r="R775" s="928"/>
      <c r="S775" s="928"/>
      <c r="T775" s="928"/>
      <c r="U775" s="928"/>
      <c r="V775" s="928"/>
      <c r="W775" s="928"/>
      <c r="X775" s="928"/>
      <c r="Y775" s="928"/>
      <c r="Z775" s="928"/>
      <c r="AA775" s="928"/>
    </row>
    <row r="776" hidden="1">
      <c r="A776" s="935"/>
      <c r="B776" s="932"/>
      <c r="C776" s="928"/>
      <c r="D776" s="928"/>
      <c r="E776" s="928"/>
      <c r="F776" s="928"/>
      <c r="G776" s="928"/>
      <c r="H776" s="928"/>
      <c r="I776" s="928"/>
      <c r="J776" s="928"/>
      <c r="K776" s="928"/>
      <c r="L776" s="928"/>
      <c r="M776" s="928"/>
      <c r="N776" s="928"/>
      <c r="O776" s="928"/>
      <c r="P776" s="928"/>
      <c r="Q776" s="928"/>
      <c r="R776" s="928"/>
      <c r="S776" s="928"/>
      <c r="T776" s="928"/>
      <c r="U776" s="928"/>
      <c r="V776" s="928"/>
      <c r="W776" s="928"/>
      <c r="X776" s="928"/>
      <c r="Y776" s="928"/>
      <c r="Z776" s="928"/>
      <c r="AA776" s="928"/>
    </row>
    <row r="777" hidden="1">
      <c r="A777" s="935"/>
      <c r="B777" s="932"/>
      <c r="C777" s="928"/>
      <c r="D777" s="928"/>
      <c r="E777" s="928"/>
      <c r="F777" s="928"/>
      <c r="G777" s="928"/>
      <c r="H777" s="928"/>
      <c r="I777" s="928"/>
      <c r="J777" s="928"/>
      <c r="K777" s="928"/>
      <c r="L777" s="928"/>
      <c r="M777" s="928"/>
      <c r="N777" s="928"/>
      <c r="O777" s="928"/>
      <c r="P777" s="928"/>
      <c r="Q777" s="928"/>
      <c r="R777" s="928"/>
      <c r="S777" s="928"/>
      <c r="T777" s="928"/>
      <c r="U777" s="928"/>
      <c r="V777" s="928"/>
      <c r="W777" s="928"/>
      <c r="X777" s="928"/>
      <c r="Y777" s="928"/>
      <c r="Z777" s="928"/>
      <c r="AA777" s="928"/>
    </row>
    <row r="778" hidden="1">
      <c r="A778" s="935"/>
      <c r="B778" s="932"/>
      <c r="C778" s="928"/>
      <c r="D778" s="928"/>
      <c r="E778" s="928"/>
      <c r="F778" s="928"/>
      <c r="G778" s="928"/>
      <c r="H778" s="928"/>
      <c r="I778" s="928"/>
      <c r="J778" s="928"/>
      <c r="K778" s="928"/>
      <c r="L778" s="928"/>
      <c r="M778" s="928"/>
      <c r="N778" s="928"/>
      <c r="O778" s="928"/>
      <c r="P778" s="928"/>
      <c r="Q778" s="928"/>
      <c r="R778" s="928"/>
      <c r="S778" s="928"/>
      <c r="T778" s="928"/>
      <c r="U778" s="928"/>
      <c r="V778" s="928"/>
      <c r="W778" s="928"/>
      <c r="X778" s="928"/>
      <c r="Y778" s="928"/>
      <c r="Z778" s="928"/>
      <c r="AA778" s="928"/>
    </row>
    <row r="779" hidden="1">
      <c r="A779" s="935"/>
      <c r="B779" s="932"/>
      <c r="C779" s="928"/>
      <c r="D779" s="928"/>
      <c r="E779" s="928"/>
      <c r="F779" s="928"/>
      <c r="G779" s="928"/>
      <c r="H779" s="928"/>
      <c r="I779" s="928"/>
      <c r="J779" s="928"/>
      <c r="K779" s="928"/>
      <c r="L779" s="928"/>
      <c r="M779" s="928"/>
      <c r="N779" s="928"/>
      <c r="O779" s="928"/>
      <c r="P779" s="928"/>
      <c r="Q779" s="928"/>
      <c r="R779" s="928"/>
      <c r="S779" s="928"/>
      <c r="T779" s="928"/>
      <c r="U779" s="928"/>
      <c r="V779" s="928"/>
      <c r="W779" s="928"/>
      <c r="X779" s="928"/>
      <c r="Y779" s="928"/>
      <c r="Z779" s="928"/>
      <c r="AA779" s="928"/>
    </row>
    <row r="780" hidden="1">
      <c r="A780" s="935"/>
      <c r="B780" s="932"/>
      <c r="C780" s="928"/>
      <c r="D780" s="928"/>
      <c r="E780" s="928"/>
      <c r="F780" s="928"/>
      <c r="G780" s="928"/>
      <c r="H780" s="928"/>
      <c r="I780" s="928"/>
      <c r="J780" s="928"/>
      <c r="K780" s="928"/>
      <c r="L780" s="928"/>
      <c r="M780" s="928"/>
      <c r="N780" s="928"/>
      <c r="O780" s="928"/>
      <c r="P780" s="928"/>
      <c r="Q780" s="928"/>
      <c r="R780" s="928"/>
      <c r="S780" s="928"/>
      <c r="T780" s="928"/>
      <c r="U780" s="928"/>
      <c r="V780" s="928"/>
      <c r="W780" s="928"/>
      <c r="X780" s="928"/>
      <c r="Y780" s="928"/>
      <c r="Z780" s="928"/>
      <c r="AA780" s="928"/>
    </row>
    <row r="781" hidden="1">
      <c r="A781" s="935"/>
      <c r="B781" s="932"/>
      <c r="C781" s="928"/>
      <c r="D781" s="928"/>
      <c r="E781" s="928"/>
      <c r="F781" s="928"/>
      <c r="G781" s="928"/>
      <c r="H781" s="928"/>
      <c r="I781" s="928"/>
      <c r="J781" s="928"/>
      <c r="K781" s="928"/>
      <c r="L781" s="928"/>
      <c r="M781" s="928"/>
      <c r="N781" s="928"/>
      <c r="O781" s="928"/>
      <c r="P781" s="928"/>
      <c r="Q781" s="928"/>
      <c r="R781" s="928"/>
      <c r="S781" s="928"/>
      <c r="T781" s="928"/>
      <c r="U781" s="928"/>
      <c r="V781" s="928"/>
      <c r="W781" s="928"/>
      <c r="X781" s="928"/>
      <c r="Y781" s="928"/>
      <c r="Z781" s="928"/>
      <c r="AA781" s="928"/>
    </row>
    <row r="782" hidden="1">
      <c r="A782" s="935"/>
      <c r="B782" s="932"/>
      <c r="C782" s="928"/>
      <c r="D782" s="928"/>
      <c r="E782" s="928"/>
      <c r="F782" s="928"/>
      <c r="G782" s="928"/>
      <c r="H782" s="928"/>
      <c r="I782" s="928"/>
      <c r="J782" s="928"/>
      <c r="K782" s="928"/>
      <c r="L782" s="928"/>
      <c r="M782" s="928"/>
      <c r="N782" s="928"/>
      <c r="O782" s="928"/>
      <c r="P782" s="928"/>
      <c r="Q782" s="928"/>
      <c r="R782" s="928"/>
      <c r="S782" s="928"/>
      <c r="T782" s="928"/>
      <c r="U782" s="928"/>
      <c r="V782" s="928"/>
      <c r="W782" s="928"/>
      <c r="X782" s="928"/>
      <c r="Y782" s="928"/>
      <c r="Z782" s="928"/>
      <c r="AA782" s="928"/>
    </row>
    <row r="783" hidden="1">
      <c r="A783" s="935"/>
      <c r="B783" s="932"/>
      <c r="C783" s="928"/>
      <c r="D783" s="928"/>
      <c r="E783" s="928"/>
      <c r="F783" s="928"/>
      <c r="G783" s="928"/>
      <c r="H783" s="928"/>
      <c r="I783" s="928"/>
      <c r="J783" s="928"/>
      <c r="K783" s="928"/>
      <c r="L783" s="928"/>
      <c r="M783" s="928"/>
      <c r="N783" s="928"/>
      <c r="O783" s="928"/>
      <c r="P783" s="928"/>
      <c r="Q783" s="928"/>
      <c r="R783" s="928"/>
      <c r="S783" s="928"/>
      <c r="T783" s="928"/>
      <c r="U783" s="928"/>
      <c r="V783" s="928"/>
      <c r="W783" s="928"/>
      <c r="X783" s="928"/>
      <c r="Y783" s="928"/>
      <c r="Z783" s="928"/>
      <c r="AA783" s="928"/>
    </row>
    <row r="784" hidden="1">
      <c r="A784" s="935"/>
      <c r="B784" s="932"/>
      <c r="C784" s="928"/>
      <c r="D784" s="928"/>
      <c r="E784" s="928"/>
      <c r="F784" s="928"/>
      <c r="G784" s="928"/>
      <c r="H784" s="928"/>
      <c r="I784" s="928"/>
      <c r="J784" s="928"/>
      <c r="K784" s="928"/>
      <c r="L784" s="928"/>
      <c r="M784" s="928"/>
      <c r="N784" s="928"/>
      <c r="O784" s="928"/>
      <c r="P784" s="928"/>
      <c r="Q784" s="928"/>
      <c r="R784" s="928"/>
      <c r="S784" s="928"/>
      <c r="T784" s="928"/>
      <c r="U784" s="928"/>
      <c r="V784" s="928"/>
      <c r="W784" s="928"/>
      <c r="X784" s="928"/>
      <c r="Y784" s="928"/>
      <c r="Z784" s="928"/>
      <c r="AA784" s="928"/>
    </row>
    <row r="785" hidden="1">
      <c r="A785" s="935"/>
      <c r="B785" s="932"/>
      <c r="C785" s="928"/>
      <c r="D785" s="928"/>
      <c r="E785" s="928"/>
      <c r="F785" s="928"/>
      <c r="G785" s="928"/>
      <c r="H785" s="928"/>
      <c r="I785" s="928"/>
      <c r="J785" s="928"/>
      <c r="K785" s="928"/>
      <c r="L785" s="928"/>
      <c r="M785" s="928"/>
      <c r="N785" s="928"/>
      <c r="O785" s="928"/>
      <c r="P785" s="928"/>
      <c r="Q785" s="928"/>
      <c r="R785" s="928"/>
      <c r="S785" s="928"/>
      <c r="T785" s="928"/>
      <c r="U785" s="928"/>
      <c r="V785" s="928"/>
      <c r="W785" s="928"/>
      <c r="X785" s="928"/>
      <c r="Y785" s="928"/>
      <c r="Z785" s="928"/>
      <c r="AA785" s="928"/>
    </row>
    <row r="786" hidden="1">
      <c r="A786" s="935"/>
      <c r="B786" s="932"/>
      <c r="C786" s="928"/>
      <c r="D786" s="928"/>
      <c r="E786" s="928"/>
      <c r="F786" s="928"/>
      <c r="G786" s="928"/>
      <c r="H786" s="928"/>
      <c r="I786" s="928"/>
      <c r="J786" s="928"/>
      <c r="K786" s="928"/>
      <c r="L786" s="928"/>
      <c r="M786" s="928"/>
      <c r="N786" s="928"/>
      <c r="O786" s="928"/>
      <c r="P786" s="928"/>
      <c r="Q786" s="928"/>
      <c r="R786" s="928"/>
      <c r="S786" s="928"/>
      <c r="T786" s="928"/>
      <c r="U786" s="928"/>
      <c r="V786" s="928"/>
      <c r="W786" s="928"/>
      <c r="X786" s="928"/>
      <c r="Y786" s="928"/>
      <c r="Z786" s="928"/>
      <c r="AA786" s="928"/>
    </row>
    <row r="787" hidden="1">
      <c r="A787" s="935"/>
      <c r="B787" s="932"/>
      <c r="C787" s="928"/>
      <c r="D787" s="928"/>
      <c r="E787" s="928"/>
      <c r="F787" s="928"/>
      <c r="G787" s="928"/>
      <c r="H787" s="928"/>
      <c r="I787" s="928"/>
      <c r="J787" s="928"/>
      <c r="K787" s="928"/>
      <c r="L787" s="928"/>
      <c r="M787" s="928"/>
      <c r="N787" s="928"/>
      <c r="O787" s="928"/>
      <c r="P787" s="928"/>
      <c r="Q787" s="928"/>
      <c r="R787" s="928"/>
      <c r="S787" s="928"/>
      <c r="T787" s="928"/>
      <c r="U787" s="928"/>
      <c r="V787" s="928"/>
      <c r="W787" s="928"/>
      <c r="X787" s="928"/>
      <c r="Y787" s="928"/>
      <c r="Z787" s="928"/>
      <c r="AA787" s="928"/>
    </row>
    <row r="788" hidden="1">
      <c r="A788" s="935"/>
      <c r="B788" s="932"/>
      <c r="C788" s="928"/>
      <c r="D788" s="928"/>
      <c r="E788" s="928"/>
      <c r="F788" s="928"/>
      <c r="G788" s="928"/>
      <c r="H788" s="928"/>
      <c r="I788" s="928"/>
      <c r="J788" s="928"/>
      <c r="K788" s="928"/>
      <c r="L788" s="928"/>
      <c r="M788" s="928"/>
      <c r="N788" s="928"/>
      <c r="O788" s="928"/>
      <c r="P788" s="928"/>
      <c r="Q788" s="928"/>
      <c r="R788" s="928"/>
      <c r="S788" s="928"/>
      <c r="T788" s="928"/>
      <c r="U788" s="928"/>
      <c r="V788" s="928"/>
      <c r="W788" s="928"/>
      <c r="X788" s="928"/>
      <c r="Y788" s="928"/>
      <c r="Z788" s="928"/>
      <c r="AA788" s="928"/>
    </row>
    <row r="789" hidden="1">
      <c r="A789" s="935"/>
      <c r="B789" s="932"/>
      <c r="C789" s="928"/>
      <c r="D789" s="928"/>
      <c r="E789" s="928"/>
      <c r="F789" s="928"/>
      <c r="G789" s="928"/>
      <c r="H789" s="928"/>
      <c r="I789" s="928"/>
      <c r="J789" s="928"/>
      <c r="K789" s="928"/>
      <c r="L789" s="928"/>
      <c r="M789" s="928"/>
      <c r="N789" s="928"/>
      <c r="O789" s="928"/>
      <c r="P789" s="928"/>
      <c r="Q789" s="928"/>
      <c r="R789" s="928"/>
      <c r="S789" s="928"/>
      <c r="T789" s="928"/>
      <c r="U789" s="928"/>
      <c r="V789" s="928"/>
      <c r="W789" s="928"/>
      <c r="X789" s="928"/>
      <c r="Y789" s="928"/>
      <c r="Z789" s="928"/>
      <c r="AA789" s="928"/>
    </row>
    <row r="790" hidden="1">
      <c r="A790" s="935"/>
      <c r="B790" s="932"/>
      <c r="C790" s="928"/>
      <c r="D790" s="928"/>
      <c r="E790" s="928"/>
      <c r="F790" s="928"/>
      <c r="G790" s="928"/>
      <c r="H790" s="928"/>
      <c r="I790" s="928"/>
      <c r="J790" s="928"/>
      <c r="K790" s="928"/>
      <c r="L790" s="928"/>
      <c r="M790" s="928"/>
      <c r="N790" s="928"/>
      <c r="O790" s="928"/>
      <c r="P790" s="928"/>
      <c r="Q790" s="928"/>
      <c r="R790" s="928"/>
      <c r="S790" s="928"/>
      <c r="T790" s="928"/>
      <c r="U790" s="928"/>
      <c r="V790" s="928"/>
      <c r="W790" s="928"/>
      <c r="X790" s="928"/>
      <c r="Y790" s="928"/>
      <c r="Z790" s="928"/>
      <c r="AA790" s="928"/>
    </row>
    <row r="791" hidden="1">
      <c r="A791" s="935"/>
      <c r="B791" s="932"/>
      <c r="C791" s="928"/>
      <c r="D791" s="928"/>
      <c r="E791" s="928"/>
      <c r="F791" s="928"/>
      <c r="G791" s="928"/>
      <c r="H791" s="928"/>
      <c r="I791" s="928"/>
      <c r="J791" s="928"/>
      <c r="K791" s="928"/>
      <c r="L791" s="928"/>
      <c r="M791" s="928"/>
      <c r="N791" s="928"/>
      <c r="O791" s="928"/>
      <c r="P791" s="928"/>
      <c r="Q791" s="928"/>
      <c r="R791" s="928"/>
      <c r="S791" s="928"/>
      <c r="T791" s="928"/>
      <c r="U791" s="928"/>
      <c r="V791" s="928"/>
      <c r="W791" s="928"/>
      <c r="X791" s="928"/>
      <c r="Y791" s="928"/>
      <c r="Z791" s="928"/>
      <c r="AA791" s="928"/>
    </row>
    <row r="792" hidden="1">
      <c r="A792" s="935"/>
      <c r="B792" s="932"/>
      <c r="C792" s="928"/>
      <c r="D792" s="928"/>
      <c r="E792" s="928"/>
      <c r="F792" s="928"/>
      <c r="G792" s="928"/>
      <c r="H792" s="928"/>
      <c r="I792" s="928"/>
      <c r="J792" s="928"/>
      <c r="K792" s="928"/>
      <c r="L792" s="928"/>
      <c r="M792" s="928"/>
      <c r="N792" s="928"/>
      <c r="O792" s="928"/>
      <c r="P792" s="928"/>
      <c r="Q792" s="928"/>
      <c r="R792" s="928"/>
      <c r="S792" s="928"/>
      <c r="T792" s="928"/>
      <c r="U792" s="928"/>
      <c r="V792" s="928"/>
      <c r="W792" s="928"/>
      <c r="X792" s="928"/>
      <c r="Y792" s="928"/>
      <c r="Z792" s="928"/>
      <c r="AA792" s="928"/>
    </row>
    <row r="793" hidden="1">
      <c r="A793" s="935"/>
      <c r="B793" s="932"/>
      <c r="C793" s="928"/>
      <c r="D793" s="928"/>
      <c r="E793" s="928"/>
      <c r="F793" s="928"/>
      <c r="G793" s="928"/>
      <c r="H793" s="928"/>
      <c r="I793" s="928"/>
      <c r="J793" s="928"/>
      <c r="K793" s="928"/>
      <c r="L793" s="928"/>
      <c r="M793" s="928"/>
      <c r="N793" s="928"/>
      <c r="O793" s="928"/>
      <c r="P793" s="928"/>
      <c r="Q793" s="928"/>
      <c r="R793" s="928"/>
      <c r="S793" s="928"/>
      <c r="T793" s="928"/>
      <c r="U793" s="928"/>
      <c r="V793" s="928"/>
      <c r="W793" s="928"/>
      <c r="X793" s="928"/>
      <c r="Y793" s="928"/>
      <c r="Z793" s="928"/>
      <c r="AA793" s="928"/>
    </row>
    <row r="794" hidden="1">
      <c r="A794" s="935"/>
      <c r="B794" s="932"/>
      <c r="C794" s="928"/>
      <c r="D794" s="928"/>
      <c r="E794" s="928"/>
      <c r="F794" s="928"/>
      <c r="G794" s="928"/>
      <c r="H794" s="928"/>
      <c r="I794" s="928"/>
      <c r="J794" s="928"/>
      <c r="K794" s="928"/>
      <c r="L794" s="928"/>
      <c r="M794" s="928"/>
      <c r="N794" s="928"/>
      <c r="O794" s="928"/>
      <c r="P794" s="928"/>
      <c r="Q794" s="928"/>
      <c r="R794" s="928"/>
      <c r="S794" s="928"/>
      <c r="T794" s="928"/>
      <c r="U794" s="928"/>
      <c r="V794" s="928"/>
      <c r="W794" s="928"/>
      <c r="X794" s="928"/>
      <c r="Y794" s="928"/>
      <c r="Z794" s="928"/>
      <c r="AA794" s="928"/>
    </row>
    <row r="795" hidden="1">
      <c r="A795" s="935"/>
      <c r="B795" s="932"/>
      <c r="C795" s="928"/>
      <c r="D795" s="928"/>
      <c r="E795" s="928"/>
      <c r="F795" s="928"/>
      <c r="G795" s="928"/>
      <c r="H795" s="928"/>
      <c r="I795" s="928"/>
      <c r="J795" s="928"/>
      <c r="K795" s="928"/>
      <c r="L795" s="928"/>
      <c r="M795" s="928"/>
      <c r="N795" s="928"/>
      <c r="O795" s="928"/>
      <c r="P795" s="928"/>
      <c r="Q795" s="928"/>
      <c r="R795" s="928"/>
      <c r="S795" s="928"/>
      <c r="T795" s="928"/>
      <c r="U795" s="928"/>
      <c r="V795" s="928"/>
      <c r="W795" s="928"/>
      <c r="X795" s="928"/>
      <c r="Y795" s="928"/>
      <c r="Z795" s="928"/>
      <c r="AA795" s="928"/>
    </row>
    <row r="796" hidden="1">
      <c r="A796" s="935"/>
      <c r="B796" s="932"/>
      <c r="C796" s="928"/>
      <c r="D796" s="928"/>
      <c r="E796" s="928"/>
      <c r="F796" s="928"/>
      <c r="G796" s="928"/>
      <c r="H796" s="928"/>
      <c r="I796" s="928"/>
      <c r="J796" s="928"/>
      <c r="K796" s="928"/>
      <c r="L796" s="928"/>
      <c r="M796" s="928"/>
      <c r="N796" s="928"/>
      <c r="O796" s="928"/>
      <c r="P796" s="928"/>
      <c r="Q796" s="928"/>
      <c r="R796" s="928"/>
      <c r="S796" s="928"/>
      <c r="T796" s="928"/>
      <c r="U796" s="928"/>
      <c r="V796" s="928"/>
      <c r="W796" s="928"/>
      <c r="X796" s="928"/>
      <c r="Y796" s="928"/>
      <c r="Z796" s="928"/>
      <c r="AA796" s="928"/>
    </row>
    <row r="797" hidden="1">
      <c r="A797" s="935"/>
      <c r="B797" s="932"/>
      <c r="C797" s="928"/>
      <c r="D797" s="928"/>
      <c r="E797" s="928"/>
      <c r="F797" s="928"/>
      <c r="G797" s="928"/>
      <c r="H797" s="928"/>
      <c r="I797" s="928"/>
      <c r="J797" s="928"/>
      <c r="K797" s="928"/>
      <c r="L797" s="928"/>
      <c r="M797" s="928"/>
      <c r="N797" s="928"/>
      <c r="O797" s="928"/>
      <c r="P797" s="928"/>
      <c r="Q797" s="928"/>
      <c r="R797" s="928"/>
      <c r="S797" s="928"/>
      <c r="T797" s="928"/>
      <c r="U797" s="928"/>
      <c r="V797" s="928"/>
      <c r="W797" s="928"/>
      <c r="X797" s="928"/>
      <c r="Y797" s="928"/>
      <c r="Z797" s="928"/>
      <c r="AA797" s="928"/>
    </row>
    <row r="798" hidden="1">
      <c r="A798" s="935"/>
      <c r="B798" s="932"/>
      <c r="C798" s="928"/>
      <c r="D798" s="928"/>
      <c r="E798" s="928"/>
      <c r="F798" s="928"/>
      <c r="G798" s="928"/>
      <c r="H798" s="928"/>
      <c r="I798" s="928"/>
      <c r="J798" s="928"/>
      <c r="K798" s="928"/>
      <c r="L798" s="928"/>
      <c r="M798" s="928"/>
      <c r="N798" s="928"/>
      <c r="O798" s="928"/>
      <c r="P798" s="928"/>
      <c r="Q798" s="928"/>
      <c r="R798" s="928"/>
      <c r="S798" s="928"/>
      <c r="T798" s="928"/>
      <c r="U798" s="928"/>
      <c r="V798" s="928"/>
      <c r="W798" s="928"/>
      <c r="X798" s="928"/>
      <c r="Y798" s="928"/>
      <c r="Z798" s="928"/>
      <c r="AA798" s="928"/>
    </row>
    <row r="799" hidden="1">
      <c r="A799" s="935"/>
      <c r="B799" s="932"/>
      <c r="C799" s="928"/>
      <c r="D799" s="928"/>
      <c r="E799" s="928"/>
      <c r="F799" s="928"/>
      <c r="G799" s="928"/>
      <c r="H799" s="928"/>
      <c r="I799" s="928"/>
      <c r="J799" s="928"/>
      <c r="K799" s="928"/>
      <c r="L799" s="928"/>
      <c r="M799" s="928"/>
      <c r="N799" s="928"/>
      <c r="O799" s="928"/>
      <c r="P799" s="928"/>
      <c r="Q799" s="928"/>
      <c r="R799" s="928"/>
      <c r="S799" s="928"/>
      <c r="T799" s="928"/>
      <c r="U799" s="928"/>
      <c r="V799" s="928"/>
      <c r="W799" s="928"/>
      <c r="X799" s="928"/>
      <c r="Y799" s="928"/>
      <c r="Z799" s="928"/>
      <c r="AA799" s="928"/>
    </row>
    <row r="800" hidden="1">
      <c r="A800" s="935"/>
      <c r="B800" s="932"/>
      <c r="C800" s="928"/>
      <c r="D800" s="928"/>
      <c r="E800" s="928"/>
      <c r="F800" s="928"/>
      <c r="G800" s="928"/>
      <c r="H800" s="928"/>
      <c r="I800" s="928"/>
      <c r="J800" s="928"/>
      <c r="K800" s="928"/>
      <c r="L800" s="928"/>
      <c r="M800" s="928"/>
      <c r="N800" s="928"/>
      <c r="O800" s="928"/>
      <c r="P800" s="928"/>
      <c r="Q800" s="928"/>
      <c r="R800" s="928"/>
      <c r="S800" s="928"/>
      <c r="T800" s="928"/>
      <c r="U800" s="928"/>
      <c r="V800" s="928"/>
      <c r="W800" s="928"/>
      <c r="X800" s="928"/>
      <c r="Y800" s="928"/>
      <c r="Z800" s="928"/>
      <c r="AA800" s="928"/>
    </row>
    <row r="801" hidden="1">
      <c r="A801" s="935"/>
      <c r="B801" s="932"/>
      <c r="C801" s="928"/>
      <c r="D801" s="928"/>
      <c r="E801" s="928"/>
      <c r="F801" s="928"/>
      <c r="G801" s="928"/>
      <c r="H801" s="928"/>
      <c r="I801" s="928"/>
      <c r="J801" s="928"/>
      <c r="K801" s="928"/>
      <c r="L801" s="928"/>
      <c r="M801" s="928"/>
      <c r="N801" s="928"/>
      <c r="O801" s="928"/>
      <c r="P801" s="928"/>
      <c r="Q801" s="928"/>
      <c r="R801" s="928"/>
      <c r="S801" s="928"/>
      <c r="T801" s="928"/>
      <c r="U801" s="928"/>
      <c r="V801" s="928"/>
      <c r="W801" s="928"/>
      <c r="X801" s="928"/>
      <c r="Y801" s="928"/>
      <c r="Z801" s="928"/>
      <c r="AA801" s="928"/>
    </row>
    <row r="802" hidden="1">
      <c r="A802" s="935"/>
      <c r="B802" s="932"/>
      <c r="C802" s="928"/>
      <c r="D802" s="928"/>
      <c r="E802" s="928"/>
      <c r="F802" s="928"/>
      <c r="G802" s="928"/>
      <c r="H802" s="928"/>
      <c r="I802" s="928"/>
      <c r="J802" s="928"/>
      <c r="K802" s="928"/>
      <c r="L802" s="928"/>
      <c r="M802" s="928"/>
      <c r="N802" s="928"/>
      <c r="O802" s="928"/>
      <c r="P802" s="928"/>
      <c r="Q802" s="928"/>
      <c r="R802" s="928"/>
      <c r="S802" s="928"/>
      <c r="T802" s="928"/>
      <c r="U802" s="928"/>
      <c r="V802" s="928"/>
      <c r="W802" s="928"/>
      <c r="X802" s="928"/>
      <c r="Y802" s="928"/>
      <c r="Z802" s="928"/>
      <c r="AA802" s="928"/>
    </row>
    <row r="803" hidden="1">
      <c r="A803" s="935"/>
      <c r="B803" s="932"/>
      <c r="C803" s="928"/>
      <c r="D803" s="928"/>
      <c r="E803" s="928"/>
      <c r="F803" s="928"/>
      <c r="G803" s="928"/>
      <c r="H803" s="928"/>
      <c r="I803" s="928"/>
      <c r="J803" s="928"/>
      <c r="K803" s="928"/>
      <c r="L803" s="928"/>
      <c r="M803" s="928"/>
      <c r="N803" s="928"/>
      <c r="O803" s="928"/>
      <c r="P803" s="928"/>
      <c r="Q803" s="928"/>
      <c r="R803" s="928"/>
      <c r="S803" s="928"/>
      <c r="T803" s="928"/>
      <c r="U803" s="928"/>
      <c r="V803" s="928"/>
      <c r="W803" s="928"/>
      <c r="X803" s="928"/>
      <c r="Y803" s="928"/>
      <c r="Z803" s="928"/>
      <c r="AA803" s="928"/>
    </row>
    <row r="804" hidden="1">
      <c r="A804" s="935"/>
      <c r="B804" s="932"/>
      <c r="C804" s="928"/>
      <c r="D804" s="928"/>
      <c r="E804" s="928"/>
      <c r="F804" s="928"/>
      <c r="G804" s="928"/>
      <c r="H804" s="928"/>
      <c r="I804" s="928"/>
      <c r="J804" s="928"/>
      <c r="K804" s="928"/>
      <c r="L804" s="928"/>
      <c r="M804" s="928"/>
      <c r="N804" s="928"/>
      <c r="O804" s="928"/>
      <c r="P804" s="928"/>
      <c r="Q804" s="928"/>
      <c r="R804" s="928"/>
      <c r="S804" s="928"/>
      <c r="T804" s="928"/>
      <c r="U804" s="928"/>
      <c r="V804" s="928"/>
      <c r="W804" s="928"/>
      <c r="X804" s="928"/>
      <c r="Y804" s="928"/>
      <c r="Z804" s="928"/>
      <c r="AA804" s="928"/>
    </row>
    <row r="805" hidden="1">
      <c r="A805" s="935"/>
      <c r="B805" s="932"/>
      <c r="C805" s="928"/>
      <c r="D805" s="928"/>
      <c r="E805" s="928"/>
      <c r="F805" s="928"/>
      <c r="G805" s="928"/>
      <c r="H805" s="928"/>
      <c r="I805" s="928"/>
      <c r="J805" s="928"/>
      <c r="K805" s="928"/>
      <c r="L805" s="928"/>
      <c r="M805" s="928"/>
      <c r="N805" s="928"/>
      <c r="O805" s="928"/>
      <c r="P805" s="928"/>
      <c r="Q805" s="928"/>
      <c r="R805" s="928"/>
      <c r="S805" s="928"/>
      <c r="T805" s="928"/>
      <c r="U805" s="928"/>
      <c r="V805" s="928"/>
      <c r="W805" s="928"/>
      <c r="X805" s="928"/>
      <c r="Y805" s="928"/>
      <c r="Z805" s="928"/>
      <c r="AA805" s="928"/>
    </row>
    <row r="806" hidden="1">
      <c r="A806" s="935"/>
      <c r="B806" s="932"/>
      <c r="C806" s="928"/>
      <c r="D806" s="928"/>
      <c r="E806" s="928"/>
      <c r="F806" s="928"/>
      <c r="G806" s="928"/>
      <c r="H806" s="928"/>
      <c r="I806" s="928"/>
      <c r="J806" s="928"/>
      <c r="K806" s="928"/>
      <c r="L806" s="928"/>
      <c r="M806" s="928"/>
      <c r="N806" s="928"/>
      <c r="O806" s="928"/>
      <c r="P806" s="928"/>
      <c r="Q806" s="928"/>
      <c r="R806" s="928"/>
      <c r="S806" s="928"/>
      <c r="T806" s="928"/>
      <c r="U806" s="928"/>
      <c r="V806" s="928"/>
      <c r="W806" s="928"/>
      <c r="X806" s="928"/>
      <c r="Y806" s="928"/>
      <c r="Z806" s="928"/>
      <c r="AA806" s="928"/>
    </row>
    <row r="807" hidden="1">
      <c r="A807" s="935"/>
      <c r="B807" s="932"/>
      <c r="C807" s="928"/>
      <c r="D807" s="928"/>
      <c r="E807" s="928"/>
      <c r="F807" s="928"/>
      <c r="G807" s="928"/>
      <c r="H807" s="928"/>
      <c r="I807" s="928"/>
      <c r="J807" s="928"/>
      <c r="K807" s="928"/>
      <c r="L807" s="928"/>
      <c r="M807" s="928"/>
      <c r="N807" s="928"/>
      <c r="O807" s="928"/>
      <c r="P807" s="928"/>
      <c r="Q807" s="928"/>
      <c r="R807" s="928"/>
      <c r="S807" s="928"/>
      <c r="T807" s="928"/>
      <c r="U807" s="928"/>
      <c r="V807" s="928"/>
      <c r="W807" s="928"/>
      <c r="X807" s="928"/>
      <c r="Y807" s="928"/>
      <c r="Z807" s="928"/>
      <c r="AA807" s="928"/>
    </row>
    <row r="808" hidden="1">
      <c r="A808" s="935"/>
      <c r="B808" s="932"/>
      <c r="C808" s="928"/>
      <c r="D808" s="928"/>
      <c r="E808" s="928"/>
      <c r="F808" s="928"/>
      <c r="G808" s="928"/>
      <c r="H808" s="928"/>
      <c r="I808" s="928"/>
      <c r="J808" s="928"/>
      <c r="K808" s="928"/>
      <c r="L808" s="928"/>
      <c r="M808" s="928"/>
      <c r="N808" s="928"/>
      <c r="O808" s="928"/>
      <c r="P808" s="928"/>
      <c r="Q808" s="928"/>
      <c r="R808" s="928"/>
      <c r="S808" s="928"/>
      <c r="T808" s="928"/>
      <c r="U808" s="928"/>
      <c r="V808" s="928"/>
      <c r="W808" s="928"/>
      <c r="X808" s="928"/>
      <c r="Y808" s="928"/>
      <c r="Z808" s="928"/>
      <c r="AA808" s="928"/>
    </row>
    <row r="809" hidden="1">
      <c r="A809" s="935"/>
      <c r="B809" s="932"/>
      <c r="C809" s="928"/>
      <c r="D809" s="928"/>
      <c r="E809" s="928"/>
      <c r="F809" s="928"/>
      <c r="G809" s="928"/>
      <c r="H809" s="928"/>
      <c r="I809" s="928"/>
      <c r="J809" s="928"/>
      <c r="K809" s="928"/>
      <c r="L809" s="928"/>
      <c r="M809" s="928"/>
      <c r="N809" s="928"/>
      <c r="O809" s="928"/>
      <c r="P809" s="928"/>
      <c r="Q809" s="928"/>
      <c r="R809" s="928"/>
      <c r="S809" s="928"/>
      <c r="T809" s="928"/>
      <c r="U809" s="928"/>
      <c r="V809" s="928"/>
      <c r="W809" s="928"/>
      <c r="X809" s="928"/>
      <c r="Y809" s="928"/>
      <c r="Z809" s="928"/>
      <c r="AA809" s="928"/>
    </row>
    <row r="810" hidden="1">
      <c r="A810" s="935"/>
      <c r="B810" s="932"/>
      <c r="C810" s="928"/>
      <c r="D810" s="928"/>
      <c r="E810" s="928"/>
      <c r="F810" s="928"/>
      <c r="G810" s="928"/>
      <c r="H810" s="928"/>
      <c r="I810" s="928"/>
      <c r="J810" s="928"/>
      <c r="K810" s="928"/>
      <c r="L810" s="928"/>
      <c r="M810" s="928"/>
      <c r="N810" s="928"/>
      <c r="O810" s="928"/>
      <c r="P810" s="928"/>
      <c r="Q810" s="928"/>
      <c r="R810" s="928"/>
      <c r="S810" s="928"/>
      <c r="T810" s="928"/>
      <c r="U810" s="928"/>
      <c r="V810" s="928"/>
      <c r="W810" s="928"/>
      <c r="X810" s="928"/>
      <c r="Y810" s="928"/>
      <c r="Z810" s="928"/>
      <c r="AA810" s="928"/>
    </row>
    <row r="811" hidden="1">
      <c r="A811" s="935"/>
      <c r="B811" s="932"/>
      <c r="C811" s="928"/>
      <c r="D811" s="928"/>
      <c r="E811" s="928"/>
      <c r="F811" s="928"/>
      <c r="G811" s="928"/>
      <c r="H811" s="928"/>
      <c r="I811" s="928"/>
      <c r="J811" s="928"/>
      <c r="K811" s="928"/>
      <c r="L811" s="928"/>
      <c r="M811" s="928"/>
      <c r="N811" s="928"/>
      <c r="O811" s="928"/>
      <c r="P811" s="928"/>
      <c r="Q811" s="928"/>
      <c r="R811" s="928"/>
      <c r="S811" s="928"/>
      <c r="T811" s="928"/>
      <c r="U811" s="928"/>
      <c r="V811" s="928"/>
      <c r="W811" s="928"/>
      <c r="X811" s="928"/>
      <c r="Y811" s="928"/>
      <c r="Z811" s="928"/>
      <c r="AA811" s="928"/>
    </row>
    <row r="812" hidden="1">
      <c r="A812" s="935"/>
      <c r="B812" s="932"/>
      <c r="C812" s="928"/>
      <c r="D812" s="928"/>
      <c r="E812" s="928"/>
      <c r="F812" s="928"/>
      <c r="G812" s="928"/>
      <c r="H812" s="928"/>
      <c r="I812" s="928"/>
      <c r="J812" s="928"/>
      <c r="K812" s="928"/>
      <c r="L812" s="928"/>
      <c r="M812" s="928"/>
      <c r="N812" s="928"/>
      <c r="O812" s="928"/>
      <c r="P812" s="928"/>
      <c r="Q812" s="928"/>
      <c r="R812" s="928"/>
      <c r="S812" s="928"/>
      <c r="T812" s="928"/>
      <c r="U812" s="928"/>
      <c r="V812" s="928"/>
      <c r="W812" s="928"/>
      <c r="X812" s="928"/>
      <c r="Y812" s="928"/>
      <c r="Z812" s="928"/>
      <c r="AA812" s="928"/>
    </row>
    <row r="813" hidden="1">
      <c r="A813" s="935"/>
      <c r="B813" s="932"/>
      <c r="C813" s="928"/>
      <c r="D813" s="928"/>
      <c r="E813" s="928"/>
      <c r="F813" s="928"/>
      <c r="G813" s="928"/>
      <c r="H813" s="928"/>
      <c r="I813" s="928"/>
      <c r="J813" s="928"/>
      <c r="K813" s="928"/>
      <c r="L813" s="928"/>
      <c r="M813" s="928"/>
      <c r="N813" s="928"/>
      <c r="O813" s="928"/>
      <c r="P813" s="928"/>
      <c r="Q813" s="928"/>
      <c r="R813" s="928"/>
      <c r="S813" s="928"/>
      <c r="T813" s="928"/>
      <c r="U813" s="928"/>
      <c r="V813" s="928"/>
      <c r="W813" s="928"/>
      <c r="X813" s="928"/>
      <c r="Y813" s="928"/>
      <c r="Z813" s="928"/>
      <c r="AA813" s="928"/>
    </row>
    <row r="814" hidden="1">
      <c r="A814" s="935"/>
      <c r="B814" s="932"/>
      <c r="C814" s="928"/>
      <c r="D814" s="928"/>
      <c r="E814" s="928"/>
      <c r="F814" s="928"/>
      <c r="G814" s="928"/>
      <c r="H814" s="928"/>
      <c r="I814" s="928"/>
      <c r="J814" s="928"/>
      <c r="K814" s="928"/>
      <c r="L814" s="928"/>
      <c r="M814" s="928"/>
      <c r="N814" s="928"/>
      <c r="O814" s="928"/>
      <c r="P814" s="928"/>
      <c r="Q814" s="928"/>
      <c r="R814" s="928"/>
      <c r="S814" s="928"/>
      <c r="T814" s="928"/>
      <c r="U814" s="928"/>
      <c r="V814" s="928"/>
      <c r="W814" s="928"/>
      <c r="X814" s="928"/>
      <c r="Y814" s="928"/>
      <c r="Z814" s="928"/>
      <c r="AA814" s="928"/>
    </row>
    <row r="815" hidden="1">
      <c r="A815" s="935"/>
      <c r="B815" s="932"/>
      <c r="C815" s="928"/>
      <c r="D815" s="928"/>
      <c r="E815" s="928"/>
      <c r="F815" s="928"/>
      <c r="G815" s="928"/>
      <c r="H815" s="928"/>
      <c r="I815" s="928"/>
      <c r="J815" s="928"/>
      <c r="K815" s="928"/>
      <c r="L815" s="928"/>
      <c r="M815" s="928"/>
      <c r="N815" s="928"/>
      <c r="O815" s="928"/>
      <c r="P815" s="928"/>
      <c r="Q815" s="928"/>
      <c r="R815" s="928"/>
      <c r="S815" s="928"/>
      <c r="T815" s="928"/>
      <c r="U815" s="928"/>
      <c r="V815" s="928"/>
      <c r="W815" s="928"/>
      <c r="X815" s="928"/>
      <c r="Y815" s="928"/>
      <c r="Z815" s="928"/>
      <c r="AA815" s="928"/>
    </row>
    <row r="816" hidden="1">
      <c r="A816" s="935"/>
      <c r="B816" s="932"/>
      <c r="C816" s="928"/>
      <c r="D816" s="928"/>
      <c r="E816" s="928"/>
      <c r="F816" s="928"/>
      <c r="G816" s="928"/>
      <c r="H816" s="928"/>
      <c r="I816" s="928"/>
      <c r="J816" s="928"/>
      <c r="K816" s="928"/>
      <c r="L816" s="928"/>
      <c r="M816" s="928"/>
      <c r="N816" s="928"/>
      <c r="O816" s="928"/>
      <c r="P816" s="928"/>
      <c r="Q816" s="928"/>
      <c r="R816" s="928"/>
      <c r="S816" s="928"/>
      <c r="T816" s="928"/>
      <c r="U816" s="928"/>
      <c r="V816" s="928"/>
      <c r="W816" s="928"/>
      <c r="X816" s="928"/>
      <c r="Y816" s="928"/>
      <c r="Z816" s="928"/>
      <c r="AA816" s="928"/>
    </row>
    <row r="817" hidden="1">
      <c r="A817" s="935"/>
      <c r="B817" s="932"/>
      <c r="C817" s="928"/>
      <c r="D817" s="928"/>
      <c r="E817" s="928"/>
      <c r="F817" s="928"/>
      <c r="G817" s="928"/>
      <c r="H817" s="928"/>
      <c r="I817" s="928"/>
      <c r="J817" s="928"/>
      <c r="K817" s="928"/>
      <c r="L817" s="928"/>
      <c r="M817" s="928"/>
      <c r="N817" s="928"/>
      <c r="O817" s="928"/>
      <c r="P817" s="928"/>
      <c r="Q817" s="928"/>
      <c r="R817" s="928"/>
      <c r="S817" s="928"/>
      <c r="T817" s="928"/>
      <c r="U817" s="928"/>
      <c r="V817" s="928"/>
      <c r="W817" s="928"/>
      <c r="X817" s="928"/>
      <c r="Y817" s="928"/>
      <c r="Z817" s="928"/>
      <c r="AA817" s="928"/>
    </row>
    <row r="818" hidden="1">
      <c r="A818" s="935"/>
      <c r="B818" s="932"/>
      <c r="C818" s="928"/>
      <c r="D818" s="928"/>
      <c r="E818" s="928"/>
      <c r="F818" s="928"/>
      <c r="G818" s="928"/>
      <c r="H818" s="928"/>
      <c r="I818" s="928"/>
      <c r="J818" s="928"/>
      <c r="K818" s="928"/>
      <c r="L818" s="928"/>
      <c r="M818" s="928"/>
      <c r="N818" s="928"/>
      <c r="O818" s="928"/>
      <c r="P818" s="928"/>
      <c r="Q818" s="928"/>
      <c r="R818" s="928"/>
      <c r="S818" s="928"/>
      <c r="T818" s="928"/>
      <c r="U818" s="928"/>
      <c r="V818" s="928"/>
      <c r="W818" s="928"/>
      <c r="X818" s="928"/>
      <c r="Y818" s="928"/>
      <c r="Z818" s="928"/>
      <c r="AA818" s="928"/>
    </row>
    <row r="819" hidden="1">
      <c r="A819" s="935"/>
      <c r="B819" s="932"/>
      <c r="C819" s="928"/>
      <c r="D819" s="928"/>
      <c r="E819" s="928"/>
      <c r="F819" s="928"/>
      <c r="G819" s="928"/>
      <c r="H819" s="928"/>
      <c r="I819" s="928"/>
      <c r="J819" s="928"/>
      <c r="K819" s="928"/>
      <c r="L819" s="928"/>
      <c r="M819" s="928"/>
      <c r="N819" s="928"/>
      <c r="O819" s="928"/>
      <c r="P819" s="928"/>
      <c r="Q819" s="928"/>
      <c r="R819" s="928"/>
      <c r="S819" s="928"/>
      <c r="T819" s="928"/>
      <c r="U819" s="928"/>
      <c r="V819" s="928"/>
      <c r="W819" s="928"/>
      <c r="X819" s="928"/>
      <c r="Y819" s="928"/>
      <c r="Z819" s="928"/>
      <c r="AA819" s="928"/>
    </row>
    <row r="820" hidden="1">
      <c r="A820" s="935"/>
      <c r="B820" s="932"/>
      <c r="C820" s="928"/>
      <c r="D820" s="928"/>
      <c r="E820" s="928"/>
      <c r="F820" s="928"/>
      <c r="G820" s="928"/>
      <c r="H820" s="928"/>
      <c r="I820" s="928"/>
      <c r="J820" s="928"/>
      <c r="K820" s="928"/>
      <c r="L820" s="928"/>
      <c r="M820" s="928"/>
      <c r="N820" s="928"/>
      <c r="O820" s="928"/>
      <c r="P820" s="928"/>
      <c r="Q820" s="928"/>
      <c r="R820" s="928"/>
      <c r="S820" s="928"/>
      <c r="T820" s="928"/>
      <c r="U820" s="928"/>
      <c r="V820" s="928"/>
      <c r="W820" s="928"/>
      <c r="X820" s="928"/>
      <c r="Y820" s="928"/>
      <c r="Z820" s="928"/>
      <c r="AA820" s="928"/>
    </row>
    <row r="821" hidden="1">
      <c r="A821" s="935"/>
      <c r="B821" s="932"/>
      <c r="C821" s="928"/>
      <c r="D821" s="928"/>
      <c r="E821" s="928"/>
      <c r="F821" s="928"/>
      <c r="G821" s="928"/>
      <c r="H821" s="928"/>
      <c r="I821" s="928"/>
      <c r="J821" s="928"/>
      <c r="K821" s="928"/>
      <c r="L821" s="928"/>
      <c r="M821" s="928"/>
      <c r="N821" s="928"/>
      <c r="O821" s="928"/>
      <c r="P821" s="928"/>
      <c r="Q821" s="928"/>
      <c r="R821" s="928"/>
      <c r="S821" s="928"/>
      <c r="T821" s="928"/>
      <c r="U821" s="928"/>
      <c r="V821" s="928"/>
      <c r="W821" s="928"/>
      <c r="X821" s="928"/>
      <c r="Y821" s="928"/>
      <c r="Z821" s="928"/>
      <c r="AA821" s="928"/>
    </row>
    <row r="822" hidden="1">
      <c r="A822" s="935"/>
      <c r="B822" s="932"/>
      <c r="C822" s="928"/>
      <c r="D822" s="928"/>
      <c r="E822" s="928"/>
      <c r="F822" s="928"/>
      <c r="G822" s="928"/>
      <c r="H822" s="928"/>
      <c r="I822" s="928"/>
      <c r="J822" s="928"/>
      <c r="K822" s="928"/>
      <c r="L822" s="928"/>
      <c r="M822" s="928"/>
      <c r="N822" s="928"/>
      <c r="O822" s="928"/>
      <c r="P822" s="928"/>
      <c r="Q822" s="928"/>
      <c r="R822" s="928"/>
      <c r="S822" s="928"/>
      <c r="T822" s="928"/>
      <c r="U822" s="928"/>
      <c r="V822" s="928"/>
      <c r="W822" s="928"/>
      <c r="X822" s="928"/>
      <c r="Y822" s="928"/>
      <c r="Z822" s="928"/>
      <c r="AA822" s="928"/>
    </row>
    <row r="823" hidden="1">
      <c r="A823" s="935"/>
      <c r="B823" s="932"/>
      <c r="C823" s="928"/>
      <c r="D823" s="928"/>
      <c r="E823" s="928"/>
      <c r="F823" s="928"/>
      <c r="G823" s="928"/>
      <c r="H823" s="928"/>
      <c r="I823" s="928"/>
      <c r="J823" s="928"/>
      <c r="K823" s="928"/>
      <c r="L823" s="928"/>
      <c r="M823" s="928"/>
      <c r="N823" s="928"/>
      <c r="O823" s="928"/>
      <c r="P823" s="928"/>
      <c r="Q823" s="928"/>
      <c r="R823" s="928"/>
      <c r="S823" s="928"/>
      <c r="T823" s="928"/>
      <c r="U823" s="928"/>
      <c r="V823" s="928"/>
      <c r="W823" s="928"/>
      <c r="X823" s="928"/>
      <c r="Y823" s="928"/>
      <c r="Z823" s="928"/>
      <c r="AA823" s="928"/>
    </row>
    <row r="824" hidden="1">
      <c r="A824" s="935"/>
      <c r="B824" s="932"/>
      <c r="C824" s="928"/>
      <c r="D824" s="928"/>
      <c r="E824" s="928"/>
      <c r="F824" s="928"/>
      <c r="G824" s="928"/>
      <c r="H824" s="928"/>
      <c r="I824" s="928"/>
      <c r="J824" s="928"/>
      <c r="K824" s="928"/>
      <c r="L824" s="928"/>
      <c r="M824" s="928"/>
      <c r="N824" s="928"/>
      <c r="O824" s="928"/>
      <c r="P824" s="928"/>
      <c r="Q824" s="928"/>
      <c r="R824" s="928"/>
      <c r="S824" s="928"/>
      <c r="T824" s="928"/>
      <c r="U824" s="928"/>
      <c r="V824" s="928"/>
      <c r="W824" s="928"/>
      <c r="X824" s="928"/>
      <c r="Y824" s="928"/>
      <c r="Z824" s="928"/>
      <c r="AA824" s="928"/>
    </row>
    <row r="825" hidden="1">
      <c r="A825" s="935"/>
      <c r="B825" s="932"/>
      <c r="C825" s="928"/>
      <c r="D825" s="928"/>
      <c r="E825" s="928"/>
      <c r="F825" s="928"/>
      <c r="G825" s="928"/>
      <c r="H825" s="928"/>
      <c r="I825" s="928"/>
      <c r="J825" s="928"/>
      <c r="K825" s="928"/>
      <c r="L825" s="928"/>
      <c r="M825" s="928"/>
      <c r="N825" s="928"/>
      <c r="O825" s="928"/>
      <c r="P825" s="928"/>
      <c r="Q825" s="928"/>
      <c r="R825" s="928"/>
      <c r="S825" s="928"/>
      <c r="T825" s="928"/>
      <c r="U825" s="928"/>
      <c r="V825" s="928"/>
      <c r="W825" s="928"/>
      <c r="X825" s="928"/>
      <c r="Y825" s="928"/>
      <c r="Z825" s="928"/>
      <c r="AA825" s="928"/>
    </row>
    <row r="826" hidden="1">
      <c r="A826" s="935"/>
      <c r="B826" s="932"/>
      <c r="C826" s="928"/>
      <c r="D826" s="928"/>
      <c r="E826" s="928"/>
      <c r="F826" s="928"/>
      <c r="G826" s="928"/>
      <c r="H826" s="928"/>
      <c r="I826" s="928"/>
      <c r="J826" s="928"/>
      <c r="K826" s="928"/>
      <c r="L826" s="928"/>
      <c r="M826" s="928"/>
      <c r="N826" s="928"/>
      <c r="O826" s="928"/>
      <c r="P826" s="928"/>
      <c r="Q826" s="928"/>
      <c r="R826" s="928"/>
      <c r="S826" s="928"/>
      <c r="T826" s="928"/>
      <c r="U826" s="928"/>
      <c r="V826" s="928"/>
      <c r="W826" s="928"/>
      <c r="X826" s="928"/>
      <c r="Y826" s="928"/>
      <c r="Z826" s="928"/>
      <c r="AA826" s="928"/>
    </row>
    <row r="827" hidden="1">
      <c r="A827" s="935"/>
      <c r="B827" s="932"/>
      <c r="C827" s="928"/>
      <c r="D827" s="928"/>
      <c r="E827" s="928"/>
      <c r="F827" s="928"/>
      <c r="G827" s="928"/>
      <c r="H827" s="928"/>
      <c r="I827" s="928"/>
      <c r="J827" s="928"/>
      <c r="K827" s="928"/>
      <c r="L827" s="928"/>
      <c r="M827" s="928"/>
      <c r="N827" s="928"/>
      <c r="O827" s="928"/>
      <c r="P827" s="928"/>
      <c r="Q827" s="928"/>
      <c r="R827" s="928"/>
      <c r="S827" s="928"/>
      <c r="T827" s="928"/>
      <c r="U827" s="928"/>
      <c r="V827" s="928"/>
      <c r="W827" s="928"/>
      <c r="X827" s="928"/>
      <c r="Y827" s="928"/>
      <c r="Z827" s="928"/>
      <c r="AA827" s="928"/>
    </row>
    <row r="828" hidden="1">
      <c r="A828" s="935"/>
      <c r="B828" s="932"/>
      <c r="C828" s="928"/>
      <c r="D828" s="928"/>
      <c r="E828" s="928"/>
      <c r="F828" s="928"/>
      <c r="G828" s="928"/>
      <c r="H828" s="928"/>
      <c r="I828" s="928"/>
      <c r="J828" s="928"/>
      <c r="K828" s="928"/>
      <c r="L828" s="928"/>
      <c r="M828" s="928"/>
      <c r="N828" s="928"/>
      <c r="O828" s="928"/>
      <c r="P828" s="928"/>
      <c r="Q828" s="928"/>
      <c r="R828" s="928"/>
      <c r="S828" s="928"/>
      <c r="T828" s="928"/>
      <c r="U828" s="928"/>
      <c r="V828" s="928"/>
      <c r="W828" s="928"/>
      <c r="X828" s="928"/>
      <c r="Y828" s="928"/>
      <c r="Z828" s="928"/>
      <c r="AA828" s="928"/>
    </row>
    <row r="829" hidden="1">
      <c r="A829" s="935"/>
      <c r="B829" s="932"/>
      <c r="C829" s="928"/>
      <c r="D829" s="928"/>
      <c r="E829" s="928"/>
      <c r="F829" s="928"/>
      <c r="G829" s="928"/>
      <c r="H829" s="928"/>
      <c r="I829" s="928"/>
      <c r="J829" s="928"/>
      <c r="K829" s="928"/>
      <c r="L829" s="928"/>
      <c r="M829" s="928"/>
      <c r="N829" s="928"/>
      <c r="O829" s="928"/>
      <c r="P829" s="928"/>
      <c r="Q829" s="928"/>
      <c r="R829" s="928"/>
      <c r="S829" s="928"/>
      <c r="T829" s="928"/>
      <c r="U829" s="928"/>
      <c r="V829" s="928"/>
      <c r="W829" s="928"/>
      <c r="X829" s="928"/>
      <c r="Y829" s="928"/>
      <c r="Z829" s="928"/>
      <c r="AA829" s="928"/>
    </row>
    <row r="830" hidden="1">
      <c r="A830" s="935"/>
      <c r="B830" s="932"/>
      <c r="C830" s="928"/>
      <c r="D830" s="928"/>
      <c r="E830" s="928"/>
      <c r="F830" s="928"/>
      <c r="G830" s="928"/>
      <c r="H830" s="928"/>
      <c r="I830" s="928"/>
      <c r="J830" s="928"/>
      <c r="K830" s="928"/>
      <c r="L830" s="928"/>
      <c r="M830" s="928"/>
      <c r="N830" s="928"/>
      <c r="O830" s="928"/>
      <c r="P830" s="928"/>
      <c r="Q830" s="928"/>
      <c r="R830" s="928"/>
      <c r="S830" s="928"/>
      <c r="T830" s="928"/>
      <c r="U830" s="928"/>
      <c r="V830" s="928"/>
      <c r="W830" s="928"/>
      <c r="X830" s="928"/>
      <c r="Y830" s="928"/>
      <c r="Z830" s="928"/>
      <c r="AA830" s="928"/>
    </row>
    <row r="831" hidden="1">
      <c r="A831" s="935"/>
      <c r="B831" s="932"/>
      <c r="C831" s="928"/>
      <c r="D831" s="928"/>
      <c r="E831" s="928"/>
      <c r="F831" s="928"/>
      <c r="G831" s="928"/>
      <c r="H831" s="928"/>
      <c r="I831" s="928"/>
      <c r="J831" s="928"/>
      <c r="K831" s="928"/>
      <c r="L831" s="928"/>
      <c r="M831" s="928"/>
      <c r="N831" s="928"/>
      <c r="O831" s="928"/>
      <c r="P831" s="928"/>
      <c r="Q831" s="928"/>
      <c r="R831" s="928"/>
      <c r="S831" s="928"/>
      <c r="T831" s="928"/>
      <c r="U831" s="928"/>
      <c r="V831" s="928"/>
      <c r="W831" s="928"/>
      <c r="X831" s="928"/>
      <c r="Y831" s="928"/>
      <c r="Z831" s="928"/>
      <c r="AA831" s="928"/>
    </row>
    <row r="832" hidden="1">
      <c r="A832" s="935"/>
      <c r="B832" s="932"/>
      <c r="C832" s="928"/>
      <c r="D832" s="928"/>
      <c r="E832" s="928"/>
      <c r="F832" s="928"/>
      <c r="G832" s="928"/>
      <c r="H832" s="928"/>
      <c r="I832" s="928"/>
      <c r="J832" s="928"/>
      <c r="K832" s="928"/>
      <c r="L832" s="928"/>
      <c r="M832" s="928"/>
      <c r="N832" s="928"/>
      <c r="O832" s="928"/>
      <c r="P832" s="928"/>
      <c r="Q832" s="928"/>
      <c r="R832" s="928"/>
      <c r="S832" s="928"/>
      <c r="T832" s="928"/>
      <c r="U832" s="928"/>
      <c r="V832" s="928"/>
      <c r="W832" s="928"/>
      <c r="X832" s="928"/>
      <c r="Y832" s="928"/>
      <c r="Z832" s="928"/>
      <c r="AA832" s="928"/>
    </row>
    <row r="833" hidden="1">
      <c r="A833" s="935"/>
      <c r="B833" s="932"/>
      <c r="C833" s="928"/>
      <c r="D833" s="928"/>
      <c r="E833" s="928"/>
      <c r="F833" s="928"/>
      <c r="G833" s="928"/>
      <c r="H833" s="928"/>
      <c r="I833" s="928"/>
      <c r="J833" s="928"/>
      <c r="K833" s="928"/>
      <c r="L833" s="928"/>
      <c r="M833" s="928"/>
      <c r="N833" s="928"/>
      <c r="O833" s="928"/>
      <c r="P833" s="928"/>
      <c r="Q833" s="928"/>
      <c r="R833" s="928"/>
      <c r="S833" s="928"/>
      <c r="T833" s="928"/>
      <c r="U833" s="928"/>
      <c r="V833" s="928"/>
      <c r="W833" s="928"/>
      <c r="X833" s="928"/>
      <c r="Y833" s="928"/>
      <c r="Z833" s="928"/>
      <c r="AA833" s="928"/>
    </row>
    <row r="834" hidden="1">
      <c r="A834" s="935"/>
      <c r="B834" s="932"/>
      <c r="C834" s="928"/>
      <c r="D834" s="928"/>
      <c r="E834" s="928"/>
      <c r="F834" s="928"/>
      <c r="G834" s="928"/>
      <c r="H834" s="928"/>
      <c r="I834" s="928"/>
      <c r="J834" s="928"/>
      <c r="K834" s="928"/>
      <c r="L834" s="928"/>
      <c r="M834" s="928"/>
      <c r="N834" s="928"/>
      <c r="O834" s="928"/>
      <c r="P834" s="928"/>
      <c r="Q834" s="928"/>
      <c r="R834" s="928"/>
      <c r="S834" s="928"/>
      <c r="T834" s="928"/>
      <c r="U834" s="928"/>
      <c r="V834" s="928"/>
      <c r="W834" s="928"/>
      <c r="X834" s="928"/>
      <c r="Y834" s="928"/>
      <c r="Z834" s="928"/>
      <c r="AA834" s="928"/>
    </row>
    <row r="835" hidden="1">
      <c r="A835" s="935"/>
      <c r="B835" s="932"/>
      <c r="C835" s="928"/>
      <c r="D835" s="928"/>
      <c r="E835" s="928"/>
      <c r="F835" s="928"/>
      <c r="G835" s="928"/>
      <c r="H835" s="928"/>
      <c r="I835" s="928"/>
      <c r="J835" s="928"/>
      <c r="K835" s="928"/>
      <c r="L835" s="928"/>
      <c r="M835" s="928"/>
      <c r="N835" s="928"/>
      <c r="O835" s="928"/>
      <c r="P835" s="928"/>
      <c r="Q835" s="928"/>
      <c r="R835" s="928"/>
      <c r="S835" s="928"/>
      <c r="T835" s="928"/>
      <c r="U835" s="928"/>
      <c r="V835" s="928"/>
      <c r="W835" s="928"/>
      <c r="X835" s="928"/>
      <c r="Y835" s="928"/>
      <c r="Z835" s="928"/>
      <c r="AA835" s="928"/>
    </row>
    <row r="836" hidden="1">
      <c r="A836" s="935"/>
      <c r="B836" s="932"/>
      <c r="C836" s="928"/>
      <c r="D836" s="928"/>
      <c r="E836" s="928"/>
      <c r="F836" s="928"/>
      <c r="G836" s="928"/>
      <c r="H836" s="928"/>
      <c r="I836" s="928"/>
      <c r="J836" s="928"/>
      <c r="K836" s="928"/>
      <c r="L836" s="928"/>
      <c r="M836" s="928"/>
      <c r="N836" s="928"/>
      <c r="O836" s="928"/>
      <c r="P836" s="928"/>
      <c r="Q836" s="928"/>
      <c r="R836" s="928"/>
      <c r="S836" s="928"/>
      <c r="T836" s="928"/>
      <c r="U836" s="928"/>
      <c r="V836" s="928"/>
      <c r="W836" s="928"/>
      <c r="X836" s="928"/>
      <c r="Y836" s="928"/>
      <c r="Z836" s="928"/>
      <c r="AA836" s="928"/>
    </row>
    <row r="837" hidden="1">
      <c r="A837" s="935"/>
      <c r="B837" s="932"/>
      <c r="C837" s="928"/>
      <c r="D837" s="928"/>
      <c r="E837" s="928"/>
      <c r="F837" s="928"/>
      <c r="G837" s="928"/>
      <c r="H837" s="928"/>
      <c r="I837" s="928"/>
      <c r="J837" s="928"/>
      <c r="K837" s="928"/>
      <c r="L837" s="928"/>
      <c r="M837" s="928"/>
      <c r="N837" s="928"/>
      <c r="O837" s="928"/>
      <c r="P837" s="928"/>
      <c r="Q837" s="928"/>
      <c r="R837" s="928"/>
      <c r="S837" s="928"/>
      <c r="T837" s="928"/>
      <c r="U837" s="928"/>
      <c r="V837" s="928"/>
      <c r="W837" s="928"/>
      <c r="X837" s="928"/>
      <c r="Y837" s="928"/>
      <c r="Z837" s="928"/>
      <c r="AA837" s="928"/>
    </row>
    <row r="838" hidden="1">
      <c r="A838" s="935"/>
      <c r="B838" s="932"/>
      <c r="C838" s="928"/>
      <c r="D838" s="928"/>
      <c r="E838" s="928"/>
      <c r="F838" s="928"/>
      <c r="G838" s="928"/>
      <c r="H838" s="928"/>
      <c r="I838" s="928"/>
      <c r="J838" s="928"/>
      <c r="K838" s="928"/>
      <c r="L838" s="928"/>
      <c r="M838" s="928"/>
      <c r="N838" s="928"/>
      <c r="O838" s="928"/>
      <c r="P838" s="928"/>
      <c r="Q838" s="928"/>
      <c r="R838" s="928"/>
      <c r="S838" s="928"/>
      <c r="T838" s="928"/>
      <c r="U838" s="928"/>
      <c r="V838" s="928"/>
      <c r="W838" s="928"/>
      <c r="X838" s="928"/>
      <c r="Y838" s="928"/>
      <c r="Z838" s="928"/>
      <c r="AA838" s="928"/>
    </row>
    <row r="839" hidden="1">
      <c r="A839" s="935"/>
      <c r="B839" s="932"/>
      <c r="C839" s="928"/>
      <c r="D839" s="928"/>
      <c r="E839" s="928"/>
      <c r="F839" s="928"/>
      <c r="G839" s="928"/>
      <c r="H839" s="928"/>
      <c r="I839" s="928"/>
      <c r="J839" s="928"/>
      <c r="K839" s="928"/>
      <c r="L839" s="928"/>
      <c r="M839" s="928"/>
      <c r="N839" s="928"/>
      <c r="O839" s="928"/>
      <c r="P839" s="928"/>
      <c r="Q839" s="928"/>
      <c r="R839" s="928"/>
      <c r="S839" s="928"/>
      <c r="T839" s="928"/>
      <c r="U839" s="928"/>
      <c r="V839" s="928"/>
      <c r="W839" s="928"/>
      <c r="X839" s="928"/>
      <c r="Y839" s="928"/>
      <c r="Z839" s="928"/>
      <c r="AA839" s="928"/>
    </row>
    <row r="840" hidden="1">
      <c r="A840" s="935"/>
      <c r="B840" s="932"/>
      <c r="C840" s="928"/>
      <c r="D840" s="928"/>
      <c r="E840" s="928"/>
      <c r="F840" s="928"/>
      <c r="G840" s="928"/>
      <c r="H840" s="928"/>
      <c r="I840" s="928"/>
      <c r="J840" s="928"/>
      <c r="K840" s="928"/>
      <c r="L840" s="928"/>
      <c r="M840" s="928"/>
      <c r="N840" s="928"/>
      <c r="O840" s="928"/>
      <c r="P840" s="928"/>
      <c r="Q840" s="928"/>
      <c r="R840" s="928"/>
      <c r="S840" s="928"/>
      <c r="T840" s="928"/>
      <c r="U840" s="928"/>
      <c r="V840" s="928"/>
      <c r="W840" s="928"/>
      <c r="X840" s="928"/>
      <c r="Y840" s="928"/>
      <c r="Z840" s="928"/>
      <c r="AA840" s="928"/>
    </row>
    <row r="841" hidden="1">
      <c r="A841" s="935"/>
      <c r="B841" s="932"/>
      <c r="C841" s="928"/>
      <c r="D841" s="928"/>
      <c r="E841" s="928"/>
      <c r="F841" s="928"/>
      <c r="G841" s="928"/>
      <c r="H841" s="928"/>
      <c r="I841" s="928"/>
      <c r="J841" s="928"/>
      <c r="K841" s="928"/>
      <c r="L841" s="928"/>
      <c r="M841" s="928"/>
      <c r="N841" s="928"/>
      <c r="O841" s="928"/>
      <c r="P841" s="928"/>
      <c r="Q841" s="928"/>
      <c r="R841" s="928"/>
      <c r="S841" s="928"/>
      <c r="T841" s="928"/>
      <c r="U841" s="928"/>
      <c r="V841" s="928"/>
      <c r="W841" s="928"/>
      <c r="X841" s="928"/>
      <c r="Y841" s="928"/>
      <c r="Z841" s="928"/>
      <c r="AA841" s="928"/>
    </row>
    <row r="842" hidden="1">
      <c r="A842" s="935"/>
      <c r="B842" s="932"/>
      <c r="C842" s="928"/>
      <c r="D842" s="928"/>
      <c r="E842" s="928"/>
      <c r="F842" s="928"/>
      <c r="G842" s="928"/>
      <c r="H842" s="928"/>
      <c r="I842" s="928"/>
      <c r="J842" s="928"/>
      <c r="K842" s="928"/>
      <c r="L842" s="928"/>
      <c r="M842" s="928"/>
      <c r="N842" s="928"/>
      <c r="O842" s="928"/>
      <c r="P842" s="928"/>
      <c r="Q842" s="928"/>
      <c r="R842" s="928"/>
      <c r="S842" s="928"/>
      <c r="T842" s="928"/>
      <c r="U842" s="928"/>
      <c r="V842" s="928"/>
      <c r="W842" s="928"/>
      <c r="X842" s="928"/>
      <c r="Y842" s="928"/>
      <c r="Z842" s="928"/>
      <c r="AA842" s="928"/>
    </row>
    <row r="843" hidden="1">
      <c r="A843" s="935"/>
      <c r="B843" s="932"/>
      <c r="C843" s="928"/>
      <c r="D843" s="928"/>
      <c r="E843" s="928"/>
      <c r="F843" s="928"/>
      <c r="G843" s="928"/>
      <c r="H843" s="928"/>
      <c r="I843" s="928"/>
      <c r="J843" s="928"/>
      <c r="K843" s="928"/>
      <c r="L843" s="928"/>
      <c r="M843" s="928"/>
      <c r="N843" s="928"/>
      <c r="O843" s="928"/>
      <c r="P843" s="928"/>
      <c r="Q843" s="928"/>
      <c r="R843" s="928"/>
      <c r="S843" s="928"/>
      <c r="T843" s="928"/>
      <c r="U843" s="928"/>
      <c r="V843" s="928"/>
      <c r="W843" s="928"/>
      <c r="X843" s="928"/>
      <c r="Y843" s="928"/>
      <c r="Z843" s="928"/>
      <c r="AA843" s="928"/>
    </row>
    <row r="844" hidden="1">
      <c r="A844" s="935"/>
      <c r="B844" s="932"/>
      <c r="C844" s="928"/>
      <c r="D844" s="928"/>
      <c r="E844" s="928"/>
      <c r="F844" s="928"/>
      <c r="G844" s="928"/>
      <c r="H844" s="928"/>
      <c r="I844" s="928"/>
      <c r="J844" s="928"/>
      <c r="K844" s="928"/>
      <c r="L844" s="928"/>
      <c r="M844" s="928"/>
      <c r="N844" s="928"/>
      <c r="O844" s="928"/>
      <c r="P844" s="928"/>
      <c r="Q844" s="928"/>
      <c r="R844" s="928"/>
      <c r="S844" s="928"/>
      <c r="T844" s="928"/>
      <c r="U844" s="928"/>
      <c r="V844" s="928"/>
      <c r="W844" s="928"/>
      <c r="X844" s="928"/>
      <c r="Y844" s="928"/>
      <c r="Z844" s="928"/>
      <c r="AA844" s="928"/>
    </row>
    <row r="845" hidden="1">
      <c r="A845" s="935"/>
      <c r="B845" s="932"/>
      <c r="C845" s="928"/>
      <c r="D845" s="928"/>
      <c r="E845" s="928"/>
      <c r="F845" s="928"/>
      <c r="G845" s="928"/>
      <c r="H845" s="928"/>
      <c r="I845" s="928"/>
      <c r="J845" s="928"/>
      <c r="K845" s="928"/>
      <c r="L845" s="928"/>
      <c r="M845" s="928"/>
      <c r="N845" s="928"/>
      <c r="O845" s="928"/>
      <c r="P845" s="928"/>
      <c r="Q845" s="928"/>
      <c r="R845" s="928"/>
      <c r="S845" s="928"/>
      <c r="T845" s="928"/>
      <c r="U845" s="928"/>
      <c r="V845" s="928"/>
      <c r="W845" s="928"/>
      <c r="X845" s="928"/>
      <c r="Y845" s="928"/>
      <c r="Z845" s="928"/>
      <c r="AA845" s="928"/>
    </row>
    <row r="846" hidden="1">
      <c r="A846" s="935"/>
      <c r="B846" s="932"/>
      <c r="C846" s="928"/>
      <c r="D846" s="928"/>
      <c r="E846" s="928"/>
      <c r="F846" s="928"/>
      <c r="G846" s="928"/>
      <c r="H846" s="928"/>
      <c r="I846" s="928"/>
      <c r="J846" s="928"/>
      <c r="K846" s="928"/>
      <c r="L846" s="928"/>
      <c r="M846" s="928"/>
      <c r="N846" s="928"/>
      <c r="O846" s="928"/>
      <c r="P846" s="928"/>
      <c r="Q846" s="928"/>
      <c r="R846" s="928"/>
      <c r="S846" s="928"/>
      <c r="T846" s="928"/>
      <c r="U846" s="928"/>
      <c r="V846" s="928"/>
      <c r="W846" s="928"/>
      <c r="X846" s="928"/>
      <c r="Y846" s="928"/>
      <c r="Z846" s="928"/>
      <c r="AA846" s="928"/>
    </row>
    <row r="847" hidden="1">
      <c r="A847" s="935"/>
      <c r="B847" s="932"/>
      <c r="C847" s="928"/>
      <c r="D847" s="928"/>
      <c r="E847" s="928"/>
      <c r="F847" s="928"/>
      <c r="G847" s="928"/>
      <c r="H847" s="928"/>
      <c r="I847" s="928"/>
      <c r="J847" s="928"/>
      <c r="K847" s="928"/>
      <c r="L847" s="928"/>
      <c r="M847" s="928"/>
      <c r="N847" s="928"/>
      <c r="O847" s="928"/>
      <c r="P847" s="928"/>
      <c r="Q847" s="928"/>
      <c r="R847" s="928"/>
      <c r="S847" s="928"/>
      <c r="T847" s="928"/>
      <c r="U847" s="928"/>
      <c r="V847" s="928"/>
      <c r="W847" s="928"/>
      <c r="X847" s="928"/>
      <c r="Y847" s="928"/>
      <c r="Z847" s="928"/>
      <c r="AA847" s="928"/>
    </row>
    <row r="848" hidden="1">
      <c r="A848" s="935"/>
      <c r="B848" s="932"/>
      <c r="C848" s="928"/>
      <c r="D848" s="928"/>
      <c r="E848" s="928"/>
      <c r="F848" s="928"/>
      <c r="G848" s="928"/>
      <c r="H848" s="928"/>
      <c r="I848" s="928"/>
      <c r="J848" s="928"/>
      <c r="K848" s="928"/>
      <c r="L848" s="928"/>
      <c r="M848" s="928"/>
      <c r="N848" s="928"/>
      <c r="O848" s="928"/>
      <c r="P848" s="928"/>
      <c r="Q848" s="928"/>
      <c r="R848" s="928"/>
      <c r="S848" s="928"/>
      <c r="T848" s="928"/>
      <c r="U848" s="928"/>
      <c r="V848" s="928"/>
      <c r="W848" s="928"/>
      <c r="X848" s="928"/>
      <c r="Y848" s="928"/>
      <c r="Z848" s="928"/>
      <c r="AA848" s="928"/>
    </row>
    <row r="849" hidden="1">
      <c r="A849" s="935"/>
      <c r="B849" s="932"/>
      <c r="C849" s="928"/>
      <c r="D849" s="928"/>
      <c r="E849" s="928"/>
      <c r="F849" s="928"/>
      <c r="G849" s="928"/>
      <c r="H849" s="928"/>
      <c r="I849" s="928"/>
      <c r="J849" s="928"/>
      <c r="K849" s="928"/>
      <c r="L849" s="928"/>
      <c r="M849" s="928"/>
      <c r="N849" s="928"/>
      <c r="O849" s="928"/>
      <c r="P849" s="928"/>
      <c r="Q849" s="928"/>
      <c r="R849" s="928"/>
      <c r="S849" s="928"/>
      <c r="T849" s="928"/>
      <c r="U849" s="928"/>
      <c r="V849" s="928"/>
      <c r="W849" s="928"/>
      <c r="X849" s="928"/>
      <c r="Y849" s="928"/>
      <c r="Z849" s="928"/>
      <c r="AA849" s="928"/>
    </row>
    <row r="850" hidden="1">
      <c r="A850" s="935"/>
      <c r="B850" s="932"/>
      <c r="C850" s="928"/>
      <c r="D850" s="928"/>
      <c r="E850" s="928"/>
      <c r="F850" s="928"/>
      <c r="G850" s="928"/>
      <c r="H850" s="928"/>
      <c r="I850" s="928"/>
      <c r="J850" s="928"/>
      <c r="K850" s="928"/>
      <c r="L850" s="928"/>
      <c r="M850" s="928"/>
      <c r="N850" s="928"/>
      <c r="O850" s="928"/>
      <c r="P850" s="928"/>
      <c r="Q850" s="928"/>
      <c r="R850" s="928"/>
      <c r="S850" s="928"/>
      <c r="T850" s="928"/>
      <c r="U850" s="928"/>
      <c r="V850" s="928"/>
      <c r="W850" s="928"/>
      <c r="X850" s="928"/>
      <c r="Y850" s="928"/>
      <c r="Z850" s="928"/>
      <c r="AA850" s="928"/>
    </row>
    <row r="851" hidden="1">
      <c r="A851" s="935"/>
      <c r="B851" s="932"/>
      <c r="C851" s="928"/>
      <c r="D851" s="928"/>
      <c r="E851" s="928"/>
      <c r="F851" s="928"/>
      <c r="G851" s="928"/>
      <c r="H851" s="928"/>
      <c r="I851" s="928"/>
      <c r="J851" s="928"/>
      <c r="K851" s="928"/>
      <c r="L851" s="928"/>
      <c r="M851" s="928"/>
      <c r="N851" s="928"/>
      <c r="O851" s="928"/>
      <c r="P851" s="928"/>
      <c r="Q851" s="928"/>
      <c r="R851" s="928"/>
      <c r="S851" s="928"/>
      <c r="T851" s="928"/>
      <c r="U851" s="928"/>
      <c r="V851" s="928"/>
      <c r="W851" s="928"/>
      <c r="X851" s="928"/>
      <c r="Y851" s="928"/>
      <c r="Z851" s="928"/>
      <c r="AA851" s="928"/>
    </row>
    <row r="852" hidden="1">
      <c r="A852" s="935"/>
      <c r="B852" s="932"/>
      <c r="C852" s="928"/>
      <c r="D852" s="928"/>
      <c r="E852" s="928"/>
      <c r="F852" s="928"/>
      <c r="G852" s="928"/>
      <c r="H852" s="928"/>
      <c r="I852" s="928"/>
      <c r="J852" s="928"/>
      <c r="K852" s="928"/>
      <c r="L852" s="928"/>
      <c r="M852" s="928"/>
      <c r="N852" s="928"/>
      <c r="O852" s="928"/>
      <c r="P852" s="928"/>
      <c r="Q852" s="928"/>
      <c r="R852" s="928"/>
      <c r="S852" s="928"/>
      <c r="T852" s="928"/>
      <c r="U852" s="928"/>
      <c r="V852" s="928"/>
      <c r="W852" s="928"/>
      <c r="X852" s="928"/>
      <c r="Y852" s="928"/>
      <c r="Z852" s="928"/>
      <c r="AA852" s="928"/>
    </row>
    <row r="853" hidden="1">
      <c r="A853" s="935"/>
      <c r="B853" s="932"/>
      <c r="C853" s="928"/>
      <c r="D853" s="928"/>
      <c r="E853" s="928"/>
      <c r="F853" s="928"/>
      <c r="G853" s="928"/>
      <c r="H853" s="928"/>
      <c r="I853" s="928"/>
      <c r="J853" s="928"/>
      <c r="K853" s="928"/>
      <c r="L853" s="928"/>
      <c r="M853" s="928"/>
      <c r="N853" s="928"/>
      <c r="O853" s="928"/>
      <c r="P853" s="928"/>
      <c r="Q853" s="928"/>
      <c r="R853" s="928"/>
      <c r="S853" s="928"/>
      <c r="T853" s="928"/>
      <c r="U853" s="928"/>
      <c r="V853" s="928"/>
      <c r="W853" s="928"/>
      <c r="X853" s="928"/>
      <c r="Y853" s="928"/>
      <c r="Z853" s="928"/>
      <c r="AA853" s="928"/>
    </row>
    <row r="854" hidden="1">
      <c r="A854" s="935"/>
      <c r="B854" s="932"/>
      <c r="C854" s="928"/>
      <c r="D854" s="928"/>
      <c r="E854" s="928"/>
      <c r="F854" s="928"/>
      <c r="G854" s="928"/>
      <c r="H854" s="928"/>
      <c r="I854" s="928"/>
      <c r="J854" s="928"/>
      <c r="K854" s="928"/>
      <c r="L854" s="928"/>
      <c r="M854" s="928"/>
      <c r="N854" s="928"/>
      <c r="O854" s="928"/>
      <c r="P854" s="928"/>
      <c r="Q854" s="928"/>
      <c r="R854" s="928"/>
      <c r="S854" s="928"/>
      <c r="T854" s="928"/>
      <c r="U854" s="928"/>
      <c r="V854" s="928"/>
      <c r="W854" s="928"/>
      <c r="X854" s="928"/>
      <c r="Y854" s="928"/>
      <c r="Z854" s="928"/>
      <c r="AA854" s="928"/>
    </row>
    <row r="855" hidden="1">
      <c r="A855" s="935"/>
      <c r="B855" s="932"/>
      <c r="C855" s="928"/>
      <c r="D855" s="928"/>
      <c r="E855" s="928"/>
      <c r="F855" s="928"/>
      <c r="G855" s="928"/>
      <c r="H855" s="928"/>
      <c r="I855" s="928"/>
      <c r="J855" s="928"/>
      <c r="K855" s="928"/>
      <c r="L855" s="928"/>
      <c r="M855" s="928"/>
      <c r="N855" s="928"/>
      <c r="O855" s="928"/>
      <c r="P855" s="928"/>
      <c r="Q855" s="928"/>
      <c r="R855" s="928"/>
      <c r="S855" s="928"/>
      <c r="T855" s="928"/>
      <c r="U855" s="928"/>
      <c r="V855" s="928"/>
      <c r="W855" s="928"/>
      <c r="X855" s="928"/>
      <c r="Y855" s="928"/>
      <c r="Z855" s="928"/>
      <c r="AA855" s="928"/>
    </row>
    <row r="856" hidden="1">
      <c r="A856" s="935"/>
      <c r="B856" s="932"/>
      <c r="C856" s="928"/>
      <c r="D856" s="928"/>
      <c r="E856" s="928"/>
      <c r="F856" s="928"/>
      <c r="G856" s="928"/>
      <c r="H856" s="928"/>
      <c r="I856" s="928"/>
      <c r="J856" s="928"/>
      <c r="K856" s="928"/>
      <c r="L856" s="928"/>
      <c r="M856" s="928"/>
      <c r="N856" s="928"/>
      <c r="O856" s="928"/>
      <c r="P856" s="928"/>
      <c r="Q856" s="928"/>
      <c r="R856" s="928"/>
      <c r="S856" s="928"/>
      <c r="T856" s="928"/>
      <c r="U856" s="928"/>
      <c r="V856" s="928"/>
      <c r="W856" s="928"/>
      <c r="X856" s="928"/>
      <c r="Y856" s="928"/>
      <c r="Z856" s="928"/>
      <c r="AA856" s="928"/>
    </row>
    <row r="857" hidden="1">
      <c r="A857" s="935"/>
      <c r="B857" s="932"/>
      <c r="C857" s="928"/>
      <c r="D857" s="928"/>
      <c r="E857" s="928"/>
      <c r="F857" s="928"/>
      <c r="G857" s="928"/>
      <c r="H857" s="928"/>
      <c r="I857" s="928"/>
      <c r="J857" s="928"/>
      <c r="K857" s="928"/>
      <c r="L857" s="928"/>
      <c r="M857" s="928"/>
      <c r="N857" s="928"/>
      <c r="O857" s="928"/>
      <c r="P857" s="928"/>
      <c r="Q857" s="928"/>
      <c r="R857" s="928"/>
      <c r="S857" s="928"/>
      <c r="T857" s="928"/>
      <c r="U857" s="928"/>
      <c r="V857" s="928"/>
      <c r="W857" s="928"/>
      <c r="X857" s="928"/>
      <c r="Y857" s="928"/>
      <c r="Z857" s="928"/>
      <c r="AA857" s="928"/>
    </row>
    <row r="858" hidden="1">
      <c r="A858" s="935"/>
      <c r="B858" s="932"/>
      <c r="C858" s="928"/>
      <c r="D858" s="928"/>
      <c r="E858" s="928"/>
      <c r="F858" s="928"/>
      <c r="G858" s="928"/>
      <c r="H858" s="928"/>
      <c r="I858" s="928"/>
      <c r="J858" s="928"/>
      <c r="K858" s="928"/>
      <c r="L858" s="928"/>
      <c r="M858" s="928"/>
      <c r="N858" s="928"/>
      <c r="O858" s="928"/>
      <c r="P858" s="928"/>
      <c r="Q858" s="928"/>
      <c r="R858" s="928"/>
      <c r="S858" s="928"/>
      <c r="T858" s="928"/>
      <c r="U858" s="928"/>
      <c r="V858" s="928"/>
      <c r="W858" s="928"/>
      <c r="X858" s="928"/>
      <c r="Y858" s="928"/>
      <c r="Z858" s="928"/>
      <c r="AA858" s="928"/>
    </row>
    <row r="859" hidden="1">
      <c r="A859" s="935"/>
      <c r="B859" s="932"/>
      <c r="C859" s="928"/>
      <c r="D859" s="928"/>
      <c r="E859" s="928"/>
      <c r="F859" s="928"/>
      <c r="G859" s="928"/>
      <c r="H859" s="928"/>
      <c r="I859" s="928"/>
      <c r="J859" s="928"/>
      <c r="K859" s="928"/>
      <c r="L859" s="928"/>
      <c r="M859" s="928"/>
      <c r="N859" s="928"/>
      <c r="O859" s="928"/>
      <c r="P859" s="928"/>
      <c r="Q859" s="928"/>
      <c r="R859" s="928"/>
      <c r="S859" s="928"/>
      <c r="T859" s="928"/>
      <c r="U859" s="928"/>
      <c r="V859" s="928"/>
      <c r="W859" s="928"/>
      <c r="X859" s="928"/>
      <c r="Y859" s="928"/>
      <c r="Z859" s="928"/>
      <c r="AA859" s="928"/>
    </row>
    <row r="860" hidden="1">
      <c r="A860" s="935"/>
      <c r="B860" s="932"/>
      <c r="C860" s="928"/>
      <c r="D860" s="928"/>
      <c r="E860" s="928"/>
      <c r="F860" s="928"/>
      <c r="G860" s="928"/>
      <c r="H860" s="928"/>
      <c r="I860" s="928"/>
      <c r="J860" s="928"/>
      <c r="K860" s="928"/>
      <c r="L860" s="928"/>
      <c r="M860" s="928"/>
      <c r="N860" s="928"/>
      <c r="O860" s="928"/>
      <c r="P860" s="928"/>
      <c r="Q860" s="928"/>
      <c r="R860" s="928"/>
      <c r="S860" s="928"/>
      <c r="T860" s="928"/>
      <c r="U860" s="928"/>
      <c r="V860" s="928"/>
      <c r="W860" s="928"/>
      <c r="X860" s="928"/>
      <c r="Y860" s="928"/>
      <c r="Z860" s="928"/>
      <c r="AA860" s="928"/>
    </row>
    <row r="861" hidden="1">
      <c r="A861" s="935"/>
      <c r="B861" s="932"/>
      <c r="C861" s="928"/>
      <c r="D861" s="928"/>
      <c r="E861" s="928"/>
      <c r="F861" s="928"/>
      <c r="G861" s="928"/>
      <c r="H861" s="928"/>
      <c r="I861" s="928"/>
      <c r="J861" s="928"/>
      <c r="K861" s="928"/>
      <c r="L861" s="928"/>
      <c r="M861" s="928"/>
      <c r="N861" s="928"/>
      <c r="O861" s="928"/>
      <c r="P861" s="928"/>
      <c r="Q861" s="928"/>
      <c r="R861" s="928"/>
      <c r="S861" s="928"/>
      <c r="T861" s="928"/>
      <c r="U861" s="928"/>
      <c r="V861" s="928"/>
      <c r="W861" s="928"/>
      <c r="X861" s="928"/>
      <c r="Y861" s="928"/>
      <c r="Z861" s="928"/>
      <c r="AA861" s="928"/>
    </row>
    <row r="862" hidden="1">
      <c r="A862" s="935"/>
      <c r="B862" s="932"/>
      <c r="C862" s="928"/>
      <c r="D862" s="928"/>
      <c r="E862" s="928"/>
      <c r="F862" s="928"/>
      <c r="G862" s="928"/>
      <c r="H862" s="928"/>
      <c r="I862" s="928"/>
      <c r="J862" s="928"/>
      <c r="K862" s="928"/>
      <c r="L862" s="928"/>
      <c r="M862" s="928"/>
      <c r="N862" s="928"/>
      <c r="O862" s="928"/>
      <c r="P862" s="928"/>
      <c r="Q862" s="928"/>
      <c r="R862" s="928"/>
      <c r="S862" s="928"/>
      <c r="T862" s="928"/>
      <c r="U862" s="928"/>
      <c r="V862" s="928"/>
      <c r="W862" s="928"/>
      <c r="X862" s="928"/>
      <c r="Y862" s="928"/>
      <c r="Z862" s="928"/>
      <c r="AA862" s="928"/>
    </row>
    <row r="863" hidden="1">
      <c r="A863" s="935"/>
      <c r="B863" s="932"/>
      <c r="C863" s="928"/>
      <c r="D863" s="928"/>
      <c r="E863" s="928"/>
      <c r="F863" s="928"/>
      <c r="G863" s="928"/>
      <c r="H863" s="928"/>
      <c r="I863" s="928"/>
      <c r="J863" s="928"/>
      <c r="K863" s="928"/>
      <c r="L863" s="928"/>
      <c r="M863" s="928"/>
      <c r="N863" s="928"/>
      <c r="O863" s="928"/>
      <c r="P863" s="928"/>
      <c r="Q863" s="928"/>
      <c r="R863" s="928"/>
      <c r="S863" s="928"/>
      <c r="T863" s="928"/>
      <c r="U863" s="928"/>
      <c r="V863" s="928"/>
      <c r="W863" s="928"/>
      <c r="X863" s="928"/>
      <c r="Y863" s="928"/>
      <c r="Z863" s="928"/>
      <c r="AA863" s="928"/>
    </row>
    <row r="864" hidden="1">
      <c r="A864" s="935"/>
      <c r="B864" s="932"/>
      <c r="C864" s="928"/>
      <c r="D864" s="928"/>
      <c r="E864" s="928"/>
      <c r="F864" s="928"/>
      <c r="G864" s="928"/>
      <c r="H864" s="928"/>
      <c r="I864" s="928"/>
      <c r="J864" s="928"/>
      <c r="K864" s="928"/>
      <c r="L864" s="928"/>
      <c r="M864" s="928"/>
      <c r="N864" s="928"/>
      <c r="O864" s="928"/>
      <c r="P864" s="928"/>
      <c r="Q864" s="928"/>
      <c r="R864" s="928"/>
      <c r="S864" s="928"/>
      <c r="T864" s="928"/>
      <c r="U864" s="928"/>
      <c r="V864" s="928"/>
      <c r="W864" s="928"/>
      <c r="X864" s="928"/>
      <c r="Y864" s="928"/>
      <c r="Z864" s="928"/>
      <c r="AA864" s="928"/>
    </row>
    <row r="865" hidden="1">
      <c r="A865" s="935"/>
      <c r="B865" s="932"/>
      <c r="C865" s="928"/>
      <c r="D865" s="928"/>
      <c r="E865" s="928"/>
      <c r="F865" s="928"/>
      <c r="G865" s="928"/>
      <c r="H865" s="928"/>
      <c r="I865" s="928"/>
      <c r="J865" s="928"/>
      <c r="K865" s="928"/>
      <c r="L865" s="928"/>
      <c r="M865" s="928"/>
      <c r="N865" s="928"/>
      <c r="O865" s="928"/>
      <c r="P865" s="928"/>
      <c r="Q865" s="928"/>
      <c r="R865" s="928"/>
      <c r="S865" s="928"/>
      <c r="T865" s="928"/>
      <c r="U865" s="928"/>
      <c r="V865" s="928"/>
      <c r="W865" s="928"/>
      <c r="X865" s="928"/>
      <c r="Y865" s="928"/>
      <c r="Z865" s="928"/>
      <c r="AA865" s="928"/>
    </row>
    <row r="866" hidden="1">
      <c r="A866" s="935"/>
      <c r="B866" s="932"/>
      <c r="C866" s="928"/>
      <c r="D866" s="928"/>
      <c r="E866" s="928"/>
      <c r="F866" s="928"/>
      <c r="G866" s="928"/>
      <c r="H866" s="928"/>
      <c r="I866" s="928"/>
      <c r="J866" s="928"/>
      <c r="K866" s="928"/>
      <c r="L866" s="928"/>
      <c r="M866" s="928"/>
      <c r="N866" s="928"/>
      <c r="O866" s="928"/>
      <c r="P866" s="928"/>
      <c r="Q866" s="928"/>
      <c r="R866" s="928"/>
      <c r="S866" s="928"/>
      <c r="T866" s="928"/>
      <c r="U866" s="928"/>
      <c r="V866" s="928"/>
      <c r="W866" s="928"/>
      <c r="X866" s="928"/>
      <c r="Y866" s="928"/>
      <c r="Z866" s="928"/>
      <c r="AA866" s="928"/>
    </row>
    <row r="867" hidden="1">
      <c r="A867" s="935"/>
      <c r="B867" s="932"/>
      <c r="C867" s="928"/>
      <c r="D867" s="928"/>
      <c r="E867" s="928"/>
      <c r="F867" s="928"/>
      <c r="G867" s="928"/>
      <c r="H867" s="928"/>
      <c r="I867" s="928"/>
      <c r="J867" s="928"/>
      <c r="K867" s="928"/>
      <c r="L867" s="928"/>
      <c r="M867" s="928"/>
      <c r="N867" s="928"/>
      <c r="O867" s="928"/>
      <c r="P867" s="928"/>
      <c r="Q867" s="928"/>
      <c r="R867" s="928"/>
      <c r="S867" s="928"/>
      <c r="T867" s="928"/>
      <c r="U867" s="928"/>
      <c r="V867" s="928"/>
      <c r="W867" s="928"/>
      <c r="X867" s="928"/>
      <c r="Y867" s="928"/>
      <c r="Z867" s="928"/>
      <c r="AA867" s="928"/>
    </row>
    <row r="868" hidden="1">
      <c r="A868" s="935"/>
      <c r="B868" s="932"/>
      <c r="C868" s="928"/>
      <c r="D868" s="928"/>
      <c r="E868" s="928"/>
      <c r="F868" s="928"/>
      <c r="G868" s="928"/>
      <c r="H868" s="928"/>
      <c r="I868" s="928"/>
      <c r="J868" s="928"/>
      <c r="K868" s="928"/>
      <c r="L868" s="928"/>
      <c r="M868" s="928"/>
      <c r="N868" s="928"/>
      <c r="O868" s="928"/>
      <c r="P868" s="928"/>
      <c r="Q868" s="928"/>
      <c r="R868" s="928"/>
      <c r="S868" s="928"/>
      <c r="T868" s="928"/>
      <c r="U868" s="928"/>
      <c r="V868" s="928"/>
      <c r="W868" s="928"/>
      <c r="X868" s="928"/>
      <c r="Y868" s="928"/>
      <c r="Z868" s="928"/>
      <c r="AA868" s="928"/>
    </row>
    <row r="869" hidden="1">
      <c r="A869" s="935"/>
      <c r="B869" s="932"/>
      <c r="C869" s="928"/>
      <c r="D869" s="928"/>
      <c r="E869" s="928"/>
      <c r="F869" s="928"/>
      <c r="G869" s="928"/>
      <c r="H869" s="928"/>
      <c r="I869" s="928"/>
      <c r="J869" s="928"/>
      <c r="K869" s="928"/>
      <c r="L869" s="928"/>
      <c r="M869" s="928"/>
      <c r="N869" s="928"/>
      <c r="O869" s="928"/>
      <c r="P869" s="928"/>
      <c r="Q869" s="928"/>
      <c r="R869" s="928"/>
      <c r="S869" s="928"/>
      <c r="T869" s="928"/>
      <c r="U869" s="928"/>
      <c r="V869" s="928"/>
      <c r="W869" s="928"/>
      <c r="X869" s="928"/>
      <c r="Y869" s="928"/>
      <c r="Z869" s="928"/>
      <c r="AA869" s="928"/>
    </row>
    <row r="870" hidden="1">
      <c r="A870" s="935"/>
      <c r="B870" s="932"/>
      <c r="C870" s="928"/>
      <c r="D870" s="928"/>
      <c r="E870" s="928"/>
      <c r="F870" s="928"/>
      <c r="G870" s="928"/>
      <c r="H870" s="928"/>
      <c r="I870" s="928"/>
      <c r="J870" s="928"/>
      <c r="K870" s="928"/>
      <c r="L870" s="928"/>
      <c r="M870" s="928"/>
      <c r="N870" s="928"/>
      <c r="O870" s="928"/>
      <c r="P870" s="928"/>
      <c r="Q870" s="928"/>
      <c r="R870" s="928"/>
      <c r="S870" s="928"/>
      <c r="T870" s="928"/>
      <c r="U870" s="928"/>
      <c r="V870" s="928"/>
      <c r="W870" s="928"/>
      <c r="X870" s="928"/>
      <c r="Y870" s="928"/>
      <c r="Z870" s="928"/>
      <c r="AA870" s="928"/>
    </row>
    <row r="871" hidden="1">
      <c r="A871" s="935"/>
      <c r="B871" s="932"/>
      <c r="C871" s="928"/>
      <c r="D871" s="928"/>
      <c r="E871" s="928"/>
      <c r="F871" s="928"/>
      <c r="G871" s="928"/>
      <c r="H871" s="928"/>
      <c r="I871" s="928"/>
      <c r="J871" s="928"/>
      <c r="K871" s="928"/>
      <c r="L871" s="928"/>
      <c r="M871" s="928"/>
      <c r="N871" s="928"/>
      <c r="O871" s="928"/>
      <c r="P871" s="928"/>
      <c r="Q871" s="928"/>
      <c r="R871" s="928"/>
      <c r="S871" s="928"/>
      <c r="T871" s="928"/>
      <c r="U871" s="928"/>
      <c r="V871" s="928"/>
      <c r="W871" s="928"/>
      <c r="X871" s="928"/>
      <c r="Y871" s="928"/>
      <c r="Z871" s="928"/>
      <c r="AA871" s="928"/>
    </row>
    <row r="872" hidden="1">
      <c r="A872" s="935"/>
      <c r="B872" s="932"/>
      <c r="C872" s="928"/>
      <c r="D872" s="928"/>
      <c r="E872" s="928"/>
      <c r="F872" s="928"/>
      <c r="G872" s="928"/>
      <c r="H872" s="928"/>
      <c r="I872" s="928"/>
      <c r="J872" s="928"/>
      <c r="K872" s="928"/>
      <c r="L872" s="928"/>
      <c r="M872" s="928"/>
      <c r="N872" s="928"/>
      <c r="O872" s="928"/>
      <c r="P872" s="928"/>
      <c r="Q872" s="928"/>
      <c r="R872" s="928"/>
      <c r="S872" s="928"/>
      <c r="T872" s="928"/>
      <c r="U872" s="928"/>
      <c r="V872" s="928"/>
      <c r="W872" s="928"/>
      <c r="X872" s="928"/>
      <c r="Y872" s="928"/>
      <c r="Z872" s="928"/>
      <c r="AA872" s="928"/>
    </row>
    <row r="873" hidden="1">
      <c r="A873" s="935"/>
      <c r="B873" s="932"/>
      <c r="C873" s="928"/>
      <c r="D873" s="928"/>
      <c r="E873" s="928"/>
      <c r="F873" s="928"/>
      <c r="G873" s="928"/>
      <c r="H873" s="928"/>
      <c r="I873" s="928"/>
      <c r="J873" s="928"/>
      <c r="K873" s="928"/>
      <c r="L873" s="928"/>
      <c r="M873" s="928"/>
      <c r="N873" s="928"/>
      <c r="O873" s="928"/>
      <c r="P873" s="928"/>
      <c r="Q873" s="928"/>
      <c r="R873" s="928"/>
      <c r="S873" s="928"/>
      <c r="T873" s="928"/>
      <c r="U873" s="928"/>
      <c r="V873" s="928"/>
      <c r="W873" s="928"/>
      <c r="X873" s="928"/>
      <c r="Y873" s="928"/>
      <c r="Z873" s="928"/>
      <c r="AA873" s="928"/>
    </row>
    <row r="874" hidden="1">
      <c r="A874" s="935"/>
      <c r="B874" s="932"/>
      <c r="C874" s="928"/>
      <c r="D874" s="928"/>
      <c r="E874" s="928"/>
      <c r="F874" s="928"/>
      <c r="G874" s="928"/>
      <c r="H874" s="928"/>
      <c r="I874" s="928"/>
      <c r="J874" s="928"/>
      <c r="K874" s="928"/>
      <c r="L874" s="928"/>
      <c r="M874" s="928"/>
      <c r="N874" s="928"/>
      <c r="O874" s="928"/>
      <c r="P874" s="928"/>
      <c r="Q874" s="928"/>
      <c r="R874" s="928"/>
      <c r="S874" s="928"/>
      <c r="T874" s="928"/>
      <c r="U874" s="928"/>
      <c r="V874" s="928"/>
      <c r="W874" s="928"/>
      <c r="X874" s="928"/>
      <c r="Y874" s="928"/>
      <c r="Z874" s="928"/>
      <c r="AA874" s="928"/>
    </row>
    <row r="875" hidden="1">
      <c r="A875" s="935"/>
      <c r="B875" s="932"/>
      <c r="C875" s="928"/>
      <c r="D875" s="928"/>
      <c r="E875" s="928"/>
      <c r="F875" s="928"/>
      <c r="G875" s="928"/>
      <c r="H875" s="928"/>
      <c r="I875" s="928"/>
      <c r="J875" s="928"/>
      <c r="K875" s="928"/>
      <c r="L875" s="928"/>
      <c r="M875" s="928"/>
      <c r="N875" s="928"/>
      <c r="O875" s="928"/>
      <c r="P875" s="928"/>
      <c r="Q875" s="928"/>
      <c r="R875" s="928"/>
      <c r="S875" s="928"/>
      <c r="T875" s="928"/>
      <c r="U875" s="928"/>
      <c r="V875" s="928"/>
      <c r="W875" s="928"/>
      <c r="X875" s="928"/>
      <c r="Y875" s="928"/>
      <c r="Z875" s="928"/>
      <c r="AA875" s="928"/>
    </row>
    <row r="876" hidden="1">
      <c r="A876" s="935"/>
      <c r="B876" s="932"/>
      <c r="C876" s="928"/>
      <c r="D876" s="928"/>
      <c r="E876" s="928"/>
      <c r="F876" s="928"/>
      <c r="G876" s="928"/>
      <c r="H876" s="928"/>
      <c r="I876" s="928"/>
      <c r="J876" s="928"/>
      <c r="K876" s="928"/>
      <c r="L876" s="928"/>
      <c r="M876" s="928"/>
      <c r="N876" s="928"/>
      <c r="O876" s="928"/>
      <c r="P876" s="928"/>
      <c r="Q876" s="928"/>
      <c r="R876" s="928"/>
      <c r="S876" s="928"/>
      <c r="T876" s="928"/>
      <c r="U876" s="928"/>
      <c r="V876" s="928"/>
      <c r="W876" s="928"/>
      <c r="X876" s="928"/>
      <c r="Y876" s="928"/>
      <c r="Z876" s="928"/>
      <c r="AA876" s="928"/>
    </row>
    <row r="877" hidden="1">
      <c r="A877" s="935"/>
      <c r="B877" s="932"/>
      <c r="C877" s="928"/>
      <c r="D877" s="928"/>
      <c r="E877" s="928"/>
      <c r="F877" s="928"/>
      <c r="G877" s="928"/>
      <c r="H877" s="928"/>
      <c r="I877" s="928"/>
      <c r="J877" s="928"/>
      <c r="K877" s="928"/>
      <c r="L877" s="928"/>
      <c r="M877" s="928"/>
      <c r="N877" s="928"/>
      <c r="O877" s="928"/>
      <c r="P877" s="928"/>
      <c r="Q877" s="928"/>
      <c r="R877" s="928"/>
      <c r="S877" s="928"/>
      <c r="T877" s="928"/>
      <c r="U877" s="928"/>
      <c r="V877" s="928"/>
      <c r="W877" s="928"/>
      <c r="X877" s="928"/>
      <c r="Y877" s="928"/>
      <c r="Z877" s="928"/>
      <c r="AA877" s="928"/>
    </row>
    <row r="878" hidden="1">
      <c r="A878" s="935"/>
      <c r="B878" s="932"/>
      <c r="C878" s="928"/>
      <c r="D878" s="928"/>
      <c r="E878" s="928"/>
      <c r="F878" s="928"/>
      <c r="G878" s="928"/>
      <c r="H878" s="928"/>
      <c r="I878" s="928"/>
      <c r="J878" s="928"/>
      <c r="K878" s="928"/>
      <c r="L878" s="928"/>
      <c r="M878" s="928"/>
      <c r="N878" s="928"/>
      <c r="O878" s="928"/>
      <c r="P878" s="928"/>
      <c r="Q878" s="928"/>
      <c r="R878" s="928"/>
      <c r="S878" s="928"/>
      <c r="T878" s="928"/>
      <c r="U878" s="928"/>
      <c r="V878" s="928"/>
      <c r="W878" s="928"/>
      <c r="X878" s="928"/>
      <c r="Y878" s="928"/>
      <c r="Z878" s="928"/>
      <c r="AA878" s="928"/>
    </row>
    <row r="879" hidden="1">
      <c r="A879" s="935"/>
      <c r="B879" s="932"/>
      <c r="C879" s="928"/>
      <c r="D879" s="928"/>
      <c r="E879" s="928"/>
      <c r="F879" s="928"/>
      <c r="G879" s="928"/>
      <c r="H879" s="928"/>
      <c r="I879" s="928"/>
      <c r="J879" s="928"/>
      <c r="K879" s="928"/>
      <c r="L879" s="928"/>
      <c r="M879" s="928"/>
      <c r="N879" s="928"/>
      <c r="O879" s="928"/>
      <c r="P879" s="928"/>
      <c r="Q879" s="928"/>
      <c r="R879" s="928"/>
      <c r="S879" s="928"/>
      <c r="T879" s="928"/>
      <c r="U879" s="928"/>
      <c r="V879" s="928"/>
      <c r="W879" s="928"/>
      <c r="X879" s="928"/>
      <c r="Y879" s="928"/>
      <c r="Z879" s="928"/>
      <c r="AA879" s="928"/>
    </row>
    <row r="880" hidden="1">
      <c r="A880" s="935"/>
      <c r="B880" s="932"/>
      <c r="C880" s="928"/>
      <c r="D880" s="928"/>
      <c r="E880" s="928"/>
      <c r="F880" s="928"/>
      <c r="G880" s="928"/>
      <c r="H880" s="928"/>
      <c r="I880" s="928"/>
      <c r="J880" s="928"/>
      <c r="K880" s="928"/>
      <c r="L880" s="928"/>
      <c r="M880" s="928"/>
      <c r="N880" s="928"/>
      <c r="O880" s="928"/>
      <c r="P880" s="928"/>
      <c r="Q880" s="928"/>
      <c r="R880" s="928"/>
      <c r="S880" s="928"/>
      <c r="T880" s="928"/>
      <c r="U880" s="928"/>
      <c r="V880" s="928"/>
      <c r="W880" s="928"/>
      <c r="X880" s="928"/>
      <c r="Y880" s="928"/>
      <c r="Z880" s="928"/>
      <c r="AA880" s="928"/>
    </row>
    <row r="881" hidden="1">
      <c r="A881" s="935"/>
      <c r="B881" s="932"/>
      <c r="C881" s="928"/>
      <c r="D881" s="928"/>
      <c r="E881" s="928"/>
      <c r="F881" s="928"/>
      <c r="G881" s="928"/>
      <c r="H881" s="928"/>
      <c r="I881" s="928"/>
      <c r="J881" s="928"/>
      <c r="K881" s="928"/>
      <c r="L881" s="928"/>
      <c r="M881" s="928"/>
      <c r="N881" s="928"/>
      <c r="O881" s="928"/>
      <c r="P881" s="928"/>
      <c r="Q881" s="928"/>
      <c r="R881" s="928"/>
      <c r="S881" s="928"/>
      <c r="T881" s="928"/>
      <c r="U881" s="928"/>
      <c r="V881" s="928"/>
      <c r="W881" s="928"/>
      <c r="X881" s="928"/>
      <c r="Y881" s="928"/>
      <c r="Z881" s="928"/>
      <c r="AA881" s="928"/>
    </row>
    <row r="882" hidden="1">
      <c r="A882" s="935"/>
      <c r="B882" s="932"/>
      <c r="C882" s="928"/>
      <c r="D882" s="928"/>
      <c r="E882" s="928"/>
      <c r="F882" s="928"/>
      <c r="G882" s="928"/>
      <c r="H882" s="928"/>
      <c r="I882" s="928"/>
      <c r="J882" s="928"/>
      <c r="K882" s="928"/>
      <c r="L882" s="928"/>
      <c r="M882" s="928"/>
      <c r="N882" s="928"/>
      <c r="O882" s="928"/>
      <c r="P882" s="928"/>
      <c r="Q882" s="928"/>
      <c r="R882" s="928"/>
      <c r="S882" s="928"/>
      <c r="T882" s="928"/>
      <c r="U882" s="928"/>
      <c r="V882" s="928"/>
      <c r="W882" s="928"/>
      <c r="X882" s="928"/>
      <c r="Y882" s="928"/>
      <c r="Z882" s="928"/>
      <c r="AA882" s="928"/>
    </row>
    <row r="883" hidden="1">
      <c r="A883" s="935"/>
      <c r="B883" s="932"/>
      <c r="C883" s="928"/>
      <c r="D883" s="928"/>
      <c r="E883" s="928"/>
      <c r="F883" s="928"/>
      <c r="G883" s="928"/>
      <c r="H883" s="928"/>
      <c r="I883" s="928"/>
      <c r="J883" s="928"/>
      <c r="K883" s="928"/>
      <c r="L883" s="928"/>
      <c r="M883" s="928"/>
      <c r="N883" s="928"/>
      <c r="O883" s="928"/>
      <c r="P883" s="928"/>
      <c r="Q883" s="928"/>
      <c r="R883" s="928"/>
      <c r="S883" s="928"/>
      <c r="T883" s="928"/>
      <c r="U883" s="928"/>
      <c r="V883" s="928"/>
      <c r="W883" s="928"/>
      <c r="X883" s="928"/>
      <c r="Y883" s="928"/>
      <c r="Z883" s="928"/>
      <c r="AA883" s="928"/>
    </row>
    <row r="884" hidden="1">
      <c r="A884" s="935"/>
      <c r="B884" s="932"/>
      <c r="C884" s="928"/>
      <c r="D884" s="928"/>
      <c r="E884" s="928"/>
      <c r="F884" s="928"/>
      <c r="G884" s="928"/>
      <c r="H884" s="928"/>
      <c r="I884" s="928"/>
      <c r="J884" s="928"/>
      <c r="K884" s="928"/>
      <c r="L884" s="928"/>
      <c r="M884" s="928"/>
      <c r="N884" s="928"/>
      <c r="O884" s="928"/>
      <c r="P884" s="928"/>
      <c r="Q884" s="928"/>
      <c r="R884" s="928"/>
      <c r="S884" s="928"/>
      <c r="T884" s="928"/>
      <c r="U884" s="928"/>
      <c r="V884" s="928"/>
      <c r="W884" s="928"/>
      <c r="X884" s="928"/>
      <c r="Y884" s="928"/>
      <c r="Z884" s="928"/>
      <c r="AA884" s="928"/>
    </row>
    <row r="885" hidden="1">
      <c r="A885" s="935"/>
      <c r="B885" s="932"/>
      <c r="C885" s="928"/>
      <c r="D885" s="928"/>
      <c r="E885" s="928"/>
      <c r="F885" s="928"/>
      <c r="G885" s="928"/>
      <c r="H885" s="928"/>
      <c r="I885" s="928"/>
      <c r="J885" s="928"/>
      <c r="K885" s="928"/>
      <c r="L885" s="928"/>
      <c r="M885" s="928"/>
      <c r="N885" s="928"/>
      <c r="O885" s="928"/>
      <c r="P885" s="928"/>
      <c r="Q885" s="928"/>
      <c r="R885" s="928"/>
      <c r="S885" s="928"/>
      <c r="T885" s="928"/>
      <c r="U885" s="928"/>
      <c r="V885" s="928"/>
      <c r="W885" s="928"/>
      <c r="X885" s="928"/>
      <c r="Y885" s="928"/>
      <c r="Z885" s="928"/>
      <c r="AA885" s="928"/>
    </row>
    <row r="886" hidden="1">
      <c r="A886" s="935"/>
      <c r="B886" s="932"/>
      <c r="C886" s="928"/>
      <c r="D886" s="928"/>
      <c r="E886" s="928"/>
      <c r="F886" s="928"/>
      <c r="G886" s="928"/>
      <c r="H886" s="928"/>
      <c r="I886" s="928"/>
      <c r="J886" s="928"/>
      <c r="K886" s="928"/>
      <c r="L886" s="928"/>
      <c r="M886" s="928"/>
      <c r="N886" s="928"/>
      <c r="O886" s="928"/>
      <c r="P886" s="928"/>
      <c r="Q886" s="928"/>
      <c r="R886" s="928"/>
      <c r="S886" s="928"/>
      <c r="T886" s="928"/>
      <c r="U886" s="928"/>
      <c r="V886" s="928"/>
      <c r="W886" s="928"/>
      <c r="X886" s="928"/>
      <c r="Y886" s="928"/>
      <c r="Z886" s="928"/>
      <c r="AA886" s="928"/>
    </row>
    <row r="887" hidden="1">
      <c r="A887" s="935"/>
      <c r="B887" s="932"/>
      <c r="C887" s="928"/>
      <c r="D887" s="928"/>
      <c r="E887" s="928"/>
      <c r="F887" s="928"/>
      <c r="G887" s="928"/>
      <c r="H887" s="928"/>
      <c r="I887" s="928"/>
      <c r="J887" s="928"/>
      <c r="K887" s="928"/>
      <c r="L887" s="928"/>
      <c r="M887" s="928"/>
      <c r="N887" s="928"/>
      <c r="O887" s="928"/>
      <c r="P887" s="928"/>
      <c r="Q887" s="928"/>
      <c r="R887" s="928"/>
      <c r="S887" s="928"/>
      <c r="T887" s="928"/>
      <c r="U887" s="928"/>
      <c r="V887" s="928"/>
      <c r="W887" s="928"/>
      <c r="X887" s="928"/>
      <c r="Y887" s="928"/>
      <c r="Z887" s="928"/>
      <c r="AA887" s="928"/>
    </row>
    <row r="888" hidden="1">
      <c r="A888" s="935"/>
      <c r="B888" s="932"/>
      <c r="C888" s="928"/>
      <c r="D888" s="928"/>
      <c r="E888" s="928"/>
      <c r="F888" s="928"/>
      <c r="G888" s="928"/>
      <c r="H888" s="928"/>
      <c r="I888" s="928"/>
      <c r="J888" s="928"/>
      <c r="K888" s="928"/>
      <c r="L888" s="928"/>
      <c r="M888" s="928"/>
      <c r="N888" s="928"/>
      <c r="O888" s="928"/>
      <c r="P888" s="928"/>
      <c r="Q888" s="928"/>
      <c r="R888" s="928"/>
      <c r="S888" s="928"/>
      <c r="T888" s="928"/>
      <c r="U888" s="928"/>
      <c r="V888" s="928"/>
      <c r="W888" s="928"/>
      <c r="X888" s="928"/>
      <c r="Y888" s="928"/>
      <c r="Z888" s="928"/>
      <c r="AA888" s="928"/>
    </row>
    <row r="889" hidden="1">
      <c r="A889" s="935"/>
      <c r="B889" s="932"/>
      <c r="C889" s="928"/>
      <c r="D889" s="928"/>
      <c r="E889" s="928"/>
      <c r="F889" s="928"/>
      <c r="G889" s="928"/>
      <c r="H889" s="928"/>
      <c r="I889" s="928"/>
      <c r="J889" s="928"/>
      <c r="K889" s="928"/>
      <c r="L889" s="928"/>
      <c r="M889" s="928"/>
      <c r="N889" s="928"/>
      <c r="O889" s="928"/>
      <c r="P889" s="928"/>
      <c r="Q889" s="928"/>
      <c r="R889" s="928"/>
      <c r="S889" s="928"/>
      <c r="T889" s="928"/>
      <c r="U889" s="928"/>
      <c r="V889" s="928"/>
      <c r="W889" s="928"/>
      <c r="X889" s="928"/>
      <c r="Y889" s="928"/>
      <c r="Z889" s="928"/>
      <c r="AA889" s="928"/>
    </row>
    <row r="890" hidden="1">
      <c r="A890" s="935"/>
      <c r="B890" s="932"/>
      <c r="C890" s="928"/>
      <c r="D890" s="928"/>
      <c r="E890" s="928"/>
      <c r="F890" s="928"/>
      <c r="G890" s="928"/>
      <c r="H890" s="928"/>
      <c r="I890" s="928"/>
      <c r="J890" s="928"/>
      <c r="K890" s="928"/>
      <c r="L890" s="928"/>
      <c r="M890" s="928"/>
      <c r="N890" s="928"/>
      <c r="O890" s="928"/>
      <c r="P890" s="928"/>
      <c r="Q890" s="928"/>
      <c r="R890" s="928"/>
      <c r="S890" s="928"/>
      <c r="T890" s="928"/>
      <c r="U890" s="928"/>
      <c r="V890" s="928"/>
      <c r="W890" s="928"/>
      <c r="X890" s="928"/>
      <c r="Y890" s="928"/>
      <c r="Z890" s="928"/>
      <c r="AA890" s="928"/>
    </row>
    <row r="891" hidden="1">
      <c r="A891" s="935"/>
      <c r="B891" s="932"/>
      <c r="C891" s="928"/>
      <c r="D891" s="928"/>
      <c r="E891" s="928"/>
      <c r="F891" s="928"/>
      <c r="G891" s="928"/>
      <c r="H891" s="928"/>
      <c r="I891" s="928"/>
      <c r="J891" s="928"/>
      <c r="K891" s="928"/>
      <c r="L891" s="928"/>
      <c r="M891" s="928"/>
      <c r="N891" s="928"/>
      <c r="O891" s="928"/>
      <c r="P891" s="928"/>
      <c r="Q891" s="928"/>
      <c r="R891" s="928"/>
      <c r="S891" s="928"/>
      <c r="T891" s="928"/>
      <c r="U891" s="928"/>
      <c r="V891" s="928"/>
      <c r="W891" s="928"/>
      <c r="X891" s="928"/>
      <c r="Y891" s="928"/>
      <c r="Z891" s="928"/>
      <c r="AA891" s="928"/>
    </row>
    <row r="892" hidden="1">
      <c r="A892" s="935"/>
      <c r="B892" s="932"/>
      <c r="C892" s="928"/>
      <c r="D892" s="928"/>
      <c r="E892" s="928"/>
      <c r="F892" s="928"/>
      <c r="G892" s="928"/>
      <c r="H892" s="928"/>
      <c r="I892" s="928"/>
      <c r="J892" s="928"/>
      <c r="K892" s="928"/>
      <c r="L892" s="928"/>
      <c r="M892" s="928"/>
      <c r="N892" s="928"/>
      <c r="O892" s="928"/>
      <c r="P892" s="928"/>
      <c r="Q892" s="928"/>
      <c r="R892" s="928"/>
      <c r="S892" s="928"/>
      <c r="T892" s="928"/>
      <c r="U892" s="928"/>
      <c r="V892" s="928"/>
      <c r="W892" s="928"/>
      <c r="X892" s="928"/>
      <c r="Y892" s="928"/>
      <c r="Z892" s="928"/>
      <c r="AA892" s="928"/>
    </row>
    <row r="893" hidden="1">
      <c r="A893" s="935"/>
      <c r="B893" s="932"/>
      <c r="C893" s="928"/>
      <c r="D893" s="928"/>
      <c r="E893" s="928"/>
      <c r="F893" s="928"/>
      <c r="G893" s="928"/>
      <c r="H893" s="928"/>
      <c r="I893" s="928"/>
      <c r="J893" s="928"/>
      <c r="K893" s="928"/>
      <c r="L893" s="928"/>
      <c r="M893" s="928"/>
      <c r="N893" s="928"/>
      <c r="O893" s="928"/>
      <c r="P893" s="928"/>
      <c r="Q893" s="928"/>
      <c r="R893" s="928"/>
      <c r="S893" s="928"/>
      <c r="T893" s="928"/>
      <c r="U893" s="928"/>
      <c r="V893" s="928"/>
      <c r="W893" s="928"/>
      <c r="X893" s="928"/>
      <c r="Y893" s="928"/>
      <c r="Z893" s="928"/>
      <c r="AA893" s="928"/>
    </row>
    <row r="894" hidden="1">
      <c r="A894" s="935"/>
      <c r="B894" s="932"/>
      <c r="C894" s="928"/>
      <c r="D894" s="928"/>
      <c r="E894" s="928"/>
      <c r="F894" s="928"/>
      <c r="G894" s="928"/>
      <c r="H894" s="928"/>
      <c r="I894" s="928"/>
      <c r="J894" s="928"/>
      <c r="K894" s="928"/>
      <c r="L894" s="928"/>
      <c r="M894" s="928"/>
      <c r="N894" s="928"/>
      <c r="O894" s="928"/>
      <c r="P894" s="928"/>
      <c r="Q894" s="928"/>
      <c r="R894" s="928"/>
      <c r="S894" s="928"/>
      <c r="T894" s="928"/>
      <c r="U894" s="928"/>
      <c r="V894" s="928"/>
      <c r="W894" s="928"/>
      <c r="X894" s="928"/>
      <c r="Y894" s="928"/>
      <c r="Z894" s="928"/>
      <c r="AA894" s="928"/>
    </row>
    <row r="895" hidden="1">
      <c r="A895" s="935"/>
      <c r="B895" s="932"/>
      <c r="C895" s="928"/>
      <c r="D895" s="928"/>
      <c r="E895" s="928"/>
      <c r="F895" s="928"/>
      <c r="G895" s="928"/>
      <c r="H895" s="928"/>
      <c r="I895" s="928"/>
      <c r="J895" s="928"/>
      <c r="K895" s="928"/>
      <c r="L895" s="928"/>
      <c r="M895" s="928"/>
      <c r="N895" s="928"/>
      <c r="O895" s="928"/>
      <c r="P895" s="928"/>
      <c r="Q895" s="928"/>
      <c r="R895" s="928"/>
      <c r="S895" s="928"/>
      <c r="T895" s="928"/>
      <c r="U895" s="928"/>
      <c r="V895" s="928"/>
      <c r="W895" s="928"/>
      <c r="X895" s="928"/>
      <c r="Y895" s="928"/>
      <c r="Z895" s="928"/>
      <c r="AA895" s="928"/>
    </row>
    <row r="896" hidden="1">
      <c r="A896" s="935"/>
      <c r="B896" s="932"/>
      <c r="C896" s="928"/>
      <c r="D896" s="928"/>
      <c r="E896" s="928"/>
      <c r="F896" s="928"/>
      <c r="G896" s="928"/>
      <c r="H896" s="928"/>
      <c r="I896" s="928"/>
      <c r="J896" s="928"/>
      <c r="K896" s="928"/>
      <c r="L896" s="928"/>
      <c r="M896" s="928"/>
      <c r="N896" s="928"/>
      <c r="O896" s="928"/>
      <c r="P896" s="928"/>
      <c r="Q896" s="928"/>
      <c r="R896" s="928"/>
      <c r="S896" s="928"/>
      <c r="T896" s="928"/>
      <c r="U896" s="928"/>
      <c r="V896" s="928"/>
      <c r="W896" s="928"/>
      <c r="X896" s="928"/>
      <c r="Y896" s="928"/>
      <c r="Z896" s="928"/>
      <c r="AA896" s="928"/>
    </row>
    <row r="897" hidden="1">
      <c r="A897" s="935"/>
      <c r="B897" s="932"/>
      <c r="C897" s="928"/>
      <c r="D897" s="928"/>
      <c r="E897" s="928"/>
      <c r="F897" s="928"/>
      <c r="G897" s="928"/>
      <c r="H897" s="928"/>
      <c r="I897" s="928"/>
      <c r="J897" s="928"/>
      <c r="K897" s="928"/>
      <c r="L897" s="928"/>
      <c r="M897" s="928"/>
      <c r="N897" s="928"/>
      <c r="O897" s="928"/>
      <c r="P897" s="928"/>
      <c r="Q897" s="928"/>
      <c r="R897" s="928"/>
      <c r="S897" s="928"/>
      <c r="T897" s="928"/>
      <c r="U897" s="928"/>
      <c r="V897" s="928"/>
      <c r="W897" s="928"/>
      <c r="X897" s="928"/>
      <c r="Y897" s="928"/>
      <c r="Z897" s="928"/>
      <c r="AA897" s="928"/>
    </row>
    <row r="898" hidden="1">
      <c r="A898" s="935"/>
      <c r="B898" s="932"/>
      <c r="C898" s="928"/>
      <c r="D898" s="928"/>
      <c r="E898" s="928"/>
      <c r="F898" s="928"/>
      <c r="G898" s="928"/>
      <c r="H898" s="928"/>
      <c r="I898" s="928"/>
      <c r="J898" s="928"/>
      <c r="K898" s="928"/>
      <c r="L898" s="928"/>
      <c r="M898" s="928"/>
      <c r="N898" s="928"/>
      <c r="O898" s="928"/>
      <c r="P898" s="928"/>
      <c r="Q898" s="928"/>
      <c r="R898" s="928"/>
      <c r="S898" s="928"/>
      <c r="T898" s="928"/>
      <c r="U898" s="928"/>
      <c r="V898" s="928"/>
      <c r="W898" s="928"/>
      <c r="X898" s="928"/>
      <c r="Y898" s="928"/>
      <c r="Z898" s="928"/>
      <c r="AA898" s="928"/>
    </row>
    <row r="899" hidden="1">
      <c r="A899" s="935"/>
      <c r="B899" s="932"/>
      <c r="C899" s="928"/>
      <c r="D899" s="928"/>
      <c r="E899" s="928"/>
      <c r="F899" s="928"/>
      <c r="G899" s="928"/>
      <c r="H899" s="928"/>
      <c r="I899" s="928"/>
      <c r="J899" s="928"/>
      <c r="K899" s="928"/>
      <c r="L899" s="928"/>
      <c r="M899" s="928"/>
      <c r="N899" s="928"/>
      <c r="O899" s="928"/>
      <c r="P899" s="928"/>
      <c r="Q899" s="928"/>
      <c r="R899" s="928"/>
      <c r="S899" s="928"/>
      <c r="T899" s="928"/>
      <c r="U899" s="928"/>
      <c r="V899" s="928"/>
      <c r="W899" s="928"/>
      <c r="X899" s="928"/>
      <c r="Y899" s="928"/>
      <c r="Z899" s="928"/>
      <c r="AA899" s="928"/>
    </row>
    <row r="900" hidden="1">
      <c r="A900" s="935"/>
      <c r="B900" s="932"/>
      <c r="C900" s="928"/>
      <c r="D900" s="928"/>
      <c r="E900" s="928"/>
      <c r="F900" s="928"/>
      <c r="G900" s="928"/>
      <c r="H900" s="928"/>
      <c r="I900" s="928"/>
      <c r="J900" s="928"/>
      <c r="K900" s="928"/>
      <c r="L900" s="928"/>
      <c r="M900" s="928"/>
      <c r="N900" s="928"/>
      <c r="O900" s="928"/>
      <c r="P900" s="928"/>
      <c r="Q900" s="928"/>
      <c r="R900" s="928"/>
      <c r="S900" s="928"/>
      <c r="T900" s="928"/>
      <c r="U900" s="928"/>
      <c r="V900" s="928"/>
      <c r="W900" s="928"/>
      <c r="X900" s="928"/>
      <c r="Y900" s="928"/>
      <c r="Z900" s="928"/>
      <c r="AA900" s="928"/>
    </row>
    <row r="901" hidden="1">
      <c r="A901" s="935"/>
      <c r="B901" s="932"/>
      <c r="C901" s="928"/>
      <c r="D901" s="928"/>
      <c r="E901" s="928"/>
      <c r="F901" s="928"/>
      <c r="G901" s="928"/>
      <c r="H901" s="928"/>
      <c r="I901" s="928"/>
      <c r="J901" s="928"/>
      <c r="K901" s="928"/>
      <c r="L901" s="928"/>
      <c r="M901" s="928"/>
      <c r="N901" s="928"/>
      <c r="O901" s="928"/>
      <c r="P901" s="928"/>
      <c r="Q901" s="928"/>
      <c r="R901" s="928"/>
      <c r="S901" s="928"/>
      <c r="T901" s="928"/>
      <c r="U901" s="928"/>
      <c r="V901" s="928"/>
      <c r="W901" s="928"/>
      <c r="X901" s="928"/>
      <c r="Y901" s="928"/>
      <c r="Z901" s="928"/>
      <c r="AA901" s="928"/>
    </row>
    <row r="902" hidden="1">
      <c r="A902" s="935"/>
      <c r="B902" s="932"/>
      <c r="C902" s="928"/>
      <c r="D902" s="928"/>
      <c r="E902" s="928"/>
      <c r="F902" s="928"/>
      <c r="G902" s="928"/>
      <c r="H902" s="928"/>
      <c r="I902" s="928"/>
      <c r="J902" s="928"/>
      <c r="K902" s="928"/>
      <c r="L902" s="928"/>
      <c r="M902" s="928"/>
      <c r="N902" s="928"/>
      <c r="O902" s="928"/>
      <c r="P902" s="928"/>
      <c r="Q902" s="928"/>
      <c r="R902" s="928"/>
      <c r="S902" s="928"/>
      <c r="T902" s="928"/>
      <c r="U902" s="928"/>
      <c r="V902" s="928"/>
      <c r="W902" s="928"/>
      <c r="X902" s="928"/>
      <c r="Y902" s="928"/>
      <c r="Z902" s="928"/>
      <c r="AA902" s="928"/>
    </row>
    <row r="903" hidden="1">
      <c r="A903" s="935"/>
      <c r="B903" s="932"/>
      <c r="C903" s="928"/>
      <c r="D903" s="928"/>
      <c r="E903" s="928"/>
      <c r="F903" s="928"/>
      <c r="G903" s="928"/>
      <c r="H903" s="928"/>
      <c r="I903" s="928"/>
      <c r="J903" s="928"/>
      <c r="K903" s="928"/>
      <c r="L903" s="928"/>
      <c r="M903" s="928"/>
      <c r="N903" s="928"/>
      <c r="O903" s="928"/>
      <c r="P903" s="928"/>
      <c r="Q903" s="928"/>
      <c r="R903" s="928"/>
      <c r="S903" s="928"/>
      <c r="T903" s="928"/>
      <c r="U903" s="928"/>
      <c r="V903" s="928"/>
      <c r="W903" s="928"/>
      <c r="X903" s="928"/>
      <c r="Y903" s="928"/>
      <c r="Z903" s="928"/>
      <c r="AA903" s="928"/>
    </row>
    <row r="904" hidden="1">
      <c r="A904" s="935"/>
      <c r="B904" s="932"/>
      <c r="C904" s="928"/>
      <c r="D904" s="928"/>
      <c r="E904" s="928"/>
      <c r="F904" s="928"/>
      <c r="G904" s="928"/>
      <c r="H904" s="928"/>
      <c r="I904" s="928"/>
      <c r="J904" s="928"/>
      <c r="K904" s="928"/>
      <c r="L904" s="928"/>
      <c r="M904" s="928"/>
      <c r="N904" s="928"/>
      <c r="O904" s="928"/>
      <c r="P904" s="928"/>
      <c r="Q904" s="928"/>
      <c r="R904" s="928"/>
      <c r="S904" s="928"/>
      <c r="T904" s="928"/>
      <c r="U904" s="928"/>
      <c r="V904" s="928"/>
      <c r="W904" s="928"/>
      <c r="X904" s="928"/>
      <c r="Y904" s="928"/>
      <c r="Z904" s="928"/>
      <c r="AA904" s="928"/>
    </row>
    <row r="905" hidden="1">
      <c r="A905" s="935"/>
      <c r="B905" s="932"/>
      <c r="C905" s="928"/>
      <c r="D905" s="928"/>
      <c r="E905" s="928"/>
      <c r="F905" s="928"/>
      <c r="G905" s="928"/>
      <c r="H905" s="928"/>
      <c r="I905" s="928"/>
      <c r="J905" s="928"/>
      <c r="K905" s="928"/>
      <c r="L905" s="928"/>
      <c r="M905" s="928"/>
      <c r="N905" s="928"/>
      <c r="O905" s="928"/>
      <c r="P905" s="928"/>
      <c r="Q905" s="928"/>
      <c r="R905" s="928"/>
      <c r="S905" s="928"/>
      <c r="T905" s="928"/>
      <c r="U905" s="928"/>
      <c r="V905" s="928"/>
      <c r="W905" s="928"/>
      <c r="X905" s="928"/>
      <c r="Y905" s="928"/>
      <c r="Z905" s="928"/>
      <c r="AA905" s="928"/>
    </row>
    <row r="906" hidden="1">
      <c r="A906" s="935"/>
      <c r="B906" s="932"/>
      <c r="C906" s="928"/>
      <c r="D906" s="928"/>
      <c r="E906" s="928"/>
      <c r="F906" s="928"/>
      <c r="G906" s="928"/>
      <c r="H906" s="928"/>
      <c r="I906" s="928"/>
      <c r="J906" s="928"/>
      <c r="K906" s="928"/>
      <c r="L906" s="928"/>
      <c r="M906" s="928"/>
      <c r="N906" s="928"/>
      <c r="O906" s="928"/>
      <c r="P906" s="928"/>
      <c r="Q906" s="928"/>
      <c r="R906" s="928"/>
      <c r="S906" s="928"/>
      <c r="T906" s="928"/>
      <c r="U906" s="928"/>
      <c r="V906" s="928"/>
      <c r="W906" s="928"/>
      <c r="X906" s="928"/>
      <c r="Y906" s="928"/>
      <c r="Z906" s="928"/>
      <c r="AA906" s="928"/>
    </row>
    <row r="907" hidden="1">
      <c r="A907" s="935"/>
      <c r="B907" s="932"/>
      <c r="C907" s="928"/>
      <c r="D907" s="928"/>
      <c r="E907" s="928"/>
      <c r="F907" s="928"/>
      <c r="G907" s="928"/>
      <c r="H907" s="928"/>
      <c r="I907" s="928"/>
      <c r="J907" s="928"/>
      <c r="K907" s="928"/>
      <c r="L907" s="928"/>
      <c r="M907" s="928"/>
      <c r="N907" s="928"/>
      <c r="O907" s="928"/>
      <c r="P907" s="928"/>
      <c r="Q907" s="928"/>
      <c r="R907" s="928"/>
      <c r="S907" s="928"/>
      <c r="T907" s="928"/>
      <c r="U907" s="928"/>
      <c r="V907" s="928"/>
      <c r="W907" s="928"/>
      <c r="X907" s="928"/>
      <c r="Y907" s="928"/>
      <c r="Z907" s="928"/>
      <c r="AA907" s="928"/>
    </row>
    <row r="908" hidden="1">
      <c r="A908" s="935"/>
      <c r="B908" s="932"/>
      <c r="C908" s="928"/>
      <c r="D908" s="928"/>
      <c r="E908" s="928"/>
      <c r="F908" s="928"/>
      <c r="G908" s="928"/>
      <c r="H908" s="928"/>
      <c r="I908" s="928"/>
      <c r="J908" s="928"/>
      <c r="K908" s="928"/>
      <c r="L908" s="928"/>
      <c r="M908" s="928"/>
      <c r="N908" s="928"/>
      <c r="O908" s="928"/>
      <c r="P908" s="928"/>
      <c r="Q908" s="928"/>
      <c r="R908" s="928"/>
      <c r="S908" s="928"/>
      <c r="T908" s="928"/>
      <c r="U908" s="928"/>
      <c r="V908" s="928"/>
      <c r="W908" s="928"/>
      <c r="X908" s="928"/>
      <c r="Y908" s="928"/>
      <c r="Z908" s="928"/>
      <c r="AA908" s="928"/>
    </row>
    <row r="909" hidden="1">
      <c r="A909" s="935"/>
      <c r="B909" s="932"/>
      <c r="C909" s="928"/>
      <c r="D909" s="928"/>
      <c r="E909" s="928"/>
      <c r="F909" s="928"/>
      <c r="G909" s="928"/>
      <c r="H909" s="928"/>
      <c r="I909" s="928"/>
      <c r="J909" s="928"/>
      <c r="K909" s="928"/>
      <c r="L909" s="928"/>
      <c r="M909" s="928"/>
      <c r="N909" s="928"/>
      <c r="O909" s="928"/>
      <c r="P909" s="928"/>
      <c r="Q909" s="928"/>
      <c r="R909" s="928"/>
      <c r="S909" s="928"/>
      <c r="T909" s="928"/>
      <c r="U909" s="928"/>
      <c r="V909" s="928"/>
      <c r="W909" s="928"/>
      <c r="X909" s="928"/>
      <c r="Y909" s="928"/>
      <c r="Z909" s="928"/>
      <c r="AA909" s="928"/>
    </row>
    <row r="910" hidden="1">
      <c r="A910" s="935"/>
      <c r="B910" s="932"/>
      <c r="C910" s="928"/>
      <c r="D910" s="928"/>
      <c r="E910" s="928"/>
      <c r="F910" s="928"/>
      <c r="G910" s="928"/>
      <c r="H910" s="928"/>
      <c r="I910" s="928"/>
      <c r="J910" s="928"/>
      <c r="K910" s="928"/>
      <c r="L910" s="928"/>
      <c r="M910" s="928"/>
      <c r="N910" s="928"/>
      <c r="O910" s="928"/>
      <c r="P910" s="928"/>
      <c r="Q910" s="928"/>
      <c r="R910" s="928"/>
      <c r="S910" s="928"/>
      <c r="T910" s="928"/>
      <c r="U910" s="928"/>
      <c r="V910" s="928"/>
      <c r="W910" s="928"/>
      <c r="X910" s="928"/>
      <c r="Y910" s="928"/>
      <c r="Z910" s="928"/>
      <c r="AA910" s="928"/>
    </row>
    <row r="911" hidden="1">
      <c r="A911" s="935"/>
      <c r="B911" s="932"/>
      <c r="C911" s="928"/>
      <c r="D911" s="928"/>
      <c r="E911" s="928"/>
      <c r="F911" s="928"/>
      <c r="G911" s="928"/>
      <c r="H911" s="928"/>
      <c r="I911" s="928"/>
      <c r="J911" s="928"/>
      <c r="K911" s="928"/>
      <c r="L911" s="928"/>
      <c r="M911" s="928"/>
      <c r="N911" s="928"/>
      <c r="O911" s="928"/>
      <c r="P911" s="928"/>
      <c r="Q911" s="928"/>
      <c r="R911" s="928"/>
      <c r="S911" s="928"/>
      <c r="T911" s="928"/>
      <c r="U911" s="928"/>
      <c r="V911" s="928"/>
      <c r="W911" s="928"/>
      <c r="X911" s="928"/>
      <c r="Y911" s="928"/>
      <c r="Z911" s="928"/>
      <c r="AA911" s="928"/>
    </row>
    <row r="912" hidden="1">
      <c r="A912" s="935"/>
      <c r="B912" s="932"/>
      <c r="C912" s="928"/>
      <c r="D912" s="928"/>
      <c r="E912" s="928"/>
      <c r="F912" s="928"/>
      <c r="G912" s="928"/>
      <c r="H912" s="928"/>
      <c r="I912" s="928"/>
      <c r="J912" s="928"/>
      <c r="K912" s="928"/>
      <c r="L912" s="928"/>
      <c r="M912" s="928"/>
      <c r="N912" s="928"/>
      <c r="O912" s="928"/>
      <c r="P912" s="928"/>
      <c r="Q912" s="928"/>
      <c r="R912" s="928"/>
      <c r="S912" s="928"/>
      <c r="T912" s="928"/>
      <c r="U912" s="928"/>
      <c r="V912" s="928"/>
      <c r="W912" s="928"/>
      <c r="X912" s="928"/>
      <c r="Y912" s="928"/>
      <c r="Z912" s="928"/>
      <c r="AA912" s="928"/>
    </row>
    <row r="913" hidden="1">
      <c r="A913" s="935"/>
      <c r="B913" s="932"/>
      <c r="C913" s="928"/>
      <c r="D913" s="928"/>
      <c r="E913" s="928"/>
      <c r="F913" s="928"/>
      <c r="G913" s="928"/>
      <c r="H913" s="928"/>
      <c r="I913" s="928"/>
      <c r="J913" s="928"/>
      <c r="K913" s="928"/>
      <c r="L913" s="928"/>
      <c r="M913" s="928"/>
      <c r="N913" s="928"/>
      <c r="O913" s="928"/>
      <c r="P913" s="928"/>
      <c r="Q913" s="928"/>
      <c r="R913" s="928"/>
      <c r="S913" s="928"/>
      <c r="T913" s="928"/>
      <c r="U913" s="928"/>
      <c r="V913" s="928"/>
      <c r="W913" s="928"/>
      <c r="X913" s="928"/>
      <c r="Y913" s="928"/>
      <c r="Z913" s="928"/>
      <c r="AA913" s="928"/>
    </row>
    <row r="914" hidden="1">
      <c r="A914" s="935"/>
      <c r="B914" s="932"/>
      <c r="C914" s="928"/>
      <c r="D914" s="928"/>
      <c r="E914" s="928"/>
      <c r="F914" s="928"/>
      <c r="G914" s="928"/>
      <c r="H914" s="928"/>
      <c r="I914" s="928"/>
      <c r="J914" s="928"/>
      <c r="K914" s="928"/>
      <c r="L914" s="928"/>
      <c r="M914" s="928"/>
      <c r="N914" s="928"/>
      <c r="O914" s="928"/>
      <c r="P914" s="928"/>
      <c r="Q914" s="928"/>
      <c r="R914" s="928"/>
      <c r="S914" s="928"/>
      <c r="T914" s="928"/>
      <c r="U914" s="928"/>
      <c r="V914" s="928"/>
      <c r="W914" s="928"/>
      <c r="X914" s="928"/>
      <c r="Y914" s="928"/>
      <c r="Z914" s="928"/>
      <c r="AA914" s="928"/>
    </row>
    <row r="915" hidden="1">
      <c r="A915" s="935"/>
      <c r="B915" s="932"/>
      <c r="C915" s="928"/>
      <c r="D915" s="928"/>
      <c r="E915" s="928"/>
      <c r="F915" s="928"/>
      <c r="G915" s="928"/>
      <c r="H915" s="928"/>
      <c r="I915" s="928"/>
      <c r="J915" s="928"/>
      <c r="K915" s="928"/>
      <c r="L915" s="928"/>
      <c r="M915" s="928"/>
      <c r="N915" s="928"/>
      <c r="O915" s="928"/>
      <c r="P915" s="928"/>
      <c r="Q915" s="928"/>
      <c r="R915" s="928"/>
      <c r="S915" s="928"/>
      <c r="T915" s="928"/>
      <c r="U915" s="928"/>
      <c r="V915" s="928"/>
      <c r="W915" s="928"/>
      <c r="X915" s="928"/>
      <c r="Y915" s="928"/>
      <c r="Z915" s="928"/>
      <c r="AA915" s="928"/>
    </row>
    <row r="916" hidden="1">
      <c r="A916" s="935"/>
      <c r="B916" s="932"/>
      <c r="C916" s="928"/>
      <c r="D916" s="928"/>
      <c r="E916" s="928"/>
      <c r="F916" s="928"/>
      <c r="G916" s="928"/>
      <c r="H916" s="928"/>
      <c r="I916" s="928"/>
      <c r="J916" s="928"/>
      <c r="K916" s="928"/>
      <c r="L916" s="928"/>
      <c r="M916" s="928"/>
      <c r="N916" s="928"/>
      <c r="O916" s="928"/>
      <c r="P916" s="928"/>
      <c r="Q916" s="928"/>
      <c r="R916" s="928"/>
      <c r="S916" s="928"/>
      <c r="T916" s="928"/>
      <c r="U916" s="928"/>
      <c r="V916" s="928"/>
      <c r="W916" s="928"/>
      <c r="X916" s="928"/>
      <c r="Y916" s="928"/>
      <c r="Z916" s="928"/>
      <c r="AA916" s="928"/>
    </row>
    <row r="917" hidden="1">
      <c r="A917" s="935"/>
      <c r="B917" s="932"/>
      <c r="C917" s="928"/>
      <c r="D917" s="928"/>
      <c r="E917" s="928"/>
      <c r="F917" s="928"/>
      <c r="G917" s="928"/>
      <c r="H917" s="928"/>
      <c r="I917" s="928"/>
      <c r="J917" s="928"/>
      <c r="K917" s="928"/>
      <c r="L917" s="928"/>
      <c r="M917" s="928"/>
      <c r="N917" s="928"/>
      <c r="O917" s="928"/>
      <c r="P917" s="928"/>
      <c r="Q917" s="928"/>
      <c r="R917" s="928"/>
      <c r="S917" s="928"/>
      <c r="T917" s="928"/>
      <c r="U917" s="928"/>
      <c r="V917" s="928"/>
      <c r="W917" s="928"/>
      <c r="X917" s="928"/>
      <c r="Y917" s="928"/>
      <c r="Z917" s="928"/>
      <c r="AA917" s="928"/>
    </row>
    <row r="918" hidden="1">
      <c r="A918" s="935"/>
      <c r="B918" s="932"/>
      <c r="C918" s="928"/>
      <c r="D918" s="928"/>
      <c r="E918" s="928"/>
      <c r="F918" s="928"/>
      <c r="G918" s="928"/>
      <c r="H918" s="928"/>
      <c r="I918" s="928"/>
      <c r="J918" s="928"/>
      <c r="K918" s="928"/>
      <c r="L918" s="928"/>
      <c r="M918" s="928"/>
      <c r="N918" s="928"/>
      <c r="O918" s="928"/>
      <c r="P918" s="928"/>
      <c r="Q918" s="928"/>
      <c r="R918" s="928"/>
      <c r="S918" s="928"/>
      <c r="T918" s="928"/>
      <c r="U918" s="928"/>
      <c r="V918" s="928"/>
      <c r="W918" s="928"/>
      <c r="X918" s="928"/>
      <c r="Y918" s="928"/>
      <c r="Z918" s="928"/>
      <c r="AA918" s="928"/>
    </row>
    <row r="919" hidden="1">
      <c r="A919" s="935"/>
      <c r="B919" s="932"/>
      <c r="C919" s="928"/>
      <c r="D919" s="928"/>
      <c r="E919" s="928"/>
      <c r="F919" s="928"/>
      <c r="G919" s="928"/>
      <c r="H919" s="928"/>
      <c r="I919" s="928"/>
      <c r="J919" s="928"/>
      <c r="K919" s="928"/>
      <c r="L919" s="928"/>
      <c r="M919" s="928"/>
      <c r="N919" s="928"/>
      <c r="O919" s="928"/>
      <c r="P919" s="928"/>
      <c r="Q919" s="928"/>
      <c r="R919" s="928"/>
      <c r="S919" s="928"/>
      <c r="T919" s="928"/>
      <c r="U919" s="928"/>
      <c r="V919" s="928"/>
      <c r="W919" s="928"/>
      <c r="X919" s="928"/>
      <c r="Y919" s="928"/>
      <c r="Z919" s="928"/>
      <c r="AA919" s="928"/>
    </row>
    <row r="920" hidden="1">
      <c r="A920" s="935"/>
      <c r="B920" s="932"/>
      <c r="C920" s="928"/>
      <c r="D920" s="928"/>
      <c r="E920" s="928"/>
      <c r="F920" s="928"/>
      <c r="G920" s="928"/>
      <c r="H920" s="928"/>
      <c r="I920" s="928"/>
      <c r="J920" s="928"/>
      <c r="K920" s="928"/>
      <c r="L920" s="928"/>
      <c r="M920" s="928"/>
      <c r="N920" s="928"/>
      <c r="O920" s="928"/>
      <c r="P920" s="928"/>
      <c r="Q920" s="928"/>
      <c r="R920" s="928"/>
      <c r="S920" s="928"/>
      <c r="T920" s="928"/>
      <c r="U920" s="928"/>
      <c r="V920" s="928"/>
      <c r="W920" s="928"/>
      <c r="X920" s="928"/>
      <c r="Y920" s="928"/>
      <c r="Z920" s="928"/>
      <c r="AA920" s="928"/>
    </row>
    <row r="921" hidden="1">
      <c r="A921" s="935"/>
      <c r="B921" s="932"/>
      <c r="C921" s="928"/>
      <c r="D921" s="928"/>
      <c r="E921" s="928"/>
      <c r="F921" s="928"/>
      <c r="G921" s="928"/>
      <c r="H921" s="928"/>
      <c r="I921" s="928"/>
      <c r="J921" s="928"/>
      <c r="K921" s="928"/>
      <c r="L921" s="928"/>
      <c r="M921" s="928"/>
      <c r="N921" s="928"/>
      <c r="O921" s="928"/>
      <c r="P921" s="928"/>
      <c r="Q921" s="928"/>
      <c r="R921" s="928"/>
      <c r="S921" s="928"/>
      <c r="T921" s="928"/>
      <c r="U921" s="928"/>
      <c r="V921" s="928"/>
      <c r="W921" s="928"/>
      <c r="X921" s="928"/>
      <c r="Y921" s="928"/>
      <c r="Z921" s="928"/>
      <c r="AA921" s="928"/>
    </row>
    <row r="922" hidden="1">
      <c r="A922" s="935"/>
      <c r="B922" s="932"/>
      <c r="C922" s="928"/>
      <c r="D922" s="928"/>
      <c r="E922" s="928"/>
      <c r="F922" s="928"/>
      <c r="G922" s="928"/>
      <c r="H922" s="928"/>
      <c r="I922" s="928"/>
      <c r="J922" s="928"/>
      <c r="K922" s="928"/>
      <c r="L922" s="928"/>
      <c r="M922" s="928"/>
      <c r="N922" s="928"/>
      <c r="O922" s="928"/>
      <c r="P922" s="928"/>
      <c r="Q922" s="928"/>
      <c r="R922" s="928"/>
      <c r="S922" s="928"/>
      <c r="T922" s="928"/>
      <c r="U922" s="928"/>
      <c r="V922" s="928"/>
      <c r="W922" s="928"/>
      <c r="X922" s="928"/>
      <c r="Y922" s="928"/>
      <c r="Z922" s="928"/>
      <c r="AA922" s="928"/>
    </row>
    <row r="923" hidden="1">
      <c r="A923" s="935"/>
      <c r="B923" s="932"/>
      <c r="C923" s="928"/>
      <c r="D923" s="928"/>
      <c r="E923" s="928"/>
      <c r="F923" s="928"/>
      <c r="G923" s="928"/>
      <c r="H923" s="928"/>
      <c r="I923" s="928"/>
      <c r="J923" s="928"/>
      <c r="K923" s="928"/>
      <c r="L923" s="928"/>
      <c r="M923" s="928"/>
      <c r="N923" s="928"/>
      <c r="O923" s="928"/>
      <c r="P923" s="928"/>
      <c r="Q923" s="928"/>
      <c r="R923" s="928"/>
      <c r="S923" s="928"/>
      <c r="T923" s="928"/>
      <c r="U923" s="928"/>
      <c r="V923" s="928"/>
      <c r="W923" s="928"/>
      <c r="X923" s="928"/>
      <c r="Y923" s="928"/>
      <c r="Z923" s="928"/>
      <c r="AA923" s="928"/>
    </row>
    <row r="924" hidden="1">
      <c r="A924" s="935"/>
      <c r="B924" s="932"/>
      <c r="C924" s="928"/>
      <c r="D924" s="928"/>
      <c r="E924" s="928"/>
      <c r="F924" s="928"/>
      <c r="G924" s="928"/>
      <c r="H924" s="928"/>
      <c r="I924" s="928"/>
      <c r="J924" s="928"/>
      <c r="K924" s="928"/>
      <c r="L924" s="928"/>
      <c r="M924" s="928"/>
      <c r="N924" s="928"/>
      <c r="O924" s="928"/>
      <c r="P924" s="928"/>
      <c r="Q924" s="928"/>
      <c r="R924" s="928"/>
      <c r="S924" s="928"/>
      <c r="T924" s="928"/>
      <c r="U924" s="928"/>
      <c r="V924" s="928"/>
      <c r="W924" s="928"/>
      <c r="X924" s="928"/>
      <c r="Y924" s="928"/>
      <c r="Z924" s="928"/>
      <c r="AA924" s="928"/>
    </row>
    <row r="925" hidden="1">
      <c r="A925" s="935"/>
      <c r="B925" s="932"/>
      <c r="C925" s="928"/>
      <c r="D925" s="928"/>
      <c r="E925" s="928"/>
      <c r="F925" s="928"/>
      <c r="G925" s="928"/>
      <c r="H925" s="928"/>
      <c r="I925" s="928"/>
      <c r="J925" s="928"/>
      <c r="K925" s="928"/>
      <c r="L925" s="928"/>
      <c r="M925" s="928"/>
      <c r="N925" s="928"/>
      <c r="O925" s="928"/>
      <c r="P925" s="928"/>
      <c r="Q925" s="928"/>
      <c r="R925" s="928"/>
      <c r="S925" s="928"/>
      <c r="T925" s="928"/>
      <c r="U925" s="928"/>
      <c r="V925" s="928"/>
      <c r="W925" s="928"/>
      <c r="X925" s="928"/>
      <c r="Y925" s="928"/>
      <c r="Z925" s="928"/>
      <c r="AA925" s="928"/>
    </row>
    <row r="926" hidden="1">
      <c r="A926" s="935"/>
      <c r="B926" s="932"/>
      <c r="C926" s="928"/>
      <c r="D926" s="928"/>
      <c r="E926" s="928"/>
      <c r="F926" s="928"/>
      <c r="G926" s="928"/>
      <c r="H926" s="928"/>
      <c r="I926" s="928"/>
      <c r="J926" s="928"/>
      <c r="K926" s="928"/>
      <c r="L926" s="928"/>
      <c r="M926" s="928"/>
      <c r="N926" s="928"/>
      <c r="O926" s="928"/>
      <c r="P926" s="928"/>
      <c r="Q926" s="928"/>
      <c r="R926" s="928"/>
      <c r="S926" s="928"/>
      <c r="T926" s="928"/>
      <c r="U926" s="928"/>
      <c r="V926" s="928"/>
      <c r="W926" s="928"/>
      <c r="X926" s="928"/>
      <c r="Y926" s="928"/>
      <c r="Z926" s="928"/>
      <c r="AA926" s="928"/>
    </row>
    <row r="927" hidden="1">
      <c r="A927" s="935"/>
      <c r="B927" s="932"/>
      <c r="C927" s="928"/>
      <c r="D927" s="928"/>
      <c r="E927" s="928"/>
      <c r="F927" s="928"/>
      <c r="G927" s="928"/>
      <c r="H927" s="928"/>
      <c r="I927" s="928"/>
      <c r="J927" s="928"/>
      <c r="K927" s="928"/>
      <c r="L927" s="928"/>
      <c r="M927" s="928"/>
      <c r="N927" s="928"/>
      <c r="O927" s="928"/>
      <c r="P927" s="928"/>
      <c r="Q927" s="928"/>
      <c r="R927" s="928"/>
      <c r="S927" s="928"/>
      <c r="T927" s="928"/>
      <c r="U927" s="928"/>
      <c r="V927" s="928"/>
      <c r="W927" s="928"/>
      <c r="X927" s="928"/>
      <c r="Y927" s="928"/>
      <c r="Z927" s="928"/>
      <c r="AA927" s="928"/>
    </row>
    <row r="928" hidden="1">
      <c r="A928" s="935"/>
      <c r="B928" s="932"/>
      <c r="C928" s="928"/>
      <c r="D928" s="928"/>
      <c r="E928" s="928"/>
      <c r="F928" s="928"/>
      <c r="G928" s="928"/>
      <c r="H928" s="928"/>
      <c r="I928" s="928"/>
      <c r="J928" s="928"/>
      <c r="K928" s="928"/>
      <c r="L928" s="928"/>
      <c r="M928" s="928"/>
      <c r="N928" s="928"/>
      <c r="O928" s="928"/>
      <c r="P928" s="928"/>
      <c r="Q928" s="928"/>
      <c r="R928" s="928"/>
      <c r="S928" s="928"/>
      <c r="T928" s="928"/>
      <c r="U928" s="928"/>
      <c r="V928" s="928"/>
      <c r="W928" s="928"/>
      <c r="X928" s="928"/>
      <c r="Y928" s="928"/>
      <c r="Z928" s="928"/>
      <c r="AA928" s="928"/>
    </row>
    <row r="929" hidden="1">
      <c r="A929" s="935"/>
      <c r="B929" s="932"/>
      <c r="C929" s="928"/>
      <c r="D929" s="928"/>
      <c r="E929" s="928"/>
      <c r="F929" s="928"/>
      <c r="G929" s="928"/>
      <c r="H929" s="928"/>
      <c r="I929" s="928"/>
      <c r="J929" s="928"/>
      <c r="K929" s="928"/>
      <c r="L929" s="928"/>
      <c r="M929" s="928"/>
      <c r="N929" s="928"/>
      <c r="O929" s="928"/>
      <c r="P929" s="928"/>
      <c r="Q929" s="928"/>
      <c r="R929" s="928"/>
      <c r="S929" s="928"/>
      <c r="T929" s="928"/>
      <c r="U929" s="928"/>
      <c r="V929" s="928"/>
      <c r="W929" s="928"/>
      <c r="X929" s="928"/>
      <c r="Y929" s="928"/>
      <c r="Z929" s="928"/>
      <c r="AA929" s="928"/>
    </row>
    <row r="930" hidden="1">
      <c r="A930" s="935"/>
      <c r="B930" s="932"/>
      <c r="C930" s="928"/>
      <c r="D930" s="928"/>
      <c r="E930" s="928"/>
      <c r="F930" s="928"/>
      <c r="G930" s="928"/>
      <c r="H930" s="928"/>
      <c r="I930" s="928"/>
      <c r="J930" s="928"/>
      <c r="K930" s="928"/>
      <c r="L930" s="928"/>
      <c r="M930" s="928"/>
      <c r="N930" s="928"/>
      <c r="O930" s="928"/>
      <c r="P930" s="928"/>
      <c r="Q930" s="928"/>
      <c r="R930" s="928"/>
      <c r="S930" s="928"/>
      <c r="T930" s="928"/>
      <c r="U930" s="928"/>
      <c r="V930" s="928"/>
      <c r="W930" s="928"/>
      <c r="X930" s="928"/>
      <c r="Y930" s="928"/>
      <c r="Z930" s="928"/>
      <c r="AA930" s="928"/>
    </row>
    <row r="931" hidden="1">
      <c r="A931" s="935"/>
      <c r="B931" s="932"/>
      <c r="C931" s="928"/>
      <c r="D931" s="928"/>
      <c r="E931" s="928"/>
      <c r="F931" s="928"/>
      <c r="G931" s="928"/>
      <c r="H931" s="928"/>
      <c r="I931" s="928"/>
      <c r="J931" s="928"/>
      <c r="K931" s="928"/>
      <c r="L931" s="928"/>
      <c r="M931" s="928"/>
      <c r="N931" s="928"/>
      <c r="O931" s="928"/>
      <c r="P931" s="928"/>
      <c r="Q931" s="928"/>
      <c r="R931" s="928"/>
      <c r="S931" s="928"/>
      <c r="T931" s="928"/>
      <c r="U931" s="928"/>
      <c r="V931" s="928"/>
      <c r="W931" s="928"/>
      <c r="X931" s="928"/>
      <c r="Y931" s="928"/>
      <c r="Z931" s="928"/>
      <c r="AA931" s="928"/>
    </row>
    <row r="932" hidden="1">
      <c r="A932" s="935"/>
      <c r="B932" s="932"/>
      <c r="C932" s="928"/>
      <c r="D932" s="928"/>
      <c r="E932" s="928"/>
      <c r="F932" s="928"/>
      <c r="G932" s="928"/>
      <c r="H932" s="928"/>
      <c r="I932" s="928"/>
      <c r="J932" s="928"/>
      <c r="K932" s="928"/>
      <c r="L932" s="928"/>
      <c r="M932" s="928"/>
      <c r="N932" s="928"/>
      <c r="O932" s="928"/>
      <c r="P932" s="928"/>
      <c r="Q932" s="928"/>
      <c r="R932" s="928"/>
      <c r="S932" s="928"/>
      <c r="T932" s="928"/>
      <c r="U932" s="928"/>
      <c r="V932" s="928"/>
      <c r="W932" s="928"/>
      <c r="X932" s="928"/>
      <c r="Y932" s="928"/>
      <c r="Z932" s="928"/>
      <c r="AA932" s="928"/>
    </row>
    <row r="933" hidden="1">
      <c r="A933" s="935"/>
      <c r="B933" s="932"/>
      <c r="C933" s="928"/>
      <c r="D933" s="928"/>
      <c r="E933" s="928"/>
      <c r="F933" s="928"/>
      <c r="G933" s="928"/>
      <c r="H933" s="928"/>
      <c r="I933" s="928"/>
      <c r="J933" s="928"/>
      <c r="K933" s="928"/>
      <c r="L933" s="928"/>
      <c r="M933" s="928"/>
      <c r="N933" s="928"/>
      <c r="O933" s="928"/>
      <c r="P933" s="928"/>
      <c r="Q933" s="928"/>
      <c r="R933" s="928"/>
      <c r="S933" s="928"/>
      <c r="T933" s="928"/>
      <c r="U933" s="928"/>
      <c r="V933" s="928"/>
      <c r="W933" s="928"/>
      <c r="X933" s="928"/>
      <c r="Y933" s="928"/>
      <c r="Z933" s="928"/>
      <c r="AA933" s="928"/>
    </row>
    <row r="934" hidden="1">
      <c r="A934" s="935"/>
      <c r="B934" s="932"/>
      <c r="C934" s="928"/>
      <c r="D934" s="928"/>
      <c r="E934" s="928"/>
      <c r="F934" s="928"/>
      <c r="G934" s="928"/>
      <c r="H934" s="928"/>
      <c r="I934" s="928"/>
      <c r="J934" s="928"/>
      <c r="K934" s="928"/>
      <c r="L934" s="928"/>
      <c r="M934" s="928"/>
      <c r="N934" s="928"/>
      <c r="O934" s="928"/>
      <c r="P934" s="928"/>
      <c r="Q934" s="928"/>
      <c r="R934" s="928"/>
      <c r="S934" s="928"/>
      <c r="T934" s="928"/>
      <c r="U934" s="928"/>
      <c r="V934" s="928"/>
      <c r="W934" s="928"/>
      <c r="X934" s="928"/>
      <c r="Y934" s="928"/>
      <c r="Z934" s="928"/>
      <c r="AA934" s="928"/>
    </row>
    <row r="935" hidden="1">
      <c r="A935" s="935"/>
      <c r="B935" s="932"/>
      <c r="C935" s="928"/>
      <c r="D935" s="928"/>
      <c r="E935" s="928"/>
      <c r="F935" s="928"/>
      <c r="G935" s="928"/>
      <c r="H935" s="928"/>
      <c r="I935" s="928"/>
      <c r="J935" s="928"/>
      <c r="K935" s="928"/>
      <c r="L935" s="928"/>
      <c r="M935" s="928"/>
      <c r="N935" s="928"/>
      <c r="O935" s="928"/>
      <c r="P935" s="928"/>
      <c r="Q935" s="928"/>
      <c r="R935" s="928"/>
      <c r="S935" s="928"/>
      <c r="T935" s="928"/>
      <c r="U935" s="928"/>
      <c r="V935" s="928"/>
      <c r="W935" s="928"/>
      <c r="X935" s="928"/>
      <c r="Y935" s="928"/>
      <c r="Z935" s="928"/>
      <c r="AA935" s="928"/>
    </row>
    <row r="936" hidden="1">
      <c r="A936" s="935"/>
      <c r="B936" s="932"/>
      <c r="C936" s="928"/>
      <c r="D936" s="928"/>
      <c r="E936" s="928"/>
      <c r="F936" s="928"/>
      <c r="G936" s="928"/>
      <c r="H936" s="928"/>
      <c r="I936" s="928"/>
      <c r="J936" s="928"/>
      <c r="K936" s="928"/>
      <c r="L936" s="928"/>
      <c r="M936" s="928"/>
      <c r="N936" s="928"/>
      <c r="O936" s="928"/>
      <c r="P936" s="928"/>
      <c r="Q936" s="928"/>
      <c r="R936" s="928"/>
      <c r="S936" s="928"/>
      <c r="T936" s="928"/>
      <c r="U936" s="928"/>
      <c r="V936" s="928"/>
      <c r="W936" s="928"/>
      <c r="X936" s="928"/>
      <c r="Y936" s="928"/>
      <c r="Z936" s="928"/>
      <c r="AA936" s="928"/>
    </row>
    <row r="937" hidden="1">
      <c r="A937" s="935"/>
      <c r="B937" s="932"/>
      <c r="C937" s="928"/>
      <c r="D937" s="928"/>
      <c r="E937" s="928"/>
      <c r="F937" s="928"/>
      <c r="G937" s="928"/>
      <c r="H937" s="928"/>
      <c r="I937" s="928"/>
      <c r="J937" s="928"/>
      <c r="K937" s="928"/>
      <c r="L937" s="928"/>
      <c r="M937" s="928"/>
      <c r="N937" s="928"/>
      <c r="O937" s="928"/>
      <c r="P937" s="928"/>
      <c r="Q937" s="928"/>
      <c r="R937" s="928"/>
      <c r="S937" s="928"/>
      <c r="T937" s="928"/>
      <c r="U937" s="928"/>
      <c r="V937" s="928"/>
      <c r="W937" s="928"/>
      <c r="X937" s="928"/>
      <c r="Y937" s="928"/>
      <c r="Z937" s="928"/>
      <c r="AA937" s="928"/>
    </row>
    <row r="938" hidden="1">
      <c r="A938" s="935"/>
      <c r="B938" s="932"/>
      <c r="C938" s="928"/>
      <c r="D938" s="928"/>
      <c r="E938" s="928"/>
      <c r="F938" s="928"/>
      <c r="G938" s="928"/>
      <c r="H938" s="928"/>
      <c r="I938" s="928"/>
      <c r="J938" s="928"/>
      <c r="K938" s="928"/>
      <c r="L938" s="928"/>
      <c r="M938" s="928"/>
      <c r="N938" s="928"/>
      <c r="O938" s="928"/>
      <c r="P938" s="928"/>
      <c r="Q938" s="928"/>
      <c r="R938" s="928"/>
      <c r="S938" s="928"/>
      <c r="T938" s="928"/>
      <c r="U938" s="928"/>
      <c r="V938" s="928"/>
      <c r="W938" s="928"/>
      <c r="X938" s="928"/>
      <c r="Y938" s="928"/>
      <c r="Z938" s="928"/>
      <c r="AA938" s="928"/>
    </row>
    <row r="939" hidden="1">
      <c r="A939" s="935"/>
      <c r="B939" s="932"/>
      <c r="C939" s="928"/>
      <c r="D939" s="928"/>
      <c r="E939" s="928"/>
      <c r="F939" s="928"/>
      <c r="G939" s="928"/>
      <c r="H939" s="928"/>
      <c r="I939" s="928"/>
      <c r="J939" s="928"/>
      <c r="K939" s="928"/>
      <c r="L939" s="928"/>
      <c r="M939" s="928"/>
      <c r="N939" s="928"/>
      <c r="O939" s="928"/>
      <c r="P939" s="928"/>
      <c r="Q939" s="928"/>
      <c r="R939" s="928"/>
      <c r="S939" s="928"/>
      <c r="T939" s="928"/>
      <c r="U939" s="928"/>
      <c r="V939" s="928"/>
      <c r="W939" s="928"/>
      <c r="X939" s="928"/>
      <c r="Y939" s="928"/>
      <c r="Z939" s="928"/>
      <c r="AA939" s="928"/>
    </row>
    <row r="940" hidden="1">
      <c r="A940" s="935"/>
      <c r="B940" s="932"/>
      <c r="C940" s="928"/>
      <c r="D940" s="928"/>
      <c r="E940" s="928"/>
      <c r="F940" s="928"/>
      <c r="G940" s="928"/>
      <c r="H940" s="928"/>
      <c r="I940" s="928"/>
      <c r="J940" s="928"/>
      <c r="K940" s="928"/>
      <c r="L940" s="928"/>
      <c r="M940" s="928"/>
      <c r="N940" s="928"/>
      <c r="O940" s="928"/>
      <c r="P940" s="928"/>
      <c r="Q940" s="928"/>
      <c r="R940" s="928"/>
      <c r="S940" s="928"/>
      <c r="T940" s="928"/>
      <c r="U940" s="928"/>
      <c r="V940" s="928"/>
      <c r="W940" s="928"/>
      <c r="X940" s="928"/>
      <c r="Y940" s="928"/>
      <c r="Z940" s="928"/>
      <c r="AA940" s="928"/>
    </row>
    <row r="941" hidden="1">
      <c r="A941" s="935"/>
      <c r="B941" s="932"/>
      <c r="C941" s="928"/>
      <c r="D941" s="928"/>
      <c r="E941" s="928"/>
      <c r="F941" s="928"/>
      <c r="G941" s="928"/>
      <c r="H941" s="928"/>
      <c r="I941" s="928"/>
      <c r="J941" s="928"/>
      <c r="K941" s="928"/>
      <c r="L941" s="928"/>
      <c r="M941" s="928"/>
      <c r="N941" s="928"/>
      <c r="O941" s="928"/>
      <c r="P941" s="928"/>
      <c r="Q941" s="928"/>
      <c r="R941" s="928"/>
      <c r="S941" s="928"/>
      <c r="T941" s="928"/>
      <c r="U941" s="928"/>
      <c r="V941" s="928"/>
      <c r="W941" s="928"/>
      <c r="X941" s="928"/>
      <c r="Y941" s="928"/>
      <c r="Z941" s="928"/>
      <c r="AA941" s="928"/>
    </row>
    <row r="942" hidden="1">
      <c r="A942" s="935"/>
      <c r="B942" s="932"/>
      <c r="C942" s="928"/>
      <c r="D942" s="928"/>
      <c r="E942" s="928"/>
      <c r="F942" s="928"/>
      <c r="G942" s="928"/>
      <c r="H942" s="928"/>
      <c r="I942" s="928"/>
      <c r="J942" s="928"/>
      <c r="K942" s="928"/>
      <c r="L942" s="928"/>
      <c r="M942" s="928"/>
      <c r="N942" s="928"/>
      <c r="O942" s="928"/>
      <c r="P942" s="928"/>
      <c r="Q942" s="928"/>
      <c r="R942" s="928"/>
      <c r="S942" s="928"/>
      <c r="T942" s="928"/>
      <c r="U942" s="928"/>
      <c r="V942" s="928"/>
      <c r="W942" s="928"/>
      <c r="X942" s="928"/>
      <c r="Y942" s="928"/>
      <c r="Z942" s="928"/>
      <c r="AA942" s="928"/>
    </row>
    <row r="943" hidden="1">
      <c r="A943" s="935"/>
      <c r="B943" s="932"/>
      <c r="C943" s="928"/>
      <c r="D943" s="928"/>
      <c r="E943" s="928"/>
      <c r="F943" s="928"/>
      <c r="G943" s="928"/>
      <c r="H943" s="928"/>
      <c r="I943" s="928"/>
      <c r="J943" s="928"/>
      <c r="K943" s="928"/>
      <c r="L943" s="928"/>
      <c r="M943" s="928"/>
      <c r="N943" s="928"/>
      <c r="O943" s="928"/>
      <c r="P943" s="928"/>
      <c r="Q943" s="928"/>
      <c r="R943" s="928"/>
      <c r="S943" s="928"/>
      <c r="T943" s="928"/>
      <c r="U943" s="928"/>
      <c r="V943" s="928"/>
      <c r="W943" s="928"/>
      <c r="X943" s="928"/>
      <c r="Y943" s="928"/>
      <c r="Z943" s="928"/>
      <c r="AA943" s="928"/>
    </row>
    <row r="944" hidden="1">
      <c r="A944" s="935"/>
      <c r="B944" s="932"/>
      <c r="C944" s="928"/>
      <c r="D944" s="928"/>
      <c r="E944" s="928"/>
      <c r="F944" s="928"/>
      <c r="G944" s="928"/>
      <c r="H944" s="928"/>
      <c r="I944" s="928"/>
      <c r="J944" s="928"/>
      <c r="K944" s="928"/>
      <c r="L944" s="928"/>
      <c r="M944" s="928"/>
      <c r="N944" s="928"/>
      <c r="O944" s="928"/>
      <c r="P944" s="928"/>
      <c r="Q944" s="928"/>
      <c r="R944" s="928"/>
      <c r="S944" s="928"/>
      <c r="T944" s="928"/>
      <c r="U944" s="928"/>
      <c r="V944" s="928"/>
      <c r="W944" s="928"/>
      <c r="X944" s="928"/>
      <c r="Y944" s="928"/>
      <c r="Z944" s="928"/>
      <c r="AA944" s="928"/>
    </row>
    <row r="945" hidden="1">
      <c r="A945" s="935"/>
      <c r="B945" s="932"/>
      <c r="C945" s="928"/>
      <c r="D945" s="928"/>
      <c r="E945" s="928"/>
      <c r="F945" s="928"/>
      <c r="G945" s="928"/>
      <c r="H945" s="928"/>
      <c r="I945" s="928"/>
      <c r="J945" s="928"/>
      <c r="K945" s="928"/>
      <c r="L945" s="928"/>
      <c r="M945" s="928"/>
      <c r="N945" s="928"/>
      <c r="O945" s="928"/>
      <c r="P945" s="928"/>
      <c r="Q945" s="928"/>
      <c r="R945" s="928"/>
      <c r="S945" s="928"/>
      <c r="T945" s="928"/>
      <c r="U945" s="928"/>
      <c r="V945" s="928"/>
      <c r="W945" s="928"/>
      <c r="X945" s="928"/>
      <c r="Y945" s="928"/>
      <c r="Z945" s="928"/>
      <c r="AA945" s="928"/>
    </row>
    <row r="946" hidden="1">
      <c r="A946" s="935"/>
      <c r="B946" s="932"/>
      <c r="C946" s="928"/>
      <c r="D946" s="928"/>
      <c r="E946" s="928"/>
      <c r="F946" s="928"/>
      <c r="G946" s="928"/>
      <c r="H946" s="928"/>
      <c r="I946" s="928"/>
      <c r="J946" s="928"/>
      <c r="K946" s="928"/>
      <c r="L946" s="928"/>
      <c r="M946" s="928"/>
      <c r="N946" s="928"/>
      <c r="O946" s="928"/>
      <c r="P946" s="928"/>
      <c r="Q946" s="928"/>
      <c r="R946" s="928"/>
      <c r="S946" s="928"/>
      <c r="T946" s="928"/>
      <c r="U946" s="928"/>
      <c r="V946" s="928"/>
      <c r="W946" s="928"/>
      <c r="X946" s="928"/>
      <c r="Y946" s="928"/>
      <c r="Z946" s="928"/>
      <c r="AA946" s="928"/>
    </row>
    <row r="947" hidden="1">
      <c r="A947" s="935"/>
      <c r="B947" s="932"/>
      <c r="C947" s="928"/>
      <c r="D947" s="928"/>
      <c r="E947" s="928"/>
      <c r="F947" s="928"/>
      <c r="G947" s="928"/>
      <c r="H947" s="928"/>
      <c r="I947" s="928"/>
      <c r="J947" s="928"/>
      <c r="K947" s="928"/>
      <c r="L947" s="928"/>
      <c r="M947" s="928"/>
      <c r="N947" s="928"/>
      <c r="O947" s="928"/>
      <c r="P947" s="928"/>
      <c r="Q947" s="928"/>
      <c r="R947" s="928"/>
      <c r="S947" s="928"/>
      <c r="T947" s="928"/>
      <c r="U947" s="928"/>
      <c r="V947" s="928"/>
      <c r="W947" s="928"/>
      <c r="X947" s="928"/>
      <c r="Y947" s="928"/>
      <c r="Z947" s="928"/>
      <c r="AA947" s="928"/>
    </row>
    <row r="948" hidden="1">
      <c r="A948" s="935"/>
      <c r="B948" s="932"/>
      <c r="C948" s="928"/>
      <c r="D948" s="928"/>
      <c r="E948" s="928"/>
      <c r="F948" s="928"/>
      <c r="G948" s="928"/>
      <c r="H948" s="928"/>
      <c r="I948" s="928"/>
      <c r="J948" s="928"/>
      <c r="K948" s="928"/>
      <c r="L948" s="928"/>
      <c r="M948" s="928"/>
      <c r="N948" s="928"/>
      <c r="O948" s="928"/>
      <c r="P948" s="928"/>
      <c r="Q948" s="928"/>
      <c r="R948" s="928"/>
      <c r="S948" s="928"/>
      <c r="T948" s="928"/>
      <c r="U948" s="928"/>
      <c r="V948" s="928"/>
      <c r="W948" s="928"/>
      <c r="X948" s="928"/>
      <c r="Y948" s="928"/>
      <c r="Z948" s="928"/>
      <c r="AA948" s="928"/>
    </row>
    <row r="949" hidden="1">
      <c r="A949" s="935"/>
      <c r="B949" s="932"/>
      <c r="C949" s="928"/>
      <c r="D949" s="928"/>
      <c r="E949" s="928"/>
      <c r="F949" s="928"/>
      <c r="G949" s="928"/>
      <c r="H949" s="928"/>
      <c r="I949" s="928"/>
      <c r="J949" s="928"/>
      <c r="K949" s="928"/>
      <c r="L949" s="928"/>
      <c r="M949" s="928"/>
      <c r="N949" s="928"/>
      <c r="O949" s="928"/>
      <c r="P949" s="928"/>
      <c r="Q949" s="928"/>
      <c r="R949" s="928"/>
      <c r="S949" s="928"/>
      <c r="T949" s="928"/>
      <c r="U949" s="928"/>
      <c r="V949" s="928"/>
      <c r="W949" s="928"/>
      <c r="X949" s="928"/>
      <c r="Y949" s="928"/>
      <c r="Z949" s="928"/>
      <c r="AA949" s="928"/>
    </row>
    <row r="950" hidden="1">
      <c r="A950" s="935"/>
      <c r="B950" s="932"/>
      <c r="C950" s="928"/>
      <c r="D950" s="928"/>
      <c r="E950" s="928"/>
      <c r="F950" s="928"/>
      <c r="G950" s="928"/>
      <c r="H950" s="928"/>
      <c r="I950" s="928"/>
      <c r="J950" s="928"/>
      <c r="K950" s="928"/>
      <c r="L950" s="928"/>
      <c r="M950" s="928"/>
      <c r="N950" s="928"/>
      <c r="O950" s="928"/>
      <c r="P950" s="928"/>
      <c r="Q950" s="928"/>
      <c r="R950" s="928"/>
      <c r="S950" s="928"/>
      <c r="T950" s="928"/>
      <c r="U950" s="928"/>
      <c r="V950" s="928"/>
      <c r="W950" s="928"/>
      <c r="X950" s="928"/>
      <c r="Y950" s="928"/>
      <c r="Z950" s="928"/>
      <c r="AA950" s="928"/>
    </row>
    <row r="951" hidden="1">
      <c r="A951" s="935"/>
      <c r="B951" s="932"/>
      <c r="C951" s="928"/>
      <c r="D951" s="928"/>
      <c r="E951" s="928"/>
      <c r="F951" s="928"/>
      <c r="G951" s="928"/>
      <c r="H951" s="928"/>
      <c r="I951" s="928"/>
      <c r="J951" s="928"/>
      <c r="K951" s="928"/>
      <c r="L951" s="928"/>
      <c r="M951" s="928"/>
      <c r="N951" s="928"/>
      <c r="O951" s="928"/>
      <c r="P951" s="928"/>
      <c r="Q951" s="928"/>
      <c r="R951" s="928"/>
      <c r="S951" s="928"/>
      <c r="T951" s="928"/>
      <c r="U951" s="928"/>
      <c r="V951" s="928"/>
      <c r="W951" s="928"/>
      <c r="X951" s="928"/>
      <c r="Y951" s="928"/>
      <c r="Z951" s="928"/>
      <c r="AA951" s="928"/>
    </row>
    <row r="952" hidden="1">
      <c r="A952" s="935"/>
      <c r="B952" s="932"/>
      <c r="C952" s="928"/>
      <c r="D952" s="928"/>
      <c r="E952" s="928"/>
      <c r="F952" s="928"/>
      <c r="G952" s="928"/>
      <c r="H952" s="928"/>
      <c r="I952" s="928"/>
      <c r="J952" s="928"/>
      <c r="K952" s="928"/>
      <c r="L952" s="928"/>
      <c r="M952" s="928"/>
      <c r="N952" s="928"/>
      <c r="O952" s="928"/>
      <c r="P952" s="928"/>
      <c r="Q952" s="928"/>
      <c r="R952" s="928"/>
      <c r="S952" s="928"/>
      <c r="T952" s="928"/>
      <c r="U952" s="928"/>
      <c r="V952" s="928"/>
      <c r="W952" s="928"/>
      <c r="X952" s="928"/>
      <c r="Y952" s="928"/>
      <c r="Z952" s="928"/>
      <c r="AA952" s="928"/>
    </row>
    <row r="953" hidden="1">
      <c r="A953" s="935"/>
      <c r="B953" s="932"/>
      <c r="C953" s="928"/>
      <c r="D953" s="928"/>
      <c r="E953" s="928"/>
      <c r="F953" s="928"/>
      <c r="G953" s="928"/>
      <c r="H953" s="928"/>
      <c r="I953" s="928"/>
      <c r="J953" s="928"/>
      <c r="K953" s="928"/>
      <c r="L953" s="928"/>
      <c r="M953" s="928"/>
      <c r="N953" s="928"/>
      <c r="O953" s="928"/>
      <c r="P953" s="928"/>
      <c r="Q953" s="928"/>
      <c r="R953" s="928"/>
      <c r="S953" s="928"/>
      <c r="T953" s="928"/>
      <c r="U953" s="928"/>
      <c r="V953" s="928"/>
      <c r="W953" s="928"/>
      <c r="X953" s="928"/>
      <c r="Y953" s="928"/>
      <c r="Z953" s="928"/>
      <c r="AA953" s="928"/>
    </row>
    <row r="954" hidden="1">
      <c r="A954" s="935"/>
      <c r="B954" s="932"/>
      <c r="C954" s="928"/>
      <c r="D954" s="928"/>
      <c r="E954" s="928"/>
      <c r="F954" s="928"/>
      <c r="G954" s="928"/>
      <c r="H954" s="928"/>
      <c r="I954" s="928"/>
      <c r="J954" s="928"/>
      <c r="K954" s="928"/>
      <c r="L954" s="928"/>
      <c r="M954" s="928"/>
      <c r="N954" s="928"/>
      <c r="O954" s="928"/>
      <c r="P954" s="928"/>
      <c r="Q954" s="928"/>
      <c r="R954" s="928"/>
      <c r="S954" s="928"/>
      <c r="T954" s="928"/>
      <c r="U954" s="928"/>
      <c r="V954" s="928"/>
      <c r="W954" s="928"/>
      <c r="X954" s="928"/>
      <c r="Y954" s="928"/>
      <c r="Z954" s="928"/>
      <c r="AA954" s="928"/>
    </row>
    <row r="955" hidden="1">
      <c r="A955" s="935"/>
      <c r="B955" s="932"/>
      <c r="C955" s="928"/>
      <c r="D955" s="928"/>
      <c r="E955" s="928"/>
      <c r="F955" s="928"/>
      <c r="G955" s="928"/>
      <c r="H955" s="928"/>
      <c r="I955" s="928"/>
      <c r="J955" s="928"/>
      <c r="K955" s="928"/>
      <c r="L955" s="928"/>
      <c r="M955" s="928"/>
      <c r="N955" s="928"/>
      <c r="O955" s="928"/>
      <c r="P955" s="928"/>
      <c r="Q955" s="928"/>
      <c r="R955" s="928"/>
      <c r="S955" s="928"/>
      <c r="T955" s="928"/>
      <c r="U955" s="928"/>
      <c r="V955" s="928"/>
      <c r="W955" s="928"/>
      <c r="X955" s="928"/>
      <c r="Y955" s="928"/>
      <c r="Z955" s="928"/>
      <c r="AA955" s="928"/>
    </row>
    <row r="956" hidden="1">
      <c r="A956" s="935"/>
      <c r="B956" s="932"/>
      <c r="C956" s="928"/>
      <c r="D956" s="928"/>
      <c r="E956" s="928"/>
      <c r="F956" s="928"/>
      <c r="G956" s="928"/>
      <c r="H956" s="928"/>
      <c r="I956" s="928"/>
      <c r="J956" s="928"/>
      <c r="K956" s="928"/>
      <c r="L956" s="928"/>
      <c r="M956" s="928"/>
      <c r="N956" s="928"/>
      <c r="O956" s="928"/>
      <c r="P956" s="928"/>
      <c r="Q956" s="928"/>
      <c r="R956" s="928"/>
      <c r="S956" s="928"/>
      <c r="T956" s="928"/>
      <c r="U956" s="928"/>
      <c r="V956" s="928"/>
      <c r="W956" s="928"/>
      <c r="X956" s="928"/>
      <c r="Y956" s="928"/>
      <c r="Z956" s="928"/>
      <c r="AA956" s="928"/>
    </row>
    <row r="957" hidden="1">
      <c r="A957" s="935"/>
      <c r="B957" s="932"/>
      <c r="C957" s="928"/>
      <c r="D957" s="928"/>
      <c r="E957" s="928"/>
      <c r="F957" s="928"/>
      <c r="G957" s="928"/>
      <c r="H957" s="928"/>
      <c r="I957" s="928"/>
      <c r="J957" s="928"/>
      <c r="K957" s="928"/>
      <c r="L957" s="928"/>
      <c r="M957" s="928"/>
      <c r="N957" s="928"/>
      <c r="O957" s="928"/>
      <c r="P957" s="928"/>
      <c r="Q957" s="928"/>
      <c r="R957" s="928"/>
      <c r="S957" s="928"/>
      <c r="T957" s="928"/>
      <c r="U957" s="928"/>
      <c r="V957" s="928"/>
      <c r="W957" s="928"/>
      <c r="X957" s="928"/>
      <c r="Y957" s="928"/>
      <c r="Z957" s="928"/>
      <c r="AA957" s="928"/>
    </row>
    <row r="958" hidden="1">
      <c r="A958" s="935"/>
      <c r="B958" s="932"/>
      <c r="C958" s="928"/>
      <c r="D958" s="928"/>
      <c r="E958" s="928"/>
      <c r="F958" s="928"/>
      <c r="G958" s="928"/>
      <c r="H958" s="928"/>
      <c r="I958" s="928"/>
      <c r="J958" s="928"/>
      <c r="K958" s="928"/>
      <c r="L958" s="928"/>
      <c r="M958" s="928"/>
      <c r="N958" s="928"/>
      <c r="O958" s="928"/>
      <c r="P958" s="928"/>
      <c r="Q958" s="928"/>
      <c r="R958" s="928"/>
      <c r="S958" s="928"/>
      <c r="T958" s="928"/>
      <c r="U958" s="928"/>
      <c r="V958" s="928"/>
      <c r="W958" s="928"/>
      <c r="X958" s="928"/>
      <c r="Y958" s="928"/>
      <c r="Z958" s="928"/>
      <c r="AA958" s="928"/>
    </row>
    <row r="959" hidden="1">
      <c r="A959" s="935"/>
      <c r="B959" s="932"/>
      <c r="C959" s="928"/>
      <c r="D959" s="928"/>
      <c r="E959" s="928"/>
      <c r="F959" s="928"/>
      <c r="G959" s="928"/>
      <c r="H959" s="928"/>
      <c r="I959" s="928"/>
      <c r="J959" s="928"/>
      <c r="K959" s="928"/>
      <c r="L959" s="928"/>
      <c r="M959" s="928"/>
      <c r="N959" s="928"/>
      <c r="O959" s="928"/>
      <c r="P959" s="928"/>
      <c r="Q959" s="928"/>
      <c r="R959" s="928"/>
      <c r="S959" s="928"/>
      <c r="T959" s="928"/>
      <c r="U959" s="928"/>
      <c r="V959" s="928"/>
      <c r="W959" s="928"/>
      <c r="X959" s="928"/>
      <c r="Y959" s="928"/>
      <c r="Z959" s="928"/>
      <c r="AA959" s="928"/>
    </row>
    <row r="960" hidden="1">
      <c r="A960" s="935"/>
      <c r="B960" s="932"/>
      <c r="C960" s="928"/>
      <c r="D960" s="928"/>
      <c r="E960" s="928"/>
      <c r="F960" s="928"/>
      <c r="G960" s="928"/>
      <c r="H960" s="928"/>
      <c r="I960" s="928"/>
      <c r="J960" s="928"/>
      <c r="K960" s="928"/>
      <c r="L960" s="928"/>
      <c r="M960" s="928"/>
      <c r="N960" s="928"/>
      <c r="O960" s="928"/>
      <c r="P960" s="928"/>
      <c r="Q960" s="928"/>
      <c r="R960" s="928"/>
      <c r="S960" s="928"/>
      <c r="T960" s="928"/>
      <c r="U960" s="928"/>
      <c r="V960" s="928"/>
      <c r="W960" s="928"/>
      <c r="X960" s="928"/>
      <c r="Y960" s="928"/>
      <c r="Z960" s="928"/>
      <c r="AA960" s="928"/>
    </row>
    <row r="961" hidden="1">
      <c r="A961" s="935"/>
      <c r="B961" s="932"/>
      <c r="C961" s="928"/>
      <c r="D961" s="928"/>
      <c r="E961" s="928"/>
      <c r="F961" s="928"/>
      <c r="G961" s="928"/>
      <c r="H961" s="928"/>
      <c r="I961" s="928"/>
      <c r="J961" s="928"/>
      <c r="K961" s="928"/>
      <c r="L961" s="928"/>
      <c r="M961" s="928"/>
      <c r="N961" s="928"/>
      <c r="O961" s="928"/>
      <c r="P961" s="928"/>
      <c r="Q961" s="928"/>
      <c r="R961" s="928"/>
      <c r="S961" s="928"/>
      <c r="T961" s="928"/>
      <c r="U961" s="928"/>
      <c r="V961" s="928"/>
      <c r="W961" s="928"/>
      <c r="X961" s="928"/>
      <c r="Y961" s="928"/>
      <c r="Z961" s="928"/>
      <c r="AA961" s="928"/>
    </row>
    <row r="962" hidden="1">
      <c r="A962" s="935"/>
      <c r="B962" s="932"/>
      <c r="C962" s="928"/>
      <c r="D962" s="928"/>
      <c r="E962" s="928"/>
      <c r="F962" s="928"/>
      <c r="G962" s="928"/>
      <c r="H962" s="928"/>
      <c r="I962" s="928"/>
      <c r="J962" s="928"/>
      <c r="K962" s="928"/>
      <c r="L962" s="928"/>
      <c r="M962" s="928"/>
      <c r="N962" s="928"/>
      <c r="O962" s="928"/>
      <c r="P962" s="928"/>
      <c r="Q962" s="928"/>
      <c r="R962" s="928"/>
      <c r="S962" s="928"/>
      <c r="T962" s="928"/>
      <c r="U962" s="928"/>
      <c r="V962" s="928"/>
      <c r="W962" s="928"/>
      <c r="X962" s="928"/>
      <c r="Y962" s="928"/>
      <c r="Z962" s="928"/>
      <c r="AA962" s="928"/>
    </row>
    <row r="963" hidden="1">
      <c r="A963" s="935"/>
      <c r="B963" s="932"/>
      <c r="C963" s="928"/>
      <c r="D963" s="928"/>
      <c r="E963" s="928"/>
      <c r="F963" s="928"/>
      <c r="G963" s="928"/>
      <c r="H963" s="928"/>
      <c r="I963" s="928"/>
      <c r="J963" s="928"/>
      <c r="K963" s="928"/>
      <c r="L963" s="928"/>
      <c r="M963" s="928"/>
      <c r="N963" s="928"/>
      <c r="O963" s="928"/>
      <c r="P963" s="928"/>
      <c r="Q963" s="928"/>
      <c r="R963" s="928"/>
      <c r="S963" s="928"/>
      <c r="T963" s="928"/>
      <c r="U963" s="928"/>
      <c r="V963" s="928"/>
      <c r="W963" s="928"/>
      <c r="X963" s="928"/>
      <c r="Y963" s="928"/>
      <c r="Z963" s="928"/>
      <c r="AA963" s="928"/>
    </row>
    <row r="964" hidden="1">
      <c r="A964" s="935"/>
      <c r="B964" s="932"/>
      <c r="C964" s="928"/>
      <c r="D964" s="928"/>
      <c r="E964" s="928"/>
      <c r="F964" s="928"/>
      <c r="G964" s="928"/>
      <c r="H964" s="928"/>
      <c r="I964" s="928"/>
      <c r="J964" s="928"/>
      <c r="K964" s="928"/>
      <c r="L964" s="928"/>
      <c r="M964" s="928"/>
      <c r="N964" s="928"/>
      <c r="O964" s="928"/>
      <c r="P964" s="928"/>
      <c r="Q964" s="928"/>
      <c r="R964" s="928"/>
      <c r="S964" s="928"/>
      <c r="T964" s="928"/>
      <c r="U964" s="928"/>
      <c r="V964" s="928"/>
      <c r="W964" s="928"/>
      <c r="X964" s="928"/>
      <c r="Y964" s="928"/>
      <c r="Z964" s="928"/>
      <c r="AA964" s="928"/>
    </row>
    <row r="965" hidden="1">
      <c r="A965" s="935"/>
      <c r="B965" s="932"/>
      <c r="C965" s="928"/>
      <c r="D965" s="928"/>
      <c r="E965" s="928"/>
      <c r="F965" s="928"/>
      <c r="G965" s="928"/>
      <c r="H965" s="928"/>
      <c r="I965" s="928"/>
      <c r="J965" s="928"/>
      <c r="K965" s="928"/>
      <c r="L965" s="928"/>
      <c r="M965" s="928"/>
      <c r="N965" s="928"/>
      <c r="O965" s="928"/>
      <c r="P965" s="928"/>
      <c r="Q965" s="928"/>
      <c r="R965" s="928"/>
      <c r="S965" s="928"/>
      <c r="T965" s="928"/>
      <c r="U965" s="928"/>
      <c r="V965" s="928"/>
      <c r="W965" s="928"/>
      <c r="X965" s="928"/>
      <c r="Y965" s="928"/>
      <c r="Z965" s="928"/>
      <c r="AA965" s="928"/>
    </row>
    <row r="966" hidden="1">
      <c r="A966" s="935"/>
      <c r="B966" s="932"/>
      <c r="C966" s="928"/>
      <c r="D966" s="928"/>
      <c r="E966" s="928"/>
      <c r="F966" s="928"/>
      <c r="G966" s="928"/>
      <c r="H966" s="928"/>
      <c r="I966" s="928"/>
      <c r="J966" s="928"/>
      <c r="K966" s="928"/>
      <c r="L966" s="928"/>
      <c r="M966" s="928"/>
      <c r="N966" s="928"/>
      <c r="O966" s="928"/>
      <c r="P966" s="928"/>
      <c r="Q966" s="928"/>
      <c r="R966" s="928"/>
      <c r="S966" s="928"/>
      <c r="T966" s="928"/>
      <c r="U966" s="928"/>
      <c r="V966" s="928"/>
      <c r="W966" s="928"/>
      <c r="X966" s="928"/>
      <c r="Y966" s="928"/>
      <c r="Z966" s="928"/>
      <c r="AA966" s="928"/>
    </row>
    <row r="967" hidden="1">
      <c r="A967" s="935"/>
      <c r="B967" s="932"/>
      <c r="C967" s="928"/>
      <c r="D967" s="928"/>
      <c r="E967" s="928"/>
      <c r="F967" s="928"/>
      <c r="G967" s="928"/>
      <c r="H967" s="928"/>
      <c r="I967" s="928"/>
      <c r="J967" s="928"/>
      <c r="K967" s="928"/>
      <c r="L967" s="928"/>
      <c r="M967" s="928"/>
      <c r="N967" s="928"/>
      <c r="O967" s="928"/>
      <c r="P967" s="928"/>
      <c r="Q967" s="928"/>
      <c r="R967" s="928"/>
      <c r="S967" s="928"/>
      <c r="T967" s="928"/>
      <c r="U967" s="928"/>
      <c r="V967" s="928"/>
      <c r="W967" s="928"/>
      <c r="X967" s="928"/>
      <c r="Y967" s="928"/>
      <c r="Z967" s="928"/>
      <c r="AA967" s="928"/>
    </row>
    <row r="968" hidden="1">
      <c r="A968" s="935"/>
      <c r="B968" s="932"/>
      <c r="C968" s="928"/>
      <c r="D968" s="928"/>
      <c r="E968" s="928"/>
      <c r="F968" s="928"/>
      <c r="G968" s="928"/>
      <c r="H968" s="928"/>
      <c r="I968" s="928"/>
      <c r="J968" s="928"/>
      <c r="K968" s="928"/>
      <c r="L968" s="928"/>
      <c r="M968" s="928"/>
      <c r="N968" s="928"/>
      <c r="O968" s="928"/>
      <c r="P968" s="928"/>
      <c r="Q968" s="928"/>
      <c r="R968" s="928"/>
      <c r="S968" s="928"/>
      <c r="T968" s="928"/>
      <c r="U968" s="928"/>
      <c r="V968" s="928"/>
      <c r="W968" s="928"/>
      <c r="X968" s="928"/>
      <c r="Y968" s="928"/>
      <c r="Z968" s="928"/>
      <c r="AA968" s="928"/>
    </row>
    <row r="969" hidden="1">
      <c r="A969" s="935"/>
      <c r="B969" s="932"/>
      <c r="C969" s="928"/>
      <c r="D969" s="928"/>
      <c r="E969" s="928"/>
      <c r="F969" s="928"/>
      <c r="G969" s="928"/>
      <c r="H969" s="928"/>
      <c r="I969" s="928"/>
      <c r="J969" s="928"/>
      <c r="K969" s="928"/>
      <c r="L969" s="928"/>
      <c r="M969" s="928"/>
      <c r="N969" s="928"/>
      <c r="O969" s="928"/>
      <c r="P969" s="928"/>
      <c r="Q969" s="928"/>
      <c r="R969" s="928"/>
      <c r="S969" s="928"/>
      <c r="T969" s="928"/>
      <c r="U969" s="928"/>
      <c r="V969" s="928"/>
      <c r="W969" s="928"/>
      <c r="X969" s="928"/>
      <c r="Y969" s="928"/>
      <c r="Z969" s="928"/>
      <c r="AA969" s="928"/>
    </row>
    <row r="970" hidden="1">
      <c r="A970" s="935"/>
      <c r="B970" s="932"/>
      <c r="C970" s="928"/>
      <c r="D970" s="928"/>
      <c r="E970" s="928"/>
      <c r="F970" s="928"/>
      <c r="G970" s="928"/>
      <c r="H970" s="928"/>
      <c r="I970" s="928"/>
      <c r="J970" s="928"/>
      <c r="K970" s="928"/>
      <c r="L970" s="928"/>
      <c r="M970" s="928"/>
      <c r="N970" s="928"/>
      <c r="O970" s="928"/>
      <c r="P970" s="928"/>
      <c r="Q970" s="928"/>
      <c r="R970" s="928"/>
      <c r="S970" s="928"/>
      <c r="T970" s="928"/>
      <c r="U970" s="928"/>
      <c r="V970" s="928"/>
      <c r="W970" s="928"/>
      <c r="X970" s="928"/>
      <c r="Y970" s="928"/>
      <c r="Z970" s="928"/>
      <c r="AA970" s="928"/>
    </row>
    <row r="971" hidden="1">
      <c r="A971" s="935"/>
      <c r="B971" s="932"/>
      <c r="C971" s="928"/>
      <c r="D971" s="928"/>
      <c r="E971" s="928"/>
      <c r="F971" s="928"/>
      <c r="G971" s="928"/>
      <c r="H971" s="928"/>
      <c r="I971" s="928"/>
      <c r="J971" s="928"/>
      <c r="K971" s="928"/>
      <c r="L971" s="928"/>
      <c r="M971" s="928"/>
      <c r="N971" s="928"/>
      <c r="O971" s="928"/>
      <c r="P971" s="928"/>
      <c r="Q971" s="928"/>
      <c r="R971" s="928"/>
      <c r="S971" s="928"/>
      <c r="T971" s="928"/>
      <c r="U971" s="928"/>
      <c r="V971" s="928"/>
      <c r="W971" s="928"/>
      <c r="X971" s="928"/>
      <c r="Y971" s="928"/>
      <c r="Z971" s="928"/>
      <c r="AA971" s="928"/>
    </row>
    <row r="972" hidden="1">
      <c r="A972" s="935"/>
      <c r="B972" s="932"/>
      <c r="C972" s="928"/>
      <c r="D972" s="928"/>
      <c r="E972" s="928"/>
      <c r="F972" s="928"/>
      <c r="G972" s="928"/>
      <c r="H972" s="928"/>
      <c r="I972" s="928"/>
      <c r="J972" s="928"/>
      <c r="K972" s="928"/>
      <c r="L972" s="928"/>
      <c r="M972" s="928"/>
      <c r="N972" s="928"/>
      <c r="O972" s="928"/>
      <c r="P972" s="928"/>
      <c r="Q972" s="928"/>
      <c r="R972" s="928"/>
      <c r="S972" s="928"/>
      <c r="T972" s="928"/>
      <c r="U972" s="928"/>
      <c r="V972" s="928"/>
      <c r="W972" s="928"/>
      <c r="X972" s="928"/>
      <c r="Y972" s="928"/>
      <c r="Z972" s="928"/>
      <c r="AA972" s="928"/>
    </row>
    <row r="973" hidden="1">
      <c r="A973" s="935"/>
      <c r="B973" s="932"/>
      <c r="C973" s="928"/>
      <c r="D973" s="928"/>
      <c r="E973" s="928"/>
      <c r="F973" s="928"/>
      <c r="G973" s="928"/>
      <c r="H973" s="928"/>
      <c r="I973" s="928"/>
      <c r="J973" s="928"/>
      <c r="K973" s="928"/>
      <c r="L973" s="928"/>
      <c r="M973" s="928"/>
      <c r="N973" s="928"/>
      <c r="O973" s="928"/>
      <c r="P973" s="928"/>
      <c r="Q973" s="928"/>
      <c r="R973" s="928"/>
      <c r="S973" s="928"/>
      <c r="T973" s="928"/>
      <c r="U973" s="928"/>
      <c r="V973" s="928"/>
      <c r="W973" s="928"/>
      <c r="X973" s="928"/>
      <c r="Y973" s="928"/>
      <c r="Z973" s="928"/>
      <c r="AA973" s="928"/>
    </row>
    <row r="974" hidden="1">
      <c r="A974" s="935"/>
      <c r="B974" s="932"/>
      <c r="C974" s="928"/>
      <c r="D974" s="928"/>
      <c r="E974" s="928"/>
      <c r="F974" s="928"/>
      <c r="G974" s="928"/>
      <c r="H974" s="928"/>
      <c r="I974" s="928"/>
      <c r="J974" s="928"/>
      <c r="K974" s="928"/>
      <c r="L974" s="928"/>
      <c r="M974" s="928"/>
      <c r="N974" s="928"/>
      <c r="O974" s="928"/>
      <c r="P974" s="928"/>
      <c r="Q974" s="928"/>
      <c r="R974" s="928"/>
      <c r="S974" s="928"/>
      <c r="T974" s="928"/>
      <c r="U974" s="928"/>
      <c r="V974" s="928"/>
      <c r="W974" s="928"/>
      <c r="X974" s="928"/>
      <c r="Y974" s="928"/>
      <c r="Z974" s="928"/>
      <c r="AA974" s="928"/>
    </row>
    <row r="975" hidden="1">
      <c r="A975" s="935"/>
      <c r="B975" s="932"/>
      <c r="C975" s="928"/>
      <c r="D975" s="928"/>
      <c r="E975" s="928"/>
      <c r="F975" s="928"/>
      <c r="G975" s="928"/>
      <c r="H975" s="928"/>
      <c r="I975" s="928"/>
      <c r="J975" s="928"/>
      <c r="K975" s="928"/>
      <c r="L975" s="928"/>
      <c r="M975" s="928"/>
      <c r="N975" s="928"/>
      <c r="O975" s="928"/>
      <c r="P975" s="928"/>
      <c r="Q975" s="928"/>
      <c r="R975" s="928"/>
      <c r="S975" s="928"/>
      <c r="T975" s="928"/>
      <c r="U975" s="928"/>
      <c r="V975" s="928"/>
      <c r="W975" s="928"/>
      <c r="X975" s="928"/>
      <c r="Y975" s="928"/>
      <c r="Z975" s="928"/>
      <c r="AA975" s="928"/>
    </row>
    <row r="976" hidden="1">
      <c r="A976" s="935"/>
      <c r="B976" s="932"/>
      <c r="C976" s="928"/>
      <c r="D976" s="928"/>
      <c r="E976" s="928"/>
      <c r="F976" s="928"/>
      <c r="G976" s="928"/>
      <c r="H976" s="928"/>
      <c r="I976" s="928"/>
      <c r="J976" s="928"/>
      <c r="K976" s="928"/>
      <c r="L976" s="928"/>
      <c r="M976" s="928"/>
      <c r="N976" s="928"/>
      <c r="O976" s="928"/>
      <c r="P976" s="928"/>
      <c r="Q976" s="928"/>
      <c r="R976" s="928"/>
      <c r="S976" s="928"/>
      <c r="T976" s="928"/>
      <c r="U976" s="928"/>
      <c r="V976" s="928"/>
      <c r="W976" s="928"/>
      <c r="X976" s="928"/>
      <c r="Y976" s="928"/>
      <c r="Z976" s="928"/>
      <c r="AA976" s="928"/>
    </row>
    <row r="977" hidden="1">
      <c r="A977" s="935"/>
      <c r="B977" s="932"/>
      <c r="C977" s="928"/>
      <c r="D977" s="928"/>
      <c r="E977" s="928"/>
      <c r="F977" s="928"/>
      <c r="G977" s="928"/>
      <c r="H977" s="928"/>
      <c r="I977" s="928"/>
      <c r="J977" s="928"/>
      <c r="K977" s="928"/>
      <c r="L977" s="928"/>
      <c r="M977" s="928"/>
      <c r="N977" s="928"/>
      <c r="O977" s="928"/>
      <c r="P977" s="928"/>
      <c r="Q977" s="928"/>
      <c r="R977" s="928"/>
      <c r="S977" s="928"/>
      <c r="T977" s="928"/>
      <c r="U977" s="928"/>
      <c r="V977" s="928"/>
      <c r="W977" s="928"/>
      <c r="X977" s="928"/>
      <c r="Y977" s="928"/>
      <c r="Z977" s="928"/>
      <c r="AA977" s="928"/>
    </row>
    <row r="978" hidden="1">
      <c r="A978" s="935"/>
      <c r="B978" s="932"/>
      <c r="C978" s="928"/>
      <c r="D978" s="928"/>
      <c r="E978" s="928"/>
      <c r="F978" s="928"/>
      <c r="G978" s="928"/>
      <c r="H978" s="928"/>
      <c r="I978" s="928"/>
      <c r="J978" s="928"/>
      <c r="K978" s="928"/>
      <c r="L978" s="928"/>
      <c r="M978" s="928"/>
      <c r="N978" s="928"/>
      <c r="O978" s="928"/>
      <c r="P978" s="928"/>
      <c r="Q978" s="928"/>
      <c r="R978" s="928"/>
      <c r="S978" s="928"/>
      <c r="T978" s="928"/>
      <c r="U978" s="928"/>
      <c r="V978" s="928"/>
      <c r="W978" s="928"/>
      <c r="X978" s="928"/>
      <c r="Y978" s="928"/>
      <c r="Z978" s="928"/>
      <c r="AA978" s="928"/>
    </row>
    <row r="979" hidden="1">
      <c r="A979" s="935"/>
      <c r="B979" s="932"/>
      <c r="C979" s="928"/>
      <c r="D979" s="928"/>
      <c r="E979" s="928"/>
      <c r="F979" s="928"/>
      <c r="G979" s="928"/>
      <c r="H979" s="928"/>
      <c r="I979" s="928"/>
      <c r="J979" s="928"/>
      <c r="K979" s="928"/>
      <c r="L979" s="928"/>
      <c r="M979" s="928"/>
      <c r="N979" s="928"/>
      <c r="O979" s="928"/>
      <c r="P979" s="928"/>
      <c r="Q979" s="928"/>
      <c r="R979" s="928"/>
      <c r="S979" s="928"/>
      <c r="T979" s="928"/>
      <c r="U979" s="928"/>
      <c r="V979" s="928"/>
      <c r="W979" s="928"/>
      <c r="X979" s="928"/>
      <c r="Y979" s="928"/>
      <c r="Z979" s="928"/>
      <c r="AA979" s="928"/>
    </row>
    <row r="980" hidden="1">
      <c r="A980" s="935"/>
      <c r="B980" s="932"/>
      <c r="C980" s="928"/>
      <c r="D980" s="928"/>
      <c r="E980" s="928"/>
      <c r="F980" s="928"/>
      <c r="G980" s="928"/>
      <c r="H980" s="928"/>
      <c r="I980" s="928"/>
      <c r="J980" s="928"/>
      <c r="K980" s="928"/>
      <c r="L980" s="928"/>
      <c r="M980" s="928"/>
      <c r="N980" s="928"/>
      <c r="O980" s="928"/>
      <c r="P980" s="928"/>
      <c r="Q980" s="928"/>
      <c r="R980" s="928"/>
      <c r="S980" s="928"/>
      <c r="T980" s="928"/>
      <c r="U980" s="928"/>
      <c r="V980" s="928"/>
      <c r="W980" s="928"/>
      <c r="X980" s="928"/>
      <c r="Y980" s="928"/>
      <c r="Z980" s="928"/>
      <c r="AA980" s="928"/>
    </row>
    <row r="981" hidden="1">
      <c r="A981" s="935"/>
      <c r="B981" s="932"/>
      <c r="C981" s="928"/>
      <c r="D981" s="928"/>
      <c r="E981" s="928"/>
      <c r="F981" s="928"/>
      <c r="G981" s="928"/>
      <c r="H981" s="928"/>
      <c r="I981" s="928"/>
      <c r="J981" s="928"/>
      <c r="K981" s="928"/>
      <c r="L981" s="928"/>
      <c r="M981" s="928"/>
      <c r="N981" s="928"/>
      <c r="O981" s="928"/>
      <c r="P981" s="928"/>
      <c r="Q981" s="928"/>
      <c r="R981" s="928"/>
      <c r="S981" s="928"/>
      <c r="T981" s="928"/>
      <c r="U981" s="928"/>
      <c r="V981" s="928"/>
      <c r="W981" s="928"/>
      <c r="X981" s="928"/>
      <c r="Y981" s="928"/>
      <c r="Z981" s="928"/>
      <c r="AA981" s="928"/>
    </row>
    <row r="982" hidden="1">
      <c r="A982" s="935"/>
      <c r="B982" s="932"/>
      <c r="C982" s="928"/>
      <c r="D982" s="928"/>
      <c r="E982" s="928"/>
      <c r="F982" s="928"/>
      <c r="G982" s="928"/>
      <c r="H982" s="928"/>
      <c r="I982" s="928"/>
      <c r="J982" s="928"/>
      <c r="K982" s="928"/>
      <c r="L982" s="928"/>
      <c r="M982" s="928"/>
      <c r="N982" s="928"/>
      <c r="O982" s="928"/>
      <c r="P982" s="928"/>
      <c r="Q982" s="928"/>
      <c r="R982" s="928"/>
      <c r="S982" s="928"/>
      <c r="T982" s="928"/>
      <c r="U982" s="928"/>
      <c r="V982" s="928"/>
      <c r="W982" s="928"/>
      <c r="X982" s="928"/>
      <c r="Y982" s="928"/>
      <c r="Z982" s="928"/>
      <c r="AA982" s="928"/>
    </row>
    <row r="983" hidden="1">
      <c r="A983" s="935"/>
      <c r="B983" s="932"/>
      <c r="C983" s="928"/>
      <c r="D983" s="928"/>
      <c r="E983" s="928"/>
      <c r="F983" s="928"/>
      <c r="G983" s="928"/>
      <c r="H983" s="928"/>
      <c r="I983" s="928"/>
      <c r="J983" s="928"/>
      <c r="K983" s="928"/>
      <c r="L983" s="928"/>
      <c r="M983" s="928"/>
      <c r="N983" s="928"/>
      <c r="O983" s="928"/>
      <c r="P983" s="928"/>
      <c r="Q983" s="928"/>
      <c r="R983" s="928"/>
      <c r="S983" s="928"/>
      <c r="T983" s="928"/>
      <c r="U983" s="928"/>
      <c r="V983" s="928"/>
      <c r="W983" s="928"/>
      <c r="X983" s="928"/>
      <c r="Y983" s="928"/>
      <c r="Z983" s="928"/>
      <c r="AA983" s="928"/>
    </row>
    <row r="984" hidden="1">
      <c r="A984" s="935"/>
      <c r="B984" s="932"/>
      <c r="C984" s="928"/>
      <c r="D984" s="928"/>
      <c r="E984" s="928"/>
      <c r="F984" s="928"/>
      <c r="G984" s="928"/>
      <c r="H984" s="928"/>
      <c r="I984" s="928"/>
      <c r="J984" s="928"/>
      <c r="K984" s="928"/>
      <c r="L984" s="928"/>
      <c r="M984" s="928"/>
      <c r="N984" s="928"/>
      <c r="O984" s="928"/>
      <c r="P984" s="928"/>
      <c r="Q984" s="928"/>
      <c r="R984" s="928"/>
      <c r="S984" s="928"/>
      <c r="T984" s="928"/>
      <c r="U984" s="928"/>
      <c r="V984" s="928"/>
      <c r="W984" s="928"/>
      <c r="X984" s="928"/>
      <c r="Y984" s="928"/>
      <c r="Z984" s="928"/>
      <c r="AA984" s="928"/>
    </row>
    <row r="985" hidden="1">
      <c r="A985" s="935"/>
      <c r="B985" s="932"/>
      <c r="C985" s="928"/>
      <c r="D985" s="928"/>
      <c r="E985" s="928"/>
      <c r="F985" s="928"/>
      <c r="G985" s="928"/>
      <c r="H985" s="928"/>
      <c r="I985" s="928"/>
      <c r="J985" s="928"/>
      <c r="K985" s="928"/>
      <c r="L985" s="928"/>
      <c r="M985" s="928"/>
      <c r="N985" s="928"/>
      <c r="O985" s="928"/>
      <c r="P985" s="928"/>
      <c r="Q985" s="928"/>
      <c r="R985" s="928"/>
      <c r="S985" s="928"/>
      <c r="T985" s="928"/>
      <c r="U985" s="928"/>
      <c r="V985" s="928"/>
      <c r="W985" s="928"/>
      <c r="X985" s="928"/>
      <c r="Y985" s="928"/>
      <c r="Z985" s="928"/>
      <c r="AA985" s="928"/>
    </row>
    <row r="986" hidden="1">
      <c r="A986" s="935"/>
      <c r="B986" s="932"/>
      <c r="C986" s="928"/>
      <c r="D986" s="928"/>
      <c r="E986" s="928"/>
      <c r="F986" s="928"/>
      <c r="G986" s="928"/>
      <c r="H986" s="928"/>
      <c r="I986" s="928"/>
      <c r="J986" s="928"/>
      <c r="K986" s="928"/>
      <c r="L986" s="928"/>
      <c r="M986" s="928"/>
      <c r="N986" s="928"/>
      <c r="O986" s="928"/>
      <c r="P986" s="928"/>
      <c r="Q986" s="928"/>
      <c r="R986" s="928"/>
      <c r="S986" s="928"/>
      <c r="T986" s="928"/>
      <c r="U986" s="928"/>
      <c r="V986" s="928"/>
      <c r="W986" s="928"/>
      <c r="X986" s="928"/>
      <c r="Y986" s="928"/>
      <c r="Z986" s="928"/>
      <c r="AA986" s="928"/>
    </row>
    <row r="987" hidden="1">
      <c r="A987" s="935"/>
      <c r="B987" s="932"/>
      <c r="C987" s="928"/>
      <c r="D987" s="928"/>
      <c r="E987" s="928"/>
      <c r="F987" s="928"/>
      <c r="G987" s="928"/>
      <c r="H987" s="928"/>
      <c r="I987" s="928"/>
      <c r="J987" s="928"/>
      <c r="K987" s="928"/>
      <c r="L987" s="928"/>
      <c r="M987" s="928"/>
      <c r="N987" s="928"/>
      <c r="O987" s="928"/>
      <c r="P987" s="928"/>
      <c r="Q987" s="928"/>
      <c r="R987" s="928"/>
      <c r="S987" s="928"/>
      <c r="T987" s="928"/>
      <c r="U987" s="928"/>
      <c r="V987" s="928"/>
      <c r="W987" s="928"/>
      <c r="X987" s="928"/>
      <c r="Y987" s="928"/>
      <c r="Z987" s="928"/>
      <c r="AA987" s="928"/>
    </row>
    <row r="988" hidden="1">
      <c r="A988" s="935"/>
      <c r="B988" s="932"/>
      <c r="C988" s="928"/>
      <c r="D988" s="928"/>
      <c r="E988" s="928"/>
      <c r="F988" s="928"/>
      <c r="G988" s="928"/>
      <c r="H988" s="928"/>
      <c r="I988" s="928"/>
      <c r="J988" s="928"/>
      <c r="K988" s="928"/>
      <c r="L988" s="928"/>
      <c r="M988" s="928"/>
      <c r="N988" s="928"/>
      <c r="O988" s="928"/>
      <c r="P988" s="928"/>
      <c r="Q988" s="928"/>
      <c r="R988" s="928"/>
      <c r="S988" s="928"/>
      <c r="T988" s="928"/>
      <c r="U988" s="928"/>
      <c r="V988" s="928"/>
      <c r="W988" s="928"/>
      <c r="X988" s="928"/>
      <c r="Y988" s="928"/>
      <c r="Z988" s="928"/>
      <c r="AA988" s="928"/>
    </row>
    <row r="989" hidden="1">
      <c r="A989" s="935"/>
      <c r="B989" s="932"/>
      <c r="C989" s="928"/>
      <c r="D989" s="928"/>
      <c r="E989" s="928"/>
      <c r="F989" s="928"/>
      <c r="G989" s="928"/>
      <c r="H989" s="928"/>
      <c r="I989" s="928"/>
      <c r="J989" s="928"/>
      <c r="K989" s="928"/>
      <c r="L989" s="928"/>
      <c r="M989" s="928"/>
      <c r="N989" s="928"/>
      <c r="O989" s="928"/>
      <c r="P989" s="928"/>
      <c r="Q989" s="928"/>
      <c r="R989" s="928"/>
      <c r="S989" s="928"/>
      <c r="T989" s="928"/>
      <c r="U989" s="928"/>
      <c r="V989" s="928"/>
      <c r="W989" s="928"/>
      <c r="X989" s="928"/>
      <c r="Y989" s="928"/>
      <c r="Z989" s="928"/>
      <c r="AA989" s="928"/>
    </row>
    <row r="990" hidden="1">
      <c r="A990" s="935"/>
      <c r="B990" s="932"/>
      <c r="C990" s="928"/>
      <c r="D990" s="928"/>
      <c r="E990" s="928"/>
      <c r="F990" s="928"/>
      <c r="G990" s="928"/>
      <c r="H990" s="928"/>
      <c r="I990" s="928"/>
      <c r="J990" s="928"/>
      <c r="K990" s="928"/>
      <c r="L990" s="928"/>
      <c r="M990" s="928"/>
      <c r="N990" s="928"/>
      <c r="O990" s="928"/>
      <c r="P990" s="928"/>
      <c r="Q990" s="928"/>
      <c r="R990" s="928"/>
      <c r="S990" s="928"/>
      <c r="T990" s="928"/>
      <c r="U990" s="928"/>
      <c r="V990" s="928"/>
      <c r="W990" s="928"/>
      <c r="X990" s="928"/>
      <c r="Y990" s="928"/>
      <c r="Z990" s="928"/>
      <c r="AA990" s="928"/>
    </row>
    <row r="991" hidden="1">
      <c r="A991" s="935"/>
      <c r="B991" s="932"/>
      <c r="C991" s="928"/>
      <c r="D991" s="928"/>
      <c r="E991" s="928"/>
      <c r="F991" s="928"/>
      <c r="G991" s="928"/>
      <c r="H991" s="928"/>
      <c r="I991" s="928"/>
      <c r="J991" s="928"/>
      <c r="K991" s="928"/>
      <c r="L991" s="928"/>
      <c r="M991" s="928"/>
      <c r="N991" s="928"/>
      <c r="O991" s="928"/>
      <c r="P991" s="928"/>
      <c r="Q991" s="928"/>
      <c r="R991" s="928"/>
      <c r="S991" s="928"/>
      <c r="T991" s="928"/>
      <c r="U991" s="928"/>
      <c r="V991" s="928"/>
      <c r="W991" s="928"/>
      <c r="X991" s="928"/>
      <c r="Y991" s="928"/>
      <c r="Z991" s="928"/>
      <c r="AA991" s="928"/>
    </row>
    <row r="992" hidden="1">
      <c r="A992" s="935"/>
      <c r="B992" s="932"/>
      <c r="C992" s="928"/>
      <c r="D992" s="928"/>
      <c r="E992" s="928"/>
      <c r="F992" s="928"/>
      <c r="G992" s="928"/>
      <c r="H992" s="928"/>
      <c r="I992" s="928"/>
      <c r="J992" s="928"/>
      <c r="K992" s="928"/>
      <c r="L992" s="928"/>
      <c r="M992" s="928"/>
      <c r="N992" s="928"/>
      <c r="O992" s="928"/>
      <c r="P992" s="928"/>
      <c r="Q992" s="928"/>
      <c r="R992" s="928"/>
      <c r="S992" s="928"/>
      <c r="T992" s="928"/>
      <c r="U992" s="928"/>
      <c r="V992" s="928"/>
      <c r="W992" s="928"/>
      <c r="X992" s="928"/>
      <c r="Y992" s="928"/>
      <c r="Z992" s="928"/>
      <c r="AA992" s="928"/>
    </row>
    <row r="993" hidden="1">
      <c r="A993" s="935"/>
      <c r="B993" s="932"/>
      <c r="C993" s="928"/>
      <c r="D993" s="928"/>
      <c r="E993" s="928"/>
      <c r="F993" s="928"/>
      <c r="G993" s="928"/>
      <c r="H993" s="928"/>
      <c r="I993" s="928"/>
      <c r="J993" s="928"/>
      <c r="K993" s="928"/>
      <c r="L993" s="928"/>
      <c r="M993" s="928"/>
      <c r="N993" s="928"/>
      <c r="O993" s="928"/>
      <c r="P993" s="928"/>
      <c r="Q993" s="928"/>
      <c r="R993" s="928"/>
      <c r="S993" s="928"/>
      <c r="T993" s="928"/>
      <c r="U993" s="928"/>
      <c r="V993" s="928"/>
      <c r="W993" s="928"/>
      <c r="X993" s="928"/>
      <c r="Y993" s="928"/>
      <c r="Z993" s="928"/>
      <c r="AA993" s="928"/>
    </row>
    <row r="994" hidden="1">
      <c r="A994" s="935"/>
      <c r="B994" s="932"/>
      <c r="C994" s="928"/>
      <c r="D994" s="928"/>
      <c r="E994" s="928"/>
      <c r="F994" s="928"/>
      <c r="G994" s="928"/>
      <c r="H994" s="928"/>
      <c r="I994" s="928"/>
      <c r="J994" s="928"/>
      <c r="K994" s="928"/>
      <c r="L994" s="928"/>
      <c r="M994" s="928"/>
      <c r="N994" s="928"/>
      <c r="O994" s="928"/>
      <c r="P994" s="928"/>
      <c r="Q994" s="928"/>
      <c r="R994" s="928"/>
      <c r="S994" s="928"/>
      <c r="T994" s="928"/>
      <c r="U994" s="928"/>
      <c r="V994" s="928"/>
      <c r="W994" s="928"/>
      <c r="X994" s="928"/>
      <c r="Y994" s="928"/>
      <c r="Z994" s="928"/>
      <c r="AA994" s="928"/>
    </row>
    <row r="995" hidden="1">
      <c r="A995" s="935"/>
      <c r="B995" s="932"/>
      <c r="C995" s="928"/>
      <c r="D995" s="928"/>
      <c r="E995" s="928"/>
      <c r="F995" s="928"/>
      <c r="G995" s="928"/>
      <c r="H995" s="928"/>
      <c r="I995" s="928"/>
      <c r="J995" s="928"/>
      <c r="K995" s="928"/>
      <c r="L995" s="928"/>
      <c r="M995" s="928"/>
      <c r="N995" s="928"/>
      <c r="O995" s="928"/>
      <c r="P995" s="928"/>
      <c r="Q995" s="928"/>
      <c r="R995" s="928"/>
      <c r="S995" s="928"/>
      <c r="T995" s="928"/>
      <c r="U995" s="928"/>
      <c r="V995" s="928"/>
      <c r="W995" s="928"/>
      <c r="X995" s="928"/>
      <c r="Y995" s="928"/>
      <c r="Z995" s="928"/>
      <c r="AA995" s="928"/>
    </row>
    <row r="996" hidden="1">
      <c r="A996" s="935"/>
      <c r="B996" s="932"/>
      <c r="C996" s="928"/>
      <c r="D996" s="928"/>
      <c r="E996" s="928"/>
      <c r="F996" s="928"/>
      <c r="G996" s="928"/>
      <c r="H996" s="928"/>
      <c r="I996" s="928"/>
      <c r="J996" s="928"/>
      <c r="K996" s="928"/>
      <c r="L996" s="928"/>
      <c r="M996" s="928"/>
      <c r="N996" s="928"/>
      <c r="O996" s="928"/>
      <c r="P996" s="928"/>
      <c r="Q996" s="928"/>
      <c r="R996" s="928"/>
      <c r="S996" s="928"/>
      <c r="T996" s="928"/>
      <c r="U996" s="928"/>
      <c r="V996" s="928"/>
      <c r="W996" s="928"/>
      <c r="X996" s="928"/>
      <c r="Y996" s="928"/>
      <c r="Z996" s="928"/>
      <c r="AA996" s="928"/>
    </row>
    <row r="997" hidden="1">
      <c r="A997" s="935"/>
      <c r="B997" s="932"/>
      <c r="C997" s="928"/>
      <c r="D997" s="928"/>
      <c r="E997" s="928"/>
      <c r="F997" s="928"/>
      <c r="G997" s="928"/>
      <c r="H997" s="928"/>
      <c r="I997" s="928"/>
      <c r="J997" s="928"/>
      <c r="K997" s="928"/>
      <c r="L997" s="928"/>
      <c r="M997" s="928"/>
      <c r="N997" s="928"/>
      <c r="O997" s="928"/>
      <c r="P997" s="928"/>
      <c r="Q997" s="928"/>
      <c r="R997" s="928"/>
      <c r="S997" s="928"/>
      <c r="T997" s="928"/>
      <c r="U997" s="928"/>
      <c r="V997" s="928"/>
      <c r="W997" s="928"/>
      <c r="X997" s="928"/>
      <c r="Y997" s="928"/>
      <c r="Z997" s="928"/>
      <c r="AA997" s="928"/>
    </row>
    <row r="998" hidden="1">
      <c r="A998" s="935"/>
      <c r="B998" s="932"/>
      <c r="C998" s="928"/>
      <c r="D998" s="928"/>
      <c r="E998" s="928"/>
      <c r="F998" s="928"/>
      <c r="G998" s="928"/>
      <c r="H998" s="928"/>
      <c r="I998" s="928"/>
      <c r="J998" s="928"/>
      <c r="K998" s="928"/>
      <c r="L998" s="928"/>
      <c r="M998" s="928"/>
      <c r="N998" s="928"/>
      <c r="O998" s="928"/>
      <c r="P998" s="928"/>
      <c r="Q998" s="928"/>
      <c r="R998" s="928"/>
      <c r="S998" s="928"/>
      <c r="T998" s="928"/>
      <c r="U998" s="928"/>
      <c r="V998" s="928"/>
      <c r="W998" s="928"/>
      <c r="X998" s="928"/>
      <c r="Y998" s="928"/>
      <c r="Z998" s="928"/>
      <c r="AA998" s="928"/>
    </row>
    <row r="999" hidden="1">
      <c r="A999" s="935"/>
      <c r="B999" s="932"/>
      <c r="C999" s="928"/>
      <c r="D999" s="928"/>
      <c r="E999" s="928"/>
      <c r="F999" s="928"/>
      <c r="G999" s="928"/>
      <c r="H999" s="928"/>
      <c r="I999" s="928"/>
      <c r="J999" s="928"/>
      <c r="K999" s="928"/>
      <c r="L999" s="928"/>
      <c r="M999" s="928"/>
      <c r="N999" s="928"/>
      <c r="O999" s="928"/>
      <c r="P999" s="928"/>
      <c r="Q999" s="928"/>
      <c r="R999" s="928"/>
      <c r="S999" s="928"/>
      <c r="T999" s="928"/>
      <c r="U999" s="928"/>
      <c r="V999" s="928"/>
      <c r="W999" s="928"/>
      <c r="X999" s="928"/>
      <c r="Y999" s="928"/>
      <c r="Z999" s="928"/>
      <c r="AA999" s="928"/>
    </row>
    <row r="1000" hidden="1">
      <c r="A1000" s="935"/>
      <c r="B1000" s="932"/>
      <c r="C1000" s="928"/>
      <c r="D1000" s="928"/>
      <c r="E1000" s="928"/>
      <c r="F1000" s="928"/>
      <c r="G1000" s="928"/>
      <c r="H1000" s="928"/>
      <c r="I1000" s="928"/>
      <c r="J1000" s="928"/>
      <c r="K1000" s="928"/>
      <c r="L1000" s="928"/>
      <c r="M1000" s="928"/>
      <c r="N1000" s="928"/>
      <c r="O1000" s="928"/>
      <c r="P1000" s="928"/>
      <c r="Q1000" s="928"/>
      <c r="R1000" s="928"/>
      <c r="S1000" s="928"/>
      <c r="T1000" s="928"/>
      <c r="U1000" s="928"/>
      <c r="V1000" s="928"/>
      <c r="W1000" s="928"/>
      <c r="X1000" s="928"/>
      <c r="Y1000" s="928"/>
      <c r="Z1000" s="928"/>
      <c r="AA1000" s="928"/>
    </row>
    <row r="1001" hidden="1">
      <c r="A1001" s="935"/>
      <c r="B1001" s="932"/>
      <c r="C1001" s="928"/>
      <c r="D1001" s="928"/>
      <c r="E1001" s="928"/>
      <c r="F1001" s="928"/>
      <c r="G1001" s="928"/>
      <c r="H1001" s="928"/>
      <c r="I1001" s="928"/>
      <c r="J1001" s="928"/>
      <c r="K1001" s="928"/>
      <c r="L1001" s="928"/>
      <c r="M1001" s="928"/>
      <c r="N1001" s="928"/>
      <c r="O1001" s="928"/>
      <c r="P1001" s="928"/>
      <c r="Q1001" s="928"/>
      <c r="R1001" s="928"/>
      <c r="S1001" s="928"/>
      <c r="T1001" s="928"/>
      <c r="U1001" s="928"/>
      <c r="V1001" s="928"/>
      <c r="W1001" s="928"/>
      <c r="X1001" s="928"/>
      <c r="Y1001" s="928"/>
      <c r="Z1001" s="928"/>
      <c r="AA1001" s="928"/>
    </row>
    <row r="1002" hidden="1">
      <c r="A1002" s="935"/>
      <c r="B1002" s="932"/>
      <c r="C1002" s="928"/>
      <c r="D1002" s="928"/>
      <c r="E1002" s="928"/>
      <c r="F1002" s="928"/>
      <c r="G1002" s="928"/>
      <c r="H1002" s="928"/>
      <c r="I1002" s="928"/>
      <c r="J1002" s="928"/>
      <c r="K1002" s="928"/>
      <c r="L1002" s="928"/>
      <c r="M1002" s="928"/>
      <c r="N1002" s="928"/>
      <c r="O1002" s="928"/>
      <c r="P1002" s="928"/>
      <c r="Q1002" s="928"/>
      <c r="R1002" s="928"/>
      <c r="S1002" s="928"/>
      <c r="T1002" s="928"/>
      <c r="U1002" s="928"/>
      <c r="V1002" s="928"/>
      <c r="W1002" s="928"/>
      <c r="X1002" s="928"/>
      <c r="Y1002" s="928"/>
      <c r="Z1002" s="928"/>
      <c r="AA1002" s="928"/>
    </row>
    <row r="1003" hidden="1">
      <c r="A1003" s="935"/>
      <c r="B1003" s="932"/>
      <c r="C1003" s="928"/>
      <c r="D1003" s="928"/>
      <c r="E1003" s="928"/>
      <c r="F1003" s="928"/>
      <c r="G1003" s="928"/>
      <c r="H1003" s="928"/>
      <c r="I1003" s="928"/>
      <c r="J1003" s="928"/>
      <c r="K1003" s="928"/>
      <c r="L1003" s="928"/>
      <c r="M1003" s="928"/>
      <c r="N1003" s="928"/>
      <c r="O1003" s="928"/>
      <c r="P1003" s="928"/>
      <c r="Q1003" s="928"/>
      <c r="R1003" s="928"/>
      <c r="S1003" s="928"/>
      <c r="T1003" s="928"/>
      <c r="U1003" s="928"/>
      <c r="V1003" s="928"/>
      <c r="W1003" s="928"/>
      <c r="X1003" s="928"/>
      <c r="Y1003" s="928"/>
      <c r="Z1003" s="928"/>
      <c r="AA1003" s="928"/>
    </row>
    <row r="1004" hidden="1">
      <c r="A1004" s="935"/>
      <c r="B1004" s="932"/>
      <c r="C1004" s="928"/>
      <c r="D1004" s="928"/>
      <c r="E1004" s="928"/>
      <c r="F1004" s="928"/>
      <c r="G1004" s="928"/>
      <c r="H1004" s="928"/>
      <c r="I1004" s="928"/>
      <c r="J1004" s="928"/>
      <c r="K1004" s="928"/>
      <c r="L1004" s="928"/>
      <c r="M1004" s="928"/>
      <c r="N1004" s="928"/>
      <c r="O1004" s="928"/>
      <c r="P1004" s="928"/>
      <c r="Q1004" s="928"/>
      <c r="R1004" s="928"/>
      <c r="S1004" s="928"/>
      <c r="T1004" s="928"/>
      <c r="U1004" s="928"/>
      <c r="V1004" s="928"/>
      <c r="W1004" s="928"/>
      <c r="X1004" s="928"/>
      <c r="Y1004" s="928"/>
      <c r="Z1004" s="928"/>
      <c r="AA1004" s="928"/>
    </row>
    <row r="1005" hidden="1">
      <c r="A1005" s="935"/>
      <c r="B1005" s="932"/>
      <c r="C1005" s="928"/>
      <c r="D1005" s="928"/>
      <c r="E1005" s="928"/>
      <c r="F1005" s="928"/>
      <c r="G1005" s="928"/>
      <c r="H1005" s="928"/>
      <c r="I1005" s="928"/>
      <c r="J1005" s="928"/>
      <c r="K1005" s="928"/>
      <c r="L1005" s="928"/>
      <c r="M1005" s="928"/>
      <c r="N1005" s="928"/>
      <c r="O1005" s="928"/>
      <c r="P1005" s="928"/>
      <c r="Q1005" s="928"/>
      <c r="R1005" s="928"/>
      <c r="S1005" s="928"/>
      <c r="T1005" s="928"/>
      <c r="U1005" s="928"/>
      <c r="V1005" s="928"/>
      <c r="W1005" s="928"/>
      <c r="X1005" s="928"/>
      <c r="Y1005" s="928"/>
      <c r="Z1005" s="928"/>
      <c r="AA1005" s="928"/>
    </row>
    <row r="1006" hidden="1">
      <c r="A1006" s="935"/>
      <c r="B1006" s="932"/>
      <c r="C1006" s="928"/>
      <c r="D1006" s="928"/>
      <c r="E1006" s="928"/>
      <c r="F1006" s="928"/>
      <c r="G1006" s="928"/>
      <c r="H1006" s="928"/>
      <c r="I1006" s="928"/>
      <c r="J1006" s="928"/>
      <c r="K1006" s="928"/>
      <c r="L1006" s="928"/>
      <c r="M1006" s="928"/>
      <c r="N1006" s="928"/>
      <c r="O1006" s="928"/>
      <c r="P1006" s="928"/>
      <c r="Q1006" s="928"/>
      <c r="R1006" s="928"/>
      <c r="S1006" s="928"/>
      <c r="T1006" s="928"/>
      <c r="U1006" s="928"/>
      <c r="V1006" s="928"/>
      <c r="W1006" s="928"/>
      <c r="X1006" s="928"/>
      <c r="Y1006" s="928"/>
      <c r="Z1006" s="928"/>
      <c r="AA1006" s="928"/>
    </row>
    <row r="1007" hidden="1">
      <c r="A1007" s="935"/>
      <c r="B1007" s="932"/>
      <c r="C1007" s="928"/>
      <c r="D1007" s="928"/>
      <c r="E1007" s="928"/>
      <c r="F1007" s="928"/>
      <c r="G1007" s="928"/>
      <c r="H1007" s="928"/>
      <c r="I1007" s="928"/>
      <c r="J1007" s="928"/>
      <c r="K1007" s="928"/>
      <c r="L1007" s="928"/>
      <c r="M1007" s="928"/>
      <c r="N1007" s="928"/>
      <c r="O1007" s="928"/>
      <c r="P1007" s="928"/>
      <c r="Q1007" s="928"/>
      <c r="R1007" s="928"/>
      <c r="S1007" s="928"/>
      <c r="T1007" s="928"/>
      <c r="U1007" s="928"/>
      <c r="V1007" s="928"/>
      <c r="W1007" s="928"/>
      <c r="X1007" s="928"/>
      <c r="Y1007" s="928"/>
      <c r="Z1007" s="928"/>
      <c r="AA1007" s="928"/>
    </row>
    <row r="1008" hidden="1">
      <c r="A1008" s="935"/>
      <c r="B1008" s="932"/>
      <c r="C1008" s="928"/>
      <c r="D1008" s="928"/>
      <c r="E1008" s="928"/>
      <c r="F1008" s="928"/>
      <c r="G1008" s="928"/>
      <c r="H1008" s="928"/>
      <c r="I1008" s="928"/>
      <c r="J1008" s="928"/>
      <c r="K1008" s="928"/>
      <c r="L1008" s="928"/>
      <c r="M1008" s="928"/>
      <c r="N1008" s="928"/>
      <c r="O1008" s="928"/>
      <c r="P1008" s="928"/>
      <c r="Q1008" s="928"/>
      <c r="R1008" s="928"/>
      <c r="S1008" s="928"/>
      <c r="T1008" s="928"/>
      <c r="U1008" s="928"/>
      <c r="V1008" s="928"/>
      <c r="W1008" s="928"/>
      <c r="X1008" s="928"/>
      <c r="Y1008" s="928"/>
      <c r="Z1008" s="928"/>
      <c r="AA1008" s="928"/>
    </row>
    <row r="1009" hidden="1">
      <c r="A1009" s="935"/>
      <c r="B1009" s="932"/>
      <c r="C1009" s="928"/>
      <c r="D1009" s="928"/>
      <c r="E1009" s="928"/>
      <c r="F1009" s="928"/>
      <c r="G1009" s="928"/>
      <c r="H1009" s="928"/>
      <c r="I1009" s="928"/>
      <c r="J1009" s="928"/>
      <c r="K1009" s="928"/>
      <c r="L1009" s="928"/>
      <c r="M1009" s="928"/>
      <c r="N1009" s="928"/>
      <c r="O1009" s="928"/>
      <c r="P1009" s="928"/>
      <c r="Q1009" s="928"/>
      <c r="R1009" s="928"/>
      <c r="S1009" s="928"/>
      <c r="T1009" s="928"/>
      <c r="U1009" s="928"/>
      <c r="V1009" s="928"/>
      <c r="W1009" s="928"/>
      <c r="X1009" s="928"/>
      <c r="Y1009" s="928"/>
      <c r="Z1009" s="928"/>
      <c r="AA1009" s="928"/>
    </row>
    <row r="1010" hidden="1">
      <c r="A1010" s="935"/>
      <c r="B1010" s="932"/>
      <c r="C1010" s="928"/>
      <c r="D1010" s="928"/>
      <c r="E1010" s="928"/>
      <c r="F1010" s="928"/>
      <c r="G1010" s="928"/>
      <c r="H1010" s="928"/>
      <c r="I1010" s="928"/>
      <c r="J1010" s="928"/>
      <c r="K1010" s="928"/>
      <c r="L1010" s="928"/>
      <c r="M1010" s="928"/>
      <c r="N1010" s="928"/>
      <c r="O1010" s="928"/>
      <c r="P1010" s="928"/>
      <c r="Q1010" s="928"/>
      <c r="R1010" s="928"/>
      <c r="S1010" s="928"/>
      <c r="T1010" s="928"/>
      <c r="U1010" s="928"/>
      <c r="V1010" s="928"/>
      <c r="W1010" s="928"/>
      <c r="X1010" s="928"/>
      <c r="Y1010" s="928"/>
      <c r="Z1010" s="928"/>
      <c r="AA1010" s="928"/>
    </row>
    <row r="1011" hidden="1">
      <c r="A1011" s="935"/>
      <c r="B1011" s="932"/>
      <c r="C1011" s="928"/>
      <c r="D1011" s="928"/>
      <c r="E1011" s="928"/>
      <c r="F1011" s="928"/>
      <c r="G1011" s="928"/>
      <c r="H1011" s="928"/>
      <c r="I1011" s="928"/>
      <c r="J1011" s="928"/>
      <c r="K1011" s="928"/>
      <c r="L1011" s="928"/>
      <c r="M1011" s="928"/>
      <c r="N1011" s="928"/>
      <c r="O1011" s="928"/>
      <c r="P1011" s="928"/>
      <c r="Q1011" s="928"/>
      <c r="R1011" s="928"/>
      <c r="S1011" s="928"/>
      <c r="T1011" s="928"/>
      <c r="U1011" s="928"/>
      <c r="V1011" s="928"/>
      <c r="W1011" s="928"/>
      <c r="X1011" s="928"/>
      <c r="Y1011" s="928"/>
      <c r="Z1011" s="928"/>
      <c r="AA1011" s="928"/>
    </row>
    <row r="1012" hidden="1">
      <c r="A1012" s="935"/>
      <c r="B1012" s="932"/>
      <c r="C1012" s="928"/>
      <c r="D1012" s="928"/>
      <c r="E1012" s="928"/>
      <c r="F1012" s="928"/>
      <c r="G1012" s="928"/>
      <c r="H1012" s="928"/>
      <c r="I1012" s="928"/>
      <c r="J1012" s="928"/>
      <c r="K1012" s="928"/>
      <c r="L1012" s="928"/>
      <c r="M1012" s="928"/>
      <c r="N1012" s="928"/>
      <c r="O1012" s="928"/>
      <c r="P1012" s="928"/>
      <c r="Q1012" s="928"/>
      <c r="R1012" s="928"/>
      <c r="S1012" s="928"/>
      <c r="T1012" s="928"/>
      <c r="U1012" s="928"/>
      <c r="V1012" s="928"/>
      <c r="W1012" s="928"/>
      <c r="X1012" s="928"/>
      <c r="Y1012" s="928"/>
      <c r="Z1012" s="928"/>
      <c r="AA1012" s="928"/>
    </row>
    <row r="1013" hidden="1">
      <c r="A1013" s="935"/>
      <c r="B1013" s="932"/>
      <c r="C1013" s="928"/>
      <c r="D1013" s="928"/>
      <c r="E1013" s="928"/>
      <c r="F1013" s="928"/>
      <c r="G1013" s="928"/>
      <c r="H1013" s="928"/>
      <c r="I1013" s="928"/>
      <c r="J1013" s="928"/>
      <c r="K1013" s="928"/>
      <c r="L1013" s="928"/>
      <c r="M1013" s="928"/>
      <c r="N1013" s="928"/>
      <c r="O1013" s="928"/>
      <c r="P1013" s="928"/>
      <c r="Q1013" s="928"/>
      <c r="R1013" s="928"/>
      <c r="S1013" s="928"/>
      <c r="T1013" s="928"/>
      <c r="U1013" s="928"/>
      <c r="V1013" s="928"/>
      <c r="W1013" s="928"/>
      <c r="X1013" s="928"/>
      <c r="Y1013" s="928"/>
      <c r="Z1013" s="928"/>
      <c r="AA1013" s="928"/>
    </row>
    <row r="1014" hidden="1">
      <c r="A1014" s="935"/>
      <c r="B1014" s="932"/>
      <c r="C1014" s="928"/>
      <c r="D1014" s="928"/>
      <c r="E1014" s="928"/>
      <c r="F1014" s="928"/>
      <c r="G1014" s="928"/>
      <c r="H1014" s="928"/>
      <c r="I1014" s="928"/>
      <c r="J1014" s="928"/>
      <c r="K1014" s="928"/>
      <c r="L1014" s="928"/>
      <c r="M1014" s="928"/>
      <c r="N1014" s="928"/>
      <c r="O1014" s="928"/>
      <c r="P1014" s="928"/>
      <c r="Q1014" s="928"/>
      <c r="R1014" s="928"/>
      <c r="S1014" s="928"/>
      <c r="T1014" s="928"/>
      <c r="U1014" s="928"/>
      <c r="V1014" s="928"/>
      <c r="W1014" s="928"/>
      <c r="X1014" s="928"/>
      <c r="Y1014" s="928"/>
      <c r="Z1014" s="928"/>
      <c r="AA1014" s="928"/>
    </row>
    <row r="1015" hidden="1">
      <c r="A1015" s="935"/>
      <c r="B1015" s="932"/>
      <c r="C1015" s="928"/>
      <c r="D1015" s="928"/>
      <c r="E1015" s="928"/>
      <c r="F1015" s="928"/>
      <c r="G1015" s="928"/>
      <c r="H1015" s="928"/>
      <c r="I1015" s="928"/>
      <c r="J1015" s="928"/>
      <c r="K1015" s="928"/>
      <c r="L1015" s="928"/>
      <c r="M1015" s="928"/>
      <c r="N1015" s="928"/>
      <c r="O1015" s="928"/>
      <c r="P1015" s="928"/>
      <c r="Q1015" s="928"/>
      <c r="R1015" s="928"/>
      <c r="S1015" s="928"/>
      <c r="T1015" s="928"/>
      <c r="U1015" s="928"/>
      <c r="V1015" s="928"/>
      <c r="W1015" s="928"/>
      <c r="X1015" s="928"/>
      <c r="Y1015" s="928"/>
      <c r="Z1015" s="928"/>
      <c r="AA1015" s="928"/>
    </row>
    <row r="1016" hidden="1">
      <c r="A1016" s="935"/>
      <c r="B1016" s="932"/>
      <c r="C1016" s="928"/>
      <c r="D1016" s="928"/>
      <c r="E1016" s="928"/>
      <c r="F1016" s="928"/>
      <c r="G1016" s="928"/>
      <c r="H1016" s="928"/>
      <c r="I1016" s="928"/>
      <c r="J1016" s="928"/>
      <c r="K1016" s="928"/>
      <c r="L1016" s="928"/>
      <c r="M1016" s="928"/>
      <c r="N1016" s="928"/>
      <c r="O1016" s="928"/>
      <c r="P1016" s="928"/>
      <c r="Q1016" s="928"/>
      <c r="R1016" s="928"/>
      <c r="S1016" s="928"/>
      <c r="T1016" s="928"/>
      <c r="U1016" s="928"/>
      <c r="V1016" s="928"/>
      <c r="W1016" s="928"/>
      <c r="X1016" s="928"/>
      <c r="Y1016" s="928"/>
      <c r="Z1016" s="928"/>
      <c r="AA1016" s="928"/>
    </row>
    <row r="1017" hidden="1">
      <c r="A1017" s="935"/>
      <c r="B1017" s="932"/>
      <c r="C1017" s="928"/>
      <c r="D1017" s="928"/>
      <c r="E1017" s="928"/>
      <c r="F1017" s="928"/>
      <c r="G1017" s="928"/>
      <c r="H1017" s="928"/>
      <c r="I1017" s="928"/>
      <c r="J1017" s="928"/>
      <c r="K1017" s="928"/>
      <c r="L1017" s="928"/>
      <c r="M1017" s="928"/>
      <c r="N1017" s="928"/>
      <c r="O1017" s="928"/>
      <c r="P1017" s="928"/>
      <c r="Q1017" s="928"/>
      <c r="R1017" s="928"/>
      <c r="S1017" s="928"/>
      <c r="T1017" s="928"/>
      <c r="U1017" s="928"/>
      <c r="V1017" s="928"/>
      <c r="W1017" s="928"/>
      <c r="X1017" s="928"/>
      <c r="Y1017" s="928"/>
      <c r="Z1017" s="928"/>
      <c r="AA1017" s="928"/>
    </row>
    <row r="1018" hidden="1">
      <c r="A1018" s="935"/>
      <c r="B1018" s="932"/>
      <c r="C1018" s="928"/>
      <c r="D1018" s="928"/>
      <c r="E1018" s="928"/>
      <c r="F1018" s="928"/>
      <c r="G1018" s="928"/>
      <c r="H1018" s="928"/>
      <c r="I1018" s="928"/>
      <c r="J1018" s="928"/>
      <c r="K1018" s="928"/>
      <c r="L1018" s="928"/>
      <c r="M1018" s="928"/>
      <c r="N1018" s="928"/>
      <c r="O1018" s="928"/>
      <c r="P1018" s="928"/>
      <c r="Q1018" s="928"/>
      <c r="R1018" s="928"/>
      <c r="S1018" s="928"/>
      <c r="T1018" s="928"/>
      <c r="U1018" s="928"/>
      <c r="V1018" s="928"/>
      <c r="W1018" s="928"/>
      <c r="X1018" s="928"/>
      <c r="Y1018" s="928"/>
      <c r="Z1018" s="928"/>
      <c r="AA1018" s="928"/>
    </row>
    <row r="1019" hidden="1">
      <c r="A1019" s="935"/>
      <c r="B1019" s="932"/>
      <c r="C1019" s="928"/>
      <c r="D1019" s="928"/>
      <c r="E1019" s="928"/>
      <c r="F1019" s="928"/>
      <c r="G1019" s="928"/>
      <c r="H1019" s="928"/>
      <c r="I1019" s="928"/>
      <c r="J1019" s="928"/>
      <c r="K1019" s="928"/>
      <c r="L1019" s="928"/>
      <c r="M1019" s="928"/>
      <c r="N1019" s="928"/>
      <c r="O1019" s="928"/>
      <c r="P1019" s="928"/>
      <c r="Q1019" s="928"/>
      <c r="R1019" s="928"/>
      <c r="S1019" s="928"/>
      <c r="T1019" s="928"/>
      <c r="U1019" s="928"/>
      <c r="V1019" s="928"/>
      <c r="W1019" s="928"/>
      <c r="X1019" s="928"/>
      <c r="Y1019" s="928"/>
      <c r="Z1019" s="928"/>
      <c r="AA1019" s="928"/>
    </row>
    <row r="1020" hidden="1">
      <c r="A1020" s="935"/>
      <c r="B1020" s="932"/>
      <c r="C1020" s="928"/>
      <c r="D1020" s="928"/>
      <c r="E1020" s="928"/>
      <c r="F1020" s="928"/>
      <c r="G1020" s="928"/>
      <c r="H1020" s="928"/>
      <c r="I1020" s="928"/>
      <c r="J1020" s="928"/>
      <c r="K1020" s="928"/>
      <c r="L1020" s="928"/>
      <c r="M1020" s="928"/>
      <c r="N1020" s="928"/>
      <c r="O1020" s="928"/>
      <c r="P1020" s="928"/>
      <c r="Q1020" s="928"/>
      <c r="R1020" s="928"/>
      <c r="S1020" s="928"/>
      <c r="T1020" s="928"/>
      <c r="U1020" s="928"/>
      <c r="V1020" s="928"/>
      <c r="W1020" s="928"/>
      <c r="X1020" s="928"/>
      <c r="Y1020" s="928"/>
      <c r="Z1020" s="928"/>
      <c r="AA1020" s="928"/>
    </row>
    <row r="1021" hidden="1">
      <c r="A1021" s="935"/>
      <c r="B1021" s="932"/>
      <c r="C1021" s="928"/>
      <c r="D1021" s="928"/>
      <c r="E1021" s="928"/>
      <c r="F1021" s="928"/>
      <c r="G1021" s="928"/>
      <c r="H1021" s="928"/>
      <c r="I1021" s="928"/>
      <c r="J1021" s="928"/>
      <c r="K1021" s="928"/>
      <c r="L1021" s="928"/>
      <c r="M1021" s="928"/>
      <c r="N1021" s="928"/>
      <c r="O1021" s="928"/>
      <c r="P1021" s="928"/>
      <c r="Q1021" s="928"/>
      <c r="R1021" s="928"/>
      <c r="S1021" s="928"/>
      <c r="T1021" s="928"/>
      <c r="U1021" s="928"/>
      <c r="V1021" s="928"/>
      <c r="W1021" s="928"/>
      <c r="X1021" s="928"/>
      <c r="Y1021" s="928"/>
      <c r="Z1021" s="928"/>
      <c r="AA1021" s="928"/>
    </row>
    <row r="1022" hidden="1">
      <c r="A1022" s="935"/>
      <c r="B1022" s="932"/>
      <c r="C1022" s="928"/>
      <c r="D1022" s="928"/>
      <c r="E1022" s="928"/>
      <c r="F1022" s="928"/>
      <c r="G1022" s="928"/>
      <c r="H1022" s="928"/>
      <c r="I1022" s="928"/>
      <c r="J1022" s="928"/>
      <c r="K1022" s="928"/>
      <c r="L1022" s="928"/>
      <c r="M1022" s="928"/>
      <c r="N1022" s="928"/>
      <c r="O1022" s="928"/>
      <c r="P1022" s="928"/>
      <c r="Q1022" s="928"/>
      <c r="R1022" s="928"/>
      <c r="S1022" s="928"/>
      <c r="T1022" s="928"/>
      <c r="U1022" s="928"/>
      <c r="V1022" s="928"/>
      <c r="W1022" s="928"/>
      <c r="X1022" s="928"/>
      <c r="Y1022" s="928"/>
      <c r="Z1022" s="928"/>
      <c r="AA1022" s="928"/>
    </row>
    <row r="1023" hidden="1">
      <c r="A1023" s="935"/>
      <c r="B1023" s="932"/>
      <c r="C1023" s="928"/>
      <c r="D1023" s="928"/>
      <c r="E1023" s="928"/>
      <c r="F1023" s="928"/>
      <c r="G1023" s="928"/>
      <c r="H1023" s="928"/>
      <c r="I1023" s="928"/>
      <c r="J1023" s="928"/>
      <c r="K1023" s="928"/>
      <c r="L1023" s="928"/>
      <c r="M1023" s="928"/>
      <c r="N1023" s="928"/>
      <c r="O1023" s="928"/>
      <c r="P1023" s="928"/>
      <c r="Q1023" s="928"/>
      <c r="R1023" s="928"/>
      <c r="S1023" s="928"/>
      <c r="T1023" s="928"/>
      <c r="U1023" s="928"/>
      <c r="V1023" s="928"/>
      <c r="W1023" s="928"/>
      <c r="X1023" s="928"/>
      <c r="Y1023" s="928"/>
      <c r="Z1023" s="928"/>
      <c r="AA1023" s="928"/>
    </row>
    <row r="1024" hidden="1">
      <c r="A1024" s="935"/>
      <c r="B1024" s="932"/>
      <c r="C1024" s="928"/>
      <c r="D1024" s="928"/>
      <c r="E1024" s="928"/>
      <c r="F1024" s="928"/>
      <c r="G1024" s="928"/>
      <c r="H1024" s="928"/>
      <c r="I1024" s="928"/>
      <c r="J1024" s="928"/>
      <c r="K1024" s="928"/>
      <c r="L1024" s="928"/>
      <c r="M1024" s="928"/>
      <c r="N1024" s="928"/>
      <c r="O1024" s="928"/>
      <c r="P1024" s="928"/>
      <c r="Q1024" s="928"/>
      <c r="R1024" s="928"/>
      <c r="S1024" s="928"/>
      <c r="T1024" s="928"/>
      <c r="U1024" s="928"/>
      <c r="V1024" s="928"/>
      <c r="W1024" s="928"/>
      <c r="X1024" s="928"/>
      <c r="Y1024" s="928"/>
      <c r="Z1024" s="928"/>
      <c r="AA1024" s="928"/>
    </row>
    <row r="1025" hidden="1">
      <c r="A1025" s="935"/>
      <c r="B1025" s="932"/>
      <c r="C1025" s="928"/>
      <c r="D1025" s="928"/>
      <c r="E1025" s="928"/>
      <c r="F1025" s="928"/>
      <c r="G1025" s="928"/>
      <c r="H1025" s="928"/>
      <c r="I1025" s="928"/>
      <c r="J1025" s="928"/>
      <c r="K1025" s="928"/>
      <c r="L1025" s="928"/>
      <c r="M1025" s="928"/>
      <c r="N1025" s="928"/>
      <c r="O1025" s="928"/>
      <c r="P1025" s="928"/>
      <c r="Q1025" s="928"/>
      <c r="R1025" s="928"/>
      <c r="S1025" s="928"/>
      <c r="T1025" s="928"/>
      <c r="U1025" s="928"/>
      <c r="V1025" s="928"/>
      <c r="W1025" s="928"/>
      <c r="X1025" s="928"/>
      <c r="Y1025" s="928"/>
      <c r="Z1025" s="928"/>
      <c r="AA1025" s="928"/>
    </row>
    <row r="1026" hidden="1">
      <c r="A1026" s="935"/>
      <c r="B1026" s="932"/>
      <c r="C1026" s="928"/>
      <c r="D1026" s="928"/>
      <c r="E1026" s="928"/>
      <c r="F1026" s="928"/>
      <c r="G1026" s="928"/>
      <c r="H1026" s="928"/>
      <c r="I1026" s="928"/>
      <c r="J1026" s="928"/>
      <c r="K1026" s="928"/>
      <c r="L1026" s="928"/>
      <c r="M1026" s="928"/>
      <c r="N1026" s="928"/>
      <c r="O1026" s="928"/>
      <c r="P1026" s="928"/>
      <c r="Q1026" s="928"/>
      <c r="R1026" s="928"/>
      <c r="S1026" s="928"/>
      <c r="T1026" s="928"/>
      <c r="U1026" s="928"/>
      <c r="V1026" s="928"/>
      <c r="W1026" s="928"/>
      <c r="X1026" s="928"/>
      <c r="Y1026" s="928"/>
      <c r="Z1026" s="928"/>
      <c r="AA1026" s="928"/>
    </row>
    <row r="1027" hidden="1">
      <c r="A1027" s="935"/>
      <c r="B1027" s="932"/>
      <c r="C1027" s="928"/>
      <c r="D1027" s="928"/>
      <c r="E1027" s="928"/>
      <c r="F1027" s="928"/>
      <c r="G1027" s="928"/>
      <c r="H1027" s="928"/>
      <c r="I1027" s="928"/>
      <c r="J1027" s="928"/>
      <c r="K1027" s="928"/>
      <c r="L1027" s="928"/>
      <c r="M1027" s="928"/>
      <c r="N1027" s="928"/>
      <c r="O1027" s="928"/>
      <c r="P1027" s="928"/>
      <c r="Q1027" s="928"/>
      <c r="R1027" s="928"/>
      <c r="S1027" s="928"/>
      <c r="T1027" s="928"/>
      <c r="U1027" s="928"/>
      <c r="V1027" s="928"/>
      <c r="W1027" s="928"/>
      <c r="X1027" s="928"/>
      <c r="Y1027" s="928"/>
      <c r="Z1027" s="928"/>
      <c r="AA1027" s="928"/>
    </row>
    <row r="1028" hidden="1">
      <c r="A1028" s="935"/>
      <c r="B1028" s="932"/>
      <c r="C1028" s="928"/>
      <c r="D1028" s="928"/>
      <c r="E1028" s="928"/>
      <c r="F1028" s="928"/>
      <c r="G1028" s="928"/>
      <c r="H1028" s="928"/>
      <c r="I1028" s="928"/>
      <c r="J1028" s="928"/>
      <c r="K1028" s="928"/>
      <c r="L1028" s="928"/>
      <c r="M1028" s="928"/>
      <c r="N1028" s="928"/>
      <c r="O1028" s="928"/>
      <c r="P1028" s="928"/>
      <c r="Q1028" s="928"/>
      <c r="R1028" s="928"/>
      <c r="S1028" s="928"/>
      <c r="T1028" s="928"/>
      <c r="U1028" s="928"/>
      <c r="V1028" s="928"/>
      <c r="W1028" s="928"/>
      <c r="X1028" s="928"/>
      <c r="Y1028" s="928"/>
      <c r="Z1028" s="928"/>
      <c r="AA1028" s="928"/>
    </row>
    <row r="1029" hidden="1">
      <c r="A1029" s="935"/>
      <c r="B1029" s="932"/>
      <c r="C1029" s="928"/>
      <c r="D1029" s="928"/>
      <c r="E1029" s="928"/>
      <c r="F1029" s="928"/>
      <c r="G1029" s="928"/>
      <c r="H1029" s="928"/>
      <c r="I1029" s="928"/>
      <c r="J1029" s="928"/>
      <c r="K1029" s="928"/>
      <c r="L1029" s="928"/>
      <c r="M1029" s="928"/>
      <c r="N1029" s="928"/>
      <c r="O1029" s="928"/>
      <c r="P1029" s="928"/>
      <c r="Q1029" s="928"/>
      <c r="R1029" s="928"/>
      <c r="S1029" s="928"/>
      <c r="T1029" s="928"/>
      <c r="U1029" s="928"/>
      <c r="V1029" s="928"/>
      <c r="W1029" s="928"/>
      <c r="X1029" s="928"/>
      <c r="Y1029" s="928"/>
      <c r="Z1029" s="928"/>
      <c r="AA1029" s="928"/>
    </row>
    <row r="1030" hidden="1">
      <c r="A1030" s="935"/>
      <c r="B1030" s="932"/>
      <c r="C1030" s="928"/>
      <c r="D1030" s="928"/>
      <c r="E1030" s="928"/>
      <c r="F1030" s="928"/>
      <c r="G1030" s="928"/>
      <c r="H1030" s="928"/>
      <c r="I1030" s="928"/>
      <c r="J1030" s="928"/>
      <c r="K1030" s="928"/>
      <c r="L1030" s="928"/>
      <c r="M1030" s="928"/>
      <c r="N1030" s="928"/>
      <c r="O1030" s="928"/>
      <c r="P1030" s="928"/>
      <c r="Q1030" s="928"/>
      <c r="R1030" s="928"/>
      <c r="S1030" s="928"/>
      <c r="T1030" s="928"/>
      <c r="U1030" s="928"/>
      <c r="V1030" s="928"/>
      <c r="W1030" s="928"/>
      <c r="X1030" s="928"/>
      <c r="Y1030" s="928"/>
      <c r="Z1030" s="928"/>
      <c r="AA1030" s="928"/>
    </row>
    <row r="1031" hidden="1">
      <c r="A1031" s="935"/>
      <c r="B1031" s="932"/>
      <c r="C1031" s="928"/>
      <c r="D1031" s="928"/>
      <c r="E1031" s="928"/>
      <c r="F1031" s="928"/>
      <c r="G1031" s="928"/>
      <c r="H1031" s="928"/>
      <c r="I1031" s="928"/>
      <c r="J1031" s="928"/>
      <c r="K1031" s="928"/>
      <c r="L1031" s="928"/>
      <c r="M1031" s="928"/>
      <c r="N1031" s="928"/>
      <c r="O1031" s="928"/>
      <c r="P1031" s="928"/>
      <c r="Q1031" s="928"/>
      <c r="R1031" s="928"/>
      <c r="S1031" s="928"/>
      <c r="T1031" s="928"/>
      <c r="U1031" s="928"/>
      <c r="V1031" s="928"/>
      <c r="W1031" s="928"/>
      <c r="X1031" s="928"/>
      <c r="Y1031" s="928"/>
      <c r="Z1031" s="928"/>
      <c r="AA1031" s="928"/>
    </row>
    <row r="1032" hidden="1">
      <c r="A1032" s="935"/>
      <c r="B1032" s="932"/>
      <c r="C1032" s="928"/>
      <c r="D1032" s="928"/>
      <c r="E1032" s="928"/>
      <c r="F1032" s="928"/>
      <c r="G1032" s="928"/>
      <c r="H1032" s="928"/>
      <c r="I1032" s="928"/>
      <c r="J1032" s="928"/>
      <c r="K1032" s="928"/>
      <c r="L1032" s="928"/>
      <c r="M1032" s="928"/>
      <c r="N1032" s="928"/>
      <c r="O1032" s="928"/>
      <c r="P1032" s="928"/>
      <c r="Q1032" s="928"/>
      <c r="R1032" s="928"/>
      <c r="S1032" s="928"/>
      <c r="T1032" s="928"/>
      <c r="U1032" s="928"/>
      <c r="V1032" s="928"/>
      <c r="W1032" s="928"/>
      <c r="X1032" s="928"/>
      <c r="Y1032" s="928"/>
      <c r="Z1032" s="928"/>
      <c r="AA1032" s="928"/>
    </row>
    <row r="1033" hidden="1">
      <c r="A1033" s="935"/>
      <c r="B1033" s="932"/>
      <c r="C1033" s="928"/>
      <c r="D1033" s="928"/>
      <c r="E1033" s="928"/>
      <c r="F1033" s="928"/>
      <c r="G1033" s="928"/>
      <c r="H1033" s="928"/>
      <c r="I1033" s="928"/>
      <c r="J1033" s="928"/>
      <c r="K1033" s="928"/>
      <c r="L1033" s="928"/>
      <c r="M1033" s="928"/>
      <c r="N1033" s="928"/>
      <c r="O1033" s="928"/>
      <c r="P1033" s="928"/>
      <c r="Q1033" s="928"/>
      <c r="R1033" s="928"/>
      <c r="S1033" s="928"/>
      <c r="T1033" s="928"/>
      <c r="U1033" s="928"/>
      <c r="V1033" s="928"/>
      <c r="W1033" s="928"/>
      <c r="X1033" s="928"/>
      <c r="Y1033" s="928"/>
      <c r="Z1033" s="928"/>
      <c r="AA1033" s="928"/>
    </row>
    <row r="1034" hidden="1">
      <c r="A1034" s="935"/>
      <c r="B1034" s="932"/>
      <c r="C1034" s="928"/>
      <c r="D1034" s="928"/>
      <c r="E1034" s="928"/>
      <c r="F1034" s="928"/>
      <c r="G1034" s="928"/>
      <c r="H1034" s="928"/>
      <c r="I1034" s="928"/>
      <c r="J1034" s="928"/>
      <c r="K1034" s="928"/>
      <c r="L1034" s="928"/>
      <c r="M1034" s="928"/>
      <c r="N1034" s="928"/>
      <c r="O1034" s="928"/>
      <c r="P1034" s="928"/>
      <c r="Q1034" s="928"/>
      <c r="R1034" s="928"/>
      <c r="S1034" s="928"/>
      <c r="T1034" s="928"/>
      <c r="U1034" s="928"/>
      <c r="V1034" s="928"/>
      <c r="W1034" s="928"/>
      <c r="X1034" s="928"/>
      <c r="Y1034" s="928"/>
      <c r="Z1034" s="928"/>
      <c r="AA1034" s="928"/>
    </row>
    <row r="1035" hidden="1">
      <c r="A1035" s="935"/>
      <c r="B1035" s="932"/>
      <c r="C1035" s="928"/>
      <c r="D1035" s="928"/>
      <c r="E1035" s="928"/>
      <c r="F1035" s="928"/>
      <c r="G1035" s="928"/>
      <c r="H1035" s="928"/>
      <c r="I1035" s="928"/>
      <c r="J1035" s="928"/>
      <c r="K1035" s="928"/>
      <c r="L1035" s="928"/>
      <c r="M1035" s="928"/>
      <c r="N1035" s="928"/>
      <c r="O1035" s="928"/>
      <c r="P1035" s="928"/>
      <c r="Q1035" s="928"/>
      <c r="R1035" s="928"/>
      <c r="S1035" s="928"/>
      <c r="T1035" s="928"/>
      <c r="U1035" s="928"/>
      <c r="V1035" s="928"/>
      <c r="W1035" s="928"/>
      <c r="X1035" s="928"/>
      <c r="Y1035" s="928"/>
      <c r="Z1035" s="928"/>
      <c r="AA1035" s="928"/>
    </row>
    <row r="1036" hidden="1">
      <c r="A1036" s="935"/>
      <c r="B1036" s="932"/>
      <c r="C1036" s="928"/>
      <c r="D1036" s="928"/>
      <c r="E1036" s="928"/>
      <c r="F1036" s="928"/>
      <c r="G1036" s="928"/>
      <c r="H1036" s="928"/>
      <c r="I1036" s="928"/>
      <c r="J1036" s="928"/>
      <c r="K1036" s="928"/>
      <c r="L1036" s="928"/>
      <c r="M1036" s="928"/>
      <c r="N1036" s="928"/>
      <c r="O1036" s="928"/>
      <c r="P1036" s="928"/>
      <c r="Q1036" s="928"/>
      <c r="R1036" s="928"/>
      <c r="S1036" s="928"/>
      <c r="T1036" s="928"/>
      <c r="U1036" s="928"/>
      <c r="V1036" s="928"/>
      <c r="W1036" s="928"/>
      <c r="X1036" s="928"/>
      <c r="Y1036" s="928"/>
      <c r="Z1036" s="928"/>
      <c r="AA1036" s="928"/>
    </row>
    <row r="1037" hidden="1">
      <c r="A1037" s="935"/>
      <c r="B1037" s="932"/>
      <c r="C1037" s="928"/>
      <c r="D1037" s="928"/>
      <c r="E1037" s="928"/>
      <c r="F1037" s="928"/>
      <c r="G1037" s="928"/>
      <c r="H1037" s="928"/>
      <c r="I1037" s="928"/>
      <c r="J1037" s="928"/>
      <c r="K1037" s="928"/>
      <c r="L1037" s="928"/>
      <c r="M1037" s="928"/>
      <c r="N1037" s="928"/>
      <c r="O1037" s="928"/>
      <c r="P1037" s="928"/>
      <c r="Q1037" s="928"/>
      <c r="R1037" s="928"/>
      <c r="S1037" s="928"/>
      <c r="T1037" s="928"/>
      <c r="U1037" s="928"/>
      <c r="V1037" s="928"/>
      <c r="W1037" s="928"/>
      <c r="X1037" s="928"/>
      <c r="Y1037" s="928"/>
      <c r="Z1037" s="928"/>
      <c r="AA1037" s="928"/>
    </row>
    <row r="1038" hidden="1">
      <c r="A1038" s="935"/>
      <c r="B1038" s="932"/>
      <c r="C1038" s="928"/>
      <c r="D1038" s="928"/>
      <c r="E1038" s="928"/>
      <c r="F1038" s="928"/>
      <c r="G1038" s="928"/>
      <c r="H1038" s="928"/>
      <c r="I1038" s="928"/>
      <c r="J1038" s="928"/>
      <c r="K1038" s="928"/>
      <c r="L1038" s="928"/>
      <c r="M1038" s="928"/>
      <c r="N1038" s="928"/>
      <c r="O1038" s="928"/>
      <c r="P1038" s="928"/>
      <c r="Q1038" s="928"/>
      <c r="R1038" s="928"/>
      <c r="S1038" s="928"/>
      <c r="T1038" s="928"/>
      <c r="U1038" s="928"/>
      <c r="V1038" s="928"/>
      <c r="W1038" s="928"/>
      <c r="X1038" s="928"/>
      <c r="Y1038" s="928"/>
      <c r="Z1038" s="928"/>
      <c r="AA1038" s="928"/>
    </row>
    <row r="1039" hidden="1">
      <c r="A1039" s="935"/>
      <c r="B1039" s="932"/>
      <c r="C1039" s="928"/>
      <c r="D1039" s="928"/>
      <c r="E1039" s="928"/>
      <c r="F1039" s="928"/>
      <c r="G1039" s="928"/>
      <c r="H1039" s="928"/>
      <c r="I1039" s="928"/>
      <c r="J1039" s="928"/>
      <c r="K1039" s="928"/>
      <c r="L1039" s="928"/>
      <c r="M1039" s="928"/>
      <c r="N1039" s="928"/>
      <c r="O1039" s="928"/>
      <c r="P1039" s="928"/>
      <c r="Q1039" s="928"/>
      <c r="R1039" s="928"/>
      <c r="S1039" s="928"/>
      <c r="T1039" s="928"/>
      <c r="U1039" s="928"/>
      <c r="V1039" s="928"/>
      <c r="W1039" s="928"/>
      <c r="X1039" s="928"/>
      <c r="Y1039" s="928"/>
      <c r="Z1039" s="928"/>
      <c r="AA1039" s="928"/>
    </row>
    <row r="1040" hidden="1">
      <c r="A1040" s="935"/>
      <c r="B1040" s="932"/>
      <c r="C1040" s="928"/>
      <c r="D1040" s="928"/>
      <c r="E1040" s="928"/>
      <c r="F1040" s="928"/>
      <c r="G1040" s="928"/>
      <c r="H1040" s="928"/>
      <c r="I1040" s="928"/>
      <c r="J1040" s="928"/>
      <c r="K1040" s="928"/>
      <c r="L1040" s="928"/>
      <c r="M1040" s="928"/>
      <c r="N1040" s="928"/>
      <c r="O1040" s="928"/>
      <c r="P1040" s="928"/>
      <c r="Q1040" s="928"/>
      <c r="R1040" s="928"/>
      <c r="S1040" s="928"/>
      <c r="T1040" s="928"/>
      <c r="U1040" s="928"/>
      <c r="V1040" s="928"/>
      <c r="W1040" s="928"/>
      <c r="X1040" s="928"/>
      <c r="Y1040" s="928"/>
      <c r="Z1040" s="928"/>
      <c r="AA1040" s="928"/>
    </row>
    <row r="1041" hidden="1">
      <c r="A1041" s="935"/>
      <c r="B1041" s="932"/>
      <c r="C1041" s="928"/>
      <c r="D1041" s="928"/>
      <c r="E1041" s="928"/>
      <c r="F1041" s="928"/>
      <c r="G1041" s="928"/>
      <c r="H1041" s="928"/>
      <c r="I1041" s="928"/>
      <c r="J1041" s="928"/>
      <c r="K1041" s="928"/>
      <c r="L1041" s="928"/>
      <c r="M1041" s="928"/>
      <c r="N1041" s="928"/>
      <c r="O1041" s="928"/>
      <c r="P1041" s="928"/>
      <c r="Q1041" s="928"/>
      <c r="R1041" s="928"/>
      <c r="S1041" s="928"/>
      <c r="T1041" s="928"/>
      <c r="U1041" s="928"/>
      <c r="V1041" s="928"/>
      <c r="W1041" s="928"/>
      <c r="X1041" s="928"/>
      <c r="Y1041" s="928"/>
      <c r="Z1041" s="928"/>
      <c r="AA1041" s="928"/>
    </row>
    <row r="1042" hidden="1">
      <c r="A1042" s="935"/>
      <c r="B1042" s="932"/>
      <c r="C1042" s="928"/>
      <c r="D1042" s="928"/>
      <c r="E1042" s="928"/>
      <c r="F1042" s="928"/>
      <c r="G1042" s="928"/>
      <c r="H1042" s="928"/>
      <c r="I1042" s="928"/>
      <c r="J1042" s="928"/>
      <c r="K1042" s="928"/>
      <c r="L1042" s="928"/>
      <c r="M1042" s="928"/>
      <c r="N1042" s="928"/>
      <c r="O1042" s="928"/>
      <c r="P1042" s="928"/>
      <c r="Q1042" s="928"/>
      <c r="R1042" s="928"/>
      <c r="S1042" s="928"/>
      <c r="T1042" s="928"/>
      <c r="U1042" s="928"/>
      <c r="V1042" s="928"/>
      <c r="W1042" s="928"/>
      <c r="X1042" s="928"/>
      <c r="Y1042" s="928"/>
      <c r="Z1042" s="928"/>
      <c r="AA1042" s="928"/>
    </row>
    <row r="1043" hidden="1">
      <c r="A1043" s="935"/>
      <c r="B1043" s="932"/>
      <c r="C1043" s="928"/>
      <c r="D1043" s="928"/>
      <c r="E1043" s="928"/>
      <c r="F1043" s="928"/>
      <c r="G1043" s="928"/>
      <c r="H1043" s="928"/>
      <c r="I1043" s="928"/>
      <c r="J1043" s="928"/>
      <c r="K1043" s="928"/>
      <c r="L1043" s="928"/>
      <c r="M1043" s="928"/>
      <c r="N1043" s="928"/>
      <c r="O1043" s="928"/>
      <c r="P1043" s="928"/>
      <c r="Q1043" s="928"/>
      <c r="R1043" s="928"/>
      <c r="S1043" s="928"/>
      <c r="T1043" s="928"/>
      <c r="U1043" s="928"/>
      <c r="V1043" s="928"/>
      <c r="W1043" s="928"/>
      <c r="X1043" s="928"/>
      <c r="Y1043" s="928"/>
      <c r="Z1043" s="928"/>
      <c r="AA1043" s="928"/>
    </row>
    <row r="1044" hidden="1">
      <c r="A1044" s="935"/>
      <c r="B1044" s="932"/>
      <c r="C1044" s="928"/>
      <c r="D1044" s="928"/>
      <c r="E1044" s="928"/>
      <c r="F1044" s="928"/>
      <c r="G1044" s="928"/>
      <c r="H1044" s="928"/>
      <c r="I1044" s="928"/>
      <c r="J1044" s="928"/>
      <c r="K1044" s="928"/>
      <c r="L1044" s="928"/>
      <c r="M1044" s="928"/>
      <c r="N1044" s="928"/>
      <c r="O1044" s="928"/>
      <c r="P1044" s="928"/>
      <c r="Q1044" s="928"/>
      <c r="R1044" s="928"/>
      <c r="S1044" s="928"/>
      <c r="T1044" s="928"/>
      <c r="U1044" s="928"/>
      <c r="V1044" s="928"/>
      <c r="W1044" s="928"/>
      <c r="X1044" s="928"/>
      <c r="Y1044" s="928"/>
      <c r="Z1044" s="928"/>
      <c r="AA1044" s="928"/>
    </row>
    <row r="1045" hidden="1">
      <c r="A1045" s="935"/>
      <c r="B1045" s="932"/>
      <c r="C1045" s="928"/>
      <c r="D1045" s="928"/>
      <c r="E1045" s="928"/>
      <c r="F1045" s="928"/>
      <c r="G1045" s="928"/>
      <c r="H1045" s="928"/>
      <c r="I1045" s="928"/>
      <c r="J1045" s="928"/>
      <c r="K1045" s="928"/>
      <c r="L1045" s="928"/>
      <c r="M1045" s="928"/>
      <c r="N1045" s="928"/>
      <c r="O1045" s="928"/>
      <c r="P1045" s="928"/>
      <c r="Q1045" s="928"/>
      <c r="R1045" s="928"/>
      <c r="S1045" s="928"/>
      <c r="T1045" s="928"/>
      <c r="U1045" s="928"/>
      <c r="V1045" s="928"/>
      <c r="W1045" s="928"/>
      <c r="X1045" s="928"/>
      <c r="Y1045" s="928"/>
      <c r="Z1045" s="928"/>
      <c r="AA1045" s="928"/>
    </row>
    <row r="1046" hidden="1">
      <c r="A1046" s="935"/>
      <c r="B1046" s="932"/>
      <c r="C1046" s="928"/>
      <c r="D1046" s="928"/>
      <c r="E1046" s="928"/>
      <c r="F1046" s="928"/>
      <c r="G1046" s="928"/>
      <c r="H1046" s="928"/>
      <c r="I1046" s="928"/>
      <c r="J1046" s="928"/>
      <c r="K1046" s="928"/>
      <c r="L1046" s="928"/>
      <c r="M1046" s="928"/>
      <c r="N1046" s="928"/>
      <c r="O1046" s="928"/>
      <c r="P1046" s="928"/>
      <c r="Q1046" s="928"/>
      <c r="R1046" s="928"/>
      <c r="S1046" s="928"/>
      <c r="T1046" s="928"/>
      <c r="U1046" s="928"/>
      <c r="V1046" s="928"/>
      <c r="W1046" s="928"/>
      <c r="X1046" s="928"/>
      <c r="Y1046" s="928"/>
      <c r="Z1046" s="928"/>
      <c r="AA1046" s="928"/>
    </row>
    <row r="1047" hidden="1">
      <c r="A1047" s="935"/>
      <c r="B1047" s="932"/>
      <c r="C1047" s="928"/>
      <c r="D1047" s="928"/>
      <c r="E1047" s="928"/>
      <c r="F1047" s="928"/>
      <c r="G1047" s="928"/>
      <c r="H1047" s="928"/>
      <c r="I1047" s="928"/>
      <c r="J1047" s="928"/>
      <c r="K1047" s="928"/>
      <c r="L1047" s="928"/>
      <c r="M1047" s="928"/>
      <c r="N1047" s="928"/>
      <c r="O1047" s="928"/>
      <c r="P1047" s="928"/>
      <c r="Q1047" s="928"/>
      <c r="R1047" s="928"/>
      <c r="S1047" s="928"/>
      <c r="T1047" s="928"/>
      <c r="U1047" s="928"/>
      <c r="V1047" s="928"/>
      <c r="W1047" s="928"/>
      <c r="X1047" s="928"/>
      <c r="Y1047" s="928"/>
      <c r="Z1047" s="928"/>
      <c r="AA1047" s="928"/>
    </row>
    <row r="1048" hidden="1">
      <c r="A1048" s="935"/>
      <c r="B1048" s="932"/>
      <c r="C1048" s="928"/>
      <c r="D1048" s="928"/>
      <c r="E1048" s="928"/>
      <c r="F1048" s="928"/>
      <c r="G1048" s="928"/>
      <c r="H1048" s="928"/>
      <c r="I1048" s="928"/>
      <c r="J1048" s="928"/>
      <c r="K1048" s="928"/>
      <c r="L1048" s="928"/>
      <c r="M1048" s="928"/>
      <c r="N1048" s="928"/>
      <c r="O1048" s="928"/>
      <c r="P1048" s="928"/>
      <c r="Q1048" s="928"/>
      <c r="R1048" s="928"/>
      <c r="S1048" s="928"/>
      <c r="T1048" s="928"/>
      <c r="U1048" s="928"/>
      <c r="V1048" s="928"/>
      <c r="W1048" s="928"/>
      <c r="X1048" s="928"/>
      <c r="Y1048" s="928"/>
      <c r="Z1048" s="928"/>
      <c r="AA1048" s="928"/>
    </row>
    <row r="1049" hidden="1">
      <c r="A1049" s="935"/>
      <c r="B1049" s="932"/>
      <c r="C1049" s="928"/>
      <c r="D1049" s="928"/>
      <c r="E1049" s="928"/>
      <c r="F1049" s="928"/>
      <c r="G1049" s="928"/>
      <c r="H1049" s="928"/>
      <c r="I1049" s="928"/>
      <c r="J1049" s="928"/>
      <c r="K1049" s="928"/>
      <c r="L1049" s="928"/>
      <c r="M1049" s="928"/>
      <c r="N1049" s="928"/>
      <c r="O1049" s="928"/>
      <c r="P1049" s="928"/>
      <c r="Q1049" s="928"/>
      <c r="R1049" s="928"/>
      <c r="S1049" s="928"/>
      <c r="T1049" s="928"/>
      <c r="U1049" s="928"/>
      <c r="V1049" s="928"/>
      <c r="W1049" s="928"/>
      <c r="X1049" s="928"/>
      <c r="Y1049" s="928"/>
      <c r="Z1049" s="928"/>
      <c r="AA1049" s="928"/>
    </row>
    <row r="1050" hidden="1">
      <c r="A1050" s="935"/>
      <c r="B1050" s="932"/>
      <c r="C1050" s="928"/>
      <c r="D1050" s="928"/>
      <c r="E1050" s="928"/>
      <c r="F1050" s="928"/>
      <c r="G1050" s="928"/>
      <c r="H1050" s="928"/>
      <c r="I1050" s="928"/>
      <c r="J1050" s="928"/>
      <c r="K1050" s="928"/>
      <c r="L1050" s="928"/>
      <c r="M1050" s="928"/>
      <c r="N1050" s="928"/>
      <c r="O1050" s="928"/>
      <c r="P1050" s="928"/>
      <c r="Q1050" s="928"/>
      <c r="R1050" s="928"/>
      <c r="S1050" s="928"/>
      <c r="T1050" s="928"/>
      <c r="U1050" s="928"/>
      <c r="V1050" s="928"/>
      <c r="W1050" s="928"/>
      <c r="X1050" s="928"/>
      <c r="Y1050" s="928"/>
      <c r="Z1050" s="928"/>
      <c r="AA1050" s="928"/>
    </row>
    <row r="1051" hidden="1">
      <c r="A1051" s="935"/>
      <c r="B1051" s="932"/>
      <c r="C1051" s="928"/>
      <c r="D1051" s="928"/>
      <c r="E1051" s="928"/>
      <c r="F1051" s="928"/>
      <c r="G1051" s="928"/>
      <c r="H1051" s="928"/>
      <c r="I1051" s="928"/>
      <c r="J1051" s="928"/>
      <c r="K1051" s="928"/>
      <c r="L1051" s="928"/>
      <c r="M1051" s="928"/>
      <c r="N1051" s="928"/>
      <c r="O1051" s="928"/>
      <c r="P1051" s="928"/>
      <c r="Q1051" s="928"/>
      <c r="R1051" s="928"/>
      <c r="S1051" s="928"/>
      <c r="T1051" s="928"/>
      <c r="U1051" s="928"/>
      <c r="V1051" s="928"/>
      <c r="W1051" s="928"/>
      <c r="X1051" s="928"/>
      <c r="Y1051" s="928"/>
      <c r="Z1051" s="928"/>
      <c r="AA1051" s="928"/>
    </row>
    <row r="1052" hidden="1">
      <c r="A1052" s="935"/>
      <c r="B1052" s="932"/>
      <c r="C1052" s="928"/>
      <c r="D1052" s="928"/>
      <c r="E1052" s="928"/>
      <c r="F1052" s="928"/>
      <c r="G1052" s="928"/>
      <c r="H1052" s="928"/>
      <c r="I1052" s="928"/>
      <c r="J1052" s="928"/>
      <c r="K1052" s="928"/>
      <c r="L1052" s="928"/>
      <c r="M1052" s="928"/>
      <c r="N1052" s="928"/>
      <c r="O1052" s="928"/>
      <c r="P1052" s="928"/>
      <c r="Q1052" s="928"/>
      <c r="R1052" s="928"/>
      <c r="S1052" s="928"/>
      <c r="T1052" s="928"/>
      <c r="U1052" s="928"/>
      <c r="V1052" s="928"/>
      <c r="W1052" s="928"/>
      <c r="X1052" s="928"/>
      <c r="Y1052" s="928"/>
      <c r="Z1052" s="928"/>
      <c r="AA1052" s="928"/>
    </row>
    <row r="1053" hidden="1">
      <c r="A1053" s="935"/>
      <c r="B1053" s="932"/>
      <c r="C1053" s="928"/>
      <c r="D1053" s="928"/>
      <c r="E1053" s="928"/>
      <c r="F1053" s="928"/>
      <c r="G1053" s="928"/>
      <c r="H1053" s="928"/>
      <c r="I1053" s="928"/>
      <c r="J1053" s="928"/>
      <c r="K1053" s="928"/>
      <c r="L1053" s="928"/>
      <c r="M1053" s="928"/>
      <c r="N1053" s="928"/>
      <c r="O1053" s="928"/>
      <c r="P1053" s="928"/>
      <c r="Q1053" s="928"/>
      <c r="R1053" s="928"/>
      <c r="S1053" s="928"/>
      <c r="T1053" s="928"/>
      <c r="U1053" s="928"/>
      <c r="V1053" s="928"/>
      <c r="W1053" s="928"/>
      <c r="X1053" s="928"/>
      <c r="Y1053" s="928"/>
      <c r="Z1053" s="928"/>
      <c r="AA1053" s="928"/>
    </row>
    <row r="1054" hidden="1">
      <c r="A1054" s="935"/>
      <c r="B1054" s="932"/>
      <c r="C1054" s="928"/>
      <c r="D1054" s="928"/>
      <c r="E1054" s="928"/>
      <c r="F1054" s="928"/>
      <c r="G1054" s="928"/>
      <c r="H1054" s="928"/>
      <c r="I1054" s="928"/>
      <c r="J1054" s="928"/>
      <c r="K1054" s="928"/>
      <c r="L1054" s="928"/>
      <c r="M1054" s="928"/>
      <c r="N1054" s="928"/>
      <c r="O1054" s="928"/>
      <c r="P1054" s="928"/>
      <c r="Q1054" s="928"/>
      <c r="R1054" s="928"/>
      <c r="S1054" s="928"/>
      <c r="T1054" s="928"/>
      <c r="U1054" s="928"/>
      <c r="V1054" s="928"/>
      <c r="W1054" s="928"/>
      <c r="X1054" s="928"/>
      <c r="Y1054" s="928"/>
      <c r="Z1054" s="928"/>
      <c r="AA1054" s="928"/>
    </row>
    <row r="1055" hidden="1">
      <c r="A1055" s="935"/>
      <c r="B1055" s="932"/>
      <c r="C1055" s="928"/>
      <c r="D1055" s="928"/>
      <c r="E1055" s="928"/>
      <c r="F1055" s="928"/>
      <c r="G1055" s="928"/>
      <c r="H1055" s="928"/>
      <c r="I1055" s="928"/>
      <c r="J1055" s="928"/>
      <c r="K1055" s="928"/>
      <c r="L1055" s="928"/>
      <c r="M1055" s="928"/>
      <c r="N1055" s="928"/>
      <c r="O1055" s="928"/>
      <c r="P1055" s="928"/>
      <c r="Q1055" s="928"/>
      <c r="R1055" s="928"/>
      <c r="S1055" s="928"/>
      <c r="T1055" s="928"/>
      <c r="U1055" s="928"/>
      <c r="V1055" s="928"/>
      <c r="W1055" s="928"/>
      <c r="X1055" s="928"/>
      <c r="Y1055" s="928"/>
      <c r="Z1055" s="928"/>
      <c r="AA1055" s="928"/>
    </row>
    <row r="1056" hidden="1">
      <c r="A1056" s="935"/>
      <c r="B1056" s="932"/>
      <c r="C1056" s="928"/>
      <c r="D1056" s="928"/>
      <c r="E1056" s="928"/>
      <c r="F1056" s="928"/>
      <c r="G1056" s="928"/>
      <c r="H1056" s="928"/>
      <c r="I1056" s="928"/>
      <c r="J1056" s="928"/>
      <c r="K1056" s="928"/>
      <c r="L1056" s="928"/>
      <c r="M1056" s="928"/>
      <c r="N1056" s="928"/>
      <c r="O1056" s="928"/>
      <c r="P1056" s="928"/>
      <c r="Q1056" s="928"/>
      <c r="R1056" s="928"/>
      <c r="S1056" s="928"/>
      <c r="T1056" s="928"/>
      <c r="U1056" s="928"/>
      <c r="V1056" s="928"/>
      <c r="W1056" s="928"/>
      <c r="X1056" s="928"/>
      <c r="Y1056" s="928"/>
      <c r="Z1056" s="928"/>
      <c r="AA1056" s="928"/>
    </row>
    <row r="1057" hidden="1">
      <c r="A1057" s="935"/>
      <c r="B1057" s="932"/>
      <c r="C1057" s="928"/>
      <c r="D1057" s="928"/>
      <c r="E1057" s="928"/>
      <c r="F1057" s="928"/>
      <c r="G1057" s="928"/>
      <c r="H1057" s="928"/>
      <c r="I1057" s="928"/>
      <c r="J1057" s="928"/>
      <c r="K1057" s="928"/>
      <c r="L1057" s="928"/>
      <c r="M1057" s="928"/>
      <c r="N1057" s="928"/>
      <c r="O1057" s="928"/>
      <c r="P1057" s="928"/>
      <c r="Q1057" s="928"/>
      <c r="R1057" s="928"/>
      <c r="S1057" s="928"/>
      <c r="T1057" s="928"/>
      <c r="U1057" s="928"/>
      <c r="V1057" s="928"/>
      <c r="W1057" s="928"/>
      <c r="X1057" s="928"/>
      <c r="Y1057" s="928"/>
      <c r="Z1057" s="928"/>
      <c r="AA1057" s="928"/>
    </row>
    <row r="1058" hidden="1">
      <c r="A1058" s="935"/>
      <c r="B1058" s="932"/>
      <c r="C1058" s="928"/>
      <c r="D1058" s="928"/>
      <c r="E1058" s="928"/>
      <c r="F1058" s="928"/>
      <c r="G1058" s="928"/>
      <c r="H1058" s="928"/>
      <c r="I1058" s="928"/>
      <c r="J1058" s="928"/>
      <c r="K1058" s="928"/>
      <c r="L1058" s="928"/>
      <c r="M1058" s="928"/>
      <c r="N1058" s="928"/>
      <c r="O1058" s="928"/>
      <c r="P1058" s="928"/>
      <c r="Q1058" s="928"/>
      <c r="R1058" s="928"/>
      <c r="S1058" s="928"/>
      <c r="T1058" s="928"/>
      <c r="U1058" s="928"/>
      <c r="V1058" s="928"/>
      <c r="W1058" s="928"/>
      <c r="X1058" s="928"/>
      <c r="Y1058" s="928"/>
      <c r="Z1058" s="928"/>
      <c r="AA1058" s="928"/>
    </row>
    <row r="1059" hidden="1">
      <c r="A1059" s="935"/>
      <c r="B1059" s="932"/>
      <c r="C1059" s="928"/>
      <c r="D1059" s="928"/>
      <c r="E1059" s="928"/>
      <c r="F1059" s="928"/>
      <c r="G1059" s="928"/>
      <c r="H1059" s="928"/>
      <c r="I1059" s="928"/>
      <c r="J1059" s="928"/>
      <c r="K1059" s="928"/>
      <c r="L1059" s="928"/>
      <c r="M1059" s="928"/>
      <c r="N1059" s="928"/>
      <c r="O1059" s="928"/>
      <c r="P1059" s="928"/>
      <c r="Q1059" s="928"/>
      <c r="R1059" s="928"/>
      <c r="S1059" s="928"/>
      <c r="T1059" s="928"/>
      <c r="U1059" s="928"/>
      <c r="V1059" s="928"/>
      <c r="W1059" s="928"/>
      <c r="X1059" s="928"/>
      <c r="Y1059" s="928"/>
      <c r="Z1059" s="928"/>
      <c r="AA1059" s="928"/>
    </row>
    <row r="1060" hidden="1">
      <c r="A1060" s="935"/>
      <c r="B1060" s="932"/>
      <c r="C1060" s="928"/>
      <c r="D1060" s="928"/>
      <c r="E1060" s="928"/>
      <c r="F1060" s="928"/>
      <c r="G1060" s="928"/>
      <c r="H1060" s="928"/>
      <c r="I1060" s="928"/>
      <c r="J1060" s="928"/>
      <c r="K1060" s="928"/>
      <c r="L1060" s="928"/>
      <c r="M1060" s="928"/>
      <c r="N1060" s="928"/>
      <c r="O1060" s="928"/>
      <c r="P1060" s="928"/>
      <c r="Q1060" s="928"/>
      <c r="R1060" s="928"/>
      <c r="S1060" s="928"/>
      <c r="T1060" s="928"/>
      <c r="U1060" s="928"/>
      <c r="V1060" s="928"/>
      <c r="W1060" s="928"/>
      <c r="X1060" s="928"/>
      <c r="Y1060" s="928"/>
      <c r="Z1060" s="928"/>
      <c r="AA1060" s="928"/>
    </row>
    <row r="1061" hidden="1">
      <c r="A1061" s="935"/>
      <c r="B1061" s="932"/>
      <c r="C1061" s="928"/>
      <c r="D1061" s="928"/>
      <c r="E1061" s="928"/>
      <c r="F1061" s="928"/>
      <c r="G1061" s="928"/>
      <c r="H1061" s="928"/>
      <c r="I1061" s="928"/>
      <c r="J1061" s="928"/>
      <c r="K1061" s="928"/>
      <c r="L1061" s="928"/>
      <c r="M1061" s="928"/>
      <c r="N1061" s="928"/>
      <c r="O1061" s="928"/>
      <c r="P1061" s="928"/>
      <c r="Q1061" s="928"/>
      <c r="R1061" s="928"/>
      <c r="S1061" s="928"/>
      <c r="T1061" s="928"/>
      <c r="U1061" s="928"/>
      <c r="V1061" s="928"/>
      <c r="W1061" s="928"/>
      <c r="X1061" s="928"/>
      <c r="Y1061" s="928"/>
      <c r="Z1061" s="928"/>
      <c r="AA1061" s="928"/>
    </row>
    <row r="1062" hidden="1">
      <c r="A1062" s="935"/>
      <c r="B1062" s="932"/>
      <c r="C1062" s="928"/>
      <c r="D1062" s="928"/>
      <c r="E1062" s="928"/>
      <c r="F1062" s="928"/>
      <c r="G1062" s="928"/>
      <c r="H1062" s="928"/>
      <c r="I1062" s="928"/>
      <c r="J1062" s="928"/>
      <c r="K1062" s="928"/>
      <c r="L1062" s="928"/>
      <c r="M1062" s="928"/>
      <c r="N1062" s="928"/>
      <c r="O1062" s="928"/>
      <c r="P1062" s="928"/>
      <c r="Q1062" s="928"/>
      <c r="R1062" s="928"/>
      <c r="S1062" s="928"/>
      <c r="T1062" s="928"/>
      <c r="U1062" s="928"/>
      <c r="V1062" s="928"/>
      <c r="W1062" s="928"/>
      <c r="X1062" s="928"/>
      <c r="Y1062" s="928"/>
      <c r="Z1062" s="928"/>
      <c r="AA1062" s="928"/>
    </row>
    <row r="1063" hidden="1">
      <c r="A1063" s="935"/>
      <c r="B1063" s="932"/>
      <c r="C1063" s="928"/>
      <c r="D1063" s="928"/>
      <c r="E1063" s="928"/>
      <c r="F1063" s="928"/>
      <c r="G1063" s="928"/>
      <c r="H1063" s="928"/>
      <c r="I1063" s="928"/>
      <c r="J1063" s="928"/>
      <c r="K1063" s="928"/>
      <c r="L1063" s="928"/>
      <c r="M1063" s="928"/>
      <c r="N1063" s="928"/>
      <c r="O1063" s="928"/>
      <c r="P1063" s="928"/>
      <c r="Q1063" s="928"/>
      <c r="R1063" s="928"/>
      <c r="S1063" s="928"/>
      <c r="T1063" s="928"/>
      <c r="U1063" s="928"/>
      <c r="V1063" s="928"/>
      <c r="W1063" s="928"/>
      <c r="X1063" s="928"/>
      <c r="Y1063" s="928"/>
      <c r="Z1063" s="928"/>
      <c r="AA1063" s="928"/>
    </row>
    <row r="1064" hidden="1">
      <c r="A1064" s="935"/>
      <c r="B1064" s="932"/>
      <c r="C1064" s="928"/>
      <c r="D1064" s="928"/>
      <c r="E1064" s="928"/>
      <c r="F1064" s="928"/>
      <c r="G1064" s="928"/>
      <c r="H1064" s="928"/>
      <c r="I1064" s="928"/>
      <c r="J1064" s="928"/>
      <c r="K1064" s="928"/>
      <c r="L1064" s="928"/>
      <c r="M1064" s="928"/>
      <c r="N1064" s="928"/>
      <c r="O1064" s="928"/>
      <c r="P1064" s="928"/>
      <c r="Q1064" s="928"/>
      <c r="R1064" s="928"/>
      <c r="S1064" s="928"/>
      <c r="T1064" s="928"/>
      <c r="U1064" s="928"/>
      <c r="V1064" s="928"/>
      <c r="W1064" s="928"/>
      <c r="X1064" s="928"/>
      <c r="Y1064" s="928"/>
      <c r="Z1064" s="928"/>
      <c r="AA1064" s="928"/>
    </row>
    <row r="1065" hidden="1">
      <c r="A1065" s="935"/>
      <c r="B1065" s="932"/>
      <c r="C1065" s="928"/>
      <c r="D1065" s="928"/>
      <c r="E1065" s="928"/>
      <c r="F1065" s="928"/>
      <c r="G1065" s="928"/>
      <c r="H1065" s="928"/>
      <c r="I1065" s="928"/>
      <c r="J1065" s="928"/>
      <c r="K1065" s="928"/>
      <c r="L1065" s="928"/>
      <c r="M1065" s="928"/>
      <c r="N1065" s="928"/>
      <c r="O1065" s="928"/>
      <c r="P1065" s="928"/>
      <c r="Q1065" s="928"/>
      <c r="R1065" s="928"/>
      <c r="S1065" s="928"/>
      <c r="T1065" s="928"/>
      <c r="U1065" s="928"/>
      <c r="V1065" s="928"/>
      <c r="W1065" s="928"/>
      <c r="X1065" s="928"/>
      <c r="Y1065" s="928"/>
      <c r="Z1065" s="928"/>
      <c r="AA1065" s="928"/>
    </row>
    <row r="1066" hidden="1">
      <c r="A1066" s="935"/>
      <c r="B1066" s="932"/>
      <c r="C1066" s="928"/>
      <c r="D1066" s="928"/>
      <c r="E1066" s="928"/>
      <c r="F1066" s="928"/>
      <c r="G1066" s="928"/>
      <c r="H1066" s="928"/>
      <c r="I1066" s="928"/>
      <c r="J1066" s="928"/>
      <c r="K1066" s="928"/>
      <c r="L1066" s="928"/>
      <c r="M1066" s="928"/>
      <c r="N1066" s="928"/>
      <c r="O1066" s="928"/>
      <c r="P1066" s="928"/>
      <c r="Q1066" s="928"/>
      <c r="R1066" s="928"/>
      <c r="S1066" s="928"/>
      <c r="T1066" s="928"/>
      <c r="U1066" s="928"/>
      <c r="V1066" s="928"/>
      <c r="W1066" s="928"/>
      <c r="X1066" s="928"/>
      <c r="Y1066" s="928"/>
      <c r="Z1066" s="928"/>
      <c r="AA1066" s="928"/>
    </row>
    <row r="1067" hidden="1">
      <c r="A1067" s="935"/>
      <c r="B1067" s="932"/>
      <c r="C1067" s="928"/>
      <c r="D1067" s="928"/>
      <c r="E1067" s="928"/>
      <c r="F1067" s="928"/>
      <c r="G1067" s="928"/>
      <c r="H1067" s="928"/>
      <c r="I1067" s="928"/>
      <c r="J1067" s="928"/>
      <c r="K1067" s="928"/>
      <c r="L1067" s="928"/>
      <c r="M1067" s="928"/>
      <c r="N1067" s="928"/>
      <c r="O1067" s="928"/>
      <c r="P1067" s="928"/>
      <c r="Q1067" s="928"/>
      <c r="R1067" s="928"/>
      <c r="S1067" s="928"/>
      <c r="T1067" s="928"/>
      <c r="U1067" s="928"/>
      <c r="V1067" s="928"/>
      <c r="W1067" s="928"/>
      <c r="X1067" s="928"/>
      <c r="Y1067" s="928"/>
      <c r="Z1067" s="928"/>
      <c r="AA1067" s="928"/>
    </row>
    <row r="1068" hidden="1">
      <c r="A1068" s="935"/>
      <c r="B1068" s="932"/>
      <c r="C1068" s="928"/>
      <c r="D1068" s="928"/>
      <c r="E1068" s="928"/>
      <c r="F1068" s="928"/>
      <c r="G1068" s="928"/>
      <c r="H1068" s="928"/>
      <c r="I1068" s="928"/>
      <c r="J1068" s="928"/>
      <c r="K1068" s="928"/>
      <c r="L1068" s="928"/>
      <c r="M1068" s="928"/>
      <c r="N1068" s="928"/>
      <c r="O1068" s="928"/>
      <c r="P1068" s="928"/>
      <c r="Q1068" s="928"/>
      <c r="R1068" s="928"/>
      <c r="S1068" s="928"/>
      <c r="T1068" s="928"/>
      <c r="U1068" s="928"/>
      <c r="V1068" s="928"/>
      <c r="W1068" s="928"/>
      <c r="X1068" s="928"/>
      <c r="Y1068" s="928"/>
      <c r="Z1068" s="928"/>
      <c r="AA1068" s="928"/>
    </row>
    <row r="1069" hidden="1">
      <c r="A1069" s="935"/>
      <c r="B1069" s="932"/>
      <c r="C1069" s="928"/>
      <c r="D1069" s="928"/>
      <c r="E1069" s="928"/>
      <c r="F1069" s="928"/>
      <c r="G1069" s="928"/>
      <c r="H1069" s="928"/>
      <c r="I1069" s="928"/>
      <c r="J1069" s="928"/>
      <c r="K1069" s="928"/>
      <c r="L1069" s="928"/>
      <c r="M1069" s="928"/>
      <c r="N1069" s="928"/>
      <c r="O1069" s="928"/>
      <c r="P1069" s="928"/>
      <c r="Q1069" s="928"/>
      <c r="R1069" s="928"/>
      <c r="S1069" s="928"/>
      <c r="T1069" s="928"/>
      <c r="U1069" s="928"/>
      <c r="V1069" s="928"/>
      <c r="W1069" s="928"/>
      <c r="X1069" s="928"/>
      <c r="Y1069" s="928"/>
      <c r="Z1069" s="928"/>
      <c r="AA1069" s="928"/>
    </row>
    <row r="1070" hidden="1">
      <c r="A1070" s="935"/>
      <c r="B1070" s="932"/>
      <c r="C1070" s="928"/>
      <c r="D1070" s="928"/>
      <c r="E1070" s="928"/>
      <c r="F1070" s="928"/>
      <c r="G1070" s="928"/>
      <c r="H1070" s="928"/>
      <c r="I1070" s="928"/>
      <c r="J1070" s="928"/>
      <c r="K1070" s="928"/>
      <c r="L1070" s="928"/>
      <c r="M1070" s="928"/>
      <c r="N1070" s="928"/>
      <c r="O1070" s="928"/>
      <c r="P1070" s="928"/>
      <c r="Q1070" s="928"/>
      <c r="R1070" s="928"/>
      <c r="S1070" s="928"/>
      <c r="T1070" s="928"/>
      <c r="U1070" s="928"/>
      <c r="V1070" s="928"/>
      <c r="W1070" s="928"/>
      <c r="X1070" s="928"/>
      <c r="Y1070" s="928"/>
      <c r="Z1070" s="928"/>
      <c r="AA1070" s="928"/>
    </row>
    <row r="1071" hidden="1">
      <c r="A1071" s="935"/>
      <c r="B1071" s="932"/>
      <c r="C1071" s="928"/>
      <c r="D1071" s="928"/>
      <c r="E1071" s="928"/>
      <c r="F1071" s="928"/>
      <c r="G1071" s="928"/>
      <c r="H1071" s="928"/>
      <c r="I1071" s="928"/>
      <c r="J1071" s="928"/>
      <c r="K1071" s="928"/>
      <c r="L1071" s="928"/>
      <c r="M1071" s="928"/>
      <c r="N1071" s="928"/>
      <c r="O1071" s="928"/>
      <c r="P1071" s="928"/>
      <c r="Q1071" s="928"/>
      <c r="R1071" s="928"/>
      <c r="S1071" s="928"/>
      <c r="T1071" s="928"/>
      <c r="U1071" s="928"/>
      <c r="V1071" s="928"/>
      <c r="W1071" s="928"/>
      <c r="X1071" s="928"/>
      <c r="Y1071" s="928"/>
      <c r="Z1071" s="928"/>
      <c r="AA1071" s="928"/>
    </row>
    <row r="1072" hidden="1">
      <c r="A1072" s="935"/>
      <c r="B1072" s="932"/>
      <c r="C1072" s="928"/>
      <c r="D1072" s="928"/>
      <c r="E1072" s="928"/>
      <c r="F1072" s="928"/>
      <c r="G1072" s="928"/>
      <c r="H1072" s="928"/>
      <c r="I1072" s="928"/>
      <c r="J1072" s="928"/>
      <c r="K1072" s="928"/>
      <c r="L1072" s="928"/>
      <c r="M1072" s="928"/>
      <c r="N1072" s="928"/>
      <c r="O1072" s="928"/>
      <c r="P1072" s="928"/>
      <c r="Q1072" s="928"/>
      <c r="R1072" s="928"/>
      <c r="S1072" s="928"/>
      <c r="T1072" s="928"/>
      <c r="U1072" s="928"/>
      <c r="V1072" s="928"/>
      <c r="W1072" s="928"/>
      <c r="X1072" s="928"/>
      <c r="Y1072" s="928"/>
      <c r="Z1072" s="928"/>
      <c r="AA1072" s="928"/>
    </row>
    <row r="1073" hidden="1">
      <c r="A1073" s="935"/>
      <c r="B1073" s="932"/>
      <c r="C1073" s="928"/>
      <c r="D1073" s="928"/>
      <c r="E1073" s="928"/>
      <c r="F1073" s="928"/>
      <c r="G1073" s="928"/>
      <c r="H1073" s="928"/>
      <c r="I1073" s="928"/>
      <c r="J1073" s="928"/>
      <c r="K1073" s="928"/>
      <c r="L1073" s="928"/>
      <c r="M1073" s="928"/>
      <c r="N1073" s="928"/>
      <c r="O1073" s="928"/>
      <c r="P1073" s="928"/>
      <c r="Q1073" s="928"/>
      <c r="R1073" s="928"/>
      <c r="S1073" s="928"/>
      <c r="T1073" s="928"/>
      <c r="U1073" s="928"/>
      <c r="V1073" s="928"/>
      <c r="W1073" s="928"/>
      <c r="X1073" s="928"/>
      <c r="Y1073" s="928"/>
      <c r="Z1073" s="928"/>
      <c r="AA1073" s="928"/>
    </row>
    <row r="1074" hidden="1">
      <c r="A1074" s="935"/>
      <c r="B1074" s="932"/>
      <c r="C1074" s="928"/>
      <c r="D1074" s="928"/>
      <c r="E1074" s="928"/>
      <c r="F1074" s="928"/>
      <c r="G1074" s="928"/>
      <c r="H1074" s="928"/>
      <c r="I1074" s="928"/>
      <c r="J1074" s="928"/>
      <c r="K1074" s="928"/>
      <c r="L1074" s="928"/>
      <c r="M1074" s="928"/>
      <c r="N1074" s="928"/>
      <c r="O1074" s="928"/>
      <c r="P1074" s="928"/>
      <c r="Q1074" s="928"/>
      <c r="R1074" s="928"/>
      <c r="S1074" s="928"/>
      <c r="T1074" s="928"/>
      <c r="U1074" s="928"/>
      <c r="V1074" s="928"/>
      <c r="W1074" s="928"/>
      <c r="X1074" s="928"/>
      <c r="Y1074" s="928"/>
      <c r="Z1074" s="928"/>
      <c r="AA1074" s="928"/>
    </row>
    <row r="1075" hidden="1">
      <c r="A1075" s="935"/>
      <c r="B1075" s="932"/>
      <c r="C1075" s="928"/>
      <c r="D1075" s="928"/>
      <c r="E1075" s="928"/>
      <c r="F1075" s="928"/>
      <c r="G1075" s="928"/>
      <c r="H1075" s="928"/>
      <c r="I1075" s="928"/>
      <c r="J1075" s="928"/>
      <c r="K1075" s="928"/>
      <c r="L1075" s="928"/>
      <c r="M1075" s="928"/>
      <c r="N1075" s="928"/>
      <c r="O1075" s="928"/>
      <c r="P1075" s="928"/>
      <c r="Q1075" s="928"/>
      <c r="R1075" s="928"/>
      <c r="S1075" s="928"/>
      <c r="T1075" s="928"/>
      <c r="U1075" s="928"/>
      <c r="V1075" s="928"/>
      <c r="W1075" s="928"/>
      <c r="X1075" s="928"/>
      <c r="Y1075" s="928"/>
      <c r="Z1075" s="928"/>
      <c r="AA1075" s="928"/>
    </row>
    <row r="1076" hidden="1">
      <c r="A1076" s="935"/>
      <c r="B1076" s="932"/>
      <c r="C1076" s="928"/>
      <c r="D1076" s="928"/>
      <c r="E1076" s="928"/>
      <c r="F1076" s="928"/>
      <c r="G1076" s="928"/>
      <c r="H1076" s="928"/>
      <c r="I1076" s="928"/>
      <c r="J1076" s="928"/>
      <c r="K1076" s="928"/>
      <c r="L1076" s="928"/>
      <c r="M1076" s="928"/>
      <c r="N1076" s="928"/>
      <c r="O1076" s="928"/>
      <c r="P1076" s="928"/>
      <c r="Q1076" s="928"/>
      <c r="R1076" s="928"/>
      <c r="S1076" s="928"/>
      <c r="T1076" s="928"/>
      <c r="U1076" s="928"/>
      <c r="V1076" s="928"/>
      <c r="W1076" s="928"/>
      <c r="X1076" s="928"/>
      <c r="Y1076" s="928"/>
      <c r="Z1076" s="928"/>
      <c r="AA1076" s="928"/>
    </row>
    <row r="1077" hidden="1">
      <c r="A1077" s="935"/>
      <c r="B1077" s="932"/>
      <c r="C1077" s="928"/>
      <c r="D1077" s="928"/>
      <c r="E1077" s="928"/>
      <c r="F1077" s="928"/>
      <c r="G1077" s="928"/>
      <c r="H1077" s="928"/>
      <c r="I1077" s="928"/>
      <c r="J1077" s="928"/>
      <c r="K1077" s="928"/>
      <c r="L1077" s="928"/>
      <c r="M1077" s="928"/>
      <c r="N1077" s="928"/>
      <c r="O1077" s="928"/>
      <c r="P1077" s="928"/>
      <c r="Q1077" s="928"/>
      <c r="R1077" s="928"/>
      <c r="S1077" s="928"/>
      <c r="T1077" s="928"/>
      <c r="U1077" s="928"/>
      <c r="V1077" s="928"/>
      <c r="W1077" s="928"/>
      <c r="X1077" s="928"/>
      <c r="Y1077" s="928"/>
      <c r="Z1077" s="928"/>
      <c r="AA1077" s="928"/>
    </row>
    <row r="1078" hidden="1">
      <c r="A1078" s="935"/>
      <c r="B1078" s="932"/>
      <c r="C1078" s="928"/>
      <c r="D1078" s="928"/>
      <c r="E1078" s="928"/>
      <c r="F1078" s="928"/>
      <c r="G1078" s="928"/>
      <c r="H1078" s="928"/>
      <c r="I1078" s="928"/>
      <c r="J1078" s="928"/>
      <c r="K1078" s="928"/>
      <c r="L1078" s="928"/>
      <c r="M1078" s="928"/>
      <c r="N1078" s="928"/>
      <c r="O1078" s="928"/>
      <c r="P1078" s="928"/>
      <c r="Q1078" s="928"/>
      <c r="R1078" s="928"/>
      <c r="S1078" s="928"/>
      <c r="T1078" s="928"/>
      <c r="U1078" s="928"/>
      <c r="V1078" s="928"/>
      <c r="W1078" s="928"/>
      <c r="X1078" s="928"/>
      <c r="Y1078" s="928"/>
      <c r="Z1078" s="928"/>
      <c r="AA1078" s="928"/>
    </row>
    <row r="1079" hidden="1">
      <c r="A1079" s="935"/>
      <c r="B1079" s="932"/>
      <c r="C1079" s="928"/>
      <c r="D1079" s="928"/>
      <c r="E1079" s="928"/>
      <c r="F1079" s="928"/>
      <c r="G1079" s="928"/>
      <c r="H1079" s="928"/>
      <c r="I1079" s="928"/>
      <c r="J1079" s="928"/>
      <c r="K1079" s="928"/>
      <c r="L1079" s="928"/>
      <c r="M1079" s="928"/>
      <c r="N1079" s="928"/>
      <c r="O1079" s="928"/>
      <c r="P1079" s="928"/>
      <c r="Q1079" s="928"/>
      <c r="R1079" s="928"/>
      <c r="S1079" s="928"/>
      <c r="T1079" s="928"/>
      <c r="U1079" s="928"/>
      <c r="V1079" s="928"/>
      <c r="W1079" s="928"/>
      <c r="X1079" s="928"/>
      <c r="Y1079" s="928"/>
      <c r="Z1079" s="928"/>
      <c r="AA1079" s="928"/>
    </row>
    <row r="1080" hidden="1">
      <c r="A1080" s="935"/>
      <c r="B1080" s="932"/>
      <c r="C1080" s="928"/>
      <c r="D1080" s="928"/>
      <c r="E1080" s="928"/>
      <c r="F1080" s="928"/>
      <c r="G1080" s="928"/>
      <c r="H1080" s="928"/>
      <c r="I1080" s="928"/>
      <c r="J1080" s="928"/>
      <c r="K1080" s="928"/>
      <c r="L1080" s="928"/>
      <c r="M1080" s="928"/>
      <c r="N1080" s="928"/>
      <c r="O1080" s="928"/>
      <c r="P1080" s="928"/>
      <c r="Q1080" s="928"/>
      <c r="R1080" s="928"/>
      <c r="S1080" s="928"/>
      <c r="T1080" s="928"/>
      <c r="U1080" s="928"/>
      <c r="V1080" s="928"/>
      <c r="W1080" s="928"/>
      <c r="X1080" s="928"/>
      <c r="Y1080" s="928"/>
      <c r="Z1080" s="928"/>
      <c r="AA1080" s="928"/>
    </row>
    <row r="1081" hidden="1">
      <c r="A1081" s="935"/>
      <c r="B1081" s="932"/>
      <c r="C1081" s="928"/>
      <c r="D1081" s="928"/>
      <c r="E1081" s="928"/>
      <c r="F1081" s="928"/>
      <c r="G1081" s="928"/>
      <c r="H1081" s="928"/>
      <c r="I1081" s="928"/>
      <c r="J1081" s="928"/>
      <c r="K1081" s="928"/>
      <c r="L1081" s="928"/>
      <c r="M1081" s="928"/>
      <c r="N1081" s="928"/>
      <c r="O1081" s="928"/>
      <c r="P1081" s="928"/>
      <c r="Q1081" s="928"/>
      <c r="R1081" s="928"/>
      <c r="S1081" s="928"/>
      <c r="T1081" s="928"/>
      <c r="U1081" s="928"/>
      <c r="V1081" s="928"/>
      <c r="W1081" s="928"/>
      <c r="X1081" s="928"/>
      <c r="Y1081" s="928"/>
      <c r="Z1081" s="928"/>
      <c r="AA1081" s="928"/>
    </row>
    <row r="1082" hidden="1">
      <c r="A1082" s="935"/>
      <c r="B1082" s="932"/>
      <c r="C1082" s="928"/>
      <c r="D1082" s="928"/>
      <c r="E1082" s="928"/>
      <c r="F1082" s="928"/>
      <c r="G1082" s="928"/>
      <c r="H1082" s="928"/>
      <c r="I1082" s="928"/>
      <c r="J1082" s="928"/>
      <c r="K1082" s="928"/>
      <c r="L1082" s="928"/>
      <c r="M1082" s="928"/>
      <c r="N1082" s="928"/>
      <c r="O1082" s="928"/>
      <c r="P1082" s="928"/>
      <c r="Q1082" s="928"/>
      <c r="R1082" s="928"/>
      <c r="S1082" s="928"/>
      <c r="T1082" s="928"/>
      <c r="U1082" s="928"/>
      <c r="V1082" s="928"/>
      <c r="W1082" s="928"/>
      <c r="X1082" s="928"/>
      <c r="Y1082" s="928"/>
      <c r="Z1082" s="928"/>
      <c r="AA1082" s="928"/>
    </row>
    <row r="1083" hidden="1">
      <c r="A1083" s="935"/>
      <c r="B1083" s="932"/>
      <c r="C1083" s="928"/>
      <c r="D1083" s="928"/>
      <c r="E1083" s="928"/>
      <c r="F1083" s="928"/>
      <c r="G1083" s="928"/>
      <c r="H1083" s="928"/>
      <c r="I1083" s="928"/>
      <c r="J1083" s="928"/>
      <c r="K1083" s="928"/>
      <c r="L1083" s="928"/>
      <c r="M1083" s="928"/>
      <c r="N1083" s="928"/>
      <c r="O1083" s="928"/>
      <c r="P1083" s="928"/>
      <c r="Q1083" s="928"/>
      <c r="R1083" s="928"/>
      <c r="S1083" s="928"/>
      <c r="T1083" s="928"/>
      <c r="U1083" s="928"/>
      <c r="V1083" s="928"/>
      <c r="W1083" s="928"/>
      <c r="X1083" s="928"/>
      <c r="Y1083" s="928"/>
      <c r="Z1083" s="928"/>
      <c r="AA1083" s="928"/>
    </row>
  </sheetData>
  <hyperlinks>
    <hyperlink r:id="rId1" ref="B7"/>
    <hyperlink r:id="rId2" ref="B17"/>
    <hyperlink r:id="rId3" ref="B76"/>
    <hyperlink r:id="rId4" location=":~:text=After%20thoroughly%20considering%20the%20problem%20space%2C%20we%20came%20to%20the%20decision%20to%20remove%20Power%20limits%20from%20all%20items%20starting%20in%20The%20Final%20Shape." ref="B99"/>
    <hyperlink r:id="rId5" ref="B115"/>
    <hyperlink r:id="rId6" ref="B154"/>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4.5"/>
    <col customWidth="1" min="4" max="4" width="21.38"/>
    <col customWidth="1" min="7" max="7" width="3.75"/>
    <col customWidth="1" min="9" max="10" width="9.5"/>
    <col customWidth="1" min="12" max="15" width="9.5"/>
    <col customWidth="1" min="16" max="16" width="37.88"/>
    <col hidden="1" min="17" max="30" width="12.63"/>
  </cols>
  <sheetData>
    <row r="1">
      <c r="A1" s="936" t="s">
        <v>1271</v>
      </c>
      <c r="B1" s="937" t="s">
        <v>858</v>
      </c>
      <c r="C1" s="344" t="s">
        <v>1272</v>
      </c>
      <c r="D1" s="936" t="s">
        <v>1273</v>
      </c>
      <c r="E1" s="938" t="s">
        <v>1274</v>
      </c>
      <c r="F1" s="938" t="s">
        <v>1275</v>
      </c>
      <c r="G1" s="939"/>
      <c r="H1" s="940" t="s">
        <v>1276</v>
      </c>
      <c r="I1" s="346" t="s">
        <v>1277</v>
      </c>
      <c r="J1" s="941" t="s">
        <v>1278</v>
      </c>
      <c r="K1" s="942" t="s">
        <v>1279</v>
      </c>
      <c r="L1" s="943" t="s">
        <v>1280</v>
      </c>
      <c r="M1" s="936" t="s">
        <v>1281</v>
      </c>
      <c r="N1" s="344" t="s">
        <v>1282</v>
      </c>
      <c r="O1" s="944" t="s">
        <v>1283</v>
      </c>
      <c r="P1" s="63"/>
      <c r="Q1" s="58"/>
      <c r="R1" s="58"/>
      <c r="S1" s="58"/>
      <c r="T1" s="58"/>
      <c r="U1" s="58"/>
      <c r="V1" s="58"/>
      <c r="W1" s="58"/>
      <c r="X1" s="58"/>
      <c r="Y1" s="58"/>
      <c r="Z1" s="58"/>
      <c r="AA1" s="58"/>
      <c r="AB1" s="58"/>
      <c r="AC1" s="58"/>
      <c r="AD1" s="58"/>
    </row>
    <row r="2">
      <c r="A2" s="945" t="s">
        <v>1284</v>
      </c>
      <c r="B2" s="946" t="s">
        <v>867</v>
      </c>
      <c r="C2" s="947" t="s">
        <v>1285</v>
      </c>
      <c r="D2" s="947" t="s">
        <v>150</v>
      </c>
      <c r="E2" s="948">
        <v>87359.0</v>
      </c>
      <c r="F2" s="949" t="s">
        <v>1286</v>
      </c>
      <c r="G2" s="950"/>
      <c r="H2" s="951" t="s">
        <v>60</v>
      </c>
      <c r="I2" s="952" t="s">
        <v>60</v>
      </c>
      <c r="J2" s="953" t="s">
        <v>60</v>
      </c>
      <c r="K2" s="954" t="s">
        <v>60</v>
      </c>
      <c r="L2" s="952" t="s">
        <v>60</v>
      </c>
      <c r="M2" s="955" t="s">
        <v>60</v>
      </c>
      <c r="N2" s="956">
        <v>2.35</v>
      </c>
      <c r="O2" s="957">
        <f t="shared" ref="O2:O4" si="1">IF(ISTEXT(N2), "N/A", 1/N2)</f>
        <v>0.4255319149</v>
      </c>
    </row>
    <row r="3">
      <c r="A3" s="958"/>
      <c r="B3" s="959" t="s">
        <v>867</v>
      </c>
      <c r="C3" s="960" t="s">
        <v>1285</v>
      </c>
      <c r="D3" s="960" t="s">
        <v>1287</v>
      </c>
      <c r="E3" s="84">
        <v>174717.0</v>
      </c>
      <c r="F3" s="109" t="s">
        <v>1286</v>
      </c>
      <c r="G3" s="950"/>
      <c r="H3" s="961" t="s">
        <v>60</v>
      </c>
      <c r="I3" s="962" t="s">
        <v>60</v>
      </c>
      <c r="J3" s="85" t="s">
        <v>60</v>
      </c>
      <c r="K3" s="83" t="s">
        <v>60</v>
      </c>
      <c r="L3" s="962" t="s">
        <v>60</v>
      </c>
      <c r="M3" s="92" t="s">
        <v>60</v>
      </c>
      <c r="N3" s="205">
        <v>2.35</v>
      </c>
      <c r="O3" s="963">
        <f t="shared" si="1"/>
        <v>0.4255319149</v>
      </c>
    </row>
    <row r="4">
      <c r="A4" s="958"/>
      <c r="B4" s="964" t="s">
        <v>867</v>
      </c>
      <c r="C4" s="965" t="s">
        <v>1288</v>
      </c>
      <c r="D4" s="965" t="s">
        <v>150</v>
      </c>
      <c r="E4" s="966"/>
      <c r="F4" s="967"/>
      <c r="G4" s="950"/>
      <c r="H4" s="968"/>
      <c r="I4" s="969">
        <v>0.06</v>
      </c>
      <c r="J4" s="970">
        <v>0.72</v>
      </c>
      <c r="K4" s="971"/>
      <c r="L4" s="969">
        <v>0.12</v>
      </c>
      <c r="M4" s="971"/>
      <c r="N4" s="972">
        <v>17.7</v>
      </c>
      <c r="O4" s="973">
        <f t="shared" si="1"/>
        <v>0.05649717514</v>
      </c>
    </row>
    <row r="5">
      <c r="A5" s="958"/>
      <c r="B5" s="974" t="s">
        <v>869</v>
      </c>
      <c r="C5" s="975" t="s">
        <v>1289</v>
      </c>
      <c r="D5" s="975" t="s">
        <v>150</v>
      </c>
      <c r="E5" s="103" t="s">
        <v>60</v>
      </c>
      <c r="F5" s="319" t="s">
        <v>60</v>
      </c>
      <c r="G5" s="950"/>
      <c r="H5" s="976" t="s">
        <v>60</v>
      </c>
      <c r="I5" s="977" t="s">
        <v>60</v>
      </c>
      <c r="J5" s="201" t="s">
        <v>60</v>
      </c>
      <c r="K5" s="102" t="s">
        <v>60</v>
      </c>
      <c r="L5" s="977" t="s">
        <v>60</v>
      </c>
      <c r="M5" s="102" t="s">
        <v>60</v>
      </c>
      <c r="N5" s="202">
        <v>30.0</v>
      </c>
      <c r="O5" s="978" t="s">
        <v>60</v>
      </c>
    </row>
    <row r="6">
      <c r="A6" s="958"/>
      <c r="B6" s="979" t="s">
        <v>869</v>
      </c>
      <c r="C6" s="960" t="s">
        <v>1290</v>
      </c>
      <c r="D6" s="960" t="s">
        <v>150</v>
      </c>
      <c r="E6" s="93"/>
      <c r="F6" s="353"/>
      <c r="G6" s="950"/>
      <c r="H6" s="110"/>
      <c r="I6" s="962">
        <v>0.045</v>
      </c>
      <c r="J6" s="111"/>
      <c r="K6" s="424"/>
      <c r="L6" s="980"/>
      <c r="M6" s="424"/>
      <c r="N6" s="205">
        <v>17.0</v>
      </c>
      <c r="O6" s="963">
        <f t="shared" ref="O6:O8" si="2">IF(ISTEXT(N6), "N/A", 1/N6)</f>
        <v>0.05882352941</v>
      </c>
    </row>
    <row r="7">
      <c r="A7" s="958"/>
      <c r="B7" s="981" t="s">
        <v>869</v>
      </c>
      <c r="C7" s="965" t="s">
        <v>1290</v>
      </c>
      <c r="D7" s="965" t="s">
        <v>577</v>
      </c>
      <c r="E7" s="982" t="s">
        <v>60</v>
      </c>
      <c r="F7" s="983" t="s">
        <v>60</v>
      </c>
      <c r="G7" s="950"/>
      <c r="H7" s="984" t="s">
        <v>60</v>
      </c>
      <c r="I7" s="969" t="s">
        <v>60</v>
      </c>
      <c r="J7" s="970" t="s">
        <v>60</v>
      </c>
      <c r="K7" s="985" t="s">
        <v>60</v>
      </c>
      <c r="L7" s="969" t="s">
        <v>60</v>
      </c>
      <c r="M7" s="985" t="s">
        <v>60</v>
      </c>
      <c r="N7" s="972">
        <f>17*1.2</f>
        <v>20.4</v>
      </c>
      <c r="O7" s="973">
        <f t="shared" si="2"/>
        <v>0.04901960784</v>
      </c>
      <c r="P7" s="95" t="s">
        <v>1291</v>
      </c>
    </row>
    <row r="8">
      <c r="A8" s="958"/>
      <c r="B8" s="986" t="s">
        <v>865</v>
      </c>
      <c r="C8" s="975" t="s">
        <v>1292</v>
      </c>
      <c r="D8" s="975" t="s">
        <v>150</v>
      </c>
      <c r="E8" s="375"/>
      <c r="F8" s="416"/>
      <c r="G8" s="950"/>
      <c r="H8" s="987"/>
      <c r="I8" s="977">
        <v>0.04</v>
      </c>
      <c r="J8" s="988"/>
      <c r="K8" s="989"/>
      <c r="L8" s="977">
        <v>0.08</v>
      </c>
      <c r="M8" s="200"/>
      <c r="N8" s="202">
        <v>21.0</v>
      </c>
      <c r="O8" s="990">
        <f t="shared" si="2"/>
        <v>0.04761904762</v>
      </c>
      <c r="P8" s="95" t="s">
        <v>663</v>
      </c>
    </row>
    <row r="9">
      <c r="A9" s="958"/>
      <c r="B9" s="991" t="s">
        <v>865</v>
      </c>
      <c r="C9" s="960" t="s">
        <v>1292</v>
      </c>
      <c r="D9" s="960" t="s">
        <v>150</v>
      </c>
      <c r="E9" s="93"/>
      <c r="F9" s="353"/>
      <c r="G9" s="950"/>
      <c r="H9" s="110" t="str">
        <f t="shared" ref="H9:O9" si="3">H8</f>
        <v/>
      </c>
      <c r="I9" s="962">
        <f t="shared" si="3"/>
        <v>0.04</v>
      </c>
      <c r="J9" s="111" t="str">
        <f t="shared" si="3"/>
        <v/>
      </c>
      <c r="K9" s="92" t="str">
        <f t="shared" si="3"/>
        <v/>
      </c>
      <c r="L9" s="962">
        <f t="shared" si="3"/>
        <v>0.08</v>
      </c>
      <c r="M9" s="92" t="str">
        <f t="shared" si="3"/>
        <v/>
      </c>
      <c r="N9" s="205">
        <f t="shared" si="3"/>
        <v>21</v>
      </c>
      <c r="O9" s="963">
        <f t="shared" si="3"/>
        <v>0.04761904762</v>
      </c>
      <c r="P9" s="95" t="s">
        <v>1293</v>
      </c>
    </row>
    <row r="10">
      <c r="A10" s="958"/>
      <c r="B10" s="991" t="s">
        <v>865</v>
      </c>
      <c r="C10" s="960" t="s">
        <v>1292</v>
      </c>
      <c r="D10" s="960" t="s">
        <v>150</v>
      </c>
      <c r="E10" s="93"/>
      <c r="F10" s="353"/>
      <c r="G10" s="950"/>
      <c r="H10" s="110" t="str">
        <f t="shared" ref="H10:O10" si="4">H8</f>
        <v/>
      </c>
      <c r="I10" s="962">
        <f t="shared" si="4"/>
        <v>0.04</v>
      </c>
      <c r="J10" s="111" t="str">
        <f t="shared" si="4"/>
        <v/>
      </c>
      <c r="K10" s="92" t="str">
        <f t="shared" si="4"/>
        <v/>
      </c>
      <c r="L10" s="962">
        <f t="shared" si="4"/>
        <v>0.08</v>
      </c>
      <c r="M10" s="92" t="str">
        <f t="shared" si="4"/>
        <v/>
      </c>
      <c r="N10" s="205">
        <f t="shared" si="4"/>
        <v>21</v>
      </c>
      <c r="O10" s="963">
        <f t="shared" si="4"/>
        <v>0.04761904762</v>
      </c>
      <c r="P10" s="95" t="s">
        <v>1294</v>
      </c>
    </row>
    <row r="11">
      <c r="A11" s="958"/>
      <c r="B11" s="991" t="s">
        <v>865</v>
      </c>
      <c r="C11" s="960" t="s">
        <v>1295</v>
      </c>
      <c r="D11" s="960" t="s">
        <v>150</v>
      </c>
      <c r="E11" s="93"/>
      <c r="F11" s="353"/>
      <c r="G11" s="950"/>
      <c r="H11" s="110"/>
      <c r="I11" s="962">
        <v>0.12</v>
      </c>
      <c r="J11" s="111"/>
      <c r="K11" s="92" t="s">
        <v>60</v>
      </c>
      <c r="L11" s="962" t="s">
        <v>60</v>
      </c>
      <c r="M11" s="92" t="s">
        <v>60</v>
      </c>
      <c r="N11" s="205">
        <v>25.0</v>
      </c>
      <c r="O11" s="963">
        <f t="shared" ref="O11:O14" si="5">IF(ISTEXT(N11), "N/A", 1/N11)</f>
        <v>0.04</v>
      </c>
    </row>
    <row r="12">
      <c r="A12" s="958"/>
      <c r="B12" s="992" t="s">
        <v>865</v>
      </c>
      <c r="C12" s="965" t="s">
        <v>1295</v>
      </c>
      <c r="D12" s="965" t="s">
        <v>1296</v>
      </c>
      <c r="E12" s="966"/>
      <c r="F12" s="967"/>
      <c r="G12" s="950"/>
      <c r="H12" s="993"/>
      <c r="I12" s="969">
        <v>0.09</v>
      </c>
      <c r="J12" s="970"/>
      <c r="K12" s="985" t="s">
        <v>60</v>
      </c>
      <c r="L12" s="969" t="s">
        <v>60</v>
      </c>
      <c r="M12" s="985" t="s">
        <v>60</v>
      </c>
      <c r="N12" s="994"/>
      <c r="O12" s="973" t="str">
        <f t="shared" si="5"/>
        <v>#DIV/0!</v>
      </c>
    </row>
    <row r="13">
      <c r="A13" s="958"/>
      <c r="B13" s="995" t="s">
        <v>871</v>
      </c>
      <c r="C13" s="996" t="s">
        <v>1297</v>
      </c>
      <c r="D13" s="996" t="s">
        <v>150</v>
      </c>
      <c r="E13" s="997"/>
      <c r="F13" s="998"/>
      <c r="G13" s="950"/>
      <c r="H13" s="999"/>
      <c r="I13" s="1000">
        <v>0.0745</v>
      </c>
      <c r="J13" s="1001"/>
      <c r="K13" s="1002"/>
      <c r="L13" s="1000">
        <v>0.0745</v>
      </c>
      <c r="M13" s="1003"/>
      <c r="N13" s="1004">
        <v>25.0</v>
      </c>
      <c r="O13" s="1005">
        <f t="shared" si="5"/>
        <v>0.04</v>
      </c>
    </row>
    <row r="14">
      <c r="A14" s="1006"/>
      <c r="B14" s="1007" t="s">
        <v>878</v>
      </c>
      <c r="C14" s="1008" t="s">
        <v>1298</v>
      </c>
      <c r="D14" s="1008" t="s">
        <v>150</v>
      </c>
      <c r="E14" s="157"/>
      <c r="F14" s="361"/>
      <c r="G14" s="950"/>
      <c r="H14" s="1009"/>
      <c r="I14" s="1010">
        <v>0.03</v>
      </c>
      <c r="J14" s="364"/>
      <c r="K14" s="1011"/>
      <c r="L14" s="1010">
        <v>0.105</v>
      </c>
      <c r="M14" s="1011"/>
      <c r="N14" s="275">
        <v>24.0</v>
      </c>
      <c r="O14" s="1012">
        <f t="shared" si="5"/>
        <v>0.04166666667</v>
      </c>
    </row>
    <row r="15">
      <c r="A15" s="1013" t="s">
        <v>1299</v>
      </c>
      <c r="B15" s="1014" t="s">
        <v>1300</v>
      </c>
      <c r="C15" s="1015"/>
      <c r="D15" s="1015"/>
      <c r="E15" s="1015"/>
      <c r="F15" s="1016"/>
      <c r="G15" s="950"/>
      <c r="H15" s="1017"/>
      <c r="I15" s="1018"/>
      <c r="J15" s="1019"/>
      <c r="K15" s="1020"/>
      <c r="L15" s="1018"/>
      <c r="M15" s="1020"/>
      <c r="N15" s="1021"/>
      <c r="O15" s="1022"/>
      <c r="P15" s="95"/>
    </row>
    <row r="16">
      <c r="A16" s="958"/>
      <c r="B16" s="1023" t="s">
        <v>867</v>
      </c>
      <c r="C16" s="1008" t="s">
        <v>1301</v>
      </c>
      <c r="D16" s="1008" t="s">
        <v>150</v>
      </c>
      <c r="E16" s="157">
        <f t="array" ref="E16">combo_totalDamage(
{H16, H16, H16},
{0.46, 0.69, 0.7},
{I16,I16,I16},
N16)</f>
        <v>191040</v>
      </c>
      <c r="F16" s="361">
        <f t="array" ref="F16">combo_totalDPS(
{H16, H16, H16},
{0.46, 0.69, 0.7},
{I16, I16, I16},
N16)</f>
        <v>15595.10204</v>
      </c>
      <c r="G16" s="950"/>
      <c r="H16" s="155">
        <v>9552.0</v>
      </c>
      <c r="I16" s="1010">
        <v>0.02</v>
      </c>
      <c r="J16" s="158">
        <v>0.46</v>
      </c>
      <c r="K16" s="176">
        <v>13978.0</v>
      </c>
      <c r="L16" s="1010">
        <v>0.081</v>
      </c>
      <c r="M16" s="176">
        <v>1.24</v>
      </c>
      <c r="N16" s="275">
        <v>20.0</v>
      </c>
      <c r="O16" s="1012">
        <f t="shared" ref="O16:O18" si="7">IF(ISTEXT(N16), "N/A", 1/N16)</f>
        <v>0.05</v>
      </c>
      <c r="P16" s="95" t="s">
        <v>1302</v>
      </c>
    </row>
    <row r="17">
      <c r="A17" s="958"/>
      <c r="B17" s="1023" t="s">
        <v>867</v>
      </c>
      <c r="C17" s="1008" t="s">
        <v>1301</v>
      </c>
      <c r="D17" s="1008" t="s">
        <v>150</v>
      </c>
      <c r="E17" s="157">
        <f t="array" ref="E17">combo_totalDamage(
{K17, K17},
{M17, M17},
{L17, L17},
N17)</f>
        <v>97846</v>
      </c>
      <c r="F17" s="361">
        <f t="array" ref="F17">combo_totalDPS(
{K17, K17},
{M17, M17},
{L17, L17},
N17)</f>
        <v>11272.58065</v>
      </c>
      <c r="G17" s="950"/>
      <c r="H17" s="1024">
        <f t="shared" ref="H17:N17" si="6">H16</f>
        <v>9552</v>
      </c>
      <c r="I17" s="1010">
        <f t="shared" si="6"/>
        <v>0.02</v>
      </c>
      <c r="J17" s="158">
        <f t="shared" si="6"/>
        <v>0.46</v>
      </c>
      <c r="K17" s="156">
        <f t="shared" si="6"/>
        <v>13978</v>
      </c>
      <c r="L17" s="1010">
        <f t="shared" si="6"/>
        <v>0.081</v>
      </c>
      <c r="M17" s="1011">
        <f t="shared" si="6"/>
        <v>1.24</v>
      </c>
      <c r="N17" s="1025">
        <f t="shared" si="6"/>
        <v>20</v>
      </c>
      <c r="O17" s="1012">
        <f t="shared" si="7"/>
        <v>0.05</v>
      </c>
      <c r="P17" s="95" t="s">
        <v>1303</v>
      </c>
    </row>
    <row r="18">
      <c r="A18" s="958"/>
      <c r="B18" s="1023" t="s">
        <v>867</v>
      </c>
      <c r="C18" s="1008" t="s">
        <v>1301</v>
      </c>
      <c r="D18" s="1008" t="s">
        <v>150</v>
      </c>
      <c r="E18" s="157">
        <f t="array" ref="E18">combo_totalDamage(
{H18, H18, K18},
{0.46, 0.69, M18},
{I18, I18, L18},
N18)</f>
        <v>225976</v>
      </c>
      <c r="F18" s="361">
        <f t="array" ref="F18">combo_totalDPS(
{H18, H18, K18},
{0.46, 0.69, M18},
{I18, I18, L18},
N18)</f>
        <v>20266.90583</v>
      </c>
      <c r="G18" s="950"/>
      <c r="H18" s="1024">
        <f t="shared" ref="H18:J18" si="8">H16</f>
        <v>9552</v>
      </c>
      <c r="I18" s="1010">
        <f t="shared" si="8"/>
        <v>0.02</v>
      </c>
      <c r="J18" s="158">
        <f t="shared" si="8"/>
        <v>0.46</v>
      </c>
      <c r="K18" s="156">
        <f>32614</f>
        <v>32614</v>
      </c>
      <c r="L18" s="1010">
        <v>0.068</v>
      </c>
      <c r="M18" s="176">
        <v>1.35</v>
      </c>
      <c r="N18" s="1025">
        <f>N16</f>
        <v>20</v>
      </c>
      <c r="O18" s="1012">
        <f t="shared" si="7"/>
        <v>0.05</v>
      </c>
      <c r="P18" s="95" t="s">
        <v>1304</v>
      </c>
    </row>
    <row r="19">
      <c r="A19" s="958"/>
      <c r="B19" s="964" t="s">
        <v>867</v>
      </c>
      <c r="C19" s="965" t="s">
        <v>1305</v>
      </c>
      <c r="D19" s="965" t="s">
        <v>150</v>
      </c>
      <c r="E19" s="966">
        <f>(15120+13530) + (33600) + (11095)*11</f>
        <v>184295</v>
      </c>
      <c r="F19" s="967">
        <f t="shared" ref="F19:F20" si="9">E19/N19</f>
        <v>18429.5</v>
      </c>
      <c r="G19" s="950"/>
      <c r="H19" s="993" t="s">
        <v>60</v>
      </c>
      <c r="I19" s="969" t="s">
        <v>60</v>
      </c>
      <c r="J19" s="970" t="s">
        <v>60</v>
      </c>
      <c r="K19" s="985" t="s">
        <v>60</v>
      </c>
      <c r="L19" s="969" t="s">
        <v>60</v>
      </c>
      <c r="M19" s="1026" t="s">
        <v>60</v>
      </c>
      <c r="N19" s="972">
        <v>10.0</v>
      </c>
      <c r="O19" s="1027" t="s">
        <v>60</v>
      </c>
      <c r="P19" s="95" t="s">
        <v>1306</v>
      </c>
    </row>
    <row r="20">
      <c r="A20" s="958"/>
      <c r="B20" s="1023" t="s">
        <v>867</v>
      </c>
      <c r="C20" s="1008" t="s">
        <v>1305</v>
      </c>
      <c r="D20" s="1008" t="s">
        <v>150</v>
      </c>
      <c r="E20" s="157">
        <f>(15120+13530) + (33600) + (11095)*11 + floor(10/0.8,1)*2466</f>
        <v>213887</v>
      </c>
      <c r="F20" s="361">
        <f t="shared" si="9"/>
        <v>21388.7</v>
      </c>
      <c r="G20" s="950"/>
      <c r="H20" s="1024" t="s">
        <v>60</v>
      </c>
      <c r="I20" s="1010" t="s">
        <v>60</v>
      </c>
      <c r="J20" s="158" t="s">
        <v>60</v>
      </c>
      <c r="K20" s="156" t="s">
        <v>60</v>
      </c>
      <c r="L20" s="1010" t="s">
        <v>60</v>
      </c>
      <c r="M20" s="176" t="s">
        <v>60</v>
      </c>
      <c r="N20" s="275">
        <f>N19</f>
        <v>10</v>
      </c>
      <c r="O20" s="1028" t="s">
        <v>60</v>
      </c>
      <c r="P20" s="95" t="s">
        <v>1307</v>
      </c>
    </row>
    <row r="21">
      <c r="A21" s="958"/>
      <c r="B21" s="986" t="s">
        <v>865</v>
      </c>
      <c r="C21" s="975" t="s">
        <v>1308</v>
      </c>
      <c r="D21" s="975" t="s">
        <v>150</v>
      </c>
      <c r="E21" s="375">
        <f>H21*6</f>
        <v>87048</v>
      </c>
      <c r="F21" s="416">
        <f>(H21*6)/(J21*(6-1))</f>
        <v>65286</v>
      </c>
      <c r="G21" s="950"/>
      <c r="H21" s="101">
        <v>14508.0</v>
      </c>
      <c r="I21" s="977" t="s">
        <v>60</v>
      </c>
      <c r="J21" s="201">
        <f>1*1/225*60</f>
        <v>0.2666666667</v>
      </c>
      <c r="K21" s="102" t="s">
        <v>60</v>
      </c>
      <c r="L21" s="977" t="s">
        <v>60</v>
      </c>
      <c r="M21" s="200" t="s">
        <v>60</v>
      </c>
      <c r="N21" s="1029"/>
      <c r="O21" s="990" t="str">
        <f t="shared" ref="O21:O32" si="10">IF(ISTEXT(N21), "N/A", 1/N21)</f>
        <v>#DIV/0!</v>
      </c>
    </row>
    <row r="22">
      <c r="A22" s="958"/>
      <c r="B22" s="991" t="s">
        <v>865</v>
      </c>
      <c r="C22" s="960" t="s">
        <v>1308</v>
      </c>
      <c r="D22" s="960" t="s">
        <v>1309</v>
      </c>
      <c r="E22" s="84">
        <v>94299.0</v>
      </c>
      <c r="F22" s="109" t="s">
        <v>1286</v>
      </c>
      <c r="G22" s="950"/>
      <c r="H22" s="82">
        <v>94299.0</v>
      </c>
      <c r="I22" s="962" t="s">
        <v>60</v>
      </c>
      <c r="J22" s="85" t="s">
        <v>60</v>
      </c>
      <c r="K22" s="83" t="s">
        <v>60</v>
      </c>
      <c r="L22" s="962" t="s">
        <v>60</v>
      </c>
      <c r="M22" s="85" t="str">
        <f t="shared" ref="M22:M24" si="11">J22</f>
        <v>N/A</v>
      </c>
      <c r="N22" s="1030" t="str">
        <f>N21</f>
        <v/>
      </c>
      <c r="O22" s="963" t="str">
        <f t="shared" si="10"/>
        <v>#DIV/0!</v>
      </c>
    </row>
    <row r="23">
      <c r="A23" s="958"/>
      <c r="B23" s="991" t="s">
        <v>865</v>
      </c>
      <c r="C23" s="960" t="s">
        <v>1310</v>
      </c>
      <c r="D23" s="960" t="s">
        <v>150</v>
      </c>
      <c r="E23" s="93">
        <f>31433+45830+59747</f>
        <v>137010</v>
      </c>
      <c r="F23" s="353">
        <f>(E23)/(M23*(3-1))</f>
        <v>114175</v>
      </c>
      <c r="G23" s="950"/>
      <c r="H23" s="82">
        <v>15717.0</v>
      </c>
      <c r="I23" s="962" t="s">
        <v>60</v>
      </c>
      <c r="J23" s="85">
        <v>0.6</v>
      </c>
      <c r="K23" s="92">
        <v>31433.0</v>
      </c>
      <c r="L23" s="962" t="s">
        <v>60</v>
      </c>
      <c r="M23" s="85">
        <f t="shared" si="11"/>
        <v>0.6</v>
      </c>
      <c r="N23" s="1030"/>
      <c r="O23" s="963" t="str">
        <f t="shared" si="10"/>
        <v>#DIV/0!</v>
      </c>
    </row>
    <row r="24">
      <c r="A24" s="958"/>
      <c r="B24" s="991" t="s">
        <v>865</v>
      </c>
      <c r="C24" s="960" t="s">
        <v>1310</v>
      </c>
      <c r="D24" s="960" t="s">
        <v>1309</v>
      </c>
      <c r="E24" s="84">
        <v>188597.0</v>
      </c>
      <c r="F24" s="109" t="s">
        <v>1286</v>
      </c>
      <c r="G24" s="950"/>
      <c r="H24" s="82">
        <v>94299.0</v>
      </c>
      <c r="I24" s="962" t="s">
        <v>60</v>
      </c>
      <c r="J24" s="85" t="s">
        <v>60</v>
      </c>
      <c r="K24" s="92">
        <v>188597.0</v>
      </c>
      <c r="L24" s="962" t="s">
        <v>60</v>
      </c>
      <c r="M24" s="85" t="str">
        <f t="shared" si="11"/>
        <v>N/A</v>
      </c>
      <c r="N24" s="1030" t="str">
        <f>N23</f>
        <v/>
      </c>
      <c r="O24" s="963" t="str">
        <f t="shared" si="10"/>
        <v>#DIV/0!</v>
      </c>
    </row>
    <row r="25">
      <c r="A25" s="958"/>
      <c r="B25" s="991" t="s">
        <v>865</v>
      </c>
      <c r="C25" s="960" t="s">
        <v>1311</v>
      </c>
      <c r="D25" s="960" t="s">
        <v>150</v>
      </c>
      <c r="E25" s="93">
        <f>H25*14</f>
        <v>152026</v>
      </c>
      <c r="F25" s="109" t="s">
        <v>1286</v>
      </c>
      <c r="G25" s="950"/>
      <c r="H25" s="961">
        <f>1759+9100</f>
        <v>10859</v>
      </c>
      <c r="I25" s="962" t="s">
        <v>60</v>
      </c>
      <c r="J25" s="85" t="s">
        <v>60</v>
      </c>
      <c r="K25" s="83" t="s">
        <v>60</v>
      </c>
      <c r="L25" s="962" t="s">
        <v>60</v>
      </c>
      <c r="M25" s="83" t="s">
        <v>60</v>
      </c>
      <c r="N25" s="205" t="s">
        <v>60</v>
      </c>
      <c r="O25" s="963" t="str">
        <f t="shared" si="10"/>
        <v>N/A</v>
      </c>
      <c r="P25" s="95" t="s">
        <v>1312</v>
      </c>
    </row>
    <row r="26">
      <c r="A26" s="958"/>
      <c r="B26" s="992" t="s">
        <v>865</v>
      </c>
      <c r="C26" s="965" t="s">
        <v>1311</v>
      </c>
      <c r="D26" s="965" t="s">
        <v>1313</v>
      </c>
      <c r="E26" s="966">
        <f>H26*20</f>
        <v>217180</v>
      </c>
      <c r="F26" s="983" t="s">
        <v>1286</v>
      </c>
      <c r="G26" s="950"/>
      <c r="H26" s="968">
        <f>H25</f>
        <v>10859</v>
      </c>
      <c r="I26" s="969" t="s">
        <v>60</v>
      </c>
      <c r="J26" s="970" t="s">
        <v>60</v>
      </c>
      <c r="K26" s="1026" t="s">
        <v>60</v>
      </c>
      <c r="L26" s="969" t="s">
        <v>60</v>
      </c>
      <c r="M26" s="1026" t="s">
        <v>60</v>
      </c>
      <c r="N26" s="972" t="s">
        <v>60</v>
      </c>
      <c r="O26" s="973" t="str">
        <f t="shared" si="10"/>
        <v>N/A</v>
      </c>
      <c r="P26" s="95" t="s">
        <v>1314</v>
      </c>
    </row>
    <row r="27">
      <c r="A27" s="958"/>
      <c r="B27" s="974" t="s">
        <v>869</v>
      </c>
      <c r="C27" s="975" t="s">
        <v>1315</v>
      </c>
      <c r="D27" s="975" t="s">
        <v>150</v>
      </c>
      <c r="E27" s="103">
        <v>26721.0</v>
      </c>
      <c r="F27" s="319" t="s">
        <v>1286</v>
      </c>
      <c r="G27" s="950"/>
      <c r="H27" s="101" t="s">
        <v>60</v>
      </c>
      <c r="I27" s="200" t="s">
        <v>60</v>
      </c>
      <c r="J27" s="201" t="s">
        <v>60</v>
      </c>
      <c r="K27" s="102" t="s">
        <v>60</v>
      </c>
      <c r="L27" s="977" t="s">
        <v>60</v>
      </c>
      <c r="M27" s="102" t="s">
        <v>60</v>
      </c>
      <c r="N27" s="202" t="s">
        <v>60</v>
      </c>
      <c r="O27" s="990" t="str">
        <f t="shared" si="10"/>
        <v>N/A</v>
      </c>
    </row>
    <row r="28">
      <c r="A28" s="958"/>
      <c r="B28" s="979" t="s">
        <v>869</v>
      </c>
      <c r="C28" s="960" t="s">
        <v>1316</v>
      </c>
      <c r="D28" s="960" t="s">
        <v>150</v>
      </c>
      <c r="E28" s="93">
        <f>(22268+178)*3 + (22268+178)*1.2*3</f>
        <v>148143.6</v>
      </c>
      <c r="F28" s="353">
        <f>(E28)/(J28*2)</f>
        <v>56978.30769</v>
      </c>
      <c r="G28" s="950"/>
      <c r="H28" s="110">
        <f>22268+178 </f>
        <v>22446</v>
      </c>
      <c r="I28" s="92" t="s">
        <v>60</v>
      </c>
      <c r="J28" s="85">
        <v>1.3</v>
      </c>
      <c r="K28" s="83" t="s">
        <v>60</v>
      </c>
      <c r="L28" s="962" t="s">
        <v>60</v>
      </c>
      <c r="M28" s="83" t="s">
        <v>60</v>
      </c>
      <c r="N28" s="205">
        <v>11.8</v>
      </c>
      <c r="O28" s="963">
        <f t="shared" si="10"/>
        <v>0.08474576271</v>
      </c>
      <c r="P28" s="95" t="s">
        <v>1317</v>
      </c>
    </row>
    <row r="29">
      <c r="A29" s="958"/>
      <c r="B29" s="979" t="s">
        <v>869</v>
      </c>
      <c r="C29" s="960" t="s">
        <v>1316</v>
      </c>
      <c r="D29" s="960" t="s">
        <v>1318</v>
      </c>
      <c r="E29" s="93">
        <f>(22268+178)*3 + (22268+178)*1.2*3*2</f>
        <v>228949.2</v>
      </c>
      <c r="F29" s="353">
        <f>(E29)/(J29*3)</f>
        <v>58704.92308</v>
      </c>
      <c r="G29" s="950"/>
      <c r="H29" s="110">
        <f>H28</f>
        <v>22446</v>
      </c>
      <c r="I29" s="92" t="s">
        <v>60</v>
      </c>
      <c r="J29" s="85">
        <f>J28</f>
        <v>1.3</v>
      </c>
      <c r="K29" s="424" t="s">
        <v>60</v>
      </c>
      <c r="L29" s="980" t="s">
        <v>60</v>
      </c>
      <c r="M29" s="92" t="s">
        <v>60</v>
      </c>
      <c r="N29" s="205">
        <f>N28</f>
        <v>11.8</v>
      </c>
      <c r="O29" s="963">
        <f t="shared" si="10"/>
        <v>0.08474576271</v>
      </c>
      <c r="P29" s="95" t="s">
        <v>1319</v>
      </c>
    </row>
    <row r="30">
      <c r="A30" s="958"/>
      <c r="B30" s="979" t="s">
        <v>869</v>
      </c>
      <c r="C30" s="960" t="s">
        <v>1320</v>
      </c>
      <c r="D30" s="960" t="s">
        <v>150</v>
      </c>
      <c r="E30" s="93"/>
      <c r="F30" s="353"/>
      <c r="G30" s="950"/>
      <c r="H30" s="110"/>
      <c r="I30" s="980"/>
      <c r="J30" s="111"/>
      <c r="K30" s="424"/>
      <c r="L30" s="980"/>
      <c r="M30" s="92"/>
      <c r="N30" s="205">
        <v>15.0</v>
      </c>
      <c r="O30" s="963">
        <f t="shared" si="10"/>
        <v>0.06666666667</v>
      </c>
      <c r="P30" s="95" t="s">
        <v>1321</v>
      </c>
    </row>
    <row r="31">
      <c r="A31" s="958"/>
      <c r="B31" s="979" t="s">
        <v>869</v>
      </c>
      <c r="C31" s="960" t="s">
        <v>1320</v>
      </c>
      <c r="D31" s="960" t="s">
        <v>150</v>
      </c>
      <c r="E31" s="93"/>
      <c r="F31" s="353"/>
      <c r="G31" s="950"/>
      <c r="H31" s="110"/>
      <c r="I31" s="980"/>
      <c r="J31" s="111"/>
      <c r="K31" s="424"/>
      <c r="L31" s="980"/>
      <c r="M31" s="92"/>
      <c r="N31" s="205">
        <v>15.0</v>
      </c>
      <c r="O31" s="963">
        <f t="shared" si="10"/>
        <v>0.06666666667</v>
      </c>
      <c r="P31" s="95" t="s">
        <v>1322</v>
      </c>
    </row>
    <row r="32">
      <c r="A32" s="958"/>
      <c r="B32" s="981" t="s">
        <v>869</v>
      </c>
      <c r="C32" s="965" t="s">
        <v>1320</v>
      </c>
      <c r="D32" s="965" t="s">
        <v>150</v>
      </c>
      <c r="E32" s="966"/>
      <c r="F32" s="967"/>
      <c r="G32" s="950"/>
      <c r="H32" s="993"/>
      <c r="I32" s="969"/>
      <c r="J32" s="970"/>
      <c r="K32" s="985"/>
      <c r="L32" s="969"/>
      <c r="M32" s="971"/>
      <c r="N32" s="972">
        <v>15.0</v>
      </c>
      <c r="O32" s="973">
        <f t="shared" si="10"/>
        <v>0.06666666667</v>
      </c>
      <c r="P32" s="95" t="s">
        <v>1323</v>
      </c>
    </row>
    <row r="33">
      <c r="A33" s="958"/>
      <c r="B33" s="995" t="s">
        <v>871</v>
      </c>
      <c r="C33" s="996" t="s">
        <v>1324</v>
      </c>
      <c r="D33" s="996" t="s">
        <v>150</v>
      </c>
      <c r="E33" s="997"/>
      <c r="F33" s="998"/>
      <c r="G33" s="950"/>
      <c r="H33" s="1031" t="s">
        <v>60</v>
      </c>
      <c r="I33" s="1000" t="s">
        <v>60</v>
      </c>
      <c r="J33" s="1032"/>
      <c r="K33" s="1033" t="s">
        <v>60</v>
      </c>
      <c r="L33" s="1000" t="s">
        <v>60</v>
      </c>
      <c r="M33" s="1003"/>
      <c r="N33" s="1004">
        <v>14.0</v>
      </c>
      <c r="O33" s="1034" t="s">
        <v>60</v>
      </c>
    </row>
    <row r="34">
      <c r="A34" s="958"/>
      <c r="B34" s="1035" t="s">
        <v>878</v>
      </c>
      <c r="C34" s="975" t="s">
        <v>1325</v>
      </c>
      <c r="D34" s="975" t="s">
        <v>150</v>
      </c>
      <c r="E34" s="375">
        <f t="array" ref="E34">combo_totalDamage(
{H34, H34},
{J34, 0.75},
{I34, I34},
N34)</f>
        <v>326144</v>
      </c>
      <c r="F34" s="416">
        <f t="array" ref="F34">combo_totalDPS(
{H34, H34},
{J34, 0.75},
{I34, I34},
N34)</f>
        <v>32100.7874</v>
      </c>
      <c r="G34" s="950">
        <f t="array" ref="G34">combo_totalActions(
{J34, 0.74},
{I34, I34},
N34)</f>
        <v>16</v>
      </c>
      <c r="H34" s="101">
        <v>20384.0</v>
      </c>
      <c r="I34" s="977">
        <v>0.04</v>
      </c>
      <c r="J34" s="201">
        <v>0.52</v>
      </c>
      <c r="K34" s="989">
        <f>6272*2</f>
        <v>12544</v>
      </c>
      <c r="L34" s="977">
        <v>0.09</v>
      </c>
      <c r="M34" s="200">
        <v>1.11</v>
      </c>
      <c r="N34" s="202">
        <v>25.0</v>
      </c>
      <c r="O34" s="990">
        <f>IF(ISTEXT(N34), "N/A", 1/N34)</f>
        <v>0.04</v>
      </c>
      <c r="P34" s="95" t="s">
        <v>663</v>
      </c>
    </row>
    <row r="35">
      <c r="A35" s="958"/>
      <c r="B35" s="1036" t="s">
        <v>878</v>
      </c>
      <c r="C35" s="960" t="s">
        <v>1325</v>
      </c>
      <c r="D35" s="960" t="s">
        <v>150</v>
      </c>
      <c r="E35" s="93">
        <f t="array" ref="E35">combo_totalDamage(
{K35, K35},
{M35, M35},
{L35, L35},
N35)</f>
        <v>100352</v>
      </c>
      <c r="F35" s="353">
        <f t="array" ref="F35">combo_totalDPS(
{K35, K35},
{M35, M35},
{L35, L35},
N35)</f>
        <v>11300.9009</v>
      </c>
      <c r="G35" s="950">
        <f t="array" ref="G35">combo_totalActions(
{M35, M35},
{L35, L35},
N35)</f>
        <v>8</v>
      </c>
      <c r="H35" s="110">
        <f t="shared" ref="H35:O35" si="12">H34</f>
        <v>20384</v>
      </c>
      <c r="I35" s="980">
        <f t="shared" si="12"/>
        <v>0.04</v>
      </c>
      <c r="J35" s="111">
        <f t="shared" si="12"/>
        <v>0.52</v>
      </c>
      <c r="K35" s="424">
        <f t="shared" si="12"/>
        <v>12544</v>
      </c>
      <c r="L35" s="980">
        <f t="shared" si="12"/>
        <v>0.09</v>
      </c>
      <c r="M35" s="92">
        <f t="shared" si="12"/>
        <v>1.11</v>
      </c>
      <c r="N35" s="205">
        <f t="shared" si="12"/>
        <v>25</v>
      </c>
      <c r="O35" s="963">
        <f t="shared" si="12"/>
        <v>0.04</v>
      </c>
      <c r="P35" s="95" t="s">
        <v>1293</v>
      </c>
    </row>
    <row r="36">
      <c r="A36" s="1037"/>
      <c r="B36" s="1038" t="s">
        <v>878</v>
      </c>
      <c r="C36" s="1039" t="s">
        <v>1325</v>
      </c>
      <c r="D36" s="1039" t="s">
        <v>150</v>
      </c>
      <c r="E36" s="1040">
        <f t="array" ref="E36">combo_totalDamage(
{H36, K36},
{0.5, M36},
{I36, L36},
N36)</f>
        <v>185024</v>
      </c>
      <c r="F36" s="1041">
        <f t="array" ref="F36">combo_totalDPS(
{H36, K36},
{0.5, M36},
{I36, L36},
N36)</f>
        <v>21640.23392</v>
      </c>
      <c r="G36" s="950">
        <f t="array" ref="G36">combo_totalActions(
{0.5, M36},
{I36, L36},
N36)</f>
        <v>11</v>
      </c>
      <c r="H36" s="1042">
        <f t="shared" ref="H36:O36" si="13">H34</f>
        <v>20384</v>
      </c>
      <c r="I36" s="1043">
        <f t="shared" si="13"/>
        <v>0.04</v>
      </c>
      <c r="J36" s="1044">
        <f t="shared" si="13"/>
        <v>0.52</v>
      </c>
      <c r="K36" s="1045">
        <f t="shared" si="13"/>
        <v>12544</v>
      </c>
      <c r="L36" s="1043">
        <f t="shared" si="13"/>
        <v>0.09</v>
      </c>
      <c r="M36" s="1046">
        <f t="shared" si="13"/>
        <v>1.11</v>
      </c>
      <c r="N36" s="1047">
        <f t="shared" si="13"/>
        <v>25</v>
      </c>
      <c r="O36" s="1048">
        <f t="shared" si="13"/>
        <v>0.04</v>
      </c>
      <c r="P36" s="95" t="s">
        <v>1294</v>
      </c>
    </row>
    <row r="37">
      <c r="A37" s="1049" t="s">
        <v>1326</v>
      </c>
      <c r="B37" s="1050" t="s">
        <v>867</v>
      </c>
      <c r="C37" s="975" t="s">
        <v>1327</v>
      </c>
      <c r="D37" s="975" t="s">
        <v>150</v>
      </c>
      <c r="E37" s="375"/>
      <c r="F37" s="416"/>
      <c r="G37" s="950"/>
      <c r="H37" s="987"/>
      <c r="I37" s="1051"/>
      <c r="J37" s="988"/>
      <c r="K37" s="989"/>
      <c r="L37" s="1051"/>
      <c r="M37" s="989"/>
      <c r="N37" s="1029"/>
      <c r="O37" s="990" t="str">
        <f t="shared" ref="O37:O40" si="14">IF(ISTEXT(N37), "N/A", 1/N37)</f>
        <v>#DIV/0!</v>
      </c>
      <c r="P37" s="95" t="s">
        <v>1328</v>
      </c>
    </row>
    <row r="38">
      <c r="A38" s="958"/>
      <c r="B38" s="959" t="s">
        <v>867</v>
      </c>
      <c r="C38" s="960" t="s">
        <v>1329</v>
      </c>
      <c r="D38" s="960" t="s">
        <v>150</v>
      </c>
      <c r="E38" s="93"/>
      <c r="F38" s="353"/>
      <c r="G38" s="950"/>
      <c r="H38" s="110"/>
      <c r="I38" s="980"/>
      <c r="J38" s="111"/>
      <c r="K38" s="424"/>
      <c r="L38" s="980"/>
      <c r="M38" s="424"/>
      <c r="N38" s="205">
        <v>4.0</v>
      </c>
      <c r="O38" s="963">
        <f t="shared" si="14"/>
        <v>0.25</v>
      </c>
    </row>
    <row r="39">
      <c r="A39" s="958"/>
      <c r="B39" s="964" t="s">
        <v>867</v>
      </c>
      <c r="C39" s="965" t="s">
        <v>1329</v>
      </c>
      <c r="D39" s="965" t="s">
        <v>1330</v>
      </c>
      <c r="E39" s="966"/>
      <c r="F39" s="967"/>
      <c r="G39" s="950"/>
      <c r="H39" s="968"/>
      <c r="I39" s="1052"/>
      <c r="J39" s="1053"/>
      <c r="K39" s="971"/>
      <c r="L39" s="1052"/>
      <c r="M39" s="971"/>
      <c r="N39" s="994"/>
      <c r="O39" s="973" t="str">
        <f t="shared" si="14"/>
        <v>#DIV/0!</v>
      </c>
    </row>
    <row r="40">
      <c r="A40" s="958"/>
      <c r="B40" s="986" t="s">
        <v>865</v>
      </c>
      <c r="C40" s="975" t="s">
        <v>1331</v>
      </c>
      <c r="D40" s="975" t="s">
        <v>150</v>
      </c>
      <c r="E40" s="375"/>
      <c r="F40" s="416"/>
      <c r="G40" s="950"/>
      <c r="H40" s="987"/>
      <c r="I40" s="977">
        <v>0.065</v>
      </c>
      <c r="J40" s="201">
        <v>0.8</v>
      </c>
      <c r="K40" s="200"/>
      <c r="L40" s="977"/>
      <c r="M40" s="200"/>
      <c r="N40" s="202">
        <v>24.0</v>
      </c>
      <c r="O40" s="990">
        <f t="shared" si="14"/>
        <v>0.04166666667</v>
      </c>
    </row>
    <row r="41">
      <c r="A41" s="958"/>
      <c r="B41" s="992" t="s">
        <v>865</v>
      </c>
      <c r="C41" s="965" t="s">
        <v>1332</v>
      </c>
      <c r="D41" s="965" t="s">
        <v>150</v>
      </c>
      <c r="E41" s="982"/>
      <c r="F41" s="983" t="s">
        <v>1286</v>
      </c>
      <c r="G41" s="950"/>
      <c r="H41" s="993" t="s">
        <v>60</v>
      </c>
      <c r="I41" s="969" t="s">
        <v>60</v>
      </c>
      <c r="J41" s="970" t="s">
        <v>60</v>
      </c>
      <c r="K41" s="985" t="s">
        <v>60</v>
      </c>
      <c r="L41" s="969" t="s">
        <v>60</v>
      </c>
      <c r="M41" s="985" t="s">
        <v>60</v>
      </c>
      <c r="N41" s="972">
        <v>30.0</v>
      </c>
      <c r="O41" s="1027" t="s">
        <v>60</v>
      </c>
    </row>
    <row r="42">
      <c r="A42" s="958"/>
      <c r="B42" s="974" t="s">
        <v>869</v>
      </c>
      <c r="C42" s="975" t="s">
        <v>1333</v>
      </c>
      <c r="D42" s="975" t="s">
        <v>150</v>
      </c>
      <c r="E42" s="375"/>
      <c r="F42" s="416"/>
      <c r="G42" s="950"/>
      <c r="H42" s="976" t="s">
        <v>60</v>
      </c>
      <c r="I42" s="977" t="s">
        <v>60</v>
      </c>
      <c r="J42" s="201"/>
      <c r="K42" s="102" t="s">
        <v>60</v>
      </c>
      <c r="L42" s="977" t="s">
        <v>60</v>
      </c>
      <c r="M42" s="989"/>
      <c r="N42" s="1029"/>
      <c r="O42" s="990" t="str">
        <f t="shared" ref="O42:O46" si="15">IF(ISTEXT(N42), "N/A", 1/N42)</f>
        <v>#DIV/0!</v>
      </c>
    </row>
    <row r="43">
      <c r="A43" s="958"/>
      <c r="B43" s="979" t="s">
        <v>869</v>
      </c>
      <c r="C43" s="960" t="s">
        <v>1334</v>
      </c>
      <c r="D43" s="960" t="s">
        <v>150</v>
      </c>
      <c r="E43" s="93"/>
      <c r="F43" s="353"/>
      <c r="G43" s="950"/>
      <c r="H43" s="961" t="s">
        <v>60</v>
      </c>
      <c r="I43" s="962" t="s">
        <v>60</v>
      </c>
      <c r="J43" s="85"/>
      <c r="K43" s="83" t="s">
        <v>60</v>
      </c>
      <c r="L43" s="962" t="s">
        <v>60</v>
      </c>
      <c r="M43" s="92"/>
      <c r="N43" s="205" t="s">
        <v>60</v>
      </c>
      <c r="O43" s="963" t="str">
        <f t="shared" si="15"/>
        <v>N/A</v>
      </c>
    </row>
    <row r="44">
      <c r="A44" s="958"/>
      <c r="B44" s="981" t="s">
        <v>869</v>
      </c>
      <c r="C44" s="965" t="s">
        <v>1335</v>
      </c>
      <c r="D44" s="965" t="s">
        <v>150</v>
      </c>
      <c r="E44" s="966"/>
      <c r="F44" s="967"/>
      <c r="G44" s="950"/>
      <c r="H44" s="968"/>
      <c r="I44" s="1052"/>
      <c r="J44" s="1053"/>
      <c r="K44" s="971"/>
      <c r="L44" s="1052"/>
      <c r="M44" s="1026"/>
      <c r="N44" s="972">
        <v>24.0</v>
      </c>
      <c r="O44" s="973">
        <f t="shared" si="15"/>
        <v>0.04166666667</v>
      </c>
      <c r="P44" s="95" t="s">
        <v>1336</v>
      </c>
    </row>
    <row r="45">
      <c r="A45" s="958"/>
      <c r="B45" s="995" t="s">
        <v>871</v>
      </c>
      <c r="C45" s="996" t="s">
        <v>1337</v>
      </c>
      <c r="D45" s="996" t="s">
        <v>150</v>
      </c>
      <c r="E45" s="997"/>
      <c r="F45" s="998"/>
      <c r="G45" s="950"/>
      <c r="H45" s="999"/>
      <c r="I45" s="1000">
        <v>0.0745</v>
      </c>
      <c r="J45" s="1001"/>
      <c r="K45" s="1002"/>
      <c r="L45" s="1000">
        <v>0.0</v>
      </c>
      <c r="M45" s="1003"/>
      <c r="N45" s="1054"/>
      <c r="O45" s="1005" t="str">
        <f t="shared" si="15"/>
        <v>#DIV/0!</v>
      </c>
    </row>
    <row r="46">
      <c r="A46" s="1055"/>
      <c r="B46" s="1056" t="s">
        <v>878</v>
      </c>
      <c r="C46" s="1057" t="s">
        <v>1338</v>
      </c>
      <c r="D46" s="1057" t="s">
        <v>150</v>
      </c>
      <c r="E46" s="384"/>
      <c r="F46" s="1058" t="s">
        <v>1286</v>
      </c>
      <c r="G46" s="950"/>
      <c r="H46" s="1059" t="s">
        <v>60</v>
      </c>
      <c r="I46" s="1060" t="s">
        <v>60</v>
      </c>
      <c r="J46" s="188"/>
      <c r="K46" s="1061" t="s">
        <v>60</v>
      </c>
      <c r="L46" s="1060" t="s">
        <v>60</v>
      </c>
      <c r="M46" s="186"/>
      <c r="N46" s="1062" t="s">
        <v>60</v>
      </c>
      <c r="O46" s="1063" t="str">
        <f t="shared" si="15"/>
        <v>N/A</v>
      </c>
    </row>
    <row r="47">
      <c r="E47" s="342"/>
      <c r="F47" s="342"/>
      <c r="J47" s="1064"/>
    </row>
    <row r="48" hidden="1">
      <c r="E48" s="342"/>
      <c r="F48" s="342"/>
      <c r="J48" s="1064"/>
    </row>
    <row r="49" hidden="1">
      <c r="E49" s="342"/>
      <c r="F49" s="342"/>
      <c r="J49" s="1064"/>
    </row>
    <row r="50" hidden="1">
      <c r="E50" s="342"/>
      <c r="F50" s="342"/>
      <c r="J50" s="1064"/>
    </row>
    <row r="51" hidden="1">
      <c r="E51" s="342"/>
      <c r="F51" s="342"/>
      <c r="J51" s="1064"/>
    </row>
    <row r="52" hidden="1">
      <c r="E52" s="342"/>
      <c r="F52" s="342"/>
      <c r="J52" s="1064"/>
    </row>
    <row r="53" hidden="1">
      <c r="E53" s="342"/>
      <c r="F53" s="342"/>
      <c r="J53" s="1064"/>
    </row>
    <row r="54" hidden="1">
      <c r="E54" s="342"/>
      <c r="F54" s="342"/>
      <c r="J54" s="1064"/>
    </row>
    <row r="55" hidden="1">
      <c r="E55" s="342"/>
      <c r="F55" s="342"/>
      <c r="J55" s="1064"/>
    </row>
    <row r="56" hidden="1">
      <c r="E56" s="342"/>
      <c r="F56" s="342"/>
      <c r="J56" s="1064"/>
    </row>
    <row r="57" hidden="1">
      <c r="E57" s="342"/>
      <c r="F57" s="342"/>
      <c r="J57" s="1064"/>
    </row>
    <row r="58" hidden="1">
      <c r="E58" s="342"/>
      <c r="F58" s="342"/>
      <c r="J58" s="1064"/>
    </row>
    <row r="59" hidden="1">
      <c r="E59" s="342"/>
      <c r="F59" s="342"/>
      <c r="J59" s="1064"/>
    </row>
    <row r="60" hidden="1">
      <c r="E60" s="342"/>
      <c r="F60" s="342"/>
      <c r="J60" s="1064"/>
    </row>
    <row r="61" hidden="1">
      <c r="E61" s="342"/>
      <c r="F61" s="342"/>
      <c r="J61" s="1064"/>
    </row>
    <row r="62" hidden="1">
      <c r="E62" s="342"/>
      <c r="F62" s="342"/>
      <c r="J62" s="1064"/>
    </row>
    <row r="63" hidden="1">
      <c r="E63" s="342"/>
      <c r="F63" s="342"/>
      <c r="J63" s="1064"/>
    </row>
    <row r="64" hidden="1">
      <c r="E64" s="342"/>
      <c r="F64" s="342"/>
      <c r="J64" s="1064"/>
    </row>
    <row r="65" hidden="1">
      <c r="E65" s="342"/>
      <c r="F65" s="342"/>
      <c r="J65" s="1064"/>
    </row>
    <row r="66" hidden="1">
      <c r="E66" s="342"/>
      <c r="F66" s="342"/>
      <c r="J66" s="1064"/>
    </row>
    <row r="67" hidden="1">
      <c r="E67" s="342"/>
      <c r="F67" s="342"/>
      <c r="J67" s="1064"/>
    </row>
    <row r="68" hidden="1">
      <c r="E68" s="342"/>
      <c r="F68" s="342"/>
      <c r="J68" s="1064"/>
    </row>
    <row r="69" hidden="1">
      <c r="E69" s="342"/>
      <c r="F69" s="342"/>
      <c r="J69" s="1064"/>
    </row>
    <row r="70" hidden="1">
      <c r="E70" s="342"/>
      <c r="F70" s="342"/>
      <c r="J70" s="1064"/>
    </row>
    <row r="71" hidden="1">
      <c r="E71" s="342"/>
      <c r="F71" s="342"/>
      <c r="J71" s="1064"/>
    </row>
    <row r="72" hidden="1">
      <c r="E72" s="342"/>
      <c r="F72" s="342"/>
      <c r="J72" s="1064"/>
    </row>
    <row r="73" hidden="1">
      <c r="E73" s="342"/>
      <c r="F73" s="342"/>
      <c r="J73" s="1064"/>
    </row>
    <row r="74" hidden="1">
      <c r="E74" s="342"/>
      <c r="F74" s="342"/>
      <c r="J74" s="1064"/>
    </row>
    <row r="75" hidden="1">
      <c r="E75" s="342"/>
      <c r="F75" s="342"/>
      <c r="J75" s="1064"/>
    </row>
    <row r="76" hidden="1">
      <c r="E76" s="342"/>
      <c r="F76" s="342"/>
      <c r="J76" s="1064"/>
    </row>
    <row r="77" hidden="1">
      <c r="E77" s="342"/>
      <c r="F77" s="342"/>
      <c r="J77" s="1064"/>
    </row>
    <row r="78" hidden="1">
      <c r="E78" s="342"/>
      <c r="F78" s="342"/>
      <c r="J78" s="1064"/>
    </row>
    <row r="79" hidden="1">
      <c r="E79" s="342"/>
      <c r="F79" s="342"/>
      <c r="J79" s="1064"/>
    </row>
    <row r="80" hidden="1">
      <c r="E80" s="342"/>
      <c r="F80" s="342"/>
      <c r="J80" s="1064"/>
    </row>
    <row r="81" hidden="1">
      <c r="E81" s="342"/>
      <c r="F81" s="342"/>
      <c r="J81" s="1064"/>
    </row>
    <row r="82" hidden="1">
      <c r="E82" s="342"/>
      <c r="F82" s="342"/>
      <c r="J82" s="1064"/>
    </row>
    <row r="83" hidden="1">
      <c r="E83" s="342"/>
      <c r="F83" s="342"/>
      <c r="J83" s="1064"/>
    </row>
    <row r="84" hidden="1">
      <c r="E84" s="342"/>
      <c r="F84" s="342"/>
      <c r="J84" s="1064"/>
    </row>
    <row r="85" hidden="1">
      <c r="E85" s="342"/>
      <c r="F85" s="342"/>
      <c r="J85" s="1064"/>
    </row>
    <row r="86" hidden="1">
      <c r="E86" s="342"/>
      <c r="F86" s="342"/>
      <c r="J86" s="1064"/>
    </row>
    <row r="87" hidden="1">
      <c r="E87" s="342"/>
      <c r="F87" s="342"/>
      <c r="J87" s="1064"/>
    </row>
    <row r="88" hidden="1">
      <c r="E88" s="342"/>
      <c r="F88" s="342"/>
      <c r="J88" s="1064"/>
    </row>
    <row r="89" hidden="1">
      <c r="E89" s="342"/>
      <c r="F89" s="342"/>
      <c r="J89" s="1064"/>
    </row>
    <row r="90" hidden="1">
      <c r="E90" s="342"/>
      <c r="F90" s="342"/>
      <c r="J90" s="1064"/>
    </row>
    <row r="91" hidden="1">
      <c r="E91" s="342"/>
      <c r="F91" s="342"/>
      <c r="J91" s="1064"/>
    </row>
    <row r="92" hidden="1">
      <c r="E92" s="342"/>
      <c r="F92" s="342"/>
      <c r="J92" s="1064"/>
    </row>
    <row r="93" hidden="1">
      <c r="E93" s="342"/>
      <c r="F93" s="342"/>
      <c r="J93" s="1064"/>
    </row>
    <row r="94" hidden="1">
      <c r="E94" s="342"/>
      <c r="F94" s="342"/>
      <c r="J94" s="1064"/>
    </row>
    <row r="95" hidden="1">
      <c r="E95" s="342"/>
      <c r="F95" s="342"/>
      <c r="J95" s="1064"/>
    </row>
    <row r="96" hidden="1">
      <c r="E96" s="342"/>
      <c r="F96" s="342"/>
      <c r="J96" s="1064"/>
    </row>
    <row r="97" hidden="1">
      <c r="E97" s="342"/>
      <c r="F97" s="342"/>
      <c r="J97" s="1064"/>
    </row>
    <row r="98" hidden="1">
      <c r="E98" s="342"/>
      <c r="F98" s="342"/>
      <c r="J98" s="1064"/>
    </row>
    <row r="99" hidden="1">
      <c r="E99" s="342"/>
      <c r="F99" s="342"/>
      <c r="J99" s="1064"/>
    </row>
    <row r="100" hidden="1">
      <c r="E100" s="342"/>
      <c r="F100" s="342"/>
      <c r="J100" s="1064"/>
    </row>
    <row r="101" hidden="1">
      <c r="E101" s="342"/>
      <c r="F101" s="342"/>
      <c r="J101" s="1064"/>
    </row>
    <row r="102" hidden="1">
      <c r="E102" s="342"/>
      <c r="F102" s="342"/>
      <c r="J102" s="1064"/>
    </row>
    <row r="103" hidden="1">
      <c r="E103" s="342"/>
      <c r="F103" s="342"/>
      <c r="J103" s="1064"/>
    </row>
    <row r="104" hidden="1">
      <c r="E104" s="342"/>
      <c r="F104" s="342"/>
      <c r="J104" s="1064"/>
    </row>
    <row r="105" hidden="1">
      <c r="E105" s="342"/>
      <c r="F105" s="342"/>
      <c r="J105" s="1064"/>
    </row>
    <row r="106" hidden="1">
      <c r="E106" s="342"/>
      <c r="F106" s="342"/>
      <c r="J106" s="1064"/>
    </row>
    <row r="107" hidden="1">
      <c r="E107" s="342"/>
      <c r="F107" s="342"/>
      <c r="J107" s="1064"/>
    </row>
    <row r="108" hidden="1">
      <c r="E108" s="342"/>
      <c r="F108" s="342"/>
      <c r="J108" s="1064"/>
    </row>
    <row r="109" hidden="1">
      <c r="E109" s="342"/>
      <c r="F109" s="342"/>
      <c r="J109" s="1064"/>
    </row>
    <row r="110" hidden="1">
      <c r="E110" s="342"/>
      <c r="F110" s="342"/>
      <c r="J110" s="1064"/>
    </row>
    <row r="111" hidden="1">
      <c r="E111" s="342"/>
      <c r="F111" s="342"/>
      <c r="J111" s="1064"/>
    </row>
    <row r="112" hidden="1">
      <c r="E112" s="342"/>
      <c r="F112" s="342"/>
      <c r="J112" s="1064"/>
    </row>
    <row r="113" hidden="1">
      <c r="E113" s="342"/>
      <c r="F113" s="342"/>
      <c r="J113" s="1064"/>
    </row>
    <row r="114" hidden="1">
      <c r="E114" s="342"/>
      <c r="F114" s="342"/>
      <c r="J114" s="1064"/>
    </row>
    <row r="115" hidden="1">
      <c r="E115" s="342"/>
      <c r="F115" s="342"/>
      <c r="J115" s="1064"/>
    </row>
    <row r="116" hidden="1">
      <c r="E116" s="342"/>
      <c r="F116" s="342"/>
      <c r="J116" s="1064"/>
    </row>
    <row r="117" hidden="1">
      <c r="E117" s="342"/>
      <c r="F117" s="342"/>
      <c r="J117" s="1064"/>
    </row>
    <row r="118" hidden="1">
      <c r="E118" s="342"/>
      <c r="F118" s="342"/>
      <c r="J118" s="1064"/>
    </row>
    <row r="119" hidden="1">
      <c r="E119" s="342"/>
      <c r="F119" s="342"/>
      <c r="J119" s="1064"/>
    </row>
    <row r="120" hidden="1">
      <c r="E120" s="342"/>
      <c r="F120" s="342"/>
      <c r="J120" s="1064"/>
    </row>
    <row r="121" hidden="1">
      <c r="E121" s="342"/>
      <c r="F121" s="342"/>
      <c r="J121" s="1064"/>
    </row>
    <row r="122" hidden="1">
      <c r="E122" s="342"/>
      <c r="F122" s="342"/>
      <c r="J122" s="1064"/>
    </row>
    <row r="123" hidden="1">
      <c r="E123" s="342"/>
      <c r="F123" s="342"/>
      <c r="J123" s="1064"/>
    </row>
    <row r="124" hidden="1">
      <c r="E124" s="342"/>
      <c r="F124" s="342"/>
      <c r="J124" s="1064"/>
    </row>
    <row r="125" hidden="1">
      <c r="E125" s="342"/>
      <c r="F125" s="342"/>
      <c r="J125" s="1064"/>
    </row>
    <row r="126" hidden="1">
      <c r="E126" s="342"/>
      <c r="F126" s="342"/>
      <c r="J126" s="1064"/>
    </row>
    <row r="127" hidden="1">
      <c r="E127" s="342"/>
      <c r="F127" s="342"/>
      <c r="J127" s="1064"/>
    </row>
    <row r="128" hidden="1">
      <c r="E128" s="342"/>
      <c r="F128" s="342"/>
      <c r="J128" s="1064"/>
    </row>
    <row r="129" hidden="1">
      <c r="E129" s="342"/>
      <c r="F129" s="342"/>
      <c r="J129" s="1064"/>
    </row>
    <row r="130" hidden="1">
      <c r="E130" s="342"/>
      <c r="F130" s="342"/>
      <c r="J130" s="1064"/>
    </row>
    <row r="131" hidden="1">
      <c r="E131" s="342"/>
      <c r="F131" s="342"/>
      <c r="J131" s="1064"/>
    </row>
    <row r="132" hidden="1">
      <c r="E132" s="342"/>
      <c r="F132" s="342"/>
      <c r="J132" s="1064"/>
    </row>
    <row r="133" hidden="1">
      <c r="E133" s="342"/>
      <c r="F133" s="342"/>
      <c r="J133" s="1064"/>
    </row>
    <row r="134" hidden="1">
      <c r="E134" s="342"/>
      <c r="F134" s="342"/>
      <c r="J134" s="1064"/>
    </row>
    <row r="135" hidden="1">
      <c r="E135" s="342"/>
      <c r="F135" s="342"/>
      <c r="J135" s="1064"/>
    </row>
    <row r="136" hidden="1">
      <c r="E136" s="342"/>
      <c r="F136" s="342"/>
      <c r="J136" s="1064"/>
    </row>
    <row r="137" hidden="1">
      <c r="E137" s="342"/>
      <c r="F137" s="342"/>
      <c r="J137" s="1064"/>
    </row>
    <row r="138" hidden="1">
      <c r="E138" s="342"/>
      <c r="F138" s="342"/>
      <c r="J138" s="1064"/>
    </row>
    <row r="139" hidden="1">
      <c r="E139" s="342"/>
      <c r="F139" s="342"/>
      <c r="J139" s="1064"/>
    </row>
    <row r="140" hidden="1">
      <c r="E140" s="342"/>
      <c r="F140" s="342"/>
      <c r="J140" s="1064"/>
    </row>
    <row r="141" hidden="1">
      <c r="E141" s="342"/>
      <c r="F141" s="342"/>
      <c r="J141" s="1064"/>
    </row>
    <row r="142" hidden="1">
      <c r="E142" s="342"/>
      <c r="F142" s="342"/>
      <c r="J142" s="1064"/>
    </row>
    <row r="143" hidden="1">
      <c r="E143" s="342"/>
      <c r="F143" s="342"/>
      <c r="J143" s="1064"/>
    </row>
    <row r="144" hidden="1">
      <c r="E144" s="342"/>
      <c r="F144" s="342"/>
      <c r="J144" s="1064"/>
    </row>
    <row r="145" hidden="1">
      <c r="E145" s="342"/>
      <c r="F145" s="342"/>
      <c r="J145" s="1064"/>
    </row>
    <row r="146" hidden="1">
      <c r="E146" s="342"/>
      <c r="F146" s="342"/>
      <c r="J146" s="1064"/>
    </row>
    <row r="147" hidden="1">
      <c r="E147" s="342"/>
      <c r="F147" s="342"/>
      <c r="J147" s="1064"/>
    </row>
    <row r="148" hidden="1">
      <c r="E148" s="342"/>
      <c r="F148" s="342"/>
      <c r="J148" s="1064"/>
    </row>
    <row r="149" hidden="1">
      <c r="E149" s="342"/>
      <c r="F149" s="342"/>
      <c r="J149" s="1064"/>
    </row>
    <row r="150" hidden="1">
      <c r="E150" s="342"/>
      <c r="F150" s="342"/>
      <c r="J150" s="1064"/>
    </row>
    <row r="151" hidden="1">
      <c r="E151" s="342"/>
      <c r="F151" s="342"/>
      <c r="J151" s="1064"/>
    </row>
    <row r="152" hidden="1">
      <c r="E152" s="342"/>
      <c r="F152" s="342"/>
      <c r="J152" s="1064"/>
    </row>
    <row r="153" hidden="1">
      <c r="E153" s="342"/>
      <c r="F153" s="342"/>
      <c r="J153" s="1064"/>
    </row>
    <row r="154" hidden="1">
      <c r="E154" s="342"/>
      <c r="F154" s="342"/>
      <c r="J154" s="1064"/>
    </row>
    <row r="155" hidden="1">
      <c r="E155" s="342"/>
      <c r="F155" s="342"/>
      <c r="J155" s="1064"/>
    </row>
    <row r="156" hidden="1">
      <c r="E156" s="342"/>
      <c r="F156" s="342"/>
      <c r="J156" s="1064"/>
    </row>
    <row r="157" hidden="1">
      <c r="E157" s="342"/>
      <c r="F157" s="342"/>
      <c r="J157" s="1064"/>
    </row>
    <row r="158" hidden="1">
      <c r="E158" s="342"/>
      <c r="F158" s="342"/>
      <c r="J158" s="1064"/>
    </row>
    <row r="159" hidden="1">
      <c r="E159" s="342"/>
      <c r="F159" s="342"/>
      <c r="J159" s="1064"/>
    </row>
    <row r="160" hidden="1">
      <c r="E160" s="342"/>
      <c r="F160" s="342"/>
      <c r="J160" s="1064"/>
    </row>
    <row r="161" hidden="1">
      <c r="E161" s="342"/>
      <c r="F161" s="342"/>
      <c r="J161" s="1064"/>
    </row>
    <row r="162" hidden="1">
      <c r="E162" s="342"/>
      <c r="F162" s="342"/>
      <c r="J162" s="1064"/>
    </row>
    <row r="163" hidden="1">
      <c r="E163" s="342"/>
      <c r="F163" s="342"/>
      <c r="J163" s="1064"/>
    </row>
    <row r="164" hidden="1">
      <c r="E164" s="342"/>
      <c r="F164" s="342"/>
      <c r="J164" s="1064"/>
    </row>
    <row r="165" hidden="1">
      <c r="E165" s="342"/>
      <c r="F165" s="342"/>
      <c r="J165" s="1064"/>
    </row>
    <row r="166" hidden="1">
      <c r="E166" s="342"/>
      <c r="F166" s="342"/>
      <c r="J166" s="1064"/>
    </row>
    <row r="167" hidden="1">
      <c r="E167" s="342"/>
      <c r="F167" s="342"/>
      <c r="J167" s="1064"/>
    </row>
    <row r="168" hidden="1">
      <c r="E168" s="342"/>
      <c r="F168" s="342"/>
      <c r="J168" s="1064"/>
    </row>
    <row r="169" hidden="1">
      <c r="E169" s="342"/>
      <c r="F169" s="342"/>
      <c r="J169" s="1064"/>
    </row>
    <row r="170" hidden="1">
      <c r="E170" s="342"/>
      <c r="F170" s="342"/>
      <c r="J170" s="1064"/>
    </row>
    <row r="171" hidden="1">
      <c r="E171" s="342"/>
      <c r="F171" s="342"/>
      <c r="J171" s="1064"/>
    </row>
    <row r="172" hidden="1">
      <c r="E172" s="342"/>
      <c r="F172" s="342"/>
      <c r="J172" s="1064"/>
    </row>
    <row r="173" hidden="1">
      <c r="E173" s="342"/>
      <c r="F173" s="342"/>
      <c r="J173" s="1064"/>
    </row>
    <row r="174" hidden="1">
      <c r="E174" s="342"/>
      <c r="F174" s="342"/>
      <c r="J174" s="1064"/>
    </row>
    <row r="175" hidden="1">
      <c r="E175" s="342"/>
      <c r="F175" s="342"/>
      <c r="J175" s="1064"/>
    </row>
    <row r="176" hidden="1">
      <c r="E176" s="342"/>
      <c r="F176" s="342"/>
      <c r="J176" s="1064"/>
    </row>
    <row r="177" hidden="1">
      <c r="E177" s="342"/>
      <c r="F177" s="342"/>
      <c r="J177" s="1064"/>
    </row>
    <row r="178" hidden="1">
      <c r="E178" s="342"/>
      <c r="F178" s="342"/>
      <c r="J178" s="1064"/>
    </row>
    <row r="179" hidden="1">
      <c r="E179" s="342"/>
      <c r="F179" s="342"/>
      <c r="J179" s="1064"/>
    </row>
    <row r="180" hidden="1">
      <c r="E180" s="342"/>
      <c r="F180" s="342"/>
      <c r="J180" s="1064"/>
    </row>
    <row r="181" hidden="1">
      <c r="E181" s="342"/>
      <c r="F181" s="342"/>
      <c r="J181" s="1064"/>
    </row>
    <row r="182" hidden="1">
      <c r="E182" s="342"/>
      <c r="F182" s="342"/>
      <c r="J182" s="1064"/>
    </row>
    <row r="183" hidden="1">
      <c r="E183" s="342"/>
      <c r="F183" s="342"/>
      <c r="J183" s="1064"/>
    </row>
    <row r="184" hidden="1">
      <c r="E184" s="342"/>
      <c r="F184" s="342"/>
      <c r="J184" s="1064"/>
    </row>
    <row r="185" hidden="1">
      <c r="E185" s="342"/>
      <c r="F185" s="342"/>
      <c r="J185" s="1064"/>
    </row>
    <row r="186" hidden="1">
      <c r="E186" s="342"/>
      <c r="F186" s="342"/>
      <c r="J186" s="1064"/>
    </row>
    <row r="187" hidden="1">
      <c r="E187" s="342"/>
      <c r="F187" s="342"/>
      <c r="J187" s="1064"/>
    </row>
    <row r="188" hidden="1">
      <c r="E188" s="342"/>
      <c r="F188" s="342"/>
      <c r="J188" s="1064"/>
    </row>
    <row r="189" hidden="1">
      <c r="E189" s="342"/>
      <c r="F189" s="342"/>
      <c r="J189" s="1064"/>
    </row>
    <row r="190" hidden="1">
      <c r="E190" s="342"/>
      <c r="F190" s="342"/>
      <c r="J190" s="1064"/>
    </row>
    <row r="191" hidden="1">
      <c r="E191" s="342"/>
      <c r="F191" s="342"/>
      <c r="J191" s="1064"/>
    </row>
    <row r="192" hidden="1">
      <c r="E192" s="342"/>
      <c r="F192" s="342"/>
      <c r="J192" s="1064"/>
    </row>
    <row r="193" hidden="1">
      <c r="E193" s="342"/>
      <c r="F193" s="342"/>
      <c r="J193" s="1064"/>
    </row>
    <row r="194" hidden="1">
      <c r="E194" s="342"/>
      <c r="F194" s="342"/>
      <c r="J194" s="1064"/>
    </row>
    <row r="195" hidden="1">
      <c r="E195" s="342"/>
      <c r="F195" s="342"/>
      <c r="J195" s="1064"/>
    </row>
    <row r="196" hidden="1">
      <c r="E196" s="342"/>
      <c r="F196" s="342"/>
      <c r="J196" s="1064"/>
    </row>
    <row r="197" hidden="1">
      <c r="E197" s="342"/>
      <c r="F197" s="342"/>
      <c r="J197" s="1064"/>
    </row>
    <row r="198" hidden="1">
      <c r="E198" s="342"/>
      <c r="F198" s="342"/>
      <c r="J198" s="1064"/>
    </row>
    <row r="199" hidden="1">
      <c r="E199" s="342"/>
      <c r="F199" s="342"/>
      <c r="J199" s="1064"/>
    </row>
    <row r="200" hidden="1">
      <c r="E200" s="342"/>
      <c r="F200" s="342"/>
      <c r="J200" s="1064"/>
    </row>
    <row r="201" hidden="1">
      <c r="E201" s="342"/>
      <c r="F201" s="342"/>
      <c r="J201" s="1064"/>
    </row>
    <row r="202" hidden="1">
      <c r="E202" s="342"/>
      <c r="F202" s="342"/>
      <c r="J202" s="1064"/>
    </row>
    <row r="203" hidden="1">
      <c r="E203" s="342"/>
      <c r="F203" s="342"/>
      <c r="J203" s="1064"/>
    </row>
    <row r="204" hidden="1">
      <c r="E204" s="342"/>
      <c r="F204" s="342"/>
      <c r="J204" s="1064"/>
    </row>
    <row r="205" hidden="1">
      <c r="E205" s="342"/>
      <c r="F205" s="342"/>
      <c r="J205" s="1064"/>
    </row>
    <row r="206" hidden="1">
      <c r="E206" s="342"/>
      <c r="F206" s="342"/>
      <c r="J206" s="1064"/>
    </row>
    <row r="207" hidden="1">
      <c r="E207" s="342"/>
      <c r="F207" s="342"/>
      <c r="J207" s="1064"/>
    </row>
    <row r="208" hidden="1">
      <c r="E208" s="342"/>
      <c r="F208" s="342"/>
      <c r="J208" s="1064"/>
    </row>
    <row r="209" hidden="1">
      <c r="E209" s="342"/>
      <c r="F209" s="342"/>
      <c r="J209" s="1064"/>
    </row>
    <row r="210" hidden="1">
      <c r="E210" s="342"/>
      <c r="F210" s="342"/>
      <c r="J210" s="1064"/>
    </row>
    <row r="211" hidden="1">
      <c r="E211" s="342"/>
      <c r="F211" s="342"/>
      <c r="J211" s="1064"/>
    </row>
    <row r="212" hidden="1">
      <c r="E212" s="342"/>
      <c r="F212" s="342"/>
      <c r="J212" s="1064"/>
    </row>
    <row r="213" hidden="1">
      <c r="E213" s="342"/>
      <c r="F213" s="342"/>
      <c r="J213" s="1064"/>
    </row>
    <row r="214" hidden="1">
      <c r="E214" s="342"/>
      <c r="F214" s="342"/>
      <c r="J214" s="1064"/>
    </row>
    <row r="215" hidden="1">
      <c r="E215" s="342"/>
      <c r="F215" s="342"/>
      <c r="J215" s="1064"/>
    </row>
    <row r="216" hidden="1">
      <c r="E216" s="342"/>
      <c r="F216" s="342"/>
      <c r="J216" s="1064"/>
    </row>
    <row r="217" hidden="1">
      <c r="E217" s="342"/>
      <c r="F217" s="342"/>
      <c r="J217" s="1064"/>
    </row>
    <row r="218" hidden="1">
      <c r="E218" s="342"/>
      <c r="F218" s="342"/>
      <c r="J218" s="1064"/>
    </row>
    <row r="219" hidden="1">
      <c r="E219" s="342"/>
      <c r="F219" s="342"/>
      <c r="J219" s="1064"/>
    </row>
    <row r="220" hidden="1">
      <c r="E220" s="342"/>
      <c r="F220" s="342"/>
      <c r="J220" s="1064"/>
    </row>
    <row r="221" hidden="1">
      <c r="E221" s="342"/>
      <c r="F221" s="342"/>
      <c r="J221" s="1064"/>
    </row>
    <row r="222" hidden="1">
      <c r="E222" s="342"/>
      <c r="F222" s="342"/>
      <c r="J222" s="1064"/>
    </row>
    <row r="223" hidden="1">
      <c r="E223" s="342"/>
      <c r="F223" s="342"/>
      <c r="J223" s="1064"/>
    </row>
    <row r="224" hidden="1">
      <c r="E224" s="342"/>
      <c r="F224" s="342"/>
      <c r="J224" s="1064"/>
    </row>
    <row r="225" hidden="1">
      <c r="E225" s="342"/>
      <c r="F225" s="342"/>
      <c r="J225" s="1064"/>
    </row>
    <row r="226" hidden="1">
      <c r="E226" s="342"/>
      <c r="F226" s="342"/>
      <c r="J226" s="1064"/>
    </row>
    <row r="227" hidden="1">
      <c r="E227" s="342"/>
      <c r="F227" s="342"/>
      <c r="J227" s="1064"/>
    </row>
    <row r="228" hidden="1">
      <c r="E228" s="342"/>
      <c r="F228" s="342"/>
      <c r="J228" s="1064"/>
    </row>
    <row r="229" hidden="1">
      <c r="E229" s="342"/>
      <c r="F229" s="342"/>
      <c r="J229" s="1064"/>
    </row>
    <row r="230" hidden="1">
      <c r="E230" s="342"/>
      <c r="F230" s="342"/>
      <c r="J230" s="1064"/>
    </row>
    <row r="231" hidden="1">
      <c r="E231" s="342"/>
      <c r="F231" s="342"/>
      <c r="J231" s="1064"/>
    </row>
    <row r="232" hidden="1">
      <c r="E232" s="342"/>
      <c r="F232" s="342"/>
      <c r="J232" s="1064"/>
    </row>
    <row r="233" hidden="1">
      <c r="E233" s="342"/>
      <c r="F233" s="342"/>
      <c r="J233" s="1064"/>
    </row>
    <row r="234" hidden="1">
      <c r="E234" s="342"/>
      <c r="F234" s="342"/>
      <c r="J234" s="1064"/>
    </row>
    <row r="235" hidden="1">
      <c r="E235" s="342"/>
      <c r="F235" s="342"/>
      <c r="J235" s="1064"/>
    </row>
    <row r="236" hidden="1">
      <c r="E236" s="342"/>
      <c r="F236" s="342"/>
      <c r="J236" s="1064"/>
    </row>
    <row r="237" hidden="1">
      <c r="E237" s="342"/>
      <c r="F237" s="342"/>
      <c r="J237" s="1064"/>
    </row>
    <row r="238" hidden="1">
      <c r="E238" s="342"/>
      <c r="F238" s="342"/>
      <c r="J238" s="1064"/>
    </row>
    <row r="239" hidden="1">
      <c r="E239" s="342"/>
      <c r="F239" s="342"/>
      <c r="J239" s="1064"/>
    </row>
    <row r="240" hidden="1">
      <c r="E240" s="342"/>
      <c r="F240" s="342"/>
      <c r="J240" s="1064"/>
    </row>
    <row r="241" hidden="1">
      <c r="E241" s="342"/>
      <c r="F241" s="342"/>
      <c r="J241" s="1064"/>
    </row>
    <row r="242" hidden="1">
      <c r="E242" s="342"/>
      <c r="F242" s="342"/>
      <c r="J242" s="1064"/>
    </row>
    <row r="243" hidden="1">
      <c r="E243" s="342"/>
      <c r="F243" s="342"/>
      <c r="J243" s="1064"/>
    </row>
    <row r="244" hidden="1">
      <c r="E244" s="342"/>
      <c r="F244" s="342"/>
      <c r="J244" s="1064"/>
    </row>
    <row r="245" hidden="1">
      <c r="E245" s="342"/>
      <c r="F245" s="342"/>
      <c r="J245" s="1064"/>
    </row>
    <row r="246" hidden="1">
      <c r="E246" s="342"/>
      <c r="F246" s="342"/>
      <c r="J246" s="1064"/>
    </row>
    <row r="247" hidden="1">
      <c r="E247" s="342"/>
      <c r="F247" s="342"/>
      <c r="J247" s="1064"/>
    </row>
    <row r="248" hidden="1">
      <c r="E248" s="342"/>
      <c r="F248" s="342"/>
      <c r="J248" s="1064"/>
    </row>
    <row r="249" hidden="1">
      <c r="E249" s="342"/>
      <c r="F249" s="342"/>
      <c r="J249" s="1064"/>
    </row>
    <row r="250" hidden="1">
      <c r="E250" s="342"/>
      <c r="F250" s="342"/>
      <c r="J250" s="1064"/>
    </row>
    <row r="251" hidden="1">
      <c r="E251" s="342"/>
      <c r="F251" s="342"/>
      <c r="J251" s="1064"/>
    </row>
    <row r="252" hidden="1">
      <c r="E252" s="342"/>
      <c r="F252" s="342"/>
      <c r="J252" s="1064"/>
    </row>
    <row r="253" hidden="1">
      <c r="E253" s="342"/>
      <c r="F253" s="342"/>
      <c r="J253" s="1064"/>
    </row>
    <row r="254" hidden="1">
      <c r="E254" s="342"/>
      <c r="F254" s="342"/>
      <c r="J254" s="1064"/>
    </row>
    <row r="255" hidden="1">
      <c r="E255" s="342"/>
      <c r="F255" s="342"/>
      <c r="J255" s="1064"/>
    </row>
    <row r="256" hidden="1">
      <c r="E256" s="342"/>
      <c r="F256" s="342"/>
      <c r="J256" s="1064"/>
    </row>
    <row r="257" hidden="1">
      <c r="E257" s="342"/>
      <c r="F257" s="342"/>
      <c r="J257" s="1064"/>
    </row>
    <row r="258" hidden="1">
      <c r="E258" s="342"/>
      <c r="F258" s="342"/>
      <c r="J258" s="1064"/>
    </row>
    <row r="259" hidden="1">
      <c r="E259" s="342"/>
      <c r="F259" s="342"/>
      <c r="J259" s="1064"/>
    </row>
    <row r="260" hidden="1">
      <c r="E260" s="342"/>
      <c r="F260" s="342"/>
      <c r="J260" s="1064"/>
    </row>
    <row r="261" hidden="1">
      <c r="E261" s="342"/>
      <c r="F261" s="342"/>
      <c r="J261" s="1064"/>
    </row>
    <row r="262" hidden="1">
      <c r="E262" s="342"/>
      <c r="F262" s="342"/>
      <c r="J262" s="1064"/>
    </row>
    <row r="263" hidden="1">
      <c r="E263" s="342"/>
      <c r="F263" s="342"/>
      <c r="J263" s="1064"/>
    </row>
    <row r="264" hidden="1">
      <c r="E264" s="342"/>
      <c r="F264" s="342"/>
      <c r="J264" s="1064"/>
    </row>
    <row r="265" hidden="1">
      <c r="E265" s="342"/>
      <c r="F265" s="342"/>
      <c r="J265" s="1064"/>
    </row>
    <row r="266" hidden="1">
      <c r="E266" s="342"/>
      <c r="F266" s="342"/>
      <c r="J266" s="1064"/>
    </row>
    <row r="267" hidden="1">
      <c r="E267" s="342"/>
      <c r="F267" s="342"/>
      <c r="J267" s="1064"/>
    </row>
    <row r="268" hidden="1">
      <c r="E268" s="342"/>
      <c r="F268" s="342"/>
      <c r="J268" s="1064"/>
    </row>
    <row r="269" hidden="1">
      <c r="E269" s="342"/>
      <c r="F269" s="342"/>
      <c r="J269" s="1064"/>
    </row>
    <row r="270" hidden="1">
      <c r="E270" s="342"/>
      <c r="F270" s="342"/>
      <c r="J270" s="1064"/>
    </row>
    <row r="271" hidden="1">
      <c r="E271" s="342"/>
      <c r="F271" s="342"/>
      <c r="J271" s="1064"/>
    </row>
    <row r="272" hidden="1">
      <c r="E272" s="342"/>
      <c r="F272" s="342"/>
      <c r="J272" s="1064"/>
    </row>
    <row r="273" hidden="1">
      <c r="E273" s="342"/>
      <c r="F273" s="342"/>
      <c r="J273" s="1064"/>
    </row>
    <row r="274" hidden="1">
      <c r="E274" s="342"/>
      <c r="F274" s="342"/>
      <c r="J274" s="1064"/>
    </row>
    <row r="275" hidden="1">
      <c r="E275" s="342"/>
      <c r="F275" s="342"/>
      <c r="J275" s="1064"/>
    </row>
    <row r="276" hidden="1">
      <c r="E276" s="342"/>
      <c r="F276" s="342"/>
      <c r="J276" s="1064"/>
    </row>
    <row r="277" hidden="1">
      <c r="E277" s="342"/>
      <c r="F277" s="342"/>
      <c r="J277" s="1064"/>
    </row>
    <row r="278" hidden="1">
      <c r="E278" s="342"/>
      <c r="F278" s="342"/>
      <c r="J278" s="1064"/>
    </row>
    <row r="279" hidden="1">
      <c r="E279" s="342"/>
      <c r="F279" s="342"/>
      <c r="J279" s="1064"/>
    </row>
    <row r="280" hidden="1">
      <c r="E280" s="342"/>
      <c r="F280" s="342"/>
      <c r="J280" s="1064"/>
    </row>
    <row r="281" hidden="1">
      <c r="E281" s="342"/>
      <c r="F281" s="342"/>
      <c r="J281" s="1064"/>
    </row>
    <row r="282" hidden="1">
      <c r="E282" s="342"/>
      <c r="F282" s="342"/>
      <c r="J282" s="1064"/>
    </row>
    <row r="283" hidden="1">
      <c r="E283" s="342"/>
      <c r="F283" s="342"/>
      <c r="J283" s="1064"/>
    </row>
    <row r="284" hidden="1">
      <c r="E284" s="342"/>
      <c r="F284" s="342"/>
      <c r="J284" s="1064"/>
    </row>
    <row r="285" hidden="1">
      <c r="E285" s="342"/>
      <c r="F285" s="342"/>
      <c r="J285" s="1064"/>
    </row>
    <row r="286" hidden="1">
      <c r="E286" s="342"/>
      <c r="F286" s="342"/>
      <c r="J286" s="1064"/>
    </row>
    <row r="287" hidden="1">
      <c r="E287" s="342"/>
      <c r="F287" s="342"/>
      <c r="J287" s="1064"/>
    </row>
    <row r="288" hidden="1">
      <c r="E288" s="342"/>
      <c r="F288" s="342"/>
      <c r="J288" s="1064"/>
    </row>
    <row r="289" hidden="1">
      <c r="E289" s="342"/>
      <c r="F289" s="342"/>
      <c r="J289" s="1064"/>
    </row>
    <row r="290" hidden="1">
      <c r="E290" s="342"/>
      <c r="F290" s="342"/>
      <c r="J290" s="1064"/>
    </row>
    <row r="291" hidden="1">
      <c r="E291" s="342"/>
      <c r="F291" s="342"/>
      <c r="J291" s="1064"/>
    </row>
    <row r="292" hidden="1">
      <c r="E292" s="342"/>
      <c r="F292" s="342"/>
      <c r="J292" s="1064"/>
    </row>
    <row r="293" hidden="1">
      <c r="E293" s="342"/>
      <c r="F293" s="342"/>
      <c r="J293" s="1064"/>
    </row>
    <row r="294" hidden="1">
      <c r="E294" s="342"/>
      <c r="F294" s="342"/>
      <c r="J294" s="1064"/>
    </row>
    <row r="295" hidden="1">
      <c r="E295" s="342"/>
      <c r="F295" s="342"/>
      <c r="J295" s="1064"/>
    </row>
    <row r="296" hidden="1">
      <c r="E296" s="342"/>
      <c r="F296" s="342"/>
      <c r="J296" s="1064"/>
    </row>
    <row r="297" hidden="1">
      <c r="E297" s="342"/>
      <c r="F297" s="342"/>
      <c r="J297" s="1064"/>
    </row>
    <row r="298" hidden="1">
      <c r="E298" s="342"/>
      <c r="F298" s="342"/>
      <c r="J298" s="1064"/>
    </row>
    <row r="299" hidden="1">
      <c r="E299" s="342"/>
      <c r="F299" s="342"/>
      <c r="J299" s="1064"/>
    </row>
    <row r="300" hidden="1">
      <c r="E300" s="342"/>
      <c r="F300" s="342"/>
      <c r="J300" s="1064"/>
    </row>
    <row r="301" hidden="1">
      <c r="E301" s="342"/>
      <c r="F301" s="342"/>
      <c r="J301" s="1064"/>
    </row>
    <row r="302" hidden="1">
      <c r="E302" s="342"/>
      <c r="F302" s="342"/>
      <c r="J302" s="1064"/>
    </row>
    <row r="303" hidden="1">
      <c r="E303" s="342"/>
      <c r="F303" s="342"/>
      <c r="J303" s="1064"/>
    </row>
    <row r="304" hidden="1">
      <c r="E304" s="342"/>
      <c r="F304" s="342"/>
      <c r="J304" s="1064"/>
    </row>
    <row r="305" hidden="1">
      <c r="E305" s="342"/>
      <c r="F305" s="342"/>
      <c r="J305" s="1064"/>
    </row>
    <row r="306" hidden="1">
      <c r="E306" s="342"/>
      <c r="F306" s="342"/>
      <c r="J306" s="1064"/>
    </row>
    <row r="307" hidden="1">
      <c r="E307" s="342"/>
      <c r="F307" s="342"/>
      <c r="J307" s="1064"/>
    </row>
    <row r="308" hidden="1">
      <c r="E308" s="342"/>
      <c r="F308" s="342"/>
      <c r="J308" s="1064"/>
    </row>
    <row r="309" hidden="1">
      <c r="E309" s="342"/>
      <c r="F309" s="342"/>
      <c r="J309" s="1064"/>
    </row>
    <row r="310" hidden="1">
      <c r="E310" s="342"/>
      <c r="F310" s="342"/>
      <c r="J310" s="1064"/>
    </row>
    <row r="311" hidden="1">
      <c r="E311" s="342"/>
      <c r="F311" s="342"/>
      <c r="J311" s="1064"/>
    </row>
    <row r="312" hidden="1">
      <c r="E312" s="342"/>
      <c r="F312" s="342"/>
      <c r="J312" s="1064"/>
    </row>
    <row r="313" hidden="1">
      <c r="E313" s="342"/>
      <c r="F313" s="342"/>
      <c r="J313" s="1064"/>
    </row>
    <row r="314" hidden="1">
      <c r="E314" s="342"/>
      <c r="F314" s="342"/>
      <c r="J314" s="1064"/>
    </row>
    <row r="315" hidden="1">
      <c r="E315" s="342"/>
      <c r="F315" s="342"/>
      <c r="J315" s="1064"/>
    </row>
    <row r="316" hidden="1">
      <c r="E316" s="342"/>
      <c r="F316" s="342"/>
      <c r="J316" s="1064"/>
    </row>
    <row r="317" hidden="1">
      <c r="E317" s="342"/>
      <c r="F317" s="342"/>
      <c r="J317" s="1064"/>
    </row>
    <row r="318" hidden="1">
      <c r="E318" s="342"/>
      <c r="F318" s="342"/>
      <c r="J318" s="1064"/>
    </row>
    <row r="319" hidden="1">
      <c r="E319" s="342"/>
      <c r="F319" s="342"/>
      <c r="J319" s="1064"/>
    </row>
    <row r="320" hidden="1">
      <c r="E320" s="342"/>
      <c r="F320" s="342"/>
      <c r="J320" s="1064"/>
    </row>
    <row r="321" hidden="1">
      <c r="E321" s="342"/>
      <c r="F321" s="342"/>
      <c r="J321" s="1064"/>
    </row>
    <row r="322" hidden="1">
      <c r="E322" s="342"/>
      <c r="F322" s="342"/>
      <c r="J322" s="1064"/>
    </row>
    <row r="323" hidden="1">
      <c r="E323" s="342"/>
      <c r="F323" s="342"/>
      <c r="J323" s="1064"/>
    </row>
    <row r="324" hidden="1">
      <c r="E324" s="342"/>
      <c r="F324" s="342"/>
      <c r="J324" s="1064"/>
    </row>
    <row r="325" hidden="1">
      <c r="E325" s="342"/>
      <c r="F325" s="342"/>
      <c r="J325" s="1064"/>
    </row>
    <row r="326" hidden="1">
      <c r="E326" s="342"/>
      <c r="F326" s="342"/>
      <c r="J326" s="1064"/>
    </row>
    <row r="327" hidden="1">
      <c r="E327" s="342"/>
      <c r="F327" s="342"/>
      <c r="J327" s="1064"/>
    </row>
    <row r="328" hidden="1">
      <c r="E328" s="342"/>
      <c r="F328" s="342"/>
      <c r="J328" s="1064"/>
    </row>
    <row r="329" hidden="1">
      <c r="E329" s="342"/>
      <c r="F329" s="342"/>
      <c r="J329" s="1064"/>
    </row>
    <row r="330" hidden="1">
      <c r="E330" s="342"/>
      <c r="F330" s="342"/>
      <c r="J330" s="1064"/>
    </row>
    <row r="331" hidden="1">
      <c r="E331" s="342"/>
      <c r="F331" s="342"/>
      <c r="J331" s="1064"/>
    </row>
    <row r="332" hidden="1">
      <c r="E332" s="342"/>
      <c r="F332" s="342"/>
      <c r="J332" s="1064"/>
    </row>
    <row r="333" hidden="1">
      <c r="E333" s="342"/>
      <c r="F333" s="342"/>
      <c r="J333" s="1064"/>
    </row>
    <row r="334" hidden="1">
      <c r="E334" s="342"/>
      <c r="F334" s="342"/>
      <c r="J334" s="1064"/>
    </row>
    <row r="335" hidden="1">
      <c r="E335" s="342"/>
      <c r="F335" s="342"/>
      <c r="J335" s="1064"/>
    </row>
    <row r="336" hidden="1">
      <c r="E336" s="342"/>
      <c r="F336" s="342"/>
      <c r="J336" s="1064"/>
    </row>
    <row r="337" hidden="1">
      <c r="E337" s="342"/>
      <c r="F337" s="342"/>
      <c r="J337" s="1064"/>
    </row>
    <row r="338" hidden="1">
      <c r="E338" s="342"/>
      <c r="F338" s="342"/>
      <c r="J338" s="1064"/>
    </row>
    <row r="339" hidden="1">
      <c r="E339" s="342"/>
      <c r="F339" s="342"/>
      <c r="J339" s="1064"/>
    </row>
    <row r="340" hidden="1">
      <c r="E340" s="342"/>
      <c r="F340" s="342"/>
      <c r="J340" s="1064"/>
    </row>
    <row r="341" hidden="1">
      <c r="E341" s="342"/>
      <c r="F341" s="342"/>
      <c r="J341" s="1064"/>
    </row>
    <row r="342" hidden="1">
      <c r="E342" s="342"/>
      <c r="F342" s="342"/>
      <c r="J342" s="1064"/>
    </row>
    <row r="343" hidden="1">
      <c r="E343" s="342"/>
      <c r="F343" s="342"/>
      <c r="J343" s="1064"/>
    </row>
    <row r="344" hidden="1">
      <c r="E344" s="342"/>
      <c r="F344" s="342"/>
      <c r="J344" s="1064"/>
    </row>
    <row r="345" hidden="1">
      <c r="E345" s="342"/>
      <c r="F345" s="342"/>
      <c r="J345" s="1064"/>
    </row>
    <row r="346" hidden="1">
      <c r="E346" s="342"/>
      <c r="F346" s="342"/>
      <c r="J346" s="1064"/>
    </row>
    <row r="347" hidden="1">
      <c r="E347" s="342"/>
      <c r="F347" s="342"/>
      <c r="J347" s="1064"/>
    </row>
    <row r="348" hidden="1">
      <c r="E348" s="342"/>
      <c r="F348" s="342"/>
      <c r="J348" s="1064"/>
    </row>
    <row r="349" hidden="1">
      <c r="E349" s="342"/>
      <c r="F349" s="342"/>
      <c r="J349" s="1064"/>
    </row>
    <row r="350" hidden="1">
      <c r="E350" s="342"/>
      <c r="F350" s="342"/>
      <c r="J350" s="1064"/>
    </row>
    <row r="351" hidden="1">
      <c r="E351" s="342"/>
      <c r="F351" s="342"/>
      <c r="J351" s="1064"/>
    </row>
    <row r="352" hidden="1">
      <c r="E352" s="342"/>
      <c r="F352" s="342"/>
      <c r="J352" s="1064"/>
    </row>
    <row r="353" hidden="1">
      <c r="E353" s="342"/>
      <c r="F353" s="342"/>
      <c r="J353" s="1064"/>
    </row>
    <row r="354" hidden="1">
      <c r="E354" s="342"/>
      <c r="F354" s="342"/>
      <c r="J354" s="1064"/>
    </row>
    <row r="355" hidden="1">
      <c r="E355" s="342"/>
      <c r="F355" s="342"/>
      <c r="J355" s="1064"/>
    </row>
    <row r="356" hidden="1">
      <c r="E356" s="342"/>
      <c r="F356" s="342"/>
      <c r="J356" s="1064"/>
    </row>
    <row r="357" hidden="1">
      <c r="E357" s="342"/>
      <c r="F357" s="342"/>
      <c r="J357" s="1064"/>
    </row>
    <row r="358" hidden="1">
      <c r="E358" s="342"/>
      <c r="F358" s="342"/>
      <c r="J358" s="1064"/>
    </row>
    <row r="359" hidden="1">
      <c r="E359" s="342"/>
      <c r="F359" s="342"/>
      <c r="J359" s="1064"/>
    </row>
    <row r="360" hidden="1">
      <c r="E360" s="342"/>
      <c r="F360" s="342"/>
      <c r="J360" s="1064"/>
    </row>
    <row r="361" hidden="1">
      <c r="E361" s="342"/>
      <c r="F361" s="342"/>
      <c r="J361" s="1064"/>
    </row>
    <row r="362" hidden="1">
      <c r="E362" s="342"/>
      <c r="F362" s="342"/>
      <c r="J362" s="1064"/>
    </row>
    <row r="363" hidden="1">
      <c r="E363" s="342"/>
      <c r="F363" s="342"/>
      <c r="J363" s="1064"/>
    </row>
    <row r="364" hidden="1">
      <c r="E364" s="342"/>
      <c r="F364" s="342"/>
      <c r="J364" s="1064"/>
    </row>
    <row r="365" hidden="1">
      <c r="E365" s="342"/>
      <c r="F365" s="342"/>
      <c r="J365" s="1064"/>
    </row>
    <row r="366" hidden="1">
      <c r="E366" s="342"/>
      <c r="F366" s="342"/>
      <c r="J366" s="1064"/>
    </row>
    <row r="367" hidden="1">
      <c r="E367" s="342"/>
      <c r="F367" s="342"/>
      <c r="J367" s="1064"/>
    </row>
    <row r="368" hidden="1">
      <c r="E368" s="342"/>
      <c r="F368" s="342"/>
      <c r="J368" s="1064"/>
    </row>
    <row r="369" hidden="1">
      <c r="E369" s="342"/>
      <c r="F369" s="342"/>
      <c r="J369" s="1064"/>
    </row>
    <row r="370" hidden="1">
      <c r="E370" s="342"/>
      <c r="F370" s="342"/>
      <c r="J370" s="1064"/>
    </row>
    <row r="371" hidden="1">
      <c r="E371" s="342"/>
      <c r="F371" s="342"/>
      <c r="J371" s="1064"/>
    </row>
    <row r="372" hidden="1">
      <c r="E372" s="342"/>
      <c r="F372" s="342"/>
      <c r="J372" s="1064"/>
    </row>
    <row r="373" hidden="1">
      <c r="E373" s="342"/>
      <c r="F373" s="342"/>
      <c r="J373" s="1064"/>
    </row>
    <row r="374" hidden="1">
      <c r="E374" s="342"/>
      <c r="F374" s="342"/>
      <c r="J374" s="1064"/>
    </row>
    <row r="375" hidden="1">
      <c r="E375" s="342"/>
      <c r="F375" s="342"/>
      <c r="J375" s="1064"/>
    </row>
    <row r="376" hidden="1">
      <c r="E376" s="342"/>
      <c r="F376" s="342"/>
      <c r="J376" s="1064"/>
    </row>
    <row r="377" hidden="1">
      <c r="E377" s="342"/>
      <c r="F377" s="342"/>
      <c r="J377" s="1064"/>
    </row>
    <row r="378" hidden="1">
      <c r="E378" s="342"/>
      <c r="F378" s="342"/>
      <c r="J378" s="1064"/>
    </row>
    <row r="379" hidden="1">
      <c r="E379" s="342"/>
      <c r="F379" s="342"/>
      <c r="J379" s="1064"/>
    </row>
    <row r="380" hidden="1">
      <c r="E380" s="342"/>
      <c r="F380" s="342"/>
      <c r="J380" s="1064"/>
    </row>
    <row r="381" hidden="1">
      <c r="E381" s="342"/>
      <c r="F381" s="342"/>
      <c r="J381" s="1064"/>
    </row>
    <row r="382" hidden="1">
      <c r="E382" s="342"/>
      <c r="F382" s="342"/>
      <c r="J382" s="1064"/>
    </row>
    <row r="383" hidden="1">
      <c r="E383" s="342"/>
      <c r="F383" s="342"/>
      <c r="J383" s="1064"/>
    </row>
    <row r="384" hidden="1">
      <c r="E384" s="342"/>
      <c r="F384" s="342"/>
      <c r="J384" s="1064"/>
    </row>
    <row r="385" hidden="1">
      <c r="E385" s="342"/>
      <c r="F385" s="342"/>
      <c r="J385" s="1064"/>
    </row>
    <row r="386" hidden="1">
      <c r="E386" s="342"/>
      <c r="F386" s="342"/>
      <c r="J386" s="1064"/>
    </row>
    <row r="387" hidden="1">
      <c r="E387" s="342"/>
      <c r="F387" s="342"/>
      <c r="J387" s="1064"/>
    </row>
    <row r="388" hidden="1">
      <c r="E388" s="342"/>
      <c r="F388" s="342"/>
      <c r="J388" s="1064"/>
    </row>
    <row r="389" hidden="1">
      <c r="E389" s="342"/>
      <c r="F389" s="342"/>
      <c r="J389" s="1064"/>
    </row>
    <row r="390" hidden="1">
      <c r="E390" s="342"/>
      <c r="F390" s="342"/>
      <c r="J390" s="1064"/>
    </row>
    <row r="391" hidden="1">
      <c r="E391" s="342"/>
      <c r="F391" s="342"/>
      <c r="J391" s="1064"/>
    </row>
    <row r="392" hidden="1">
      <c r="E392" s="342"/>
      <c r="F392" s="342"/>
      <c r="J392" s="1064"/>
    </row>
    <row r="393" hidden="1">
      <c r="E393" s="342"/>
      <c r="F393" s="342"/>
      <c r="J393" s="1064"/>
    </row>
    <row r="394" hidden="1">
      <c r="E394" s="342"/>
      <c r="F394" s="342"/>
      <c r="J394" s="1064"/>
    </row>
    <row r="395" hidden="1">
      <c r="E395" s="342"/>
      <c r="F395" s="342"/>
      <c r="J395" s="1064"/>
    </row>
    <row r="396" hidden="1">
      <c r="E396" s="342"/>
      <c r="F396" s="342"/>
      <c r="J396" s="1064"/>
    </row>
    <row r="397" hidden="1">
      <c r="E397" s="342"/>
      <c r="F397" s="342"/>
      <c r="J397" s="1064"/>
    </row>
    <row r="398" hidden="1">
      <c r="E398" s="342"/>
      <c r="F398" s="342"/>
      <c r="J398" s="1064"/>
    </row>
    <row r="399" hidden="1">
      <c r="E399" s="342"/>
      <c r="F399" s="342"/>
      <c r="J399" s="1064"/>
    </row>
    <row r="400" hidden="1">
      <c r="E400" s="342"/>
      <c r="F400" s="342"/>
      <c r="J400" s="1064"/>
    </row>
    <row r="401" hidden="1">
      <c r="E401" s="342"/>
      <c r="F401" s="342"/>
      <c r="J401" s="1064"/>
    </row>
    <row r="402" hidden="1">
      <c r="E402" s="342"/>
      <c r="F402" s="342"/>
      <c r="J402" s="1064"/>
    </row>
    <row r="403" hidden="1">
      <c r="E403" s="342"/>
      <c r="F403" s="342"/>
      <c r="J403" s="1064"/>
    </row>
    <row r="404" hidden="1">
      <c r="E404" s="342"/>
      <c r="F404" s="342"/>
      <c r="J404" s="1064"/>
    </row>
    <row r="405" hidden="1">
      <c r="E405" s="342"/>
      <c r="F405" s="342"/>
      <c r="J405" s="1064"/>
    </row>
    <row r="406" hidden="1">
      <c r="E406" s="342"/>
      <c r="F406" s="342"/>
      <c r="J406" s="1064"/>
    </row>
    <row r="407" hidden="1">
      <c r="E407" s="342"/>
      <c r="F407" s="342"/>
      <c r="J407" s="1064"/>
    </row>
    <row r="408" hidden="1">
      <c r="E408" s="342"/>
      <c r="F408" s="342"/>
      <c r="J408" s="1064"/>
    </row>
    <row r="409" hidden="1">
      <c r="E409" s="342"/>
      <c r="F409" s="342"/>
      <c r="J409" s="1064"/>
    </row>
    <row r="410" hidden="1">
      <c r="E410" s="342"/>
      <c r="F410" s="342"/>
      <c r="J410" s="1064"/>
    </row>
    <row r="411" hidden="1">
      <c r="E411" s="342"/>
      <c r="F411" s="342"/>
      <c r="J411" s="1064"/>
    </row>
    <row r="412" hidden="1">
      <c r="E412" s="342"/>
      <c r="F412" s="342"/>
      <c r="J412" s="1064"/>
    </row>
    <row r="413" hidden="1">
      <c r="E413" s="342"/>
      <c r="F413" s="342"/>
      <c r="J413" s="1064"/>
    </row>
    <row r="414" hidden="1">
      <c r="E414" s="342"/>
      <c r="F414" s="342"/>
      <c r="J414" s="1064"/>
    </row>
    <row r="415" hidden="1">
      <c r="E415" s="342"/>
      <c r="F415" s="342"/>
      <c r="J415" s="1064"/>
    </row>
    <row r="416" hidden="1">
      <c r="E416" s="342"/>
      <c r="F416" s="342"/>
      <c r="J416" s="1064"/>
    </row>
    <row r="417" hidden="1">
      <c r="E417" s="342"/>
      <c r="F417" s="342"/>
      <c r="J417" s="1064"/>
    </row>
    <row r="418" hidden="1">
      <c r="E418" s="342"/>
      <c r="F418" s="342"/>
      <c r="J418" s="1064"/>
    </row>
    <row r="419" hidden="1">
      <c r="E419" s="342"/>
      <c r="F419" s="342"/>
      <c r="J419" s="1064"/>
    </row>
    <row r="420" hidden="1">
      <c r="E420" s="342"/>
      <c r="F420" s="342"/>
      <c r="J420" s="1064"/>
    </row>
    <row r="421" hidden="1">
      <c r="E421" s="342"/>
      <c r="F421" s="342"/>
      <c r="J421" s="1064"/>
    </row>
    <row r="422" hidden="1">
      <c r="E422" s="342"/>
      <c r="F422" s="342"/>
      <c r="J422" s="1064"/>
    </row>
    <row r="423" hidden="1">
      <c r="E423" s="342"/>
      <c r="F423" s="342"/>
      <c r="J423" s="1064"/>
    </row>
    <row r="424" hidden="1">
      <c r="E424" s="342"/>
      <c r="F424" s="342"/>
      <c r="J424" s="1064"/>
    </row>
    <row r="425" hidden="1">
      <c r="E425" s="342"/>
      <c r="F425" s="342"/>
      <c r="J425" s="1064"/>
    </row>
    <row r="426" hidden="1">
      <c r="E426" s="342"/>
      <c r="F426" s="342"/>
      <c r="J426" s="1064"/>
    </row>
    <row r="427" hidden="1">
      <c r="E427" s="342"/>
      <c r="F427" s="342"/>
      <c r="J427" s="1064"/>
    </row>
    <row r="428" hidden="1">
      <c r="E428" s="342"/>
      <c r="F428" s="342"/>
      <c r="J428" s="1064"/>
    </row>
    <row r="429" hidden="1">
      <c r="E429" s="342"/>
      <c r="F429" s="342"/>
      <c r="J429" s="1064"/>
    </row>
    <row r="430" hidden="1">
      <c r="E430" s="342"/>
      <c r="F430" s="342"/>
      <c r="J430" s="1064"/>
    </row>
    <row r="431" hidden="1">
      <c r="E431" s="342"/>
      <c r="F431" s="342"/>
      <c r="J431" s="1064"/>
    </row>
    <row r="432" hidden="1">
      <c r="E432" s="342"/>
      <c r="F432" s="342"/>
      <c r="J432" s="1064"/>
    </row>
    <row r="433" hidden="1">
      <c r="E433" s="342"/>
      <c r="F433" s="342"/>
      <c r="J433" s="1064"/>
    </row>
    <row r="434" hidden="1">
      <c r="E434" s="342"/>
      <c r="F434" s="342"/>
      <c r="J434" s="1064"/>
    </row>
    <row r="435" hidden="1">
      <c r="E435" s="342"/>
      <c r="F435" s="342"/>
      <c r="J435" s="1064"/>
    </row>
    <row r="436" hidden="1">
      <c r="E436" s="342"/>
      <c r="F436" s="342"/>
      <c r="J436" s="1064"/>
    </row>
    <row r="437" hidden="1">
      <c r="E437" s="342"/>
      <c r="F437" s="342"/>
      <c r="J437" s="1064"/>
    </row>
    <row r="438" hidden="1">
      <c r="E438" s="342"/>
      <c r="F438" s="342"/>
      <c r="J438" s="1064"/>
    </row>
    <row r="439" hidden="1">
      <c r="E439" s="342"/>
      <c r="F439" s="342"/>
      <c r="J439" s="1064"/>
    </row>
    <row r="440" hidden="1">
      <c r="E440" s="342"/>
      <c r="F440" s="342"/>
      <c r="J440" s="1064"/>
    </row>
    <row r="441" hidden="1">
      <c r="E441" s="342"/>
      <c r="F441" s="342"/>
      <c r="J441" s="1064"/>
    </row>
    <row r="442" hidden="1">
      <c r="E442" s="342"/>
      <c r="F442" s="342"/>
      <c r="J442" s="1064"/>
    </row>
    <row r="443" hidden="1">
      <c r="E443" s="342"/>
      <c r="F443" s="342"/>
      <c r="J443" s="1064"/>
    </row>
    <row r="444" hidden="1">
      <c r="E444" s="342"/>
      <c r="F444" s="342"/>
      <c r="J444" s="1064"/>
    </row>
    <row r="445" hidden="1">
      <c r="E445" s="342"/>
      <c r="F445" s="342"/>
      <c r="J445" s="1064"/>
    </row>
    <row r="446" hidden="1">
      <c r="E446" s="342"/>
      <c r="F446" s="342"/>
      <c r="J446" s="1064"/>
    </row>
    <row r="447" hidden="1">
      <c r="E447" s="342"/>
      <c r="F447" s="342"/>
      <c r="J447" s="1064"/>
    </row>
    <row r="448" hidden="1">
      <c r="E448" s="342"/>
      <c r="F448" s="342"/>
      <c r="J448" s="1064"/>
    </row>
    <row r="449" hidden="1">
      <c r="E449" s="342"/>
      <c r="F449" s="342"/>
      <c r="J449" s="1064"/>
    </row>
    <row r="450" hidden="1">
      <c r="E450" s="342"/>
      <c r="F450" s="342"/>
      <c r="J450" s="1064"/>
    </row>
    <row r="451" hidden="1">
      <c r="E451" s="342"/>
      <c r="F451" s="342"/>
      <c r="J451" s="1064"/>
    </row>
    <row r="452" hidden="1">
      <c r="E452" s="342"/>
      <c r="F452" s="342"/>
      <c r="J452" s="1064"/>
    </row>
    <row r="453" hidden="1">
      <c r="E453" s="342"/>
      <c r="F453" s="342"/>
      <c r="J453" s="1064"/>
    </row>
    <row r="454" hidden="1">
      <c r="E454" s="342"/>
      <c r="F454" s="342"/>
      <c r="J454" s="1064"/>
    </row>
    <row r="455" hidden="1">
      <c r="E455" s="342"/>
      <c r="F455" s="342"/>
      <c r="J455" s="1064"/>
    </row>
    <row r="456" hidden="1">
      <c r="E456" s="342"/>
      <c r="F456" s="342"/>
      <c r="J456" s="1064"/>
    </row>
    <row r="457" hidden="1">
      <c r="E457" s="342"/>
      <c r="F457" s="342"/>
      <c r="J457" s="1064"/>
    </row>
    <row r="458" hidden="1">
      <c r="E458" s="342"/>
      <c r="F458" s="342"/>
      <c r="J458" s="1064"/>
    </row>
    <row r="459" hidden="1">
      <c r="E459" s="342"/>
      <c r="F459" s="342"/>
      <c r="J459" s="1064"/>
    </row>
    <row r="460" hidden="1">
      <c r="E460" s="342"/>
      <c r="F460" s="342"/>
      <c r="J460" s="1064"/>
    </row>
    <row r="461" hidden="1">
      <c r="E461" s="342"/>
      <c r="F461" s="342"/>
      <c r="J461" s="1064"/>
    </row>
    <row r="462" hidden="1">
      <c r="E462" s="342"/>
      <c r="F462" s="342"/>
      <c r="J462" s="1064"/>
    </row>
    <row r="463" hidden="1">
      <c r="E463" s="342"/>
      <c r="F463" s="342"/>
      <c r="J463" s="1064"/>
    </row>
    <row r="464" hidden="1">
      <c r="E464" s="342"/>
      <c r="F464" s="342"/>
      <c r="J464" s="1064"/>
    </row>
    <row r="465" hidden="1">
      <c r="E465" s="342"/>
      <c r="F465" s="342"/>
      <c r="J465" s="1064"/>
    </row>
    <row r="466" hidden="1">
      <c r="E466" s="342"/>
      <c r="F466" s="342"/>
      <c r="J466" s="1064"/>
    </row>
    <row r="467" hidden="1">
      <c r="E467" s="342"/>
      <c r="F467" s="342"/>
      <c r="J467" s="1064"/>
    </row>
    <row r="468" hidden="1">
      <c r="E468" s="342"/>
      <c r="F468" s="342"/>
      <c r="J468" s="1064"/>
    </row>
    <row r="469" hidden="1">
      <c r="E469" s="342"/>
      <c r="F469" s="342"/>
      <c r="J469" s="1064"/>
    </row>
    <row r="470" hidden="1">
      <c r="E470" s="342"/>
      <c r="F470" s="342"/>
      <c r="J470" s="1064"/>
    </row>
    <row r="471" hidden="1">
      <c r="E471" s="342"/>
      <c r="F471" s="342"/>
      <c r="J471" s="1064"/>
    </row>
    <row r="472" hidden="1">
      <c r="E472" s="342"/>
      <c r="F472" s="342"/>
      <c r="J472" s="1064"/>
    </row>
    <row r="473" hidden="1">
      <c r="E473" s="342"/>
      <c r="F473" s="342"/>
      <c r="J473" s="1064"/>
    </row>
    <row r="474" hidden="1">
      <c r="E474" s="342"/>
      <c r="F474" s="342"/>
      <c r="J474" s="1064"/>
    </row>
    <row r="475" hidden="1">
      <c r="E475" s="342"/>
      <c r="F475" s="342"/>
      <c r="J475" s="1064"/>
    </row>
    <row r="476" hidden="1">
      <c r="E476" s="342"/>
      <c r="F476" s="342"/>
      <c r="J476" s="1064"/>
    </row>
    <row r="477" hidden="1">
      <c r="E477" s="342"/>
      <c r="F477" s="342"/>
      <c r="J477" s="1064"/>
    </row>
    <row r="478" hidden="1">
      <c r="E478" s="342"/>
      <c r="F478" s="342"/>
      <c r="J478" s="1064"/>
    </row>
    <row r="479" hidden="1">
      <c r="E479" s="342"/>
      <c r="F479" s="342"/>
      <c r="J479" s="1064"/>
    </row>
    <row r="480" hidden="1">
      <c r="E480" s="342"/>
      <c r="F480" s="342"/>
      <c r="J480" s="1064"/>
    </row>
    <row r="481" hidden="1">
      <c r="E481" s="342"/>
      <c r="F481" s="342"/>
      <c r="J481" s="1064"/>
    </row>
    <row r="482" hidden="1">
      <c r="E482" s="342"/>
      <c r="F482" s="342"/>
      <c r="J482" s="1064"/>
    </row>
    <row r="483" hidden="1">
      <c r="E483" s="342"/>
      <c r="F483" s="342"/>
      <c r="J483" s="1064"/>
    </row>
    <row r="484" hidden="1">
      <c r="E484" s="342"/>
      <c r="F484" s="342"/>
      <c r="J484" s="1064"/>
    </row>
    <row r="485" hidden="1">
      <c r="E485" s="342"/>
      <c r="F485" s="342"/>
      <c r="J485" s="1064"/>
    </row>
    <row r="486" hidden="1">
      <c r="E486" s="342"/>
      <c r="F486" s="342"/>
      <c r="J486" s="1064"/>
    </row>
    <row r="487" hidden="1">
      <c r="E487" s="342"/>
      <c r="F487" s="342"/>
      <c r="J487" s="1064"/>
    </row>
    <row r="488" hidden="1">
      <c r="E488" s="342"/>
      <c r="F488" s="342"/>
      <c r="J488" s="1064"/>
    </row>
    <row r="489" hidden="1">
      <c r="E489" s="342"/>
      <c r="F489" s="342"/>
      <c r="J489" s="1064"/>
    </row>
    <row r="490" hidden="1">
      <c r="E490" s="342"/>
      <c r="F490" s="342"/>
      <c r="J490" s="1064"/>
    </row>
    <row r="491" hidden="1">
      <c r="E491" s="342"/>
      <c r="F491" s="342"/>
      <c r="J491" s="1064"/>
    </row>
    <row r="492" hidden="1">
      <c r="E492" s="342"/>
      <c r="F492" s="342"/>
      <c r="J492" s="1064"/>
    </row>
    <row r="493" hidden="1">
      <c r="E493" s="342"/>
      <c r="F493" s="342"/>
      <c r="J493" s="1064"/>
    </row>
    <row r="494" hidden="1">
      <c r="E494" s="342"/>
      <c r="F494" s="342"/>
      <c r="J494" s="1064"/>
    </row>
    <row r="495" hidden="1">
      <c r="E495" s="342"/>
      <c r="F495" s="342"/>
      <c r="J495" s="1064"/>
    </row>
    <row r="496" hidden="1">
      <c r="E496" s="342"/>
      <c r="F496" s="342"/>
      <c r="J496" s="1064"/>
    </row>
    <row r="497" hidden="1">
      <c r="E497" s="342"/>
      <c r="F497" s="342"/>
      <c r="J497" s="1064"/>
    </row>
    <row r="498" hidden="1">
      <c r="E498" s="342"/>
      <c r="F498" s="342"/>
      <c r="J498" s="1064"/>
    </row>
    <row r="499" hidden="1">
      <c r="E499" s="342"/>
      <c r="F499" s="342"/>
      <c r="J499" s="1064"/>
    </row>
    <row r="500" hidden="1">
      <c r="E500" s="342"/>
      <c r="F500" s="342"/>
      <c r="J500" s="1064"/>
    </row>
    <row r="501" hidden="1">
      <c r="E501" s="342"/>
      <c r="F501" s="342"/>
      <c r="J501" s="1064"/>
    </row>
    <row r="502" hidden="1">
      <c r="E502" s="342"/>
      <c r="F502" s="342"/>
      <c r="J502" s="1064"/>
    </row>
    <row r="503" hidden="1">
      <c r="E503" s="342"/>
      <c r="F503" s="342"/>
      <c r="J503" s="1064"/>
    </row>
    <row r="504" hidden="1">
      <c r="E504" s="342"/>
      <c r="F504" s="342"/>
      <c r="J504" s="1064"/>
    </row>
    <row r="505" hidden="1">
      <c r="E505" s="342"/>
      <c r="F505" s="342"/>
      <c r="J505" s="1064"/>
    </row>
    <row r="506" hidden="1">
      <c r="E506" s="342"/>
      <c r="F506" s="342"/>
      <c r="J506" s="1064"/>
    </row>
    <row r="507" hidden="1">
      <c r="E507" s="342"/>
      <c r="F507" s="342"/>
      <c r="J507" s="1064"/>
    </row>
    <row r="508" hidden="1">
      <c r="E508" s="342"/>
      <c r="F508" s="342"/>
      <c r="J508" s="1064"/>
    </row>
    <row r="509" hidden="1">
      <c r="E509" s="342"/>
      <c r="F509" s="342"/>
      <c r="J509" s="1064"/>
    </row>
    <row r="510" hidden="1">
      <c r="E510" s="342"/>
      <c r="F510" s="342"/>
      <c r="J510" s="1064"/>
    </row>
    <row r="511" hidden="1">
      <c r="E511" s="342"/>
      <c r="F511" s="342"/>
      <c r="J511" s="1064"/>
    </row>
    <row r="512" hidden="1">
      <c r="E512" s="342"/>
      <c r="F512" s="342"/>
      <c r="J512" s="1064"/>
    </row>
    <row r="513" hidden="1">
      <c r="E513" s="342"/>
      <c r="F513" s="342"/>
      <c r="J513" s="1064"/>
    </row>
    <row r="514" hidden="1">
      <c r="E514" s="342"/>
      <c r="F514" s="342"/>
      <c r="J514" s="1064"/>
    </row>
    <row r="515" hidden="1">
      <c r="E515" s="342"/>
      <c r="F515" s="342"/>
      <c r="J515" s="1064"/>
    </row>
    <row r="516" hidden="1">
      <c r="E516" s="342"/>
      <c r="F516" s="342"/>
      <c r="J516" s="1064"/>
    </row>
    <row r="517" hidden="1">
      <c r="E517" s="342"/>
      <c r="F517" s="342"/>
      <c r="J517" s="1064"/>
    </row>
    <row r="518" hidden="1">
      <c r="E518" s="342"/>
      <c r="F518" s="342"/>
      <c r="J518" s="1064"/>
    </row>
    <row r="519" hidden="1">
      <c r="E519" s="342"/>
      <c r="F519" s="342"/>
      <c r="J519" s="1064"/>
    </row>
    <row r="520" hidden="1">
      <c r="E520" s="342"/>
      <c r="F520" s="342"/>
      <c r="J520" s="1064"/>
    </row>
    <row r="521" hidden="1">
      <c r="E521" s="342"/>
      <c r="F521" s="342"/>
      <c r="J521" s="1064"/>
    </row>
    <row r="522" hidden="1">
      <c r="E522" s="342"/>
      <c r="F522" s="342"/>
      <c r="J522" s="1064"/>
    </row>
    <row r="523" hidden="1">
      <c r="E523" s="342"/>
      <c r="F523" s="342"/>
      <c r="J523" s="1064"/>
    </row>
    <row r="524" hidden="1">
      <c r="E524" s="342"/>
      <c r="F524" s="342"/>
      <c r="J524" s="1064"/>
    </row>
    <row r="525" hidden="1">
      <c r="E525" s="342"/>
      <c r="F525" s="342"/>
      <c r="J525" s="1064"/>
    </row>
    <row r="526" hidden="1">
      <c r="E526" s="342"/>
      <c r="F526" s="342"/>
      <c r="J526" s="1064"/>
    </row>
    <row r="527" hidden="1">
      <c r="E527" s="342"/>
      <c r="F527" s="342"/>
      <c r="J527" s="1064"/>
    </row>
    <row r="528" hidden="1">
      <c r="E528" s="342"/>
      <c r="F528" s="342"/>
      <c r="J528" s="1064"/>
    </row>
    <row r="529" hidden="1">
      <c r="E529" s="342"/>
      <c r="F529" s="342"/>
      <c r="J529" s="1064"/>
    </row>
    <row r="530" hidden="1">
      <c r="E530" s="342"/>
      <c r="F530" s="342"/>
      <c r="J530" s="1064"/>
    </row>
    <row r="531" hidden="1">
      <c r="E531" s="342"/>
      <c r="F531" s="342"/>
      <c r="J531" s="1064"/>
    </row>
    <row r="532" hidden="1">
      <c r="E532" s="342"/>
      <c r="F532" s="342"/>
      <c r="J532" s="1064"/>
    </row>
    <row r="533" hidden="1">
      <c r="E533" s="342"/>
      <c r="F533" s="342"/>
      <c r="J533" s="1064"/>
    </row>
    <row r="534" hidden="1">
      <c r="E534" s="342"/>
      <c r="F534" s="342"/>
      <c r="J534" s="1064"/>
    </row>
    <row r="535" hidden="1">
      <c r="E535" s="342"/>
      <c r="F535" s="342"/>
      <c r="J535" s="1064"/>
    </row>
    <row r="536" hidden="1">
      <c r="E536" s="342"/>
      <c r="F536" s="342"/>
      <c r="J536" s="1064"/>
    </row>
    <row r="537" hidden="1">
      <c r="E537" s="342"/>
      <c r="F537" s="342"/>
      <c r="J537" s="1064"/>
    </row>
    <row r="538" hidden="1">
      <c r="E538" s="342"/>
      <c r="F538" s="342"/>
      <c r="J538" s="1064"/>
    </row>
    <row r="539" hidden="1">
      <c r="E539" s="342"/>
      <c r="F539" s="342"/>
      <c r="J539" s="1064"/>
    </row>
    <row r="540" hidden="1">
      <c r="E540" s="342"/>
      <c r="F540" s="342"/>
      <c r="J540" s="1064"/>
    </row>
    <row r="541" hidden="1">
      <c r="E541" s="342"/>
      <c r="F541" s="342"/>
      <c r="J541" s="1064"/>
    </row>
    <row r="542" hidden="1">
      <c r="E542" s="342"/>
      <c r="F542" s="342"/>
      <c r="J542" s="1064"/>
    </row>
    <row r="543" hidden="1">
      <c r="E543" s="342"/>
      <c r="F543" s="342"/>
      <c r="J543" s="1064"/>
    </row>
    <row r="544" hidden="1">
      <c r="E544" s="342"/>
      <c r="F544" s="342"/>
      <c r="J544" s="1064"/>
    </row>
    <row r="545" hidden="1">
      <c r="E545" s="342"/>
      <c r="F545" s="342"/>
      <c r="J545" s="1064"/>
    </row>
    <row r="546" hidden="1">
      <c r="E546" s="342"/>
      <c r="F546" s="342"/>
      <c r="J546" s="1064"/>
    </row>
    <row r="547" hidden="1">
      <c r="E547" s="342"/>
      <c r="F547" s="342"/>
      <c r="J547" s="1064"/>
    </row>
    <row r="548" hidden="1">
      <c r="E548" s="342"/>
      <c r="F548" s="342"/>
      <c r="J548" s="1064"/>
    </row>
    <row r="549" hidden="1">
      <c r="E549" s="342"/>
      <c r="F549" s="342"/>
      <c r="J549" s="1064"/>
    </row>
    <row r="550" hidden="1">
      <c r="E550" s="342"/>
      <c r="F550" s="342"/>
      <c r="J550" s="1064"/>
    </row>
    <row r="551" hidden="1">
      <c r="E551" s="342"/>
      <c r="F551" s="342"/>
      <c r="J551" s="1064"/>
    </row>
    <row r="552" hidden="1">
      <c r="E552" s="342"/>
      <c r="F552" s="342"/>
      <c r="J552" s="1064"/>
    </row>
    <row r="553" hidden="1">
      <c r="E553" s="342"/>
      <c r="F553" s="342"/>
      <c r="J553" s="1064"/>
    </row>
    <row r="554" hidden="1">
      <c r="E554" s="342"/>
      <c r="F554" s="342"/>
      <c r="J554" s="1064"/>
    </row>
    <row r="555" hidden="1">
      <c r="E555" s="342"/>
      <c r="F555" s="342"/>
      <c r="J555" s="1064"/>
    </row>
    <row r="556" hidden="1">
      <c r="E556" s="342"/>
      <c r="F556" s="342"/>
      <c r="J556" s="1064"/>
    </row>
    <row r="557" hidden="1">
      <c r="E557" s="342"/>
      <c r="F557" s="342"/>
      <c r="J557" s="1064"/>
    </row>
    <row r="558" hidden="1">
      <c r="E558" s="342"/>
      <c r="F558" s="342"/>
      <c r="J558" s="1064"/>
    </row>
    <row r="559" hidden="1">
      <c r="E559" s="342"/>
      <c r="F559" s="342"/>
      <c r="J559" s="1064"/>
    </row>
    <row r="560" hidden="1">
      <c r="E560" s="342"/>
      <c r="F560" s="342"/>
      <c r="J560" s="1064"/>
    </row>
    <row r="561" hidden="1">
      <c r="E561" s="342"/>
      <c r="F561" s="342"/>
      <c r="J561" s="1064"/>
    </row>
    <row r="562" hidden="1">
      <c r="E562" s="342"/>
      <c r="F562" s="342"/>
      <c r="J562" s="1064"/>
    </row>
    <row r="563" hidden="1">
      <c r="E563" s="342"/>
      <c r="F563" s="342"/>
      <c r="J563" s="1064"/>
    </row>
    <row r="564" hidden="1">
      <c r="E564" s="342"/>
      <c r="F564" s="342"/>
      <c r="J564" s="1064"/>
    </row>
    <row r="565" hidden="1">
      <c r="E565" s="342"/>
      <c r="F565" s="342"/>
      <c r="J565" s="1064"/>
    </row>
    <row r="566" hidden="1">
      <c r="E566" s="342"/>
      <c r="F566" s="342"/>
      <c r="J566" s="1064"/>
    </row>
    <row r="567" hidden="1">
      <c r="E567" s="342"/>
      <c r="F567" s="342"/>
      <c r="J567" s="1064"/>
    </row>
    <row r="568" hidden="1">
      <c r="E568" s="342"/>
      <c r="F568" s="342"/>
      <c r="J568" s="1064"/>
    </row>
    <row r="569" hidden="1">
      <c r="E569" s="342"/>
      <c r="F569" s="342"/>
      <c r="J569" s="1064"/>
    </row>
    <row r="570" hidden="1">
      <c r="E570" s="342"/>
      <c r="F570" s="342"/>
      <c r="J570" s="1064"/>
    </row>
    <row r="571" hidden="1">
      <c r="E571" s="342"/>
      <c r="F571" s="342"/>
      <c r="J571" s="1064"/>
    </row>
    <row r="572" hidden="1">
      <c r="E572" s="342"/>
      <c r="F572" s="342"/>
      <c r="J572" s="1064"/>
    </row>
    <row r="573" hidden="1">
      <c r="E573" s="342"/>
      <c r="F573" s="342"/>
      <c r="J573" s="1064"/>
    </row>
    <row r="574" hidden="1">
      <c r="E574" s="342"/>
      <c r="F574" s="342"/>
      <c r="J574" s="1064"/>
    </row>
    <row r="575" hidden="1">
      <c r="E575" s="342"/>
      <c r="F575" s="342"/>
      <c r="J575" s="1064"/>
    </row>
    <row r="576" hidden="1">
      <c r="E576" s="342"/>
      <c r="F576" s="342"/>
      <c r="J576" s="1064"/>
    </row>
    <row r="577" hidden="1">
      <c r="E577" s="342"/>
      <c r="F577" s="342"/>
      <c r="J577" s="1064"/>
    </row>
    <row r="578" hidden="1">
      <c r="E578" s="342"/>
      <c r="F578" s="342"/>
      <c r="J578" s="1064"/>
    </row>
    <row r="579" hidden="1">
      <c r="E579" s="342"/>
      <c r="F579" s="342"/>
      <c r="J579" s="1064"/>
    </row>
    <row r="580" hidden="1">
      <c r="E580" s="342"/>
      <c r="F580" s="342"/>
      <c r="J580" s="1064"/>
    </row>
    <row r="581" hidden="1">
      <c r="E581" s="342"/>
      <c r="F581" s="342"/>
      <c r="J581" s="1064"/>
    </row>
    <row r="582" hidden="1">
      <c r="E582" s="342"/>
      <c r="F582" s="342"/>
      <c r="J582" s="1064"/>
    </row>
    <row r="583" hidden="1">
      <c r="E583" s="342"/>
      <c r="F583" s="342"/>
      <c r="J583" s="1064"/>
    </row>
    <row r="584" hidden="1">
      <c r="E584" s="342"/>
      <c r="F584" s="342"/>
      <c r="J584" s="1064"/>
    </row>
    <row r="585" hidden="1">
      <c r="E585" s="342"/>
      <c r="F585" s="342"/>
      <c r="J585" s="1064"/>
    </row>
    <row r="586" hidden="1">
      <c r="E586" s="342"/>
      <c r="F586" s="342"/>
      <c r="J586" s="1064"/>
    </row>
    <row r="587" hidden="1">
      <c r="E587" s="342"/>
      <c r="F587" s="342"/>
      <c r="J587" s="1064"/>
    </row>
    <row r="588" hidden="1">
      <c r="E588" s="342"/>
      <c r="F588" s="342"/>
      <c r="J588" s="1064"/>
    </row>
    <row r="589" hidden="1">
      <c r="E589" s="342"/>
      <c r="F589" s="342"/>
      <c r="J589" s="1064"/>
    </row>
    <row r="590" hidden="1">
      <c r="E590" s="342"/>
      <c r="F590" s="342"/>
      <c r="J590" s="1064"/>
    </row>
    <row r="591" hidden="1">
      <c r="E591" s="342"/>
      <c r="F591" s="342"/>
      <c r="J591" s="1064"/>
    </row>
    <row r="592" hidden="1">
      <c r="E592" s="342"/>
      <c r="F592" s="342"/>
      <c r="J592" s="1064"/>
    </row>
    <row r="593" hidden="1">
      <c r="E593" s="342"/>
      <c r="F593" s="342"/>
      <c r="J593" s="1064"/>
    </row>
    <row r="594" hidden="1">
      <c r="E594" s="342"/>
      <c r="F594" s="342"/>
      <c r="J594" s="1064"/>
    </row>
    <row r="595" hidden="1">
      <c r="E595" s="342"/>
      <c r="F595" s="342"/>
      <c r="J595" s="1064"/>
    </row>
    <row r="596" hidden="1">
      <c r="E596" s="342"/>
      <c r="F596" s="342"/>
      <c r="J596" s="1064"/>
    </row>
    <row r="597" hidden="1">
      <c r="E597" s="342"/>
      <c r="F597" s="342"/>
      <c r="J597" s="1064"/>
    </row>
    <row r="598" hidden="1">
      <c r="E598" s="342"/>
      <c r="F598" s="342"/>
      <c r="J598" s="1064"/>
    </row>
    <row r="599" hidden="1">
      <c r="E599" s="342"/>
      <c r="F599" s="342"/>
      <c r="J599" s="1064"/>
    </row>
    <row r="600" hidden="1">
      <c r="E600" s="342"/>
      <c r="F600" s="342"/>
      <c r="J600" s="1064"/>
    </row>
    <row r="601" hidden="1">
      <c r="E601" s="342"/>
      <c r="F601" s="342"/>
      <c r="J601" s="1064"/>
    </row>
    <row r="602" hidden="1">
      <c r="E602" s="342"/>
      <c r="F602" s="342"/>
      <c r="J602" s="1064"/>
    </row>
    <row r="603" hidden="1">
      <c r="E603" s="342"/>
      <c r="F603" s="342"/>
      <c r="J603" s="1064"/>
    </row>
    <row r="604" hidden="1">
      <c r="E604" s="342"/>
      <c r="F604" s="342"/>
      <c r="J604" s="1064"/>
    </row>
    <row r="605" hidden="1">
      <c r="E605" s="342"/>
      <c r="F605" s="342"/>
      <c r="J605" s="1064"/>
    </row>
    <row r="606" hidden="1">
      <c r="E606" s="342"/>
      <c r="F606" s="342"/>
      <c r="J606" s="1064"/>
    </row>
    <row r="607" hidden="1">
      <c r="E607" s="342"/>
      <c r="F607" s="342"/>
      <c r="J607" s="1064"/>
    </row>
    <row r="608" hidden="1">
      <c r="E608" s="342"/>
      <c r="F608" s="342"/>
      <c r="J608" s="1064"/>
    </row>
    <row r="609" hidden="1">
      <c r="E609" s="342"/>
      <c r="F609" s="342"/>
      <c r="J609" s="1064"/>
    </row>
    <row r="610" hidden="1">
      <c r="E610" s="342"/>
      <c r="F610" s="342"/>
      <c r="J610" s="1064"/>
    </row>
    <row r="611" hidden="1">
      <c r="E611" s="342"/>
      <c r="F611" s="342"/>
      <c r="J611" s="1064"/>
    </row>
    <row r="612" hidden="1">
      <c r="E612" s="342"/>
      <c r="F612" s="342"/>
      <c r="J612" s="1064"/>
    </row>
    <row r="613" hidden="1">
      <c r="E613" s="342"/>
      <c r="F613" s="342"/>
      <c r="J613" s="1064"/>
    </row>
    <row r="614" hidden="1">
      <c r="E614" s="342"/>
      <c r="F614" s="342"/>
      <c r="J614" s="1064"/>
    </row>
    <row r="615" hidden="1">
      <c r="E615" s="342"/>
      <c r="F615" s="342"/>
      <c r="J615" s="1064"/>
    </row>
    <row r="616" hidden="1">
      <c r="E616" s="342"/>
      <c r="F616" s="342"/>
      <c r="J616" s="1064"/>
    </row>
    <row r="617" hidden="1">
      <c r="E617" s="342"/>
      <c r="F617" s="342"/>
      <c r="J617" s="1064"/>
    </row>
    <row r="618" hidden="1">
      <c r="E618" s="342"/>
      <c r="F618" s="342"/>
      <c r="J618" s="1064"/>
    </row>
    <row r="619" hidden="1">
      <c r="E619" s="342"/>
      <c r="F619" s="342"/>
      <c r="J619" s="1064"/>
    </row>
    <row r="620" hidden="1">
      <c r="E620" s="342"/>
      <c r="F620" s="342"/>
      <c r="J620" s="1064"/>
    </row>
    <row r="621" hidden="1">
      <c r="E621" s="342"/>
      <c r="F621" s="342"/>
      <c r="J621" s="1064"/>
    </row>
    <row r="622" hidden="1">
      <c r="E622" s="342"/>
      <c r="F622" s="342"/>
      <c r="J622" s="1064"/>
    </row>
    <row r="623" hidden="1">
      <c r="E623" s="342"/>
      <c r="F623" s="342"/>
      <c r="J623" s="1064"/>
    </row>
    <row r="624" hidden="1">
      <c r="E624" s="342"/>
      <c r="F624" s="342"/>
      <c r="J624" s="1064"/>
    </row>
    <row r="625" hidden="1">
      <c r="E625" s="342"/>
      <c r="F625" s="342"/>
      <c r="J625" s="1064"/>
    </row>
    <row r="626" hidden="1">
      <c r="E626" s="342"/>
      <c r="F626" s="342"/>
      <c r="J626" s="1064"/>
    </row>
    <row r="627" hidden="1">
      <c r="E627" s="342"/>
      <c r="F627" s="342"/>
      <c r="J627" s="1064"/>
    </row>
    <row r="628" hidden="1">
      <c r="E628" s="342"/>
      <c r="F628" s="342"/>
      <c r="J628" s="1064"/>
    </row>
    <row r="629" hidden="1">
      <c r="E629" s="342"/>
      <c r="F629" s="342"/>
      <c r="J629" s="1064"/>
    </row>
    <row r="630" hidden="1">
      <c r="E630" s="342"/>
      <c r="F630" s="342"/>
      <c r="J630" s="1064"/>
    </row>
    <row r="631" hidden="1">
      <c r="E631" s="342"/>
      <c r="F631" s="342"/>
      <c r="J631" s="1064"/>
    </row>
    <row r="632" hidden="1">
      <c r="E632" s="342"/>
      <c r="F632" s="342"/>
      <c r="J632" s="1064"/>
    </row>
    <row r="633" hidden="1">
      <c r="E633" s="342"/>
      <c r="F633" s="342"/>
      <c r="J633" s="1064"/>
    </row>
    <row r="634" hidden="1">
      <c r="E634" s="342"/>
      <c r="F634" s="342"/>
      <c r="J634" s="1064"/>
    </row>
    <row r="635" hidden="1">
      <c r="E635" s="342"/>
      <c r="F635" s="342"/>
      <c r="J635" s="1064"/>
    </row>
    <row r="636" hidden="1">
      <c r="E636" s="342"/>
      <c r="F636" s="342"/>
      <c r="J636" s="1064"/>
    </row>
    <row r="637" hidden="1">
      <c r="E637" s="342"/>
      <c r="F637" s="342"/>
      <c r="J637" s="1064"/>
    </row>
    <row r="638" hidden="1">
      <c r="E638" s="342"/>
      <c r="F638" s="342"/>
      <c r="J638" s="1064"/>
    </row>
    <row r="639" hidden="1">
      <c r="E639" s="342"/>
      <c r="F639" s="342"/>
      <c r="J639" s="1064"/>
    </row>
    <row r="640" hidden="1">
      <c r="E640" s="342"/>
      <c r="F640" s="342"/>
      <c r="J640" s="1064"/>
    </row>
    <row r="641" hidden="1">
      <c r="E641" s="342"/>
      <c r="F641" s="342"/>
      <c r="J641" s="1064"/>
    </row>
    <row r="642" hidden="1">
      <c r="E642" s="342"/>
      <c r="F642" s="342"/>
      <c r="J642" s="1064"/>
    </row>
    <row r="643" hidden="1">
      <c r="E643" s="342"/>
      <c r="F643" s="342"/>
      <c r="J643" s="1064"/>
    </row>
    <row r="644" hidden="1">
      <c r="E644" s="342"/>
      <c r="F644" s="342"/>
      <c r="J644" s="1064"/>
    </row>
    <row r="645" hidden="1">
      <c r="E645" s="342"/>
      <c r="F645" s="342"/>
      <c r="J645" s="1064"/>
    </row>
    <row r="646" hidden="1">
      <c r="E646" s="342"/>
      <c r="F646" s="342"/>
      <c r="J646" s="1064"/>
    </row>
    <row r="647" hidden="1">
      <c r="E647" s="342"/>
      <c r="F647" s="342"/>
      <c r="J647" s="1064"/>
    </row>
    <row r="648" hidden="1">
      <c r="E648" s="342"/>
      <c r="F648" s="342"/>
      <c r="J648" s="1064"/>
    </row>
    <row r="649" hidden="1">
      <c r="E649" s="342"/>
      <c r="F649" s="342"/>
      <c r="J649" s="1064"/>
    </row>
    <row r="650" hidden="1">
      <c r="E650" s="342"/>
      <c r="F650" s="342"/>
      <c r="J650" s="1064"/>
    </row>
    <row r="651" hidden="1">
      <c r="E651" s="342"/>
      <c r="F651" s="342"/>
      <c r="J651" s="1064"/>
    </row>
    <row r="652" hidden="1">
      <c r="E652" s="342"/>
      <c r="F652" s="342"/>
      <c r="J652" s="1064"/>
    </row>
    <row r="653" hidden="1">
      <c r="E653" s="342"/>
      <c r="F653" s="342"/>
      <c r="J653" s="1064"/>
    </row>
    <row r="654" hidden="1">
      <c r="E654" s="342"/>
      <c r="F654" s="342"/>
      <c r="J654" s="1064"/>
    </row>
    <row r="655" hidden="1">
      <c r="E655" s="342"/>
      <c r="F655" s="342"/>
      <c r="J655" s="1064"/>
    </row>
    <row r="656" hidden="1">
      <c r="E656" s="342"/>
      <c r="F656" s="342"/>
      <c r="J656" s="1064"/>
    </row>
    <row r="657" hidden="1">
      <c r="E657" s="342"/>
      <c r="F657" s="342"/>
      <c r="J657" s="1064"/>
    </row>
    <row r="658" hidden="1">
      <c r="E658" s="342"/>
      <c r="F658" s="342"/>
      <c r="J658" s="1064"/>
    </row>
    <row r="659" hidden="1">
      <c r="E659" s="342"/>
      <c r="F659" s="342"/>
      <c r="J659" s="1064"/>
    </row>
    <row r="660" hidden="1">
      <c r="E660" s="342"/>
      <c r="F660" s="342"/>
      <c r="J660" s="1064"/>
    </row>
    <row r="661" hidden="1">
      <c r="E661" s="342"/>
      <c r="F661" s="342"/>
      <c r="J661" s="1064"/>
    </row>
    <row r="662" hidden="1">
      <c r="E662" s="342"/>
      <c r="F662" s="342"/>
      <c r="J662" s="1064"/>
    </row>
    <row r="663" hidden="1">
      <c r="E663" s="342"/>
      <c r="F663" s="342"/>
      <c r="J663" s="1064"/>
    </row>
    <row r="664" hidden="1">
      <c r="E664" s="342"/>
      <c r="F664" s="342"/>
      <c r="J664" s="1064"/>
    </row>
    <row r="665" hidden="1">
      <c r="E665" s="342"/>
      <c r="F665" s="342"/>
      <c r="J665" s="1064"/>
    </row>
    <row r="666" hidden="1">
      <c r="E666" s="342"/>
      <c r="F666" s="342"/>
      <c r="J666" s="1064"/>
    </row>
    <row r="667" hidden="1">
      <c r="E667" s="342"/>
      <c r="F667" s="342"/>
      <c r="J667" s="1064"/>
    </row>
    <row r="668" hidden="1">
      <c r="E668" s="342"/>
      <c r="F668" s="342"/>
      <c r="J668" s="1064"/>
    </row>
    <row r="669" hidden="1">
      <c r="E669" s="342"/>
      <c r="F669" s="342"/>
      <c r="J669" s="1064"/>
    </row>
    <row r="670" hidden="1">
      <c r="E670" s="342"/>
      <c r="F670" s="342"/>
      <c r="J670" s="1064"/>
    </row>
    <row r="671" hidden="1">
      <c r="E671" s="342"/>
      <c r="F671" s="342"/>
      <c r="J671" s="1064"/>
    </row>
    <row r="672" hidden="1">
      <c r="E672" s="342"/>
      <c r="F672" s="342"/>
      <c r="J672" s="1064"/>
    </row>
    <row r="673" hidden="1">
      <c r="E673" s="342"/>
      <c r="F673" s="342"/>
      <c r="J673" s="1064"/>
    </row>
    <row r="674" hidden="1">
      <c r="E674" s="342"/>
      <c r="F674" s="342"/>
      <c r="J674" s="1064"/>
    </row>
    <row r="675" hidden="1">
      <c r="E675" s="342"/>
      <c r="F675" s="342"/>
      <c r="J675" s="1064"/>
    </row>
    <row r="676" hidden="1">
      <c r="E676" s="342"/>
      <c r="F676" s="342"/>
      <c r="J676" s="1064"/>
    </row>
    <row r="677" hidden="1">
      <c r="E677" s="342"/>
      <c r="F677" s="342"/>
      <c r="J677" s="1064"/>
    </row>
    <row r="678" hidden="1">
      <c r="E678" s="342"/>
      <c r="F678" s="342"/>
      <c r="J678" s="1064"/>
    </row>
    <row r="679" hidden="1">
      <c r="E679" s="342"/>
      <c r="F679" s="342"/>
      <c r="J679" s="1064"/>
    </row>
    <row r="680" hidden="1">
      <c r="E680" s="342"/>
      <c r="F680" s="342"/>
      <c r="J680" s="1064"/>
    </row>
    <row r="681" hidden="1">
      <c r="E681" s="342"/>
      <c r="F681" s="342"/>
      <c r="J681" s="1064"/>
    </row>
    <row r="682" hidden="1">
      <c r="E682" s="342"/>
      <c r="F682" s="342"/>
      <c r="J682" s="1064"/>
    </row>
    <row r="683" hidden="1">
      <c r="E683" s="342"/>
      <c r="F683" s="342"/>
      <c r="J683" s="1064"/>
    </row>
    <row r="684" hidden="1">
      <c r="E684" s="342"/>
      <c r="F684" s="342"/>
      <c r="J684" s="1064"/>
    </row>
    <row r="685" hidden="1">
      <c r="E685" s="342"/>
      <c r="F685" s="342"/>
      <c r="J685" s="1064"/>
    </row>
    <row r="686" hidden="1">
      <c r="E686" s="342"/>
      <c r="F686" s="342"/>
      <c r="J686" s="1064"/>
    </row>
    <row r="687" hidden="1">
      <c r="E687" s="342"/>
      <c r="F687" s="342"/>
      <c r="J687" s="1064"/>
    </row>
    <row r="688" hidden="1">
      <c r="E688" s="342"/>
      <c r="F688" s="342"/>
      <c r="J688" s="1064"/>
    </row>
    <row r="689" hidden="1">
      <c r="E689" s="342"/>
      <c r="F689" s="342"/>
      <c r="J689" s="1064"/>
    </row>
    <row r="690" hidden="1">
      <c r="E690" s="342"/>
      <c r="F690" s="342"/>
      <c r="J690" s="1064"/>
    </row>
    <row r="691" hidden="1">
      <c r="E691" s="342"/>
      <c r="F691" s="342"/>
      <c r="J691" s="1064"/>
    </row>
    <row r="692" hidden="1">
      <c r="E692" s="342"/>
      <c r="F692" s="342"/>
      <c r="J692" s="1064"/>
    </row>
    <row r="693" hidden="1">
      <c r="E693" s="342"/>
      <c r="F693" s="342"/>
      <c r="J693" s="1064"/>
    </row>
    <row r="694" hidden="1">
      <c r="E694" s="342"/>
      <c r="F694" s="342"/>
      <c r="J694" s="1064"/>
    </row>
    <row r="695" hidden="1">
      <c r="E695" s="342"/>
      <c r="F695" s="342"/>
      <c r="J695" s="1064"/>
    </row>
    <row r="696" hidden="1">
      <c r="E696" s="342"/>
      <c r="F696" s="342"/>
      <c r="J696" s="1064"/>
    </row>
    <row r="697" hidden="1">
      <c r="E697" s="342"/>
      <c r="F697" s="342"/>
      <c r="J697" s="1064"/>
    </row>
    <row r="698" hidden="1">
      <c r="E698" s="342"/>
      <c r="F698" s="342"/>
      <c r="J698" s="1064"/>
    </row>
    <row r="699" hidden="1">
      <c r="E699" s="342"/>
      <c r="F699" s="342"/>
      <c r="J699" s="1064"/>
    </row>
    <row r="700" hidden="1">
      <c r="E700" s="342"/>
      <c r="F700" s="342"/>
      <c r="J700" s="1064"/>
    </row>
    <row r="701" hidden="1">
      <c r="E701" s="342"/>
      <c r="F701" s="342"/>
      <c r="J701" s="1064"/>
    </row>
    <row r="702" hidden="1">
      <c r="E702" s="342"/>
      <c r="F702" s="342"/>
      <c r="J702" s="1064"/>
    </row>
    <row r="703" hidden="1">
      <c r="E703" s="342"/>
      <c r="F703" s="342"/>
      <c r="J703" s="1064"/>
    </row>
    <row r="704" hidden="1">
      <c r="E704" s="342"/>
      <c r="F704" s="342"/>
      <c r="J704" s="1064"/>
    </row>
    <row r="705" hidden="1">
      <c r="E705" s="342"/>
      <c r="F705" s="342"/>
      <c r="J705" s="1064"/>
    </row>
    <row r="706" hidden="1">
      <c r="E706" s="342"/>
      <c r="F706" s="342"/>
      <c r="J706" s="1064"/>
    </row>
    <row r="707" hidden="1">
      <c r="E707" s="342"/>
      <c r="F707" s="342"/>
      <c r="J707" s="1064"/>
    </row>
    <row r="708" hidden="1">
      <c r="E708" s="342"/>
      <c r="F708" s="342"/>
      <c r="J708" s="1064"/>
    </row>
    <row r="709" hidden="1">
      <c r="E709" s="342"/>
      <c r="F709" s="342"/>
      <c r="J709" s="1064"/>
    </row>
    <row r="710" hidden="1">
      <c r="E710" s="342"/>
      <c r="F710" s="342"/>
      <c r="J710" s="1064"/>
    </row>
    <row r="711" hidden="1">
      <c r="E711" s="342"/>
      <c r="F711" s="342"/>
      <c r="J711" s="1064"/>
    </row>
    <row r="712" hidden="1">
      <c r="E712" s="342"/>
      <c r="F712" s="342"/>
      <c r="J712" s="1064"/>
    </row>
    <row r="713" hidden="1">
      <c r="E713" s="342"/>
      <c r="F713" s="342"/>
      <c r="J713" s="1064"/>
    </row>
    <row r="714" hidden="1">
      <c r="E714" s="342"/>
      <c r="F714" s="342"/>
      <c r="J714" s="1064"/>
    </row>
    <row r="715" hidden="1">
      <c r="E715" s="342"/>
      <c r="F715" s="342"/>
      <c r="J715" s="1064"/>
    </row>
    <row r="716" hidden="1">
      <c r="E716" s="342"/>
      <c r="F716" s="342"/>
      <c r="J716" s="1064"/>
    </row>
    <row r="717" hidden="1">
      <c r="E717" s="342"/>
      <c r="F717" s="342"/>
      <c r="J717" s="1064"/>
    </row>
    <row r="718" hidden="1">
      <c r="E718" s="342"/>
      <c r="F718" s="342"/>
      <c r="J718" s="1064"/>
    </row>
    <row r="719" hidden="1">
      <c r="E719" s="342"/>
      <c r="F719" s="342"/>
      <c r="J719" s="1064"/>
    </row>
    <row r="720" hidden="1">
      <c r="E720" s="342"/>
      <c r="F720" s="342"/>
      <c r="J720" s="1064"/>
    </row>
    <row r="721" hidden="1">
      <c r="E721" s="342"/>
      <c r="F721" s="342"/>
      <c r="J721" s="1064"/>
    </row>
    <row r="722" hidden="1">
      <c r="E722" s="342"/>
      <c r="F722" s="342"/>
      <c r="J722" s="1064"/>
    </row>
    <row r="723" hidden="1">
      <c r="E723" s="342"/>
      <c r="F723" s="342"/>
      <c r="J723" s="1064"/>
    </row>
    <row r="724" hidden="1">
      <c r="E724" s="342"/>
      <c r="F724" s="342"/>
      <c r="J724" s="1064"/>
    </row>
    <row r="725" hidden="1">
      <c r="E725" s="342"/>
      <c r="F725" s="342"/>
      <c r="J725" s="1064"/>
    </row>
    <row r="726" hidden="1">
      <c r="E726" s="342"/>
      <c r="F726" s="342"/>
      <c r="J726" s="1064"/>
    </row>
    <row r="727" hidden="1">
      <c r="E727" s="342"/>
      <c r="F727" s="342"/>
      <c r="J727" s="1064"/>
    </row>
    <row r="728" hidden="1">
      <c r="E728" s="342"/>
      <c r="F728" s="342"/>
      <c r="J728" s="1064"/>
    </row>
    <row r="729" hidden="1">
      <c r="E729" s="342"/>
      <c r="F729" s="342"/>
      <c r="J729" s="1064"/>
    </row>
    <row r="730" hidden="1">
      <c r="E730" s="342"/>
      <c r="F730" s="342"/>
      <c r="J730" s="1064"/>
    </row>
    <row r="731" hidden="1">
      <c r="E731" s="342"/>
      <c r="F731" s="342"/>
      <c r="J731" s="1064"/>
    </row>
    <row r="732" hidden="1">
      <c r="E732" s="342"/>
      <c r="F732" s="342"/>
      <c r="J732" s="1064"/>
    </row>
    <row r="733" hidden="1">
      <c r="E733" s="342"/>
      <c r="F733" s="342"/>
      <c r="J733" s="1064"/>
    </row>
    <row r="734" hidden="1">
      <c r="E734" s="342"/>
      <c r="F734" s="342"/>
      <c r="J734" s="1064"/>
    </row>
    <row r="735" hidden="1">
      <c r="E735" s="342"/>
      <c r="F735" s="342"/>
      <c r="J735" s="1064"/>
    </row>
    <row r="736" hidden="1">
      <c r="E736" s="342"/>
      <c r="F736" s="342"/>
      <c r="J736" s="1064"/>
    </row>
    <row r="737" hidden="1">
      <c r="E737" s="342"/>
      <c r="F737" s="342"/>
      <c r="J737" s="1064"/>
    </row>
    <row r="738" hidden="1">
      <c r="E738" s="342"/>
      <c r="F738" s="342"/>
      <c r="J738" s="1064"/>
    </row>
    <row r="739" hidden="1">
      <c r="E739" s="342"/>
      <c r="F739" s="342"/>
      <c r="J739" s="1064"/>
    </row>
    <row r="740" hidden="1">
      <c r="E740" s="342"/>
      <c r="F740" s="342"/>
      <c r="J740" s="1064"/>
    </row>
    <row r="741" hidden="1">
      <c r="E741" s="342"/>
      <c r="F741" s="342"/>
      <c r="J741" s="1064"/>
    </row>
    <row r="742" hidden="1">
      <c r="E742" s="342"/>
      <c r="F742" s="342"/>
      <c r="J742" s="1064"/>
    </row>
    <row r="743" hidden="1">
      <c r="E743" s="342"/>
      <c r="F743" s="342"/>
      <c r="J743" s="1064"/>
    </row>
    <row r="744" hidden="1">
      <c r="E744" s="342"/>
      <c r="F744" s="342"/>
      <c r="J744" s="1064"/>
    </row>
    <row r="745" hidden="1">
      <c r="E745" s="342"/>
      <c r="F745" s="342"/>
      <c r="J745" s="1064"/>
    </row>
    <row r="746" hidden="1">
      <c r="E746" s="342"/>
      <c r="F746" s="342"/>
      <c r="J746" s="1064"/>
    </row>
    <row r="747" hidden="1">
      <c r="E747" s="342"/>
      <c r="F747" s="342"/>
      <c r="J747" s="1064"/>
    </row>
    <row r="748" hidden="1">
      <c r="E748" s="342"/>
      <c r="F748" s="342"/>
      <c r="J748" s="1064"/>
    </row>
    <row r="749" hidden="1">
      <c r="E749" s="342"/>
      <c r="F749" s="342"/>
      <c r="J749" s="1064"/>
    </row>
    <row r="750" hidden="1">
      <c r="E750" s="342"/>
      <c r="F750" s="342"/>
      <c r="J750" s="1064"/>
    </row>
    <row r="751" hidden="1">
      <c r="E751" s="342"/>
      <c r="F751" s="342"/>
      <c r="J751" s="1064"/>
    </row>
    <row r="752" hidden="1">
      <c r="E752" s="342"/>
      <c r="F752" s="342"/>
      <c r="J752" s="1064"/>
    </row>
    <row r="753" hidden="1">
      <c r="E753" s="342"/>
      <c r="F753" s="342"/>
      <c r="J753" s="1064"/>
    </row>
    <row r="754" hidden="1">
      <c r="E754" s="342"/>
      <c r="F754" s="342"/>
      <c r="J754" s="1064"/>
    </row>
    <row r="755" hidden="1">
      <c r="E755" s="342"/>
      <c r="F755" s="342"/>
      <c r="J755" s="1064"/>
    </row>
    <row r="756" hidden="1">
      <c r="E756" s="342"/>
      <c r="F756" s="342"/>
      <c r="J756" s="1064"/>
    </row>
    <row r="757" hidden="1">
      <c r="E757" s="342"/>
      <c r="F757" s="342"/>
      <c r="J757" s="1064"/>
    </row>
    <row r="758" hidden="1">
      <c r="E758" s="342"/>
      <c r="F758" s="342"/>
      <c r="J758" s="1064"/>
    </row>
    <row r="759" hidden="1">
      <c r="E759" s="342"/>
      <c r="F759" s="342"/>
      <c r="J759" s="1064"/>
    </row>
    <row r="760" hidden="1">
      <c r="E760" s="342"/>
      <c r="F760" s="342"/>
      <c r="J760" s="1064"/>
    </row>
    <row r="761" hidden="1">
      <c r="E761" s="342"/>
      <c r="F761" s="342"/>
      <c r="J761" s="1064"/>
    </row>
    <row r="762" hidden="1">
      <c r="E762" s="342"/>
      <c r="F762" s="342"/>
      <c r="J762" s="1064"/>
    </row>
    <row r="763" hidden="1">
      <c r="E763" s="342"/>
      <c r="F763" s="342"/>
      <c r="J763" s="1064"/>
    </row>
    <row r="764" hidden="1">
      <c r="E764" s="342"/>
      <c r="F764" s="342"/>
      <c r="J764" s="1064"/>
    </row>
    <row r="765" hidden="1">
      <c r="E765" s="342"/>
      <c r="F765" s="342"/>
      <c r="J765" s="1064"/>
    </row>
    <row r="766" hidden="1">
      <c r="E766" s="342"/>
      <c r="F766" s="342"/>
      <c r="J766" s="1064"/>
    </row>
    <row r="767" hidden="1">
      <c r="E767" s="342"/>
      <c r="F767" s="342"/>
      <c r="J767" s="1064"/>
    </row>
    <row r="768" hidden="1">
      <c r="E768" s="342"/>
      <c r="F768" s="342"/>
      <c r="J768" s="1064"/>
    </row>
    <row r="769" hidden="1">
      <c r="E769" s="342"/>
      <c r="F769" s="342"/>
      <c r="J769" s="1064"/>
    </row>
    <row r="770" hidden="1">
      <c r="E770" s="342"/>
      <c r="F770" s="342"/>
      <c r="J770" s="1064"/>
    </row>
    <row r="771" hidden="1">
      <c r="E771" s="342"/>
      <c r="F771" s="342"/>
      <c r="J771" s="1064"/>
    </row>
    <row r="772" hidden="1">
      <c r="E772" s="342"/>
      <c r="F772" s="342"/>
      <c r="J772" s="1064"/>
    </row>
    <row r="773" hidden="1">
      <c r="E773" s="342"/>
      <c r="F773" s="342"/>
      <c r="J773" s="1064"/>
    </row>
    <row r="774" hidden="1">
      <c r="E774" s="342"/>
      <c r="F774" s="342"/>
      <c r="J774" s="1064"/>
    </row>
    <row r="775" hidden="1">
      <c r="E775" s="342"/>
      <c r="F775" s="342"/>
      <c r="J775" s="1064"/>
    </row>
    <row r="776" hidden="1">
      <c r="E776" s="342"/>
      <c r="F776" s="342"/>
      <c r="J776" s="1064"/>
    </row>
    <row r="777" hidden="1">
      <c r="E777" s="342"/>
      <c r="F777" s="342"/>
      <c r="J777" s="1064"/>
    </row>
    <row r="778" hidden="1">
      <c r="E778" s="342"/>
      <c r="F778" s="342"/>
      <c r="J778" s="1064"/>
    </row>
    <row r="779" hidden="1">
      <c r="E779" s="342"/>
      <c r="F779" s="342"/>
      <c r="J779" s="1064"/>
    </row>
    <row r="780" hidden="1">
      <c r="E780" s="342"/>
      <c r="F780" s="342"/>
      <c r="J780" s="1064"/>
    </row>
    <row r="781" hidden="1">
      <c r="E781" s="342"/>
      <c r="F781" s="342"/>
      <c r="J781" s="1064"/>
    </row>
    <row r="782" hidden="1">
      <c r="E782" s="342"/>
      <c r="F782" s="342"/>
      <c r="J782" s="1064"/>
    </row>
    <row r="783" hidden="1">
      <c r="E783" s="342"/>
      <c r="F783" s="342"/>
      <c r="J783" s="1064"/>
    </row>
    <row r="784" hidden="1">
      <c r="E784" s="342"/>
      <c r="F784" s="342"/>
      <c r="J784" s="1064"/>
    </row>
    <row r="785" hidden="1">
      <c r="E785" s="342"/>
      <c r="F785" s="342"/>
      <c r="J785" s="1064"/>
    </row>
    <row r="786" hidden="1">
      <c r="E786" s="342"/>
      <c r="F786" s="342"/>
      <c r="J786" s="1064"/>
    </row>
    <row r="787" hidden="1">
      <c r="E787" s="342"/>
      <c r="F787" s="342"/>
      <c r="J787" s="1064"/>
    </row>
    <row r="788" hidden="1">
      <c r="E788" s="342"/>
      <c r="F788" s="342"/>
      <c r="J788" s="1064"/>
    </row>
    <row r="789" hidden="1">
      <c r="E789" s="342"/>
      <c r="F789" s="342"/>
      <c r="J789" s="1064"/>
    </row>
    <row r="790" hidden="1">
      <c r="E790" s="342"/>
      <c r="F790" s="342"/>
      <c r="J790" s="1064"/>
    </row>
    <row r="791" hidden="1">
      <c r="E791" s="342"/>
      <c r="F791" s="342"/>
      <c r="J791" s="1064"/>
    </row>
    <row r="792" hidden="1">
      <c r="E792" s="342"/>
      <c r="F792" s="342"/>
      <c r="J792" s="1064"/>
    </row>
    <row r="793" hidden="1">
      <c r="E793" s="342"/>
      <c r="F793" s="342"/>
      <c r="J793" s="1064"/>
    </row>
    <row r="794" hidden="1">
      <c r="E794" s="342"/>
      <c r="F794" s="342"/>
      <c r="J794" s="1064"/>
    </row>
    <row r="795" hidden="1">
      <c r="E795" s="342"/>
      <c r="F795" s="342"/>
      <c r="J795" s="1064"/>
    </row>
    <row r="796" hidden="1">
      <c r="E796" s="342"/>
      <c r="F796" s="342"/>
      <c r="J796" s="1064"/>
    </row>
    <row r="797" hidden="1">
      <c r="E797" s="342"/>
      <c r="F797" s="342"/>
      <c r="J797" s="1064"/>
    </row>
    <row r="798" hidden="1">
      <c r="E798" s="342"/>
      <c r="F798" s="342"/>
      <c r="J798" s="1064"/>
    </row>
    <row r="799" hidden="1">
      <c r="E799" s="342"/>
      <c r="F799" s="342"/>
      <c r="J799" s="1064"/>
    </row>
    <row r="800" hidden="1">
      <c r="E800" s="342"/>
      <c r="F800" s="342"/>
      <c r="J800" s="1064"/>
    </row>
    <row r="801" hidden="1">
      <c r="E801" s="342"/>
      <c r="F801" s="342"/>
      <c r="J801" s="1064"/>
    </row>
    <row r="802" hidden="1">
      <c r="E802" s="342"/>
      <c r="F802" s="342"/>
      <c r="J802" s="1064"/>
    </row>
    <row r="803" hidden="1">
      <c r="E803" s="342"/>
      <c r="F803" s="342"/>
      <c r="J803" s="1064"/>
    </row>
    <row r="804" hidden="1">
      <c r="E804" s="342"/>
      <c r="F804" s="342"/>
      <c r="J804" s="1064"/>
    </row>
    <row r="805" hidden="1">
      <c r="E805" s="342"/>
      <c r="F805" s="342"/>
      <c r="J805" s="1064"/>
    </row>
    <row r="806" hidden="1">
      <c r="E806" s="342"/>
      <c r="F806" s="342"/>
      <c r="J806" s="1064"/>
    </row>
    <row r="807" hidden="1">
      <c r="E807" s="342"/>
      <c r="F807" s="342"/>
      <c r="J807" s="1064"/>
    </row>
    <row r="808" hidden="1">
      <c r="E808" s="342"/>
      <c r="F808" s="342"/>
      <c r="J808" s="1064"/>
    </row>
    <row r="809" hidden="1">
      <c r="E809" s="342"/>
      <c r="F809" s="342"/>
      <c r="J809" s="1064"/>
    </row>
    <row r="810" hidden="1">
      <c r="E810" s="342"/>
      <c r="F810" s="342"/>
      <c r="J810" s="1064"/>
    </row>
    <row r="811" hidden="1">
      <c r="E811" s="342"/>
      <c r="F811" s="342"/>
      <c r="J811" s="1064"/>
    </row>
    <row r="812" hidden="1">
      <c r="E812" s="342"/>
      <c r="F812" s="342"/>
      <c r="J812" s="1064"/>
    </row>
    <row r="813" hidden="1">
      <c r="E813" s="342"/>
      <c r="F813" s="342"/>
      <c r="J813" s="1064"/>
    </row>
    <row r="814" hidden="1">
      <c r="E814" s="342"/>
      <c r="F814" s="342"/>
      <c r="J814" s="1064"/>
    </row>
    <row r="815" hidden="1">
      <c r="E815" s="342"/>
      <c r="F815" s="342"/>
      <c r="J815" s="1064"/>
    </row>
    <row r="816" hidden="1">
      <c r="E816" s="342"/>
      <c r="F816" s="342"/>
      <c r="J816" s="1064"/>
    </row>
    <row r="817" hidden="1">
      <c r="E817" s="342"/>
      <c r="F817" s="342"/>
      <c r="J817" s="1064"/>
    </row>
    <row r="818" hidden="1">
      <c r="E818" s="342"/>
      <c r="F818" s="342"/>
      <c r="J818" s="1064"/>
    </row>
    <row r="819" hidden="1">
      <c r="E819" s="342"/>
      <c r="F819" s="342"/>
      <c r="J819" s="1064"/>
    </row>
    <row r="820" hidden="1">
      <c r="E820" s="342"/>
      <c r="F820" s="342"/>
      <c r="J820" s="1064"/>
    </row>
    <row r="821" hidden="1">
      <c r="E821" s="342"/>
      <c r="F821" s="342"/>
      <c r="J821" s="1064"/>
    </row>
    <row r="822" hidden="1">
      <c r="E822" s="342"/>
      <c r="F822" s="342"/>
      <c r="J822" s="1064"/>
    </row>
    <row r="823" hidden="1">
      <c r="E823" s="342"/>
      <c r="F823" s="342"/>
      <c r="J823" s="1064"/>
    </row>
    <row r="824" hidden="1">
      <c r="E824" s="342"/>
      <c r="F824" s="342"/>
      <c r="J824" s="1064"/>
    </row>
    <row r="825" hidden="1">
      <c r="E825" s="342"/>
      <c r="F825" s="342"/>
      <c r="J825" s="1064"/>
    </row>
    <row r="826" hidden="1">
      <c r="E826" s="342"/>
      <c r="F826" s="342"/>
      <c r="J826" s="1064"/>
    </row>
    <row r="827" hidden="1">
      <c r="E827" s="342"/>
      <c r="F827" s="342"/>
      <c r="J827" s="1064"/>
    </row>
    <row r="828" hidden="1">
      <c r="E828" s="342"/>
      <c r="F828" s="342"/>
      <c r="J828" s="1064"/>
    </row>
    <row r="829" hidden="1">
      <c r="E829" s="342"/>
      <c r="F829" s="342"/>
      <c r="J829" s="1064"/>
    </row>
    <row r="830" hidden="1">
      <c r="E830" s="342"/>
      <c r="F830" s="342"/>
      <c r="J830" s="1064"/>
    </row>
    <row r="831" hidden="1">
      <c r="E831" s="342"/>
      <c r="F831" s="342"/>
      <c r="J831" s="1064"/>
    </row>
    <row r="832" hidden="1">
      <c r="E832" s="342"/>
      <c r="F832" s="342"/>
      <c r="J832" s="1064"/>
    </row>
    <row r="833" hidden="1">
      <c r="E833" s="342"/>
      <c r="F833" s="342"/>
      <c r="J833" s="1064"/>
    </row>
    <row r="834" hidden="1">
      <c r="E834" s="342"/>
      <c r="F834" s="342"/>
      <c r="J834" s="1064"/>
    </row>
    <row r="835" hidden="1">
      <c r="E835" s="342"/>
      <c r="F835" s="342"/>
      <c r="J835" s="1064"/>
    </row>
    <row r="836" hidden="1">
      <c r="E836" s="342"/>
      <c r="F836" s="342"/>
      <c r="J836" s="1064"/>
    </row>
    <row r="837" hidden="1">
      <c r="E837" s="342"/>
      <c r="F837" s="342"/>
      <c r="J837" s="1064"/>
    </row>
    <row r="838" hidden="1">
      <c r="E838" s="342"/>
      <c r="F838" s="342"/>
      <c r="J838" s="1064"/>
    </row>
    <row r="839" hidden="1">
      <c r="E839" s="342"/>
      <c r="F839" s="342"/>
      <c r="J839" s="1064"/>
    </row>
    <row r="840" hidden="1">
      <c r="E840" s="342"/>
      <c r="F840" s="342"/>
      <c r="J840" s="1064"/>
    </row>
    <row r="841" hidden="1">
      <c r="E841" s="342"/>
      <c r="F841" s="342"/>
      <c r="J841" s="1064"/>
    </row>
    <row r="842" hidden="1">
      <c r="E842" s="342"/>
      <c r="F842" s="342"/>
      <c r="J842" s="1064"/>
    </row>
    <row r="843" hidden="1">
      <c r="E843" s="342"/>
      <c r="F843" s="342"/>
      <c r="J843" s="1064"/>
    </row>
    <row r="844" hidden="1">
      <c r="E844" s="342"/>
      <c r="F844" s="342"/>
      <c r="J844" s="1064"/>
    </row>
    <row r="845" hidden="1">
      <c r="E845" s="342"/>
      <c r="F845" s="342"/>
      <c r="J845" s="1064"/>
    </row>
    <row r="846" hidden="1">
      <c r="E846" s="342"/>
      <c r="F846" s="342"/>
      <c r="J846" s="1064"/>
    </row>
    <row r="847" hidden="1">
      <c r="E847" s="342"/>
      <c r="F847" s="342"/>
      <c r="J847" s="1064"/>
    </row>
    <row r="848" hidden="1">
      <c r="E848" s="342"/>
      <c r="F848" s="342"/>
      <c r="J848" s="1064"/>
    </row>
    <row r="849" hidden="1">
      <c r="E849" s="342"/>
      <c r="F849" s="342"/>
      <c r="J849" s="1064"/>
    </row>
    <row r="850" hidden="1">
      <c r="E850" s="342"/>
      <c r="F850" s="342"/>
      <c r="J850" s="1064"/>
    </row>
    <row r="851" hidden="1">
      <c r="E851" s="342"/>
      <c r="F851" s="342"/>
      <c r="J851" s="1064"/>
    </row>
    <row r="852" hidden="1">
      <c r="E852" s="342"/>
      <c r="F852" s="342"/>
      <c r="J852" s="1064"/>
    </row>
    <row r="853" hidden="1">
      <c r="E853" s="342"/>
      <c r="F853" s="342"/>
      <c r="J853" s="1064"/>
    </row>
    <row r="854" hidden="1">
      <c r="E854" s="342"/>
      <c r="F854" s="342"/>
      <c r="J854" s="1064"/>
    </row>
    <row r="855" hidden="1">
      <c r="E855" s="342"/>
      <c r="F855" s="342"/>
      <c r="J855" s="1064"/>
    </row>
    <row r="856" hidden="1">
      <c r="E856" s="342"/>
      <c r="F856" s="342"/>
      <c r="J856" s="1064"/>
    </row>
    <row r="857" hidden="1">
      <c r="E857" s="342"/>
      <c r="F857" s="342"/>
      <c r="J857" s="1064"/>
    </row>
    <row r="858" hidden="1">
      <c r="E858" s="342"/>
      <c r="F858" s="342"/>
      <c r="J858" s="1064"/>
    </row>
    <row r="859" hidden="1">
      <c r="E859" s="342"/>
      <c r="F859" s="342"/>
      <c r="J859" s="1064"/>
    </row>
    <row r="860" hidden="1">
      <c r="E860" s="342"/>
      <c r="F860" s="342"/>
      <c r="J860" s="1064"/>
    </row>
    <row r="861" hidden="1">
      <c r="E861" s="342"/>
      <c r="F861" s="342"/>
      <c r="J861" s="1064"/>
    </row>
    <row r="862" hidden="1">
      <c r="E862" s="342"/>
      <c r="F862" s="342"/>
      <c r="J862" s="1064"/>
    </row>
    <row r="863" hidden="1">
      <c r="E863" s="342"/>
      <c r="F863" s="342"/>
      <c r="J863" s="1064"/>
    </row>
    <row r="864" hidden="1">
      <c r="E864" s="342"/>
      <c r="F864" s="342"/>
      <c r="J864" s="1064"/>
    </row>
    <row r="865" hidden="1">
      <c r="E865" s="342"/>
      <c r="F865" s="342"/>
      <c r="J865" s="1064"/>
    </row>
    <row r="866" hidden="1">
      <c r="E866" s="342"/>
      <c r="F866" s="342"/>
      <c r="J866" s="1064"/>
    </row>
    <row r="867" hidden="1">
      <c r="E867" s="342"/>
      <c r="F867" s="342"/>
      <c r="J867" s="1064"/>
    </row>
    <row r="868" hidden="1">
      <c r="E868" s="342"/>
      <c r="F868" s="342"/>
      <c r="J868" s="1064"/>
    </row>
    <row r="869" hidden="1">
      <c r="E869" s="342"/>
      <c r="F869" s="342"/>
      <c r="J869" s="1064"/>
    </row>
    <row r="870" hidden="1">
      <c r="E870" s="342"/>
      <c r="F870" s="342"/>
      <c r="J870" s="1064"/>
    </row>
    <row r="871" hidden="1">
      <c r="E871" s="342"/>
      <c r="F871" s="342"/>
      <c r="J871" s="1064"/>
    </row>
    <row r="872" hidden="1">
      <c r="E872" s="342"/>
      <c r="F872" s="342"/>
      <c r="J872" s="1064"/>
    </row>
    <row r="873" hidden="1">
      <c r="E873" s="342"/>
      <c r="F873" s="342"/>
      <c r="J873" s="1064"/>
    </row>
    <row r="874" hidden="1">
      <c r="E874" s="342"/>
      <c r="F874" s="342"/>
      <c r="J874" s="1064"/>
    </row>
    <row r="875" hidden="1">
      <c r="E875" s="342"/>
      <c r="F875" s="342"/>
      <c r="J875" s="1064"/>
    </row>
    <row r="876" hidden="1">
      <c r="E876" s="342"/>
      <c r="F876" s="342"/>
      <c r="J876" s="1064"/>
    </row>
    <row r="877" hidden="1">
      <c r="E877" s="342"/>
      <c r="F877" s="342"/>
      <c r="J877" s="1064"/>
    </row>
    <row r="878" hidden="1">
      <c r="E878" s="342"/>
      <c r="F878" s="342"/>
      <c r="J878" s="1064"/>
    </row>
    <row r="879" hidden="1">
      <c r="E879" s="342"/>
      <c r="F879" s="342"/>
      <c r="J879" s="1064"/>
    </row>
    <row r="880" hidden="1">
      <c r="E880" s="342"/>
      <c r="F880" s="342"/>
      <c r="J880" s="1064"/>
    </row>
    <row r="881" hidden="1">
      <c r="E881" s="342"/>
      <c r="F881" s="342"/>
      <c r="J881" s="1064"/>
    </row>
    <row r="882" hidden="1">
      <c r="E882" s="342"/>
      <c r="F882" s="342"/>
      <c r="J882" s="1064"/>
    </row>
    <row r="883" hidden="1">
      <c r="E883" s="342"/>
      <c r="F883" s="342"/>
      <c r="J883" s="1064"/>
    </row>
    <row r="884" hidden="1">
      <c r="E884" s="342"/>
      <c r="F884" s="342"/>
      <c r="J884" s="1064"/>
    </row>
    <row r="885" hidden="1">
      <c r="E885" s="342"/>
      <c r="F885" s="342"/>
      <c r="J885" s="1064"/>
    </row>
    <row r="886" hidden="1">
      <c r="E886" s="342"/>
      <c r="F886" s="342"/>
      <c r="J886" s="1064"/>
    </row>
    <row r="887" hidden="1">
      <c r="E887" s="342"/>
      <c r="F887" s="342"/>
      <c r="J887" s="1064"/>
    </row>
    <row r="888" hidden="1">
      <c r="E888" s="342"/>
      <c r="F888" s="342"/>
      <c r="J888" s="1064"/>
    </row>
    <row r="889" hidden="1">
      <c r="E889" s="342"/>
      <c r="F889" s="342"/>
      <c r="J889" s="1064"/>
    </row>
    <row r="890" hidden="1">
      <c r="E890" s="342"/>
      <c r="F890" s="342"/>
      <c r="J890" s="1064"/>
    </row>
    <row r="891" hidden="1">
      <c r="E891" s="342"/>
      <c r="F891" s="342"/>
      <c r="J891" s="1064"/>
    </row>
    <row r="892" hidden="1">
      <c r="E892" s="342"/>
      <c r="F892" s="342"/>
      <c r="J892" s="1064"/>
    </row>
    <row r="893" hidden="1">
      <c r="E893" s="342"/>
      <c r="F893" s="342"/>
      <c r="J893" s="1064"/>
    </row>
    <row r="894" hidden="1">
      <c r="E894" s="342"/>
      <c r="F894" s="342"/>
      <c r="J894" s="1064"/>
    </row>
    <row r="895" hidden="1">
      <c r="E895" s="342"/>
      <c r="F895" s="342"/>
      <c r="J895" s="1064"/>
    </row>
    <row r="896" hidden="1">
      <c r="E896" s="342"/>
      <c r="F896" s="342"/>
      <c r="J896" s="1064"/>
    </row>
    <row r="897" hidden="1">
      <c r="E897" s="342"/>
      <c r="F897" s="342"/>
      <c r="J897" s="1064"/>
    </row>
    <row r="898" hidden="1">
      <c r="E898" s="342"/>
      <c r="F898" s="342"/>
      <c r="J898" s="1064"/>
    </row>
    <row r="899" hidden="1">
      <c r="E899" s="342"/>
      <c r="F899" s="342"/>
      <c r="J899" s="1064"/>
    </row>
    <row r="900" hidden="1">
      <c r="E900" s="342"/>
      <c r="F900" s="342"/>
      <c r="J900" s="1064"/>
    </row>
    <row r="901" hidden="1">
      <c r="E901" s="342"/>
      <c r="F901" s="342"/>
      <c r="J901" s="1064"/>
    </row>
    <row r="902" hidden="1">
      <c r="E902" s="342"/>
      <c r="F902" s="342"/>
      <c r="J902" s="1064"/>
    </row>
    <row r="903" hidden="1">
      <c r="E903" s="342"/>
      <c r="F903" s="342"/>
      <c r="J903" s="1064"/>
    </row>
    <row r="904" hidden="1">
      <c r="E904" s="342"/>
      <c r="F904" s="342"/>
      <c r="J904" s="1064"/>
    </row>
    <row r="905" hidden="1">
      <c r="E905" s="342"/>
      <c r="F905" s="342"/>
      <c r="J905" s="1064"/>
    </row>
    <row r="906" hidden="1">
      <c r="E906" s="342"/>
      <c r="F906" s="342"/>
      <c r="J906" s="1064"/>
    </row>
    <row r="907" hidden="1">
      <c r="E907" s="342"/>
      <c r="F907" s="342"/>
      <c r="J907" s="1064"/>
    </row>
    <row r="908" hidden="1">
      <c r="E908" s="342"/>
      <c r="F908" s="342"/>
      <c r="J908" s="1064"/>
    </row>
    <row r="909" hidden="1">
      <c r="E909" s="342"/>
      <c r="F909" s="342"/>
      <c r="J909" s="1064"/>
    </row>
    <row r="910" hidden="1">
      <c r="E910" s="342"/>
      <c r="F910" s="342"/>
      <c r="J910" s="1064"/>
    </row>
    <row r="911" hidden="1">
      <c r="E911" s="342"/>
      <c r="F911" s="342"/>
      <c r="J911" s="1064"/>
    </row>
    <row r="912" hidden="1">
      <c r="E912" s="342"/>
      <c r="F912" s="342"/>
      <c r="J912" s="1064"/>
    </row>
    <row r="913" hidden="1">
      <c r="E913" s="342"/>
      <c r="F913" s="342"/>
      <c r="J913" s="1064"/>
    </row>
    <row r="914" hidden="1">
      <c r="E914" s="342"/>
      <c r="F914" s="342"/>
      <c r="J914" s="1064"/>
    </row>
    <row r="915" hidden="1">
      <c r="E915" s="342"/>
      <c r="F915" s="342"/>
      <c r="J915" s="1064"/>
    </row>
    <row r="916" hidden="1">
      <c r="E916" s="342"/>
      <c r="F916" s="342"/>
      <c r="J916" s="1064"/>
    </row>
    <row r="917" hidden="1">
      <c r="E917" s="342"/>
      <c r="F917" s="342"/>
      <c r="J917" s="1064"/>
    </row>
    <row r="918" hidden="1">
      <c r="E918" s="342"/>
      <c r="F918" s="342"/>
      <c r="J918" s="1064"/>
    </row>
    <row r="919" hidden="1">
      <c r="E919" s="342"/>
      <c r="F919" s="342"/>
      <c r="J919" s="1064"/>
    </row>
    <row r="920" hidden="1">
      <c r="E920" s="342"/>
      <c r="F920" s="342"/>
      <c r="J920" s="1064"/>
    </row>
    <row r="921" hidden="1">
      <c r="E921" s="342"/>
      <c r="F921" s="342"/>
      <c r="J921" s="1064"/>
    </row>
    <row r="922" hidden="1">
      <c r="E922" s="342"/>
      <c r="F922" s="342"/>
      <c r="J922" s="1064"/>
    </row>
    <row r="923" hidden="1">
      <c r="E923" s="342"/>
      <c r="F923" s="342"/>
      <c r="J923" s="1064"/>
    </row>
    <row r="924" hidden="1">
      <c r="E924" s="342"/>
      <c r="F924" s="342"/>
      <c r="J924" s="1064"/>
    </row>
    <row r="925" hidden="1">
      <c r="E925" s="342"/>
      <c r="F925" s="342"/>
      <c r="J925" s="1064"/>
    </row>
    <row r="926" hidden="1">
      <c r="E926" s="342"/>
      <c r="F926" s="342"/>
      <c r="J926" s="1064"/>
    </row>
    <row r="927" hidden="1">
      <c r="E927" s="342"/>
      <c r="F927" s="342"/>
      <c r="J927" s="1064"/>
    </row>
    <row r="928" hidden="1">
      <c r="E928" s="342"/>
      <c r="F928" s="342"/>
      <c r="J928" s="1064"/>
    </row>
    <row r="929" hidden="1">
      <c r="E929" s="342"/>
      <c r="F929" s="342"/>
      <c r="J929" s="1064"/>
    </row>
    <row r="930" hidden="1">
      <c r="E930" s="342"/>
      <c r="F930" s="342"/>
      <c r="J930" s="1064"/>
    </row>
    <row r="931" hidden="1">
      <c r="E931" s="342"/>
      <c r="F931" s="342"/>
      <c r="J931" s="1064"/>
    </row>
    <row r="932" hidden="1">
      <c r="E932" s="342"/>
      <c r="F932" s="342"/>
      <c r="J932" s="1064"/>
    </row>
    <row r="933" hidden="1">
      <c r="E933" s="342"/>
      <c r="F933" s="342"/>
      <c r="J933" s="1064"/>
    </row>
    <row r="934" hidden="1">
      <c r="E934" s="342"/>
      <c r="F934" s="342"/>
      <c r="J934" s="1064"/>
    </row>
    <row r="935" hidden="1">
      <c r="E935" s="342"/>
      <c r="F935" s="342"/>
      <c r="J935" s="1064"/>
    </row>
    <row r="936" hidden="1">
      <c r="E936" s="342"/>
      <c r="F936" s="342"/>
      <c r="J936" s="1064"/>
    </row>
    <row r="937" hidden="1">
      <c r="E937" s="342"/>
      <c r="F937" s="342"/>
      <c r="J937" s="1064"/>
    </row>
    <row r="938" hidden="1">
      <c r="E938" s="342"/>
      <c r="F938" s="342"/>
      <c r="J938" s="1064"/>
    </row>
    <row r="939" hidden="1">
      <c r="E939" s="342"/>
      <c r="F939" s="342"/>
      <c r="J939" s="1064"/>
    </row>
    <row r="940" hidden="1">
      <c r="E940" s="342"/>
      <c r="F940" s="342"/>
      <c r="J940" s="1064"/>
    </row>
    <row r="941" hidden="1">
      <c r="E941" s="342"/>
      <c r="F941" s="342"/>
      <c r="J941" s="1064"/>
    </row>
    <row r="942" hidden="1">
      <c r="E942" s="342"/>
      <c r="F942" s="342"/>
      <c r="J942" s="1064"/>
    </row>
    <row r="943" hidden="1">
      <c r="E943" s="342"/>
      <c r="F943" s="342"/>
      <c r="J943" s="1064"/>
    </row>
    <row r="944" hidden="1">
      <c r="E944" s="342"/>
      <c r="F944" s="342"/>
      <c r="J944" s="1064"/>
    </row>
    <row r="945" hidden="1">
      <c r="E945" s="342"/>
      <c r="F945" s="342"/>
      <c r="J945" s="1064"/>
    </row>
    <row r="946" hidden="1">
      <c r="E946" s="342"/>
      <c r="F946" s="342"/>
      <c r="J946" s="1064"/>
    </row>
    <row r="947" hidden="1">
      <c r="E947" s="342"/>
      <c r="F947" s="342"/>
      <c r="J947" s="1064"/>
    </row>
    <row r="948" hidden="1">
      <c r="E948" s="342"/>
      <c r="F948" s="342"/>
      <c r="J948" s="1064"/>
    </row>
    <row r="949" hidden="1">
      <c r="E949" s="342"/>
      <c r="F949" s="342"/>
      <c r="J949" s="1064"/>
    </row>
    <row r="950" hidden="1">
      <c r="E950" s="342"/>
      <c r="F950" s="342"/>
      <c r="J950" s="1064"/>
    </row>
    <row r="951" hidden="1">
      <c r="E951" s="342"/>
      <c r="F951" s="342"/>
      <c r="J951" s="1064"/>
    </row>
    <row r="952" hidden="1">
      <c r="E952" s="342"/>
      <c r="F952" s="342"/>
      <c r="J952" s="1064"/>
    </row>
    <row r="953" hidden="1">
      <c r="E953" s="342"/>
      <c r="F953" s="342"/>
      <c r="J953" s="1064"/>
    </row>
    <row r="954" hidden="1">
      <c r="E954" s="342"/>
      <c r="F954" s="342"/>
      <c r="J954" s="1064"/>
    </row>
    <row r="955" hidden="1">
      <c r="E955" s="342"/>
      <c r="F955" s="342"/>
      <c r="J955" s="1064"/>
    </row>
    <row r="956" hidden="1">
      <c r="E956" s="342"/>
      <c r="F956" s="342"/>
      <c r="J956" s="1064"/>
    </row>
    <row r="957" hidden="1">
      <c r="E957" s="342"/>
      <c r="F957" s="342"/>
      <c r="J957" s="1064"/>
    </row>
    <row r="958" hidden="1">
      <c r="E958" s="342"/>
      <c r="F958" s="342"/>
      <c r="J958" s="1064"/>
    </row>
    <row r="959" hidden="1">
      <c r="E959" s="342"/>
      <c r="F959" s="342"/>
      <c r="J959" s="1064"/>
    </row>
    <row r="960" hidden="1">
      <c r="E960" s="342"/>
      <c r="F960" s="342"/>
      <c r="J960" s="1064"/>
    </row>
    <row r="961" hidden="1">
      <c r="E961" s="342"/>
      <c r="F961" s="342"/>
      <c r="J961" s="1064"/>
    </row>
    <row r="962" hidden="1">
      <c r="E962" s="342"/>
      <c r="F962" s="342"/>
      <c r="J962" s="1064"/>
    </row>
    <row r="963" hidden="1">
      <c r="E963" s="342"/>
      <c r="F963" s="342"/>
      <c r="J963" s="1064"/>
    </row>
    <row r="964" hidden="1">
      <c r="E964" s="342"/>
      <c r="F964" s="342"/>
      <c r="J964" s="1064"/>
    </row>
    <row r="965" hidden="1">
      <c r="E965" s="342"/>
      <c r="F965" s="342"/>
      <c r="J965" s="1064"/>
    </row>
    <row r="966" hidden="1">
      <c r="E966" s="342"/>
      <c r="F966" s="342"/>
      <c r="J966" s="1064"/>
    </row>
    <row r="967" hidden="1">
      <c r="E967" s="342"/>
      <c r="F967" s="342"/>
      <c r="J967" s="1064"/>
    </row>
    <row r="968" hidden="1">
      <c r="E968" s="342"/>
      <c r="F968" s="342"/>
      <c r="J968" s="1064"/>
    </row>
    <row r="969" hidden="1">
      <c r="E969" s="342"/>
      <c r="F969" s="342"/>
      <c r="J969" s="1064"/>
    </row>
    <row r="970" hidden="1">
      <c r="E970" s="342"/>
      <c r="F970" s="342"/>
      <c r="J970" s="1064"/>
    </row>
    <row r="971" hidden="1">
      <c r="E971" s="342"/>
      <c r="F971" s="342"/>
      <c r="J971" s="1064"/>
    </row>
    <row r="972" hidden="1">
      <c r="E972" s="342"/>
      <c r="F972" s="342"/>
      <c r="J972" s="1064"/>
    </row>
    <row r="973" hidden="1">
      <c r="E973" s="342"/>
      <c r="F973" s="342"/>
      <c r="J973" s="1064"/>
    </row>
    <row r="974" hidden="1">
      <c r="E974" s="342"/>
      <c r="F974" s="342"/>
      <c r="J974" s="1064"/>
    </row>
    <row r="975" hidden="1">
      <c r="E975" s="342"/>
      <c r="F975" s="342"/>
      <c r="J975" s="1064"/>
    </row>
    <row r="976" hidden="1">
      <c r="E976" s="342"/>
      <c r="F976" s="342"/>
      <c r="J976" s="1064"/>
    </row>
    <row r="977" hidden="1">
      <c r="E977" s="342"/>
      <c r="F977" s="342"/>
      <c r="J977" s="1064"/>
    </row>
    <row r="978" hidden="1">
      <c r="E978" s="342"/>
      <c r="F978" s="342"/>
      <c r="J978" s="1064"/>
    </row>
    <row r="979" hidden="1">
      <c r="E979" s="342"/>
      <c r="F979" s="342"/>
      <c r="J979" s="1064"/>
    </row>
    <row r="980" hidden="1">
      <c r="E980" s="342"/>
      <c r="F980" s="342"/>
      <c r="J980" s="1064"/>
    </row>
    <row r="981" hidden="1">
      <c r="E981" s="342"/>
      <c r="F981" s="342"/>
      <c r="J981" s="1064"/>
    </row>
    <row r="982" hidden="1">
      <c r="E982" s="342"/>
      <c r="F982" s="342"/>
      <c r="J982" s="1064"/>
    </row>
    <row r="983" hidden="1">
      <c r="E983" s="342"/>
      <c r="F983" s="342"/>
      <c r="J983" s="1064"/>
    </row>
    <row r="984" hidden="1">
      <c r="E984" s="342"/>
      <c r="F984" s="342"/>
      <c r="J984" s="1064"/>
    </row>
    <row r="985" hidden="1">
      <c r="E985" s="342"/>
      <c r="F985" s="342"/>
      <c r="J985" s="1064"/>
    </row>
    <row r="986" hidden="1">
      <c r="E986" s="342"/>
      <c r="F986" s="342"/>
      <c r="J986" s="1064"/>
    </row>
    <row r="987" hidden="1">
      <c r="E987" s="342"/>
      <c r="F987" s="342"/>
      <c r="J987" s="1064"/>
    </row>
    <row r="988" hidden="1">
      <c r="E988" s="342"/>
      <c r="F988" s="342"/>
      <c r="J988" s="1064"/>
    </row>
    <row r="989" hidden="1">
      <c r="E989" s="342"/>
      <c r="F989" s="342"/>
      <c r="J989" s="1064"/>
    </row>
    <row r="990" hidden="1">
      <c r="E990" s="342"/>
      <c r="F990" s="342"/>
      <c r="J990" s="1064"/>
    </row>
    <row r="991" hidden="1">
      <c r="E991" s="342"/>
      <c r="F991" s="342"/>
      <c r="J991" s="1064"/>
    </row>
    <row r="992" hidden="1">
      <c r="E992" s="342"/>
      <c r="F992" s="342"/>
      <c r="J992" s="1064"/>
    </row>
    <row r="993" hidden="1">
      <c r="E993" s="342"/>
      <c r="F993" s="342"/>
      <c r="J993" s="1064"/>
    </row>
    <row r="994" hidden="1">
      <c r="E994" s="342"/>
      <c r="F994" s="342"/>
      <c r="J994" s="1064"/>
    </row>
    <row r="995" hidden="1">
      <c r="E995" s="342"/>
      <c r="F995" s="342"/>
      <c r="J995" s="1064"/>
    </row>
    <row r="996" hidden="1">
      <c r="E996" s="342"/>
      <c r="F996" s="342"/>
      <c r="J996" s="1064"/>
    </row>
    <row r="997" hidden="1">
      <c r="E997" s="342"/>
      <c r="F997" s="342"/>
      <c r="J997" s="1064"/>
    </row>
    <row r="998" hidden="1">
      <c r="E998" s="342"/>
      <c r="F998" s="342"/>
      <c r="J998" s="1064"/>
    </row>
    <row r="999" hidden="1">
      <c r="E999" s="342"/>
      <c r="F999" s="342"/>
      <c r="J999" s="1064"/>
    </row>
    <row r="1000" hidden="1">
      <c r="E1000" s="342"/>
      <c r="F1000" s="342"/>
      <c r="J1000" s="1064"/>
    </row>
    <row r="1001" hidden="1">
      <c r="E1001" s="342"/>
      <c r="F1001" s="342"/>
      <c r="J1001" s="1064"/>
    </row>
    <row r="1002" hidden="1">
      <c r="E1002" s="342"/>
      <c r="F1002" s="342"/>
      <c r="J1002" s="1064"/>
    </row>
    <row r="1003" hidden="1">
      <c r="E1003" s="342"/>
      <c r="F1003" s="342"/>
      <c r="J1003" s="1064"/>
    </row>
    <row r="1004" hidden="1">
      <c r="E1004" s="342"/>
      <c r="F1004" s="342"/>
      <c r="J1004" s="1064"/>
    </row>
    <row r="1005" hidden="1">
      <c r="E1005" s="342"/>
      <c r="F1005" s="342"/>
      <c r="J1005" s="1064"/>
    </row>
    <row r="1006" hidden="1">
      <c r="E1006" s="342"/>
      <c r="F1006" s="342"/>
      <c r="J1006" s="1064"/>
    </row>
    <row r="1007" hidden="1">
      <c r="E1007" s="342"/>
      <c r="F1007" s="342"/>
      <c r="J1007" s="1064"/>
    </row>
    <row r="1008" hidden="1">
      <c r="E1008" s="342"/>
      <c r="F1008" s="342"/>
      <c r="J1008" s="1064"/>
    </row>
    <row r="1009" hidden="1">
      <c r="E1009" s="342"/>
      <c r="F1009" s="342"/>
      <c r="J1009" s="1064"/>
    </row>
    <row r="1010" hidden="1">
      <c r="E1010" s="342"/>
      <c r="F1010" s="342"/>
      <c r="J1010" s="1064"/>
    </row>
    <row r="1011" hidden="1">
      <c r="E1011" s="342"/>
      <c r="F1011" s="342"/>
      <c r="J1011" s="1064"/>
    </row>
    <row r="1012" hidden="1">
      <c r="E1012" s="342"/>
      <c r="F1012" s="342"/>
      <c r="J1012" s="1064"/>
    </row>
    <row r="1013" hidden="1">
      <c r="E1013" s="342"/>
      <c r="F1013" s="342"/>
      <c r="J1013" s="1064"/>
    </row>
    <row r="1014" hidden="1">
      <c r="E1014" s="342"/>
      <c r="F1014" s="342"/>
      <c r="J1014" s="1064"/>
    </row>
    <row r="1015" hidden="1">
      <c r="E1015" s="342"/>
      <c r="F1015" s="342"/>
      <c r="J1015" s="1064"/>
    </row>
    <row r="1016" hidden="1">
      <c r="E1016" s="342"/>
      <c r="F1016" s="342"/>
      <c r="J1016" s="1064"/>
    </row>
    <row r="1017" hidden="1">
      <c r="E1017" s="342"/>
      <c r="F1017" s="342"/>
      <c r="J1017" s="1064"/>
    </row>
    <row r="1018" hidden="1">
      <c r="E1018" s="342"/>
      <c r="F1018" s="342"/>
      <c r="J1018" s="1064"/>
    </row>
    <row r="1019" hidden="1">
      <c r="E1019" s="342"/>
      <c r="F1019" s="342"/>
      <c r="J1019" s="1064"/>
    </row>
    <row r="1020" hidden="1">
      <c r="E1020" s="342"/>
      <c r="F1020" s="342"/>
      <c r="J1020" s="1064"/>
    </row>
    <row r="1021" hidden="1">
      <c r="E1021" s="342"/>
      <c r="F1021" s="342"/>
      <c r="J1021" s="1064"/>
    </row>
    <row r="1022" hidden="1">
      <c r="E1022" s="342"/>
      <c r="F1022" s="342"/>
      <c r="J1022" s="1064"/>
    </row>
    <row r="1023" hidden="1">
      <c r="E1023" s="342"/>
      <c r="F1023" s="342"/>
      <c r="J1023" s="1064"/>
    </row>
    <row r="1024" hidden="1">
      <c r="E1024" s="342"/>
      <c r="F1024" s="342"/>
      <c r="J1024" s="1064"/>
    </row>
    <row r="1025" hidden="1">
      <c r="E1025" s="342"/>
      <c r="F1025" s="342"/>
      <c r="J1025" s="1064"/>
    </row>
    <row r="1026" hidden="1">
      <c r="E1026" s="342"/>
      <c r="F1026" s="342"/>
      <c r="J1026" s="1064"/>
    </row>
    <row r="1027" hidden="1">
      <c r="E1027" s="342"/>
      <c r="F1027" s="342"/>
      <c r="J1027" s="1064"/>
    </row>
    <row r="1028" hidden="1">
      <c r="E1028" s="342"/>
      <c r="F1028" s="342"/>
      <c r="J1028" s="1064"/>
    </row>
    <row r="1029" hidden="1">
      <c r="E1029" s="342"/>
      <c r="F1029" s="342"/>
      <c r="J1029" s="1064"/>
    </row>
    <row r="1030" hidden="1">
      <c r="E1030" s="342"/>
      <c r="F1030" s="342"/>
      <c r="J1030" s="1064"/>
    </row>
    <row r="1031" hidden="1">
      <c r="E1031" s="342"/>
      <c r="F1031" s="342"/>
      <c r="J1031" s="1064"/>
    </row>
    <row r="1032" hidden="1">
      <c r="E1032" s="342"/>
      <c r="F1032" s="342"/>
      <c r="J1032" s="1064"/>
    </row>
    <row r="1033" hidden="1">
      <c r="E1033" s="342"/>
      <c r="F1033" s="342"/>
      <c r="J1033" s="1064"/>
    </row>
    <row r="1034" hidden="1">
      <c r="E1034" s="342"/>
      <c r="F1034" s="342"/>
      <c r="J1034" s="1064"/>
    </row>
  </sheetData>
  <mergeCells count="4">
    <mergeCell ref="A2:A14"/>
    <mergeCell ref="A15:A36"/>
    <mergeCell ref="B15:F15"/>
    <mergeCell ref="A37:A46"/>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75"/>
    <col customWidth="1" min="2" max="2" width="20.88"/>
    <col customWidth="1" min="3" max="4" width="10.63"/>
    <col customWidth="1" min="5" max="5" width="3.75"/>
    <col customWidth="1" min="6" max="14" width="9.88"/>
    <col customWidth="1" min="15" max="15" width="74.25"/>
    <col hidden="1" min="16" max="34" width="12.63"/>
  </cols>
  <sheetData>
    <row r="1">
      <c r="A1" s="59" t="s">
        <v>1339</v>
      </c>
    </row>
    <row r="2" ht="38.25" customHeight="1">
      <c r="A2" s="1065" t="s">
        <v>1340</v>
      </c>
      <c r="B2" s="1066"/>
      <c r="C2" s="61" t="s">
        <v>1341</v>
      </c>
      <c r="D2" s="62" t="s">
        <v>31</v>
      </c>
      <c r="E2" s="63"/>
      <c r="F2" s="64" t="s">
        <v>32</v>
      </c>
      <c r="G2" s="61" t="s">
        <v>33</v>
      </c>
      <c r="H2" s="61" t="s">
        <v>34</v>
      </c>
      <c r="I2" s="61" t="s">
        <v>35</v>
      </c>
      <c r="J2" s="61" t="s">
        <v>36</v>
      </c>
      <c r="K2" s="61" t="s">
        <v>37</v>
      </c>
      <c r="L2" s="61" t="s">
        <v>38</v>
      </c>
      <c r="M2" s="61" t="s">
        <v>1342</v>
      </c>
      <c r="N2" s="62" t="s">
        <v>40</v>
      </c>
      <c r="P2" s="58"/>
      <c r="Q2" s="58"/>
      <c r="R2" s="58"/>
      <c r="S2" s="58"/>
      <c r="T2" s="58"/>
      <c r="U2" s="58"/>
      <c r="V2" s="58"/>
      <c r="W2" s="58"/>
      <c r="X2" s="58"/>
      <c r="Y2" s="58"/>
      <c r="Z2" s="58"/>
      <c r="AA2" s="58"/>
      <c r="AB2" s="58"/>
      <c r="AC2" s="58"/>
      <c r="AD2" s="58"/>
      <c r="AE2" s="58"/>
      <c r="AF2" s="58"/>
      <c r="AG2" s="58"/>
      <c r="AH2" s="58"/>
    </row>
    <row r="3">
      <c r="A3" s="1067" t="s">
        <v>1343</v>
      </c>
      <c r="B3" s="1068"/>
      <c r="C3" s="67">
        <f t="shared" ref="C3:C12" si="1">(G3)/(H3 * 1/J3 * 60/1)</f>
        <v>74592</v>
      </c>
      <c r="D3" s="68">
        <f t="shared" ref="D3:D6" si="2">(G3)/((H3-1) * 1/J3 * 60/1 + K3)</f>
        <v>64454.00825</v>
      </c>
      <c r="E3" s="57"/>
      <c r="F3" s="69" t="s">
        <v>43</v>
      </c>
      <c r="G3" s="70">
        <f t="shared" ref="G3:G10" si="3">N3 * H3</f>
        <v>385392</v>
      </c>
      <c r="H3" s="71">
        <v>62.0</v>
      </c>
      <c r="I3" s="72" t="s">
        <v>43</v>
      </c>
      <c r="J3" s="73">
        <v>720.0</v>
      </c>
      <c r="K3" s="74">
        <f>1.12*0.8</f>
        <v>0.896</v>
      </c>
      <c r="L3" s="1069" t="s">
        <v>43</v>
      </c>
      <c r="M3" s="67">
        <f>346*12</f>
        <v>4152</v>
      </c>
      <c r="N3" s="76">
        <f>518*12</f>
        <v>6216</v>
      </c>
    </row>
    <row r="4">
      <c r="A4" s="1067" t="s">
        <v>1344</v>
      </c>
      <c r="B4" s="1068"/>
      <c r="C4" s="79">
        <f t="shared" si="1"/>
        <v>70440</v>
      </c>
      <c r="D4" s="80">
        <f t="shared" si="2"/>
        <v>59748.21429</v>
      </c>
      <c r="E4" s="57"/>
      <c r="F4" s="81" t="s">
        <v>43</v>
      </c>
      <c r="G4" s="79">
        <f t="shared" si="3"/>
        <v>401508</v>
      </c>
      <c r="H4" s="82">
        <v>57.0</v>
      </c>
      <c r="I4" s="83" t="s">
        <v>43</v>
      </c>
      <c r="J4" s="84">
        <v>600.0</v>
      </c>
      <c r="K4" s="85">
        <v>1.12</v>
      </c>
      <c r="L4" s="86" t="s">
        <v>43</v>
      </c>
      <c r="M4" s="89">
        <f>367*12</f>
        <v>4404</v>
      </c>
      <c r="N4" s="90">
        <f>587*12</f>
        <v>7044</v>
      </c>
    </row>
    <row r="5">
      <c r="A5" s="1067" t="s">
        <v>1345</v>
      </c>
      <c r="B5" s="1068"/>
      <c r="C5" s="79">
        <f t="shared" si="1"/>
        <v>30112.5</v>
      </c>
      <c r="D5" s="80">
        <f t="shared" si="2"/>
        <v>25777.23735</v>
      </c>
      <c r="E5" s="57"/>
      <c r="F5" s="81" t="s">
        <v>43</v>
      </c>
      <c r="G5" s="79">
        <f t="shared" si="3"/>
        <v>176660</v>
      </c>
      <c r="H5" s="82">
        <v>44.0</v>
      </c>
      <c r="I5" s="83" t="s">
        <v>43</v>
      </c>
      <c r="J5" s="84">
        <v>450.0</v>
      </c>
      <c r="K5" s="85">
        <v>1.12</v>
      </c>
      <c r="L5" s="109" t="s">
        <v>43</v>
      </c>
      <c r="M5" s="89">
        <f>516*5</f>
        <v>2580</v>
      </c>
      <c r="N5" s="90">
        <f>803*5</f>
        <v>4015</v>
      </c>
    </row>
    <row r="6">
      <c r="A6" s="1067" t="s">
        <v>1346</v>
      </c>
      <c r="B6" s="1068"/>
      <c r="C6" s="79">
        <f t="shared" si="1"/>
        <v>111060</v>
      </c>
      <c r="D6" s="80">
        <f t="shared" si="2"/>
        <v>77553.08863</v>
      </c>
      <c r="E6" s="57"/>
      <c r="F6" s="294" t="s">
        <v>43</v>
      </c>
      <c r="G6" s="79">
        <f t="shared" si="3"/>
        <v>288756</v>
      </c>
      <c r="H6" s="82">
        <v>39.0</v>
      </c>
      <c r="I6" s="83" t="s">
        <v>43</v>
      </c>
      <c r="J6" s="84">
        <v>900.0</v>
      </c>
      <c r="K6" s="85">
        <v>1.19</v>
      </c>
      <c r="L6" s="109" t="s">
        <v>43</v>
      </c>
      <c r="M6" s="89">
        <f>373*12</f>
        <v>4476</v>
      </c>
      <c r="N6" s="90">
        <f>617*12</f>
        <v>7404</v>
      </c>
      <c r="O6" s="95"/>
    </row>
    <row r="7">
      <c r="A7" s="1067" t="s">
        <v>1347</v>
      </c>
      <c r="B7" s="1068"/>
      <c r="C7" s="79">
        <f t="shared" si="1"/>
        <v>212615</v>
      </c>
      <c r="D7" s="80">
        <f>(G7)/((H7-1) * 1/J7 * 60/1 + 0.68+K7*(H7-1))</f>
        <v>154664.2419</v>
      </c>
      <c r="E7" s="57"/>
      <c r="F7" s="294">
        <f t="shared" ref="F7:F10" si="4">I7*N7</f>
        <v>4121460</v>
      </c>
      <c r="G7" s="79">
        <f t="shared" si="3"/>
        <v>1570080</v>
      </c>
      <c r="H7" s="82">
        <v>8.0</v>
      </c>
      <c r="I7" s="83">
        <v>21.0</v>
      </c>
      <c r="J7" s="84">
        <v>65.0</v>
      </c>
      <c r="K7" s="85">
        <v>0.43</v>
      </c>
      <c r="L7" s="109">
        <f>timeToEmpty_shotgun(H7,I7,J7,K7)</f>
        <v>25.71538462</v>
      </c>
      <c r="M7" s="89">
        <f>9320*12</f>
        <v>111840</v>
      </c>
      <c r="N7" s="90">
        <f>16355*12</f>
        <v>196260</v>
      </c>
      <c r="O7" s="95" t="s">
        <v>339</v>
      </c>
    </row>
    <row r="8">
      <c r="A8" s="1067" t="s">
        <v>1348</v>
      </c>
      <c r="B8" s="1068"/>
      <c r="C8" s="141">
        <f t="shared" si="1"/>
        <v>241836</v>
      </c>
      <c r="D8" s="139">
        <f>(G8)/((H8-1) * 1/J8 * 60/1 + K8)</f>
        <v>174592.8218</v>
      </c>
      <c r="E8" s="57"/>
      <c r="F8" s="304">
        <f t="shared" si="4"/>
        <v>3834828</v>
      </c>
      <c r="G8" s="141">
        <f t="shared" si="3"/>
        <v>725508</v>
      </c>
      <c r="H8" s="142">
        <v>7.0</v>
      </c>
      <c r="I8" s="143">
        <v>37.0</v>
      </c>
      <c r="J8" s="144">
        <v>140.0</v>
      </c>
      <c r="K8" s="145">
        <f>1.98*0.8</f>
        <v>1.584</v>
      </c>
      <c r="L8" s="1070">
        <f>timeToEmpty(H8,I8,J8,K8)</f>
        <v>21.20571429</v>
      </c>
      <c r="M8" s="138">
        <f>2662*12</f>
        <v>31944</v>
      </c>
      <c r="N8" s="147">
        <f>8637*12</f>
        <v>103644</v>
      </c>
    </row>
    <row r="9">
      <c r="A9" s="1067" t="s">
        <v>1349</v>
      </c>
      <c r="B9" s="1068"/>
      <c r="C9" s="141">
        <f t="shared" si="1"/>
        <v>245441.2041</v>
      </c>
      <c r="D9" s="139">
        <f>(G9)/(H9 * 1/J9 * 60/1 + K9 - 0.53)</f>
        <v>221884.0967</v>
      </c>
      <c r="E9" s="57"/>
      <c r="F9" s="304">
        <f t="shared" si="4"/>
        <v>6000792</v>
      </c>
      <c r="G9" s="141">
        <f t="shared" si="3"/>
        <v>1826328</v>
      </c>
      <c r="H9" s="142">
        <v>7.0</v>
      </c>
      <c r="I9" s="143">
        <v>23.0</v>
      </c>
      <c r="J9" s="144">
        <f>1/((533*1/1000)*1/60 + 0.53*1/60)</f>
        <v>56.44402634</v>
      </c>
      <c r="K9" s="145">
        <v>1.32</v>
      </c>
      <c r="L9" s="1070">
        <f>timeToEmpty(H9,I9,J9,K9) + 0.5</f>
        <v>24.657</v>
      </c>
      <c r="M9" s="138">
        <f>6319*12</f>
        <v>75828</v>
      </c>
      <c r="N9" s="147">
        <f>21742*12</f>
        <v>260904</v>
      </c>
    </row>
    <row r="10">
      <c r="A10" s="1067" t="s">
        <v>1350</v>
      </c>
      <c r="B10" s="1068"/>
      <c r="C10" s="141">
        <f t="shared" si="1"/>
        <v>257502.7516</v>
      </c>
      <c r="D10" s="139">
        <f>(G10)/(H10 * 1/J10 * 60/1 + K10 - (0.91 - 0.2*(3-1)))</f>
        <v>238386.5177</v>
      </c>
      <c r="E10" s="57"/>
      <c r="F10" s="304">
        <f t="shared" si="4"/>
        <v>8546258.824</v>
      </c>
      <c r="G10" s="141">
        <f t="shared" si="3"/>
        <v>2601035.294</v>
      </c>
      <c r="H10" s="142">
        <v>7.0</v>
      </c>
      <c r="I10" s="143">
        <v>23.0</v>
      </c>
      <c r="J10" s="144">
        <f>1/(533*1/1000*1/60 + 0.91*1/60)</f>
        <v>41.58004158</v>
      </c>
      <c r="K10" s="145">
        <v>1.32</v>
      </c>
      <c r="L10" s="1070">
        <f>timeToEmpty(H10,I10,J10,K10) + 0.9</f>
        <v>32.277</v>
      </c>
      <c r="M10" s="138">
        <f>(3*3060*1/1.02)*12</f>
        <v>108000</v>
      </c>
      <c r="N10" s="147">
        <f>(3*10528*1/1.02)*12</f>
        <v>371576.4706</v>
      </c>
    </row>
    <row r="11">
      <c r="A11" s="1067" t="s">
        <v>1351</v>
      </c>
      <c r="B11" s="1068"/>
      <c r="C11" s="141">
        <f t="shared" si="1"/>
        <v>452580</v>
      </c>
      <c r="D11" s="139">
        <f t="shared" ref="D11:D12" si="5">(G11)/((H11-1) * 1/J11 * 60/1 + K11)</f>
        <v>306833.8983</v>
      </c>
      <c r="E11" s="57"/>
      <c r="F11" s="140">
        <f t="shared" ref="F11:F13" si="6">I11*M11</f>
        <v>4163736</v>
      </c>
      <c r="G11" s="141">
        <f t="shared" ref="G11:G13" si="7">M11 * H11</f>
        <v>1448256</v>
      </c>
      <c r="H11" s="142">
        <v>8.0</v>
      </c>
      <c r="I11" s="143">
        <v>23.0</v>
      </c>
      <c r="J11" s="144">
        <v>150.0</v>
      </c>
      <c r="K11" s="145">
        <v>1.92</v>
      </c>
      <c r="L11" s="1070">
        <f t="shared" ref="L11:L12" si="8">timeToEmpty(H11,I11,J11,K11)</f>
        <v>11.84</v>
      </c>
      <c r="M11" s="138">
        <f>(4065+11021)*12</f>
        <v>181032</v>
      </c>
      <c r="N11" s="147" t="s">
        <v>1286</v>
      </c>
    </row>
    <row r="12">
      <c r="A12" s="1067" t="s">
        <v>1352</v>
      </c>
      <c r="B12" s="1068"/>
      <c r="C12" s="141">
        <f t="shared" si="1"/>
        <v>452304</v>
      </c>
      <c r="D12" s="139">
        <f t="shared" si="5"/>
        <v>324232.2581</v>
      </c>
      <c r="E12" s="57"/>
      <c r="F12" s="140">
        <f t="shared" si="6"/>
        <v>4296888</v>
      </c>
      <c r="G12" s="141">
        <f t="shared" si="7"/>
        <v>1809216</v>
      </c>
      <c r="H12" s="142">
        <v>8.0</v>
      </c>
      <c r="I12" s="143">
        <v>19.0</v>
      </c>
      <c r="J12" s="144">
        <v>120.0</v>
      </c>
      <c r="K12" s="145">
        <v>2.08</v>
      </c>
      <c r="L12" s="1070">
        <f t="shared" si="8"/>
        <v>12.16</v>
      </c>
      <c r="M12" s="138">
        <f>(3558+15288)*12</f>
        <v>226152</v>
      </c>
      <c r="N12" s="147" t="s">
        <v>1286</v>
      </c>
    </row>
    <row r="13">
      <c r="A13" s="1067" t="s">
        <v>1353</v>
      </c>
      <c r="B13" s="1068"/>
      <c r="C13" s="241" t="s">
        <v>1354</v>
      </c>
      <c r="D13" s="242">
        <f>M13*J13*1/60</f>
        <v>226206</v>
      </c>
      <c r="E13" s="57"/>
      <c r="F13" s="243">
        <f t="shared" si="6"/>
        <v>3468492</v>
      </c>
      <c r="G13" s="244">
        <f t="shared" si="7"/>
        <v>150804</v>
      </c>
      <c r="H13" s="245">
        <v>1.0</v>
      </c>
      <c r="I13" s="1071">
        <v>23.0</v>
      </c>
      <c r="J13" s="246">
        <v>90.0</v>
      </c>
      <c r="K13" s="247">
        <v>1.62</v>
      </c>
      <c r="L13" s="248">
        <f>I13*K13</f>
        <v>37.26</v>
      </c>
      <c r="M13" s="246">
        <f>(10036+2531)*12</f>
        <v>150804</v>
      </c>
      <c r="N13" s="249" t="s">
        <v>1286</v>
      </c>
      <c r="O13" s="95" t="s">
        <v>1355</v>
      </c>
    </row>
    <row r="14">
      <c r="A14" s="1072"/>
      <c r="B14" s="1073"/>
      <c r="C14" s="329"/>
      <c r="D14" s="1074"/>
      <c r="E14" s="57"/>
      <c r="F14" s="1075"/>
      <c r="G14" s="329"/>
      <c r="H14" s="330"/>
      <c r="I14" s="1076"/>
      <c r="J14" s="331"/>
      <c r="K14" s="332"/>
      <c r="L14" s="1077"/>
      <c r="M14" s="326"/>
      <c r="N14" s="1078"/>
    </row>
    <row r="15">
      <c r="A15" s="190"/>
      <c r="O15" s="95" t="s">
        <v>1356</v>
      </c>
    </row>
    <row r="16" hidden="1">
      <c r="A16" s="191"/>
    </row>
    <row r="17" hidden="1">
      <c r="A17" s="191"/>
    </row>
    <row r="18" hidden="1">
      <c r="A18" s="191"/>
    </row>
    <row r="19" hidden="1">
      <c r="A19" s="191"/>
    </row>
    <row r="20" hidden="1">
      <c r="A20" s="191"/>
    </row>
    <row r="21" hidden="1">
      <c r="A21" s="191"/>
    </row>
    <row r="22" hidden="1">
      <c r="A22" s="191"/>
    </row>
    <row r="23" hidden="1">
      <c r="A23" s="191"/>
    </row>
    <row r="24" hidden="1">
      <c r="A24" s="191"/>
    </row>
    <row r="25" hidden="1">
      <c r="A25" s="191"/>
    </row>
    <row r="26" hidden="1">
      <c r="A26" s="191"/>
    </row>
    <row r="27" hidden="1">
      <c r="A27" s="191"/>
    </row>
    <row r="28" hidden="1">
      <c r="A28" s="191"/>
    </row>
    <row r="29" hidden="1">
      <c r="A29" s="191"/>
    </row>
    <row r="30" hidden="1">
      <c r="A30" s="191"/>
    </row>
    <row r="31" hidden="1">
      <c r="A31" s="191"/>
    </row>
    <row r="32" hidden="1">
      <c r="A32" s="191"/>
    </row>
    <row r="33" hidden="1">
      <c r="A33" s="191"/>
    </row>
    <row r="34" hidden="1">
      <c r="A34" s="191"/>
    </row>
    <row r="35" hidden="1">
      <c r="A35" s="191"/>
    </row>
    <row r="36" hidden="1">
      <c r="A36" s="191"/>
    </row>
    <row r="37" hidden="1">
      <c r="A37" s="191"/>
    </row>
    <row r="38" hidden="1">
      <c r="A38" s="191"/>
    </row>
    <row r="39" hidden="1">
      <c r="A39" s="191"/>
    </row>
    <row r="40" hidden="1">
      <c r="A40" s="191"/>
    </row>
    <row r="41" hidden="1">
      <c r="A41" s="191"/>
    </row>
    <row r="42" hidden="1">
      <c r="A42" s="191"/>
    </row>
    <row r="43" hidden="1">
      <c r="A43" s="191"/>
    </row>
    <row r="44" hidden="1">
      <c r="A44" s="58"/>
    </row>
    <row r="45" hidden="1">
      <c r="A45" s="58"/>
    </row>
    <row r="46" hidden="1">
      <c r="A46" s="58"/>
    </row>
    <row r="47" hidden="1">
      <c r="A47" s="58"/>
    </row>
    <row r="48" hidden="1">
      <c r="A48" s="58"/>
    </row>
    <row r="49" hidden="1">
      <c r="A49" s="58"/>
    </row>
    <row r="50" hidden="1">
      <c r="A50" s="58"/>
    </row>
    <row r="51" hidden="1">
      <c r="A51" s="58"/>
    </row>
    <row r="52" hidden="1">
      <c r="A52" s="58"/>
    </row>
    <row r="53" hidden="1">
      <c r="A53" s="58"/>
    </row>
    <row r="54" hidden="1">
      <c r="A54" s="58"/>
    </row>
    <row r="55" hidden="1">
      <c r="A55" s="58"/>
    </row>
    <row r="56" hidden="1">
      <c r="A56" s="58"/>
    </row>
    <row r="57" hidden="1">
      <c r="A57" s="58"/>
    </row>
    <row r="58" hidden="1">
      <c r="A58" s="58"/>
    </row>
    <row r="59" hidden="1">
      <c r="A59" s="58"/>
    </row>
    <row r="60" hidden="1">
      <c r="A60" s="58"/>
    </row>
    <row r="61" hidden="1">
      <c r="A61" s="58"/>
    </row>
    <row r="62" hidden="1">
      <c r="A62" s="58"/>
    </row>
    <row r="63" hidden="1">
      <c r="A63" s="58"/>
    </row>
    <row r="64" hidden="1">
      <c r="A64" s="58"/>
    </row>
    <row r="65" hidden="1">
      <c r="A65" s="58"/>
    </row>
    <row r="66" hidden="1">
      <c r="A66" s="58"/>
    </row>
    <row r="67" hidden="1">
      <c r="A67" s="58"/>
    </row>
    <row r="68" hidden="1">
      <c r="A68" s="58"/>
    </row>
    <row r="69" hidden="1">
      <c r="A69" s="58"/>
    </row>
    <row r="70" hidden="1">
      <c r="A70" s="58"/>
    </row>
    <row r="71" hidden="1">
      <c r="A71" s="58"/>
    </row>
    <row r="72" hidden="1">
      <c r="A72" s="58"/>
    </row>
    <row r="73" hidden="1">
      <c r="A73" s="58"/>
    </row>
    <row r="74" hidden="1">
      <c r="A74" s="58"/>
    </row>
    <row r="75" hidden="1">
      <c r="A75" s="58"/>
    </row>
    <row r="76" hidden="1">
      <c r="A76" s="58"/>
    </row>
    <row r="77" hidden="1">
      <c r="A77" s="58"/>
    </row>
    <row r="78" hidden="1">
      <c r="A78" s="58"/>
    </row>
    <row r="79" hidden="1">
      <c r="A79" s="58"/>
    </row>
    <row r="80" hidden="1">
      <c r="A80" s="58"/>
    </row>
    <row r="81" hidden="1">
      <c r="A81" s="58"/>
    </row>
    <row r="82" hidden="1">
      <c r="A82" s="58"/>
    </row>
    <row r="83" hidden="1">
      <c r="A83" s="58"/>
    </row>
    <row r="84" hidden="1">
      <c r="A84" s="58"/>
    </row>
    <row r="85" hidden="1">
      <c r="A85" s="58"/>
    </row>
    <row r="86" hidden="1">
      <c r="A86" s="58"/>
    </row>
    <row r="87" hidden="1">
      <c r="A87" s="58"/>
    </row>
    <row r="88" hidden="1">
      <c r="A88" s="58"/>
    </row>
    <row r="89" hidden="1">
      <c r="A89" s="58"/>
    </row>
    <row r="90" hidden="1">
      <c r="A90" s="58"/>
    </row>
    <row r="91" hidden="1">
      <c r="A91" s="58"/>
    </row>
    <row r="92" hidden="1">
      <c r="A92" s="58"/>
    </row>
    <row r="93" hidden="1">
      <c r="A93" s="58"/>
    </row>
    <row r="94" hidden="1">
      <c r="A94" s="58"/>
    </row>
    <row r="95" hidden="1">
      <c r="A95" s="58"/>
    </row>
    <row r="96" hidden="1">
      <c r="A96" s="58"/>
    </row>
    <row r="97" hidden="1">
      <c r="A97" s="58"/>
    </row>
    <row r="98" hidden="1">
      <c r="A98" s="58"/>
    </row>
    <row r="99" hidden="1">
      <c r="A99" s="58"/>
    </row>
    <row r="100" hidden="1">
      <c r="A100" s="58"/>
    </row>
    <row r="101" hidden="1">
      <c r="A101" s="58"/>
    </row>
    <row r="102" hidden="1">
      <c r="A102" s="58"/>
    </row>
    <row r="103" hidden="1">
      <c r="A103" s="58"/>
    </row>
    <row r="104" hidden="1">
      <c r="A104" s="58"/>
    </row>
    <row r="105" hidden="1">
      <c r="A105" s="58"/>
    </row>
    <row r="106" hidden="1">
      <c r="A106" s="58"/>
    </row>
    <row r="107" hidden="1">
      <c r="A107" s="58"/>
    </row>
    <row r="108" hidden="1">
      <c r="A108" s="58"/>
    </row>
    <row r="109" hidden="1">
      <c r="A109" s="58"/>
    </row>
    <row r="110" hidden="1">
      <c r="A110" s="58"/>
    </row>
    <row r="111" hidden="1">
      <c r="A111" s="58"/>
    </row>
    <row r="112" hidden="1">
      <c r="A112" s="58"/>
    </row>
    <row r="113" hidden="1">
      <c r="A113" s="58"/>
    </row>
    <row r="114" hidden="1">
      <c r="A114" s="58"/>
    </row>
    <row r="115" hidden="1">
      <c r="A115" s="58"/>
    </row>
    <row r="116" hidden="1">
      <c r="A116" s="58"/>
    </row>
    <row r="117" hidden="1">
      <c r="A117" s="58"/>
    </row>
    <row r="118" hidden="1">
      <c r="A118" s="58"/>
    </row>
    <row r="119" hidden="1">
      <c r="A119" s="58"/>
    </row>
    <row r="120" hidden="1">
      <c r="A120" s="58"/>
    </row>
    <row r="121" hidden="1">
      <c r="A121" s="58"/>
    </row>
    <row r="122" hidden="1">
      <c r="A122" s="58"/>
    </row>
    <row r="123" hidden="1">
      <c r="A123" s="58"/>
    </row>
    <row r="124" hidden="1">
      <c r="A124" s="58"/>
    </row>
    <row r="125" hidden="1">
      <c r="A125" s="58"/>
    </row>
    <row r="126" hidden="1">
      <c r="A126" s="58"/>
    </row>
    <row r="127" hidden="1">
      <c r="A127" s="58"/>
    </row>
    <row r="128" hidden="1">
      <c r="A128" s="58"/>
    </row>
    <row r="129" hidden="1">
      <c r="A129" s="58"/>
    </row>
    <row r="130" hidden="1">
      <c r="A130" s="58"/>
    </row>
    <row r="131" hidden="1">
      <c r="A131" s="58"/>
    </row>
    <row r="132" hidden="1">
      <c r="A132" s="58"/>
    </row>
    <row r="133" hidden="1">
      <c r="A133" s="58"/>
    </row>
    <row r="134" hidden="1">
      <c r="A134" s="58"/>
    </row>
    <row r="135" hidden="1">
      <c r="A135" s="58"/>
    </row>
    <row r="136" hidden="1">
      <c r="A136" s="58"/>
    </row>
    <row r="137" hidden="1">
      <c r="A137" s="58"/>
    </row>
    <row r="138" hidden="1">
      <c r="A138" s="58"/>
    </row>
    <row r="139" hidden="1">
      <c r="A139" s="58"/>
    </row>
    <row r="140" hidden="1">
      <c r="A140" s="58"/>
    </row>
    <row r="141" hidden="1">
      <c r="A141" s="58"/>
    </row>
    <row r="142" hidden="1">
      <c r="A142" s="58"/>
    </row>
    <row r="143" hidden="1">
      <c r="A143" s="58"/>
    </row>
    <row r="144" hidden="1">
      <c r="A144" s="58"/>
    </row>
    <row r="145" hidden="1">
      <c r="A145" s="58"/>
    </row>
    <row r="146" hidden="1">
      <c r="A146" s="58"/>
    </row>
    <row r="147" hidden="1">
      <c r="A147" s="58"/>
    </row>
    <row r="148" hidden="1">
      <c r="A148" s="58"/>
    </row>
    <row r="149" hidden="1">
      <c r="A149" s="58"/>
    </row>
    <row r="150" hidden="1">
      <c r="A150" s="58"/>
    </row>
    <row r="151" hidden="1">
      <c r="A151" s="58"/>
    </row>
    <row r="152" hidden="1">
      <c r="A152" s="58"/>
    </row>
    <row r="153" hidden="1">
      <c r="A153" s="58"/>
    </row>
    <row r="154" hidden="1">
      <c r="A154" s="58"/>
    </row>
    <row r="155" hidden="1">
      <c r="A155" s="58"/>
    </row>
    <row r="156" hidden="1">
      <c r="A156" s="58"/>
    </row>
    <row r="157" hidden="1">
      <c r="A157" s="58"/>
    </row>
    <row r="158" hidden="1">
      <c r="A158" s="58"/>
    </row>
    <row r="159" hidden="1">
      <c r="A159" s="58"/>
    </row>
    <row r="160" hidden="1">
      <c r="A160" s="58"/>
    </row>
    <row r="161" hidden="1">
      <c r="A161" s="58"/>
    </row>
    <row r="162" hidden="1">
      <c r="A162" s="58"/>
    </row>
    <row r="163" hidden="1">
      <c r="A163" s="58"/>
    </row>
    <row r="164" hidden="1">
      <c r="A164" s="58"/>
    </row>
    <row r="165" hidden="1">
      <c r="A165" s="58"/>
    </row>
    <row r="166" hidden="1">
      <c r="A166" s="58"/>
    </row>
    <row r="167" hidden="1">
      <c r="A167" s="58"/>
    </row>
    <row r="168" hidden="1">
      <c r="A168" s="58"/>
    </row>
    <row r="169" hidden="1">
      <c r="A169" s="58"/>
    </row>
    <row r="170" hidden="1">
      <c r="A170" s="58"/>
    </row>
    <row r="171" hidden="1">
      <c r="A171" s="58"/>
    </row>
    <row r="172" hidden="1">
      <c r="A172" s="58"/>
    </row>
    <row r="173" hidden="1">
      <c r="A173" s="58"/>
    </row>
    <row r="174" hidden="1">
      <c r="A174" s="58"/>
    </row>
    <row r="175" hidden="1">
      <c r="A175" s="58"/>
    </row>
    <row r="176" hidden="1">
      <c r="A176" s="58"/>
    </row>
    <row r="177" hidden="1">
      <c r="A177" s="58"/>
    </row>
    <row r="178" hidden="1">
      <c r="A178" s="58"/>
    </row>
    <row r="179" hidden="1">
      <c r="A179" s="58"/>
    </row>
    <row r="180" hidden="1">
      <c r="A180" s="58"/>
    </row>
    <row r="181" hidden="1">
      <c r="A181" s="58"/>
    </row>
    <row r="182" hidden="1">
      <c r="A182" s="58"/>
    </row>
    <row r="183" hidden="1">
      <c r="A183" s="58"/>
    </row>
    <row r="184" hidden="1">
      <c r="A184" s="58"/>
    </row>
    <row r="185" hidden="1">
      <c r="A185" s="58"/>
    </row>
    <row r="186" hidden="1">
      <c r="A186" s="58"/>
    </row>
    <row r="187" hidden="1">
      <c r="A187" s="58"/>
    </row>
    <row r="188" hidden="1">
      <c r="A188" s="58"/>
    </row>
    <row r="189" hidden="1">
      <c r="A189" s="58"/>
    </row>
    <row r="190" hidden="1">
      <c r="A190" s="58"/>
    </row>
    <row r="191" hidden="1">
      <c r="A191" s="58"/>
    </row>
    <row r="192" hidden="1">
      <c r="A192" s="58"/>
    </row>
    <row r="193" hidden="1">
      <c r="A193" s="58"/>
    </row>
    <row r="194" hidden="1">
      <c r="A194" s="58"/>
    </row>
    <row r="195" hidden="1">
      <c r="A195" s="58"/>
    </row>
    <row r="196" hidden="1">
      <c r="A196" s="58"/>
    </row>
    <row r="197" hidden="1">
      <c r="A197" s="58"/>
    </row>
    <row r="198" hidden="1">
      <c r="A198" s="58"/>
    </row>
    <row r="199" hidden="1">
      <c r="A199" s="58"/>
    </row>
    <row r="200" hidden="1">
      <c r="A200" s="58"/>
    </row>
    <row r="201" hidden="1">
      <c r="A201" s="58"/>
    </row>
    <row r="202" hidden="1">
      <c r="A202" s="58"/>
    </row>
    <row r="203" hidden="1">
      <c r="A203" s="58"/>
    </row>
    <row r="204" hidden="1">
      <c r="A204" s="58"/>
    </row>
    <row r="205" hidden="1">
      <c r="A205" s="58"/>
    </row>
    <row r="206" hidden="1">
      <c r="A206" s="58"/>
    </row>
    <row r="207" hidden="1">
      <c r="A207" s="58"/>
    </row>
    <row r="208" hidden="1">
      <c r="A208" s="58"/>
    </row>
    <row r="209" hidden="1">
      <c r="A209" s="58"/>
    </row>
    <row r="210" hidden="1">
      <c r="A210" s="58"/>
    </row>
    <row r="211" hidden="1">
      <c r="A211" s="58"/>
    </row>
    <row r="212" hidden="1">
      <c r="A212" s="58"/>
    </row>
    <row r="213" hidden="1">
      <c r="A213" s="58"/>
    </row>
    <row r="214" hidden="1">
      <c r="A214" s="58"/>
    </row>
    <row r="215" hidden="1">
      <c r="A215" s="58"/>
    </row>
    <row r="216" hidden="1">
      <c r="A216" s="58"/>
    </row>
    <row r="217" hidden="1">
      <c r="A217" s="58"/>
    </row>
    <row r="218" hidden="1">
      <c r="A218" s="58"/>
    </row>
    <row r="219" hidden="1">
      <c r="A219" s="58"/>
    </row>
    <row r="220" hidden="1">
      <c r="A220" s="58"/>
    </row>
    <row r="221" hidden="1">
      <c r="A221" s="58"/>
    </row>
    <row r="222" hidden="1">
      <c r="A222" s="58"/>
    </row>
    <row r="223" hidden="1">
      <c r="A223" s="58"/>
    </row>
    <row r="224" hidden="1">
      <c r="A224" s="58"/>
    </row>
    <row r="225" hidden="1">
      <c r="A225" s="58"/>
    </row>
    <row r="226" hidden="1">
      <c r="A226" s="58"/>
    </row>
    <row r="227" hidden="1">
      <c r="A227" s="58"/>
    </row>
    <row r="228" hidden="1">
      <c r="A228" s="58"/>
    </row>
    <row r="229" hidden="1">
      <c r="A229" s="58"/>
    </row>
    <row r="230" hidden="1">
      <c r="A230" s="58"/>
    </row>
    <row r="231" hidden="1">
      <c r="A231" s="58"/>
    </row>
    <row r="232" hidden="1">
      <c r="A232" s="58"/>
    </row>
    <row r="233" hidden="1">
      <c r="A233" s="58"/>
    </row>
    <row r="234" hidden="1">
      <c r="A234" s="58"/>
    </row>
    <row r="235" hidden="1">
      <c r="A235" s="58"/>
    </row>
    <row r="236" hidden="1">
      <c r="A236" s="58"/>
    </row>
    <row r="237" hidden="1">
      <c r="A237" s="58"/>
    </row>
    <row r="238" hidden="1">
      <c r="A238" s="58"/>
    </row>
    <row r="239" hidden="1">
      <c r="A239" s="58"/>
    </row>
    <row r="240" hidden="1">
      <c r="A240" s="58"/>
    </row>
    <row r="241" hidden="1">
      <c r="A241" s="58"/>
    </row>
    <row r="242" hidden="1">
      <c r="A242" s="58"/>
    </row>
    <row r="243" hidden="1">
      <c r="A243" s="58"/>
    </row>
    <row r="244" hidden="1">
      <c r="A244" s="58"/>
    </row>
    <row r="245" hidden="1">
      <c r="A245" s="58"/>
    </row>
    <row r="246" hidden="1">
      <c r="A246" s="58"/>
    </row>
    <row r="247" hidden="1">
      <c r="A247" s="58"/>
    </row>
    <row r="248" hidden="1">
      <c r="A248" s="58"/>
    </row>
    <row r="249" hidden="1">
      <c r="A249" s="58"/>
    </row>
    <row r="250" hidden="1">
      <c r="A250" s="58"/>
    </row>
    <row r="251" hidden="1">
      <c r="A251" s="58"/>
    </row>
    <row r="252" hidden="1">
      <c r="A252" s="58"/>
    </row>
    <row r="253" hidden="1">
      <c r="A253" s="58"/>
    </row>
    <row r="254" hidden="1">
      <c r="A254" s="58"/>
    </row>
    <row r="255" hidden="1">
      <c r="A255" s="58"/>
    </row>
    <row r="256" hidden="1">
      <c r="A256" s="58"/>
    </row>
    <row r="257" hidden="1">
      <c r="A257" s="58"/>
    </row>
    <row r="258" hidden="1">
      <c r="A258" s="58"/>
    </row>
    <row r="259" hidden="1">
      <c r="A259" s="58"/>
    </row>
    <row r="260" hidden="1">
      <c r="A260" s="58"/>
    </row>
    <row r="261" hidden="1">
      <c r="A261" s="58"/>
    </row>
    <row r="262" hidden="1">
      <c r="A262" s="58"/>
    </row>
    <row r="263" hidden="1">
      <c r="A263" s="58"/>
    </row>
    <row r="264" hidden="1">
      <c r="A264" s="58"/>
    </row>
    <row r="265" hidden="1">
      <c r="A265" s="58"/>
    </row>
    <row r="266" hidden="1">
      <c r="A266" s="58"/>
    </row>
    <row r="267" hidden="1">
      <c r="A267" s="58"/>
    </row>
    <row r="268" hidden="1">
      <c r="A268" s="58"/>
    </row>
    <row r="269" hidden="1">
      <c r="A269" s="58"/>
    </row>
    <row r="270" hidden="1">
      <c r="A270" s="58"/>
    </row>
    <row r="271" hidden="1">
      <c r="A271" s="58"/>
    </row>
    <row r="272" hidden="1">
      <c r="A272" s="58"/>
    </row>
    <row r="273" hidden="1">
      <c r="A273" s="58"/>
    </row>
    <row r="274" hidden="1">
      <c r="A274" s="58"/>
    </row>
    <row r="275" hidden="1">
      <c r="A275" s="58"/>
    </row>
    <row r="276" hidden="1">
      <c r="A276" s="58"/>
    </row>
    <row r="277" hidden="1">
      <c r="A277" s="58"/>
    </row>
    <row r="278" hidden="1">
      <c r="A278" s="58"/>
    </row>
    <row r="279" hidden="1">
      <c r="A279" s="58"/>
    </row>
    <row r="280" hidden="1">
      <c r="A280" s="58"/>
    </row>
    <row r="281" hidden="1">
      <c r="A281" s="58"/>
    </row>
    <row r="282" hidden="1">
      <c r="A282" s="58"/>
    </row>
    <row r="283" hidden="1">
      <c r="A283" s="58"/>
    </row>
    <row r="284" hidden="1">
      <c r="A284" s="58"/>
    </row>
    <row r="285" hidden="1">
      <c r="A285" s="58"/>
    </row>
    <row r="286" hidden="1">
      <c r="A286" s="58"/>
    </row>
    <row r="287" hidden="1">
      <c r="A287" s="58"/>
    </row>
    <row r="288" hidden="1">
      <c r="A288" s="58"/>
    </row>
    <row r="289" hidden="1">
      <c r="A289" s="58"/>
    </row>
    <row r="290" hidden="1">
      <c r="A290" s="58"/>
    </row>
    <row r="291" hidden="1">
      <c r="A291" s="58"/>
    </row>
    <row r="292" hidden="1">
      <c r="A292" s="58"/>
    </row>
    <row r="293" hidden="1">
      <c r="A293" s="58"/>
    </row>
    <row r="294" hidden="1">
      <c r="A294" s="58"/>
    </row>
    <row r="295" hidden="1">
      <c r="A295" s="58"/>
    </row>
    <row r="296" hidden="1">
      <c r="A296" s="58"/>
    </row>
    <row r="297" hidden="1">
      <c r="A297" s="58"/>
    </row>
    <row r="298" hidden="1">
      <c r="A298" s="58"/>
    </row>
    <row r="299" hidden="1">
      <c r="A299" s="58"/>
    </row>
    <row r="300" hidden="1">
      <c r="A300" s="58"/>
    </row>
    <row r="301" hidden="1">
      <c r="A301" s="58"/>
    </row>
    <row r="302" hidden="1">
      <c r="A302" s="58"/>
    </row>
    <row r="303" hidden="1">
      <c r="A303" s="58"/>
    </row>
    <row r="304" hidden="1">
      <c r="A304" s="58"/>
    </row>
    <row r="305" hidden="1">
      <c r="A305" s="58"/>
    </row>
    <row r="306" hidden="1">
      <c r="A306" s="58"/>
    </row>
    <row r="307" hidden="1">
      <c r="A307" s="58"/>
    </row>
    <row r="308" hidden="1">
      <c r="A308" s="58"/>
    </row>
    <row r="309" hidden="1">
      <c r="A309" s="58"/>
    </row>
    <row r="310" hidden="1">
      <c r="A310" s="58"/>
    </row>
    <row r="311" hidden="1">
      <c r="A311" s="58"/>
    </row>
    <row r="312" hidden="1">
      <c r="A312" s="58"/>
    </row>
    <row r="313" hidden="1">
      <c r="A313" s="58"/>
    </row>
    <row r="314" hidden="1">
      <c r="A314" s="58"/>
    </row>
    <row r="315" hidden="1">
      <c r="A315" s="58"/>
    </row>
    <row r="316" hidden="1">
      <c r="A316" s="58"/>
    </row>
    <row r="317" hidden="1">
      <c r="A317" s="58"/>
    </row>
    <row r="318" hidden="1">
      <c r="A318" s="58"/>
    </row>
    <row r="319" hidden="1">
      <c r="A319" s="58"/>
    </row>
    <row r="320" hidden="1">
      <c r="A320" s="58"/>
    </row>
    <row r="321" hidden="1">
      <c r="A321" s="58"/>
    </row>
    <row r="322" hidden="1">
      <c r="A322" s="58"/>
    </row>
    <row r="323" hidden="1">
      <c r="A323" s="58"/>
    </row>
    <row r="324" hidden="1">
      <c r="A324" s="58"/>
    </row>
    <row r="325" hidden="1">
      <c r="A325" s="58"/>
    </row>
    <row r="326" hidden="1">
      <c r="A326" s="58"/>
    </row>
    <row r="327" hidden="1">
      <c r="A327" s="58"/>
    </row>
    <row r="328" hidden="1">
      <c r="A328" s="58"/>
    </row>
    <row r="329" hidden="1">
      <c r="A329" s="58"/>
    </row>
    <row r="330" hidden="1">
      <c r="A330" s="58"/>
    </row>
    <row r="331" hidden="1">
      <c r="A331" s="58"/>
    </row>
    <row r="332" hidden="1">
      <c r="A332" s="58"/>
    </row>
    <row r="333" hidden="1">
      <c r="A333" s="58"/>
    </row>
    <row r="334" hidden="1">
      <c r="A334" s="58"/>
    </row>
    <row r="335" hidden="1">
      <c r="A335" s="58"/>
    </row>
    <row r="336" hidden="1">
      <c r="A336" s="58"/>
    </row>
    <row r="337" hidden="1">
      <c r="A337" s="58"/>
    </row>
    <row r="338" hidden="1">
      <c r="A338" s="58"/>
    </row>
    <row r="339" hidden="1">
      <c r="A339" s="58"/>
    </row>
    <row r="340" hidden="1">
      <c r="A340" s="58"/>
    </row>
    <row r="341" hidden="1">
      <c r="A341" s="58"/>
    </row>
    <row r="342" hidden="1">
      <c r="A342" s="58"/>
    </row>
    <row r="343" hidden="1">
      <c r="A343" s="58"/>
    </row>
    <row r="344" hidden="1">
      <c r="A344" s="58"/>
    </row>
    <row r="345" hidden="1">
      <c r="A345" s="58"/>
    </row>
    <row r="346" hidden="1">
      <c r="A346" s="58"/>
    </row>
    <row r="347" hidden="1">
      <c r="A347" s="58"/>
    </row>
    <row r="348" hidden="1">
      <c r="A348" s="58"/>
    </row>
    <row r="349" hidden="1">
      <c r="A349" s="58"/>
    </row>
    <row r="350" hidden="1">
      <c r="A350" s="58"/>
    </row>
    <row r="351" hidden="1">
      <c r="A351" s="58"/>
    </row>
    <row r="352" hidden="1">
      <c r="A352" s="58"/>
    </row>
    <row r="353" hidden="1">
      <c r="A353" s="58"/>
    </row>
    <row r="354" hidden="1">
      <c r="A354" s="58"/>
    </row>
    <row r="355" hidden="1">
      <c r="A355" s="58"/>
    </row>
    <row r="356" hidden="1">
      <c r="A356" s="58"/>
    </row>
    <row r="357" hidden="1">
      <c r="A357" s="58"/>
    </row>
    <row r="358" hidden="1">
      <c r="A358" s="58"/>
    </row>
    <row r="359" hidden="1">
      <c r="A359" s="58"/>
    </row>
    <row r="360" hidden="1">
      <c r="A360" s="58"/>
    </row>
    <row r="361" hidden="1">
      <c r="A361" s="58"/>
    </row>
    <row r="362" hidden="1">
      <c r="A362" s="58"/>
    </row>
    <row r="363" hidden="1">
      <c r="A363" s="58"/>
    </row>
    <row r="364" hidden="1">
      <c r="A364" s="58"/>
    </row>
    <row r="365" hidden="1">
      <c r="A365" s="58"/>
    </row>
    <row r="366" hidden="1">
      <c r="A366" s="58"/>
    </row>
    <row r="367" hidden="1">
      <c r="A367" s="58"/>
    </row>
    <row r="368" hidden="1">
      <c r="A368" s="58"/>
    </row>
    <row r="369" hidden="1">
      <c r="A369" s="58"/>
    </row>
    <row r="370" hidden="1">
      <c r="A370" s="58"/>
    </row>
    <row r="371" hidden="1">
      <c r="A371" s="58"/>
    </row>
    <row r="372" hidden="1">
      <c r="A372" s="58"/>
    </row>
    <row r="373" hidden="1">
      <c r="A373" s="58"/>
    </row>
    <row r="374" hidden="1">
      <c r="A374" s="58"/>
    </row>
    <row r="375" hidden="1">
      <c r="A375" s="58"/>
    </row>
    <row r="376" hidden="1">
      <c r="A376" s="58"/>
    </row>
    <row r="377" hidden="1">
      <c r="A377" s="58"/>
    </row>
    <row r="378" hidden="1">
      <c r="A378" s="58"/>
    </row>
    <row r="379" hidden="1">
      <c r="A379" s="58"/>
    </row>
    <row r="380" hidden="1">
      <c r="A380" s="58"/>
    </row>
    <row r="381" hidden="1">
      <c r="A381" s="58"/>
    </row>
    <row r="382" hidden="1">
      <c r="A382" s="58"/>
    </row>
    <row r="383" hidden="1">
      <c r="A383" s="58"/>
    </row>
    <row r="384" hidden="1">
      <c r="A384" s="58"/>
    </row>
    <row r="385" hidden="1">
      <c r="A385" s="58"/>
    </row>
    <row r="386" hidden="1">
      <c r="A386" s="58"/>
    </row>
    <row r="387" hidden="1">
      <c r="A387" s="58"/>
    </row>
    <row r="388" hidden="1">
      <c r="A388" s="58"/>
    </row>
    <row r="389" hidden="1">
      <c r="A389" s="58"/>
    </row>
    <row r="390" hidden="1">
      <c r="A390" s="58"/>
    </row>
    <row r="391" hidden="1">
      <c r="A391" s="58"/>
    </row>
    <row r="392" hidden="1">
      <c r="A392" s="58"/>
    </row>
    <row r="393" hidden="1">
      <c r="A393" s="58"/>
    </row>
    <row r="394" hidden="1">
      <c r="A394" s="58"/>
    </row>
    <row r="395" hidden="1">
      <c r="A395" s="58"/>
    </row>
    <row r="396" hidden="1">
      <c r="A396" s="58"/>
    </row>
    <row r="397" hidden="1">
      <c r="A397" s="58"/>
    </row>
    <row r="398" hidden="1">
      <c r="A398" s="58"/>
    </row>
    <row r="399" hidden="1">
      <c r="A399" s="58"/>
    </row>
    <row r="400" hidden="1">
      <c r="A400" s="58"/>
    </row>
    <row r="401" hidden="1">
      <c r="A401" s="58"/>
    </row>
    <row r="402" hidden="1">
      <c r="A402" s="58"/>
    </row>
    <row r="403" hidden="1">
      <c r="A403" s="58"/>
    </row>
    <row r="404" hidden="1">
      <c r="A404" s="58"/>
    </row>
    <row r="405" hidden="1">
      <c r="A405" s="58"/>
    </row>
    <row r="406" hidden="1">
      <c r="A406" s="58"/>
    </row>
    <row r="407" hidden="1">
      <c r="A407" s="58"/>
    </row>
    <row r="408" hidden="1">
      <c r="A408" s="58"/>
    </row>
    <row r="409" hidden="1">
      <c r="A409" s="58"/>
    </row>
    <row r="410" hidden="1">
      <c r="A410" s="58"/>
    </row>
    <row r="411" hidden="1">
      <c r="A411" s="58"/>
    </row>
    <row r="412" hidden="1">
      <c r="A412" s="58"/>
    </row>
    <row r="413" hidden="1">
      <c r="A413" s="58"/>
    </row>
    <row r="414" hidden="1">
      <c r="A414" s="58"/>
    </row>
    <row r="415" hidden="1">
      <c r="A415" s="58"/>
    </row>
    <row r="416" hidden="1">
      <c r="A416" s="58"/>
    </row>
    <row r="417" hidden="1">
      <c r="A417" s="58"/>
    </row>
    <row r="418" hidden="1">
      <c r="A418" s="58"/>
    </row>
    <row r="419" hidden="1">
      <c r="A419" s="58"/>
    </row>
    <row r="420" hidden="1">
      <c r="A420" s="58"/>
    </row>
    <row r="421" hidden="1">
      <c r="A421" s="58"/>
    </row>
    <row r="422" hidden="1">
      <c r="A422" s="58"/>
    </row>
    <row r="423" hidden="1">
      <c r="A423" s="58"/>
    </row>
    <row r="424" hidden="1">
      <c r="A424" s="58"/>
    </row>
    <row r="425" hidden="1">
      <c r="A425" s="58"/>
    </row>
    <row r="426" hidden="1">
      <c r="A426" s="58"/>
    </row>
    <row r="427" hidden="1">
      <c r="A427" s="58"/>
    </row>
    <row r="428" hidden="1">
      <c r="A428" s="58"/>
    </row>
    <row r="429" hidden="1">
      <c r="A429" s="58"/>
    </row>
    <row r="430" hidden="1">
      <c r="A430" s="58"/>
    </row>
    <row r="431" hidden="1">
      <c r="A431" s="58"/>
    </row>
    <row r="432" hidden="1">
      <c r="A432" s="58"/>
    </row>
    <row r="433" hidden="1">
      <c r="A433" s="58"/>
    </row>
    <row r="434" hidden="1">
      <c r="A434" s="58"/>
    </row>
    <row r="435" hidden="1">
      <c r="A435" s="58"/>
    </row>
    <row r="436" hidden="1">
      <c r="A436" s="58"/>
    </row>
    <row r="437" hidden="1">
      <c r="A437" s="58"/>
    </row>
    <row r="438" hidden="1">
      <c r="A438" s="58"/>
    </row>
    <row r="439" hidden="1">
      <c r="A439" s="58"/>
    </row>
    <row r="440" hidden="1">
      <c r="A440" s="58"/>
    </row>
    <row r="441" hidden="1">
      <c r="A441" s="58"/>
    </row>
    <row r="442" hidden="1">
      <c r="A442" s="58"/>
    </row>
    <row r="443" hidden="1">
      <c r="A443" s="58"/>
    </row>
    <row r="444" hidden="1">
      <c r="A444" s="58"/>
    </row>
    <row r="445" hidden="1">
      <c r="A445" s="58"/>
    </row>
    <row r="446" hidden="1">
      <c r="A446" s="58"/>
    </row>
    <row r="447" hidden="1">
      <c r="A447" s="58"/>
    </row>
    <row r="448" hidden="1">
      <c r="A448" s="58"/>
    </row>
    <row r="449" hidden="1">
      <c r="A449" s="58"/>
    </row>
    <row r="450" hidden="1">
      <c r="A450" s="58"/>
    </row>
    <row r="451" hidden="1">
      <c r="A451" s="58"/>
    </row>
    <row r="452" hidden="1">
      <c r="A452" s="58"/>
    </row>
    <row r="453" hidden="1">
      <c r="A453" s="58"/>
    </row>
    <row r="454" hidden="1">
      <c r="A454" s="58"/>
    </row>
    <row r="455" hidden="1">
      <c r="A455" s="58"/>
    </row>
    <row r="456" hidden="1">
      <c r="A456" s="58"/>
    </row>
    <row r="457" hidden="1">
      <c r="A457" s="58"/>
    </row>
    <row r="458" hidden="1">
      <c r="A458" s="58"/>
    </row>
    <row r="459" hidden="1">
      <c r="A459" s="58"/>
    </row>
    <row r="460" hidden="1">
      <c r="A460" s="58"/>
    </row>
    <row r="461" hidden="1">
      <c r="A461" s="58"/>
    </row>
    <row r="462" hidden="1">
      <c r="A462" s="58"/>
    </row>
    <row r="463" hidden="1">
      <c r="A463" s="58"/>
    </row>
    <row r="464" hidden="1">
      <c r="A464" s="58"/>
    </row>
    <row r="465" hidden="1">
      <c r="A465" s="58"/>
    </row>
    <row r="466" hidden="1">
      <c r="A466" s="58"/>
    </row>
    <row r="467" hidden="1">
      <c r="A467" s="58"/>
    </row>
    <row r="468" hidden="1">
      <c r="A468" s="58"/>
    </row>
    <row r="469" hidden="1">
      <c r="A469" s="58"/>
    </row>
    <row r="470" hidden="1">
      <c r="A470" s="58"/>
    </row>
    <row r="471" hidden="1">
      <c r="A471" s="58"/>
    </row>
    <row r="472" hidden="1">
      <c r="A472" s="58"/>
    </row>
    <row r="473" hidden="1">
      <c r="A473" s="58"/>
    </row>
    <row r="474" hidden="1">
      <c r="A474" s="58"/>
    </row>
    <row r="475" hidden="1">
      <c r="A475" s="58"/>
    </row>
    <row r="476" hidden="1">
      <c r="A476" s="58"/>
    </row>
    <row r="477" hidden="1">
      <c r="A477" s="58"/>
    </row>
    <row r="478" hidden="1">
      <c r="A478" s="58"/>
    </row>
    <row r="479" hidden="1">
      <c r="A479" s="58"/>
    </row>
    <row r="480" hidden="1">
      <c r="A480" s="58"/>
    </row>
    <row r="481" hidden="1">
      <c r="A481" s="58"/>
    </row>
    <row r="482" hidden="1">
      <c r="A482" s="58"/>
    </row>
    <row r="483" hidden="1">
      <c r="A483" s="58"/>
    </row>
    <row r="484" hidden="1">
      <c r="A484" s="58"/>
    </row>
    <row r="485" hidden="1">
      <c r="A485" s="58"/>
    </row>
    <row r="486" hidden="1">
      <c r="A486" s="58"/>
    </row>
    <row r="487" hidden="1">
      <c r="A487" s="58"/>
    </row>
    <row r="488" hidden="1">
      <c r="A488" s="58"/>
    </row>
    <row r="489" hidden="1">
      <c r="A489" s="58"/>
    </row>
    <row r="490" hidden="1">
      <c r="A490" s="58"/>
    </row>
    <row r="491" hidden="1">
      <c r="A491" s="58"/>
    </row>
    <row r="492" hidden="1">
      <c r="A492" s="58"/>
    </row>
    <row r="493" hidden="1">
      <c r="A493" s="58"/>
    </row>
    <row r="494" hidden="1">
      <c r="A494" s="58"/>
    </row>
    <row r="495" hidden="1">
      <c r="A495" s="58"/>
    </row>
    <row r="496" hidden="1">
      <c r="A496" s="58"/>
    </row>
    <row r="497" hidden="1">
      <c r="A497" s="58"/>
    </row>
    <row r="498" hidden="1">
      <c r="A498" s="58"/>
    </row>
    <row r="499" hidden="1">
      <c r="A499" s="58"/>
    </row>
    <row r="500" hidden="1">
      <c r="A500" s="58"/>
    </row>
    <row r="501" hidden="1">
      <c r="A501" s="58"/>
    </row>
    <row r="502" hidden="1">
      <c r="A502" s="58"/>
    </row>
    <row r="503" hidden="1">
      <c r="A503" s="58"/>
    </row>
    <row r="504" hidden="1">
      <c r="A504" s="58"/>
    </row>
    <row r="505" hidden="1">
      <c r="A505" s="58"/>
    </row>
    <row r="506" hidden="1">
      <c r="A506" s="58"/>
    </row>
    <row r="507" hidden="1">
      <c r="A507" s="58"/>
    </row>
    <row r="508" hidden="1">
      <c r="A508" s="58"/>
    </row>
    <row r="509" hidden="1">
      <c r="A509" s="58"/>
    </row>
    <row r="510" hidden="1">
      <c r="A510" s="58"/>
    </row>
    <row r="511" hidden="1">
      <c r="A511" s="58"/>
    </row>
    <row r="512" hidden="1">
      <c r="A512" s="58"/>
    </row>
    <row r="513" hidden="1">
      <c r="A513" s="58"/>
    </row>
    <row r="514" hidden="1">
      <c r="A514" s="58"/>
    </row>
    <row r="515" hidden="1">
      <c r="A515" s="58"/>
    </row>
    <row r="516" hidden="1">
      <c r="A516" s="58"/>
    </row>
    <row r="517" hidden="1">
      <c r="A517" s="58"/>
    </row>
    <row r="518" hidden="1">
      <c r="A518" s="58"/>
    </row>
    <row r="519" hidden="1">
      <c r="A519" s="58"/>
    </row>
    <row r="520" hidden="1">
      <c r="A520" s="58"/>
    </row>
    <row r="521" hidden="1">
      <c r="A521" s="58"/>
    </row>
    <row r="522" hidden="1">
      <c r="A522" s="58"/>
    </row>
    <row r="523" hidden="1">
      <c r="A523" s="58"/>
    </row>
    <row r="524" hidden="1">
      <c r="A524" s="58"/>
    </row>
    <row r="525" hidden="1">
      <c r="A525" s="58"/>
    </row>
    <row r="526" hidden="1">
      <c r="A526" s="58"/>
    </row>
    <row r="527" hidden="1">
      <c r="A527" s="58"/>
    </row>
    <row r="528" hidden="1">
      <c r="A528" s="58"/>
    </row>
    <row r="529" hidden="1">
      <c r="A529" s="58"/>
    </row>
    <row r="530" hidden="1">
      <c r="A530" s="58"/>
    </row>
    <row r="531" hidden="1">
      <c r="A531" s="58"/>
    </row>
    <row r="532" hidden="1">
      <c r="A532" s="58"/>
    </row>
    <row r="533" hidden="1">
      <c r="A533" s="58"/>
    </row>
    <row r="534" hidden="1">
      <c r="A534" s="58"/>
    </row>
    <row r="535" hidden="1">
      <c r="A535" s="58"/>
    </row>
    <row r="536" hidden="1">
      <c r="A536" s="58"/>
    </row>
    <row r="537" hidden="1">
      <c r="A537" s="58"/>
    </row>
    <row r="538" hidden="1">
      <c r="A538" s="58"/>
    </row>
    <row r="539" hidden="1">
      <c r="A539" s="58"/>
    </row>
    <row r="540" hidden="1">
      <c r="A540" s="58"/>
    </row>
    <row r="541" hidden="1">
      <c r="A541" s="58"/>
    </row>
    <row r="542" hidden="1">
      <c r="A542" s="58"/>
    </row>
    <row r="543" hidden="1">
      <c r="A543" s="58"/>
    </row>
    <row r="544" hidden="1">
      <c r="A544" s="58"/>
    </row>
    <row r="545" hidden="1">
      <c r="A545" s="58"/>
    </row>
    <row r="546" hidden="1">
      <c r="A546" s="58"/>
    </row>
    <row r="547" hidden="1">
      <c r="A547" s="58"/>
    </row>
    <row r="548" hidden="1">
      <c r="A548" s="58"/>
    </row>
    <row r="549" hidden="1">
      <c r="A549" s="58"/>
    </row>
    <row r="550" hidden="1">
      <c r="A550" s="58"/>
    </row>
    <row r="551" hidden="1">
      <c r="A551" s="58"/>
    </row>
    <row r="552" hidden="1">
      <c r="A552" s="58"/>
    </row>
    <row r="553" hidden="1">
      <c r="A553" s="58"/>
    </row>
    <row r="554" hidden="1">
      <c r="A554" s="58"/>
    </row>
    <row r="555" hidden="1">
      <c r="A555" s="58"/>
    </row>
    <row r="556" hidden="1">
      <c r="A556" s="58"/>
    </row>
    <row r="557" hidden="1">
      <c r="A557" s="58"/>
    </row>
    <row r="558" hidden="1">
      <c r="A558" s="58"/>
    </row>
    <row r="559" hidden="1">
      <c r="A559" s="58"/>
    </row>
    <row r="560" hidden="1">
      <c r="A560" s="58"/>
    </row>
    <row r="561" hidden="1">
      <c r="A561" s="58"/>
    </row>
    <row r="562" hidden="1">
      <c r="A562" s="58"/>
    </row>
    <row r="563" hidden="1">
      <c r="A563" s="58"/>
    </row>
    <row r="564" hidden="1">
      <c r="A564" s="58"/>
    </row>
    <row r="565" hidden="1">
      <c r="A565" s="58"/>
    </row>
    <row r="566" hidden="1">
      <c r="A566" s="58"/>
    </row>
    <row r="567" hidden="1">
      <c r="A567" s="58"/>
    </row>
    <row r="568" hidden="1">
      <c r="A568" s="58"/>
    </row>
    <row r="569" hidden="1">
      <c r="A569" s="58"/>
    </row>
    <row r="570" hidden="1">
      <c r="A570" s="58"/>
    </row>
    <row r="571" hidden="1">
      <c r="A571" s="58"/>
    </row>
    <row r="572" hidden="1">
      <c r="A572" s="58"/>
    </row>
    <row r="573" hidden="1">
      <c r="A573" s="58"/>
    </row>
    <row r="574" hidden="1">
      <c r="A574" s="58"/>
    </row>
    <row r="575" hidden="1">
      <c r="A575" s="58"/>
    </row>
    <row r="576" hidden="1">
      <c r="A576" s="58"/>
    </row>
    <row r="577" hidden="1">
      <c r="A577" s="58"/>
    </row>
    <row r="578" hidden="1">
      <c r="A578" s="58"/>
    </row>
    <row r="579" hidden="1">
      <c r="A579" s="58"/>
    </row>
    <row r="580" hidden="1">
      <c r="A580" s="58"/>
    </row>
    <row r="581" hidden="1">
      <c r="A581" s="58"/>
    </row>
    <row r="582" hidden="1">
      <c r="A582" s="58"/>
    </row>
    <row r="583" hidden="1">
      <c r="A583" s="58"/>
    </row>
    <row r="584" hidden="1">
      <c r="A584" s="58"/>
    </row>
    <row r="585" hidden="1">
      <c r="A585" s="58"/>
    </row>
    <row r="586" hidden="1">
      <c r="A586" s="58"/>
    </row>
    <row r="587" hidden="1">
      <c r="A587" s="58"/>
    </row>
    <row r="588" hidden="1">
      <c r="A588" s="58"/>
    </row>
    <row r="589" hidden="1">
      <c r="A589" s="58"/>
    </row>
    <row r="590" hidden="1">
      <c r="A590" s="58"/>
    </row>
    <row r="591" hidden="1">
      <c r="A591" s="58"/>
    </row>
    <row r="592" hidden="1">
      <c r="A592" s="58"/>
    </row>
    <row r="593" hidden="1">
      <c r="A593" s="58"/>
    </row>
    <row r="594" hidden="1">
      <c r="A594" s="58"/>
    </row>
    <row r="595" hidden="1">
      <c r="A595" s="58"/>
    </row>
    <row r="596" hidden="1">
      <c r="A596" s="58"/>
    </row>
    <row r="597" hidden="1">
      <c r="A597" s="58"/>
    </row>
    <row r="598" hidden="1">
      <c r="A598" s="58"/>
    </row>
    <row r="599" hidden="1">
      <c r="A599" s="58"/>
    </row>
    <row r="600" hidden="1">
      <c r="A600" s="58"/>
    </row>
    <row r="601" hidden="1">
      <c r="A601" s="58"/>
    </row>
    <row r="602" hidden="1">
      <c r="A602" s="58"/>
    </row>
    <row r="603" hidden="1">
      <c r="A603" s="58"/>
    </row>
    <row r="604" hidden="1">
      <c r="A604" s="58"/>
    </row>
    <row r="605" hidden="1">
      <c r="A605" s="58"/>
    </row>
    <row r="606" hidden="1">
      <c r="A606" s="58"/>
    </row>
    <row r="607" hidden="1">
      <c r="A607" s="58"/>
    </row>
    <row r="608" hidden="1">
      <c r="A608" s="58"/>
    </row>
    <row r="609" hidden="1">
      <c r="A609" s="58"/>
    </row>
    <row r="610" hidden="1">
      <c r="A610" s="58"/>
    </row>
    <row r="611" hidden="1">
      <c r="A611" s="58"/>
    </row>
    <row r="612" hidden="1">
      <c r="A612" s="58"/>
    </row>
    <row r="613" hidden="1">
      <c r="A613" s="58"/>
    </row>
    <row r="614" hidden="1">
      <c r="A614" s="58"/>
    </row>
    <row r="615" hidden="1">
      <c r="A615" s="58"/>
    </row>
    <row r="616" hidden="1">
      <c r="A616" s="58"/>
    </row>
    <row r="617" hidden="1">
      <c r="A617" s="58"/>
    </row>
    <row r="618" hidden="1">
      <c r="A618" s="58"/>
    </row>
    <row r="619" hidden="1">
      <c r="A619" s="58"/>
    </row>
    <row r="620" hidden="1">
      <c r="A620" s="58"/>
    </row>
    <row r="621" hidden="1">
      <c r="A621" s="58"/>
    </row>
    <row r="622" hidden="1">
      <c r="A622" s="58"/>
    </row>
    <row r="623" hidden="1">
      <c r="A623" s="58"/>
    </row>
    <row r="624" hidden="1">
      <c r="A624" s="58"/>
    </row>
    <row r="625" hidden="1">
      <c r="A625" s="58"/>
    </row>
    <row r="626" hidden="1">
      <c r="A626" s="58"/>
    </row>
    <row r="627" hidden="1">
      <c r="A627" s="58"/>
    </row>
    <row r="628" hidden="1">
      <c r="A628" s="58"/>
    </row>
    <row r="629" hidden="1">
      <c r="A629" s="58"/>
    </row>
    <row r="630" hidden="1">
      <c r="A630" s="58"/>
    </row>
    <row r="631" hidden="1">
      <c r="A631" s="58"/>
    </row>
    <row r="632" hidden="1">
      <c r="A632" s="58"/>
    </row>
    <row r="633" hidden="1">
      <c r="A633" s="58"/>
    </row>
    <row r="634" hidden="1">
      <c r="A634" s="58"/>
    </row>
    <row r="635" hidden="1">
      <c r="A635" s="58"/>
    </row>
    <row r="636" hidden="1">
      <c r="A636" s="58"/>
    </row>
    <row r="637" hidden="1">
      <c r="A637" s="58"/>
    </row>
    <row r="638" hidden="1">
      <c r="A638" s="58"/>
    </row>
    <row r="639" hidden="1">
      <c r="A639" s="58"/>
    </row>
    <row r="640" hidden="1">
      <c r="A640" s="58"/>
    </row>
    <row r="641" hidden="1">
      <c r="A641" s="58"/>
    </row>
    <row r="642" hidden="1">
      <c r="A642" s="58"/>
    </row>
    <row r="643" hidden="1">
      <c r="A643" s="58"/>
    </row>
    <row r="644" hidden="1">
      <c r="A644" s="58"/>
    </row>
    <row r="645" hidden="1">
      <c r="A645" s="58"/>
    </row>
    <row r="646" hidden="1">
      <c r="A646" s="58"/>
    </row>
    <row r="647" hidden="1">
      <c r="A647" s="58"/>
    </row>
    <row r="648" hidden="1">
      <c r="A648" s="58"/>
    </row>
    <row r="649" hidden="1">
      <c r="A649" s="58"/>
    </row>
    <row r="650" hidden="1">
      <c r="A650" s="58"/>
    </row>
    <row r="651" hidden="1">
      <c r="A651" s="58"/>
    </row>
    <row r="652" hidden="1">
      <c r="A652" s="58"/>
    </row>
    <row r="653" hidden="1">
      <c r="A653" s="58"/>
    </row>
    <row r="654" hidden="1">
      <c r="A654" s="58"/>
    </row>
    <row r="655" hidden="1">
      <c r="A655" s="58"/>
    </row>
    <row r="656" hidden="1">
      <c r="A656" s="58"/>
    </row>
    <row r="657" hidden="1">
      <c r="A657" s="58"/>
    </row>
    <row r="658" hidden="1">
      <c r="A658" s="58"/>
    </row>
    <row r="659" hidden="1">
      <c r="A659" s="58"/>
    </row>
    <row r="660" hidden="1">
      <c r="A660" s="58"/>
    </row>
    <row r="661" hidden="1">
      <c r="A661" s="58"/>
    </row>
    <row r="662" hidden="1">
      <c r="A662" s="58"/>
    </row>
    <row r="663" hidden="1">
      <c r="A663" s="58"/>
    </row>
    <row r="664" hidden="1">
      <c r="A664" s="58"/>
    </row>
    <row r="665" hidden="1">
      <c r="A665" s="58"/>
    </row>
    <row r="666" hidden="1">
      <c r="A666" s="58"/>
    </row>
    <row r="667" hidden="1">
      <c r="A667" s="58"/>
    </row>
    <row r="668" hidden="1">
      <c r="A668" s="58"/>
    </row>
    <row r="669" hidden="1">
      <c r="A669" s="58"/>
    </row>
    <row r="670" hidden="1">
      <c r="A670" s="58"/>
    </row>
    <row r="671" hidden="1">
      <c r="A671" s="58"/>
    </row>
    <row r="672" hidden="1">
      <c r="A672" s="58"/>
    </row>
    <row r="673" hidden="1">
      <c r="A673" s="58"/>
    </row>
    <row r="674" hidden="1">
      <c r="A674" s="58"/>
    </row>
    <row r="675" hidden="1">
      <c r="A675" s="58"/>
    </row>
    <row r="676" hidden="1">
      <c r="A676" s="58"/>
    </row>
    <row r="677" hidden="1">
      <c r="A677" s="58"/>
    </row>
    <row r="678" hidden="1">
      <c r="A678" s="58"/>
    </row>
    <row r="679" hidden="1">
      <c r="A679" s="58"/>
    </row>
    <row r="680" hidden="1">
      <c r="A680" s="58"/>
    </row>
    <row r="681" hidden="1">
      <c r="A681" s="58"/>
    </row>
    <row r="682" hidden="1">
      <c r="A682" s="58"/>
    </row>
    <row r="683" hidden="1">
      <c r="A683" s="58"/>
    </row>
    <row r="684" hidden="1">
      <c r="A684" s="58"/>
    </row>
    <row r="685" hidden="1">
      <c r="A685" s="58"/>
    </row>
    <row r="686" hidden="1">
      <c r="A686" s="58"/>
    </row>
    <row r="687" hidden="1">
      <c r="A687" s="58"/>
    </row>
    <row r="688" hidden="1">
      <c r="A688" s="58"/>
    </row>
    <row r="689" hidden="1">
      <c r="A689" s="58"/>
    </row>
    <row r="690" hidden="1">
      <c r="A690" s="58"/>
    </row>
    <row r="691" hidden="1">
      <c r="A691" s="58"/>
    </row>
    <row r="692" hidden="1">
      <c r="A692" s="58"/>
    </row>
    <row r="693" hidden="1">
      <c r="A693" s="58"/>
    </row>
    <row r="694" hidden="1">
      <c r="A694" s="58"/>
    </row>
    <row r="695" hidden="1">
      <c r="A695" s="58"/>
    </row>
    <row r="696" hidden="1">
      <c r="A696" s="58"/>
    </row>
    <row r="697" hidden="1">
      <c r="A697" s="58"/>
    </row>
    <row r="698" hidden="1">
      <c r="A698" s="58"/>
    </row>
    <row r="699" hidden="1">
      <c r="A699" s="58"/>
    </row>
    <row r="700" hidden="1">
      <c r="A700" s="58"/>
    </row>
    <row r="701" hidden="1">
      <c r="A701" s="58"/>
    </row>
    <row r="702" hidden="1">
      <c r="A702" s="58"/>
    </row>
    <row r="703" hidden="1">
      <c r="A703" s="58"/>
    </row>
    <row r="704" hidden="1">
      <c r="A704" s="58"/>
    </row>
    <row r="705" hidden="1">
      <c r="A705" s="58"/>
    </row>
    <row r="706" hidden="1">
      <c r="A706" s="58"/>
    </row>
    <row r="707" hidden="1">
      <c r="A707" s="58"/>
    </row>
    <row r="708" hidden="1">
      <c r="A708" s="58"/>
    </row>
    <row r="709" hidden="1">
      <c r="A709" s="58"/>
    </row>
    <row r="710" hidden="1">
      <c r="A710" s="58"/>
    </row>
    <row r="711" hidden="1">
      <c r="A711" s="58"/>
    </row>
    <row r="712" hidden="1">
      <c r="A712" s="58"/>
    </row>
    <row r="713" hidden="1">
      <c r="A713" s="58"/>
    </row>
    <row r="714" hidden="1">
      <c r="A714" s="58"/>
    </row>
    <row r="715" hidden="1">
      <c r="A715" s="58"/>
    </row>
    <row r="716" hidden="1">
      <c r="A716" s="58"/>
    </row>
    <row r="717" hidden="1">
      <c r="A717" s="58"/>
    </row>
    <row r="718" hidden="1">
      <c r="A718" s="58"/>
    </row>
    <row r="719" hidden="1">
      <c r="A719" s="58"/>
    </row>
    <row r="720" hidden="1">
      <c r="A720" s="58"/>
    </row>
    <row r="721" hidden="1">
      <c r="A721" s="58"/>
    </row>
    <row r="722" hidden="1">
      <c r="A722" s="58"/>
    </row>
    <row r="723" hidden="1">
      <c r="A723" s="58"/>
    </row>
    <row r="724" hidden="1">
      <c r="A724" s="58"/>
    </row>
    <row r="725" hidden="1">
      <c r="A725" s="58"/>
    </row>
    <row r="726" hidden="1">
      <c r="A726" s="58"/>
    </row>
    <row r="727" hidden="1">
      <c r="A727" s="58"/>
    </row>
    <row r="728" hidden="1">
      <c r="A728" s="58"/>
    </row>
    <row r="729" hidden="1">
      <c r="A729" s="58"/>
    </row>
    <row r="730" hidden="1">
      <c r="A730" s="58"/>
    </row>
    <row r="731" hidden="1">
      <c r="A731" s="58"/>
    </row>
    <row r="732" hidden="1">
      <c r="A732" s="58"/>
    </row>
    <row r="733" hidden="1">
      <c r="A733" s="58"/>
    </row>
    <row r="734" hidden="1">
      <c r="A734" s="58"/>
    </row>
    <row r="735" hidden="1">
      <c r="A735" s="58"/>
    </row>
    <row r="736" hidden="1">
      <c r="A736" s="58"/>
    </row>
    <row r="737" hidden="1">
      <c r="A737" s="58"/>
    </row>
    <row r="738" hidden="1">
      <c r="A738" s="58"/>
    </row>
    <row r="739" hidden="1">
      <c r="A739" s="58"/>
    </row>
    <row r="740" hidden="1">
      <c r="A740" s="58"/>
    </row>
    <row r="741" hidden="1">
      <c r="A741" s="58"/>
    </row>
    <row r="742" hidden="1">
      <c r="A742" s="58"/>
    </row>
    <row r="743" hidden="1">
      <c r="A743" s="58"/>
    </row>
    <row r="744" hidden="1">
      <c r="A744" s="58"/>
    </row>
    <row r="745" hidden="1">
      <c r="A745" s="58"/>
    </row>
    <row r="746" hidden="1">
      <c r="A746" s="58"/>
    </row>
    <row r="747" hidden="1">
      <c r="A747" s="58"/>
    </row>
    <row r="748" hidden="1">
      <c r="A748" s="58"/>
    </row>
    <row r="749" hidden="1">
      <c r="A749" s="58"/>
    </row>
    <row r="750" hidden="1">
      <c r="A750" s="58"/>
    </row>
    <row r="751" hidden="1">
      <c r="A751" s="58"/>
    </row>
    <row r="752" hidden="1">
      <c r="A752" s="58"/>
    </row>
    <row r="753" hidden="1">
      <c r="A753" s="58"/>
    </row>
    <row r="754" hidden="1">
      <c r="A754" s="58"/>
    </row>
    <row r="755" hidden="1">
      <c r="A755" s="58"/>
    </row>
    <row r="756" hidden="1">
      <c r="A756" s="58"/>
    </row>
    <row r="757" hidden="1">
      <c r="A757" s="58"/>
    </row>
    <row r="758" hidden="1">
      <c r="A758" s="58"/>
    </row>
    <row r="759" hidden="1">
      <c r="A759" s="58"/>
    </row>
    <row r="760" hidden="1">
      <c r="A760" s="58"/>
    </row>
    <row r="761" hidden="1">
      <c r="A761" s="58"/>
    </row>
    <row r="762" hidden="1">
      <c r="A762" s="58"/>
    </row>
    <row r="763" hidden="1">
      <c r="A763" s="58"/>
    </row>
    <row r="764" hidden="1">
      <c r="A764" s="58"/>
    </row>
    <row r="765" hidden="1">
      <c r="A765" s="58"/>
    </row>
    <row r="766" hidden="1">
      <c r="A766" s="58"/>
    </row>
    <row r="767" hidden="1">
      <c r="A767" s="58"/>
    </row>
    <row r="768" hidden="1">
      <c r="A768" s="58"/>
    </row>
    <row r="769" hidden="1">
      <c r="A769" s="58"/>
    </row>
    <row r="770" hidden="1">
      <c r="A770" s="58"/>
    </row>
    <row r="771" hidden="1">
      <c r="A771" s="58"/>
    </row>
    <row r="772" hidden="1">
      <c r="A772" s="58"/>
    </row>
    <row r="773" hidden="1">
      <c r="A773" s="58"/>
    </row>
    <row r="774" hidden="1">
      <c r="A774" s="58"/>
    </row>
    <row r="775" hidden="1">
      <c r="A775" s="58"/>
    </row>
    <row r="776" hidden="1">
      <c r="A776" s="58"/>
    </row>
    <row r="777" hidden="1">
      <c r="A777" s="58"/>
    </row>
    <row r="778" hidden="1">
      <c r="A778" s="58"/>
    </row>
    <row r="779" hidden="1">
      <c r="A779" s="58"/>
    </row>
    <row r="780" hidden="1">
      <c r="A780" s="58"/>
    </row>
    <row r="781" hidden="1">
      <c r="A781" s="58"/>
    </row>
    <row r="782" hidden="1">
      <c r="A782" s="58"/>
    </row>
    <row r="783" hidden="1">
      <c r="A783" s="58"/>
    </row>
    <row r="784" hidden="1">
      <c r="A784" s="58"/>
    </row>
    <row r="785" hidden="1">
      <c r="A785" s="58"/>
    </row>
    <row r="786" hidden="1">
      <c r="A786" s="58"/>
    </row>
    <row r="787" hidden="1">
      <c r="A787" s="58"/>
    </row>
    <row r="788" hidden="1">
      <c r="A788" s="58"/>
    </row>
    <row r="789" hidden="1">
      <c r="A789" s="58"/>
    </row>
    <row r="790" hidden="1">
      <c r="A790" s="58"/>
    </row>
    <row r="791" hidden="1">
      <c r="A791" s="58"/>
    </row>
    <row r="792" hidden="1">
      <c r="A792" s="58"/>
    </row>
    <row r="793" hidden="1">
      <c r="A793" s="58"/>
    </row>
    <row r="794" hidden="1">
      <c r="A794" s="58"/>
    </row>
    <row r="795" hidden="1">
      <c r="A795" s="58"/>
    </row>
    <row r="796" hidden="1">
      <c r="A796" s="58"/>
    </row>
    <row r="797" hidden="1">
      <c r="A797" s="58"/>
    </row>
    <row r="798" hidden="1">
      <c r="A798" s="58"/>
    </row>
    <row r="799" hidden="1">
      <c r="A799" s="58"/>
    </row>
    <row r="800" hidden="1">
      <c r="A800" s="58"/>
    </row>
    <row r="801" hidden="1">
      <c r="A801" s="58"/>
    </row>
    <row r="802" hidden="1">
      <c r="A802" s="58"/>
    </row>
    <row r="803" hidden="1">
      <c r="A803" s="58"/>
    </row>
    <row r="804" hidden="1">
      <c r="A804" s="58"/>
    </row>
    <row r="805" hidden="1">
      <c r="A805" s="58"/>
    </row>
    <row r="806" hidden="1">
      <c r="A806" s="58"/>
    </row>
    <row r="807" hidden="1">
      <c r="A807" s="58"/>
    </row>
    <row r="808" hidden="1">
      <c r="A808" s="58"/>
    </row>
    <row r="809" hidden="1">
      <c r="A809" s="58"/>
    </row>
    <row r="810" hidden="1">
      <c r="A810" s="58"/>
    </row>
    <row r="811" hidden="1">
      <c r="A811" s="58"/>
    </row>
    <row r="812" hidden="1">
      <c r="A812" s="58"/>
    </row>
    <row r="813" hidden="1">
      <c r="A813" s="58"/>
    </row>
    <row r="814" hidden="1">
      <c r="A814" s="58"/>
    </row>
    <row r="815" hidden="1">
      <c r="A815" s="58"/>
    </row>
    <row r="816" hidden="1">
      <c r="A816" s="58"/>
    </row>
    <row r="817" hidden="1">
      <c r="A817" s="58"/>
    </row>
    <row r="818" hidden="1">
      <c r="A818" s="58"/>
    </row>
    <row r="819" hidden="1">
      <c r="A819" s="58"/>
    </row>
    <row r="820" hidden="1">
      <c r="A820" s="58"/>
    </row>
    <row r="821" hidden="1">
      <c r="A821" s="58"/>
    </row>
    <row r="822" hidden="1">
      <c r="A822" s="58"/>
    </row>
    <row r="823" hidden="1">
      <c r="A823" s="58"/>
    </row>
    <row r="824" hidden="1">
      <c r="A824" s="58"/>
    </row>
    <row r="825" hidden="1">
      <c r="A825" s="58"/>
    </row>
    <row r="826" hidden="1">
      <c r="A826" s="58"/>
    </row>
    <row r="827" hidden="1">
      <c r="A827" s="58"/>
    </row>
    <row r="828" hidden="1">
      <c r="A828" s="58"/>
    </row>
    <row r="829" hidden="1">
      <c r="A829" s="58"/>
    </row>
    <row r="830" hidden="1">
      <c r="A830" s="58"/>
    </row>
    <row r="831" hidden="1">
      <c r="A831" s="58"/>
    </row>
    <row r="832" hidden="1">
      <c r="A832" s="58"/>
    </row>
    <row r="833" hidden="1">
      <c r="A833" s="58"/>
    </row>
    <row r="834" hidden="1">
      <c r="A834" s="58"/>
    </row>
    <row r="835" hidden="1">
      <c r="A835" s="58"/>
    </row>
    <row r="836" hidden="1">
      <c r="A836" s="58"/>
    </row>
    <row r="837" hidden="1">
      <c r="A837" s="58"/>
    </row>
    <row r="838" hidden="1">
      <c r="A838" s="58"/>
    </row>
    <row r="839" hidden="1">
      <c r="A839" s="58"/>
    </row>
    <row r="840" hidden="1">
      <c r="A840" s="58"/>
    </row>
    <row r="841" hidden="1">
      <c r="A841" s="58"/>
    </row>
    <row r="842" hidden="1">
      <c r="A842" s="58"/>
    </row>
    <row r="843" hidden="1">
      <c r="A843" s="58"/>
    </row>
    <row r="844" hidden="1">
      <c r="A844" s="58"/>
    </row>
    <row r="845" hidden="1">
      <c r="A845" s="58"/>
    </row>
    <row r="846" hidden="1">
      <c r="A846" s="58"/>
    </row>
    <row r="847" hidden="1">
      <c r="A847" s="58"/>
    </row>
    <row r="848" hidden="1">
      <c r="A848" s="58"/>
    </row>
    <row r="849" hidden="1">
      <c r="A849" s="58"/>
    </row>
    <row r="850" hidden="1">
      <c r="A850" s="58"/>
    </row>
    <row r="851" hidden="1">
      <c r="A851" s="58"/>
    </row>
    <row r="852" hidden="1">
      <c r="A852" s="58"/>
    </row>
    <row r="853" hidden="1">
      <c r="A853" s="58"/>
    </row>
    <row r="854" hidden="1">
      <c r="A854" s="58"/>
    </row>
    <row r="855" hidden="1">
      <c r="A855" s="58"/>
    </row>
    <row r="856" hidden="1">
      <c r="A856" s="58"/>
    </row>
    <row r="857" hidden="1">
      <c r="A857" s="58"/>
    </row>
    <row r="858" hidden="1">
      <c r="A858" s="58"/>
    </row>
    <row r="859" hidden="1">
      <c r="A859" s="58"/>
    </row>
    <row r="860" hidden="1">
      <c r="A860" s="58"/>
    </row>
    <row r="861" hidden="1">
      <c r="A861" s="58"/>
    </row>
    <row r="862" hidden="1">
      <c r="A862" s="58"/>
    </row>
    <row r="863" hidden="1">
      <c r="A863" s="58"/>
    </row>
    <row r="864" hidden="1">
      <c r="A864" s="58"/>
    </row>
    <row r="865" hidden="1">
      <c r="A865" s="58"/>
    </row>
    <row r="866" hidden="1">
      <c r="A866" s="58"/>
    </row>
    <row r="867" hidden="1">
      <c r="A867" s="58"/>
    </row>
    <row r="868" hidden="1">
      <c r="A868" s="58"/>
    </row>
    <row r="869" hidden="1">
      <c r="A869" s="58"/>
    </row>
    <row r="870" hidden="1">
      <c r="A870" s="58"/>
    </row>
    <row r="871" hidden="1">
      <c r="A871" s="58"/>
    </row>
    <row r="872" hidden="1">
      <c r="A872" s="58"/>
    </row>
    <row r="873" hidden="1">
      <c r="A873" s="58"/>
    </row>
    <row r="874" hidden="1">
      <c r="A874" s="58"/>
    </row>
    <row r="875" hidden="1">
      <c r="A875" s="58"/>
    </row>
    <row r="876" hidden="1">
      <c r="A876" s="58"/>
    </row>
    <row r="877" hidden="1">
      <c r="A877" s="58"/>
    </row>
    <row r="878" hidden="1">
      <c r="A878" s="58"/>
    </row>
    <row r="879" hidden="1">
      <c r="A879" s="58"/>
    </row>
    <row r="880" hidden="1">
      <c r="A880" s="58"/>
    </row>
    <row r="881" hidden="1">
      <c r="A881" s="58"/>
    </row>
    <row r="882" hidden="1">
      <c r="A882" s="58"/>
    </row>
    <row r="883" hidden="1">
      <c r="A883" s="58"/>
    </row>
    <row r="884" hidden="1">
      <c r="A884" s="58"/>
    </row>
    <row r="885" hidden="1">
      <c r="A885" s="58"/>
    </row>
    <row r="886" hidden="1">
      <c r="A886" s="58"/>
    </row>
    <row r="887" hidden="1">
      <c r="A887" s="58"/>
    </row>
    <row r="888" hidden="1">
      <c r="A888" s="58"/>
    </row>
    <row r="889" hidden="1">
      <c r="A889" s="58"/>
    </row>
    <row r="890" hidden="1">
      <c r="A890" s="58"/>
    </row>
    <row r="891" hidden="1">
      <c r="A891" s="58"/>
    </row>
    <row r="892" hidden="1">
      <c r="A892" s="58"/>
    </row>
    <row r="893" hidden="1">
      <c r="A893" s="58"/>
    </row>
    <row r="894" hidden="1">
      <c r="A894" s="58"/>
    </row>
    <row r="895" hidden="1">
      <c r="A895" s="58"/>
    </row>
    <row r="896" hidden="1">
      <c r="A896" s="58"/>
    </row>
    <row r="897" hidden="1">
      <c r="A897" s="58"/>
    </row>
    <row r="898" hidden="1">
      <c r="A898" s="58"/>
    </row>
    <row r="899" hidden="1">
      <c r="A899" s="58"/>
    </row>
    <row r="900" hidden="1">
      <c r="A900" s="58"/>
    </row>
    <row r="901" hidden="1">
      <c r="A901" s="58"/>
    </row>
    <row r="902" hidden="1">
      <c r="A902" s="58"/>
    </row>
    <row r="903" hidden="1">
      <c r="A903" s="58"/>
    </row>
    <row r="904" hidden="1">
      <c r="A904" s="58"/>
    </row>
    <row r="905" hidden="1">
      <c r="A905" s="58"/>
    </row>
    <row r="906" hidden="1">
      <c r="A906" s="58"/>
    </row>
    <row r="907" hidden="1">
      <c r="A907" s="58"/>
    </row>
    <row r="908" hidden="1">
      <c r="A908" s="58"/>
    </row>
    <row r="909" hidden="1">
      <c r="A909" s="58"/>
    </row>
    <row r="910" hidden="1">
      <c r="A910" s="58"/>
    </row>
    <row r="911" hidden="1">
      <c r="A911" s="58"/>
    </row>
    <row r="912" hidden="1">
      <c r="A912" s="58"/>
    </row>
    <row r="913" hidden="1">
      <c r="A913" s="58"/>
    </row>
    <row r="914" hidden="1">
      <c r="A914" s="58"/>
    </row>
    <row r="915" hidden="1">
      <c r="A915" s="58"/>
    </row>
    <row r="916" hidden="1">
      <c r="A916" s="58"/>
    </row>
    <row r="917" hidden="1">
      <c r="A917" s="58"/>
    </row>
    <row r="918" hidden="1">
      <c r="A918" s="58"/>
    </row>
    <row r="919" hidden="1">
      <c r="A919" s="58"/>
    </row>
    <row r="920" hidden="1">
      <c r="A920" s="58"/>
    </row>
    <row r="921" hidden="1">
      <c r="A921" s="58"/>
    </row>
    <row r="922" hidden="1">
      <c r="A922" s="58"/>
    </row>
    <row r="923" hidden="1">
      <c r="A923" s="58"/>
    </row>
    <row r="924" hidden="1">
      <c r="A924" s="58"/>
    </row>
    <row r="925" hidden="1">
      <c r="A925" s="58"/>
    </row>
    <row r="926" hidden="1">
      <c r="A926" s="58"/>
    </row>
    <row r="927" hidden="1">
      <c r="A927" s="58"/>
    </row>
    <row r="928" hidden="1">
      <c r="A928" s="58"/>
    </row>
    <row r="929" hidden="1">
      <c r="A929" s="58"/>
    </row>
    <row r="930" hidden="1">
      <c r="A930" s="58"/>
    </row>
    <row r="931" hidden="1">
      <c r="A931" s="58"/>
    </row>
    <row r="932" hidden="1">
      <c r="A932" s="58"/>
    </row>
    <row r="933" hidden="1">
      <c r="A933" s="58"/>
    </row>
    <row r="934" hidden="1">
      <c r="A934" s="58"/>
    </row>
    <row r="935" hidden="1">
      <c r="A935" s="58"/>
    </row>
    <row r="936" hidden="1">
      <c r="A936" s="58"/>
    </row>
    <row r="937" hidden="1">
      <c r="A937" s="58"/>
    </row>
    <row r="938" hidden="1">
      <c r="A938" s="58"/>
    </row>
    <row r="939" hidden="1">
      <c r="A939" s="58"/>
    </row>
    <row r="940" hidden="1">
      <c r="A940" s="58"/>
    </row>
    <row r="941" hidden="1">
      <c r="A941" s="58"/>
    </row>
    <row r="942" hidden="1">
      <c r="A942" s="58"/>
    </row>
    <row r="943" hidden="1">
      <c r="A943" s="58"/>
    </row>
    <row r="944" hidden="1">
      <c r="A944" s="58"/>
    </row>
    <row r="945" hidden="1">
      <c r="A945" s="58"/>
    </row>
    <row r="946" hidden="1">
      <c r="A946" s="58"/>
    </row>
    <row r="947" hidden="1">
      <c r="A947" s="58"/>
    </row>
    <row r="948" hidden="1">
      <c r="A948" s="58"/>
    </row>
    <row r="949" hidden="1">
      <c r="A949" s="58"/>
    </row>
  </sheetData>
  <mergeCells count="14">
    <mergeCell ref="A8:B8"/>
    <mergeCell ref="A9:B9"/>
    <mergeCell ref="A10:B10"/>
    <mergeCell ref="A11:B11"/>
    <mergeCell ref="A12:B12"/>
    <mergeCell ref="A13:B13"/>
    <mergeCell ref="A14:B14"/>
    <mergeCell ref="A1:O1"/>
    <mergeCell ref="A2:B2"/>
    <mergeCell ref="A3:B3"/>
    <mergeCell ref="A4:B4"/>
    <mergeCell ref="A5:B5"/>
    <mergeCell ref="A6:B6"/>
    <mergeCell ref="A7:B7"/>
  </mergeCells>
  <conditionalFormatting sqref="C13">
    <cfRule type="colorScale" priority="1">
      <colorScale>
        <cfvo type="min"/>
        <cfvo type="percent" val="20"/>
        <cfvo type="percent" val="90"/>
        <color rgb="FFFFFFFF"/>
        <color rgb="FFABDDC5"/>
        <color rgb="FF57BB8A"/>
      </colorScale>
    </cfRule>
  </conditionalFormatting>
  <conditionalFormatting sqref="C3 C5:C14 N13">
    <cfRule type="colorScale" priority="2">
      <colorScale>
        <cfvo type="min"/>
        <cfvo type="max"/>
        <color rgb="FFFFFFFF"/>
        <color rgb="FF57BB8A"/>
      </colorScale>
    </cfRule>
  </conditionalFormatting>
  <conditionalFormatting sqref="D3:D14 N4">
    <cfRule type="colorScale" priority="3">
      <colorScale>
        <cfvo type="min"/>
        <cfvo type="max"/>
        <color rgb="FFFFFFFF"/>
        <color rgb="FF57BB8A"/>
      </colorScale>
    </cfRule>
  </conditionalFormatting>
  <conditionalFormatting sqref="G3:G14">
    <cfRule type="colorScale" priority="4">
      <colorScale>
        <cfvo type="min"/>
        <cfvo type="max"/>
        <color rgb="FFFFFFFF"/>
        <color rgb="FF57BB8A"/>
      </colorScale>
    </cfRule>
  </conditionalFormatting>
  <conditionalFormatting sqref="M3:M14">
    <cfRule type="colorScale" priority="5">
      <colorScale>
        <cfvo type="min"/>
        <cfvo type="max"/>
        <color rgb="FFFFFFFF"/>
        <color rgb="FF57BB8A"/>
      </colorScale>
    </cfRule>
  </conditionalFormatting>
  <conditionalFormatting sqref="N3:N14">
    <cfRule type="colorScale" priority="6">
      <colorScale>
        <cfvo type="min"/>
        <cfvo type="max"/>
        <color rgb="FFFFFFFF"/>
        <color rgb="FF57BB8A"/>
      </colorScale>
    </cfRule>
  </conditionalFormatting>
  <hyperlinks>
    <hyperlink r:id="rId2" ref="A1"/>
  </hyperlinks>
  <drawing r:id="rId3"/>
  <legacy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57.13"/>
    <col customWidth="1" min="3" max="3" width="57.88"/>
  </cols>
  <sheetData>
    <row r="1">
      <c r="A1" s="95" t="s">
        <v>1357</v>
      </c>
    </row>
    <row r="2">
      <c r="A2" s="95" t="s">
        <v>1358</v>
      </c>
    </row>
    <row r="3">
      <c r="A3" s="95" t="s">
        <v>1359</v>
      </c>
      <c r="B3" s="95" t="s">
        <v>1360</v>
      </c>
    </row>
    <row r="4">
      <c r="A4" s="95" t="s">
        <v>1361</v>
      </c>
      <c r="B4" s="95" t="s">
        <v>859</v>
      </c>
    </row>
    <row r="5">
      <c r="A5" s="95" t="s">
        <v>257</v>
      </c>
      <c r="B5" s="95" t="s">
        <v>1362</v>
      </c>
      <c r="C5" s="95" t="s">
        <v>1363</v>
      </c>
    </row>
    <row r="6">
      <c r="A6" s="95" t="s">
        <v>480</v>
      </c>
      <c r="B6" s="95" t="s">
        <v>1364</v>
      </c>
    </row>
    <row r="7">
      <c r="A7" s="95" t="s">
        <v>1365</v>
      </c>
      <c r="B7" s="95" t="s">
        <v>1366</v>
      </c>
    </row>
    <row r="8">
      <c r="A8" s="95" t="s">
        <v>1367</v>
      </c>
      <c r="B8" s="95" t="s">
        <v>1368</v>
      </c>
    </row>
    <row r="9">
      <c r="A9" s="95" t="s">
        <v>323</v>
      </c>
      <c r="B9" s="95" t="s">
        <v>1369</v>
      </c>
    </row>
  </sheetData>
  <mergeCells count="1">
    <mergeCell ref="C5:C6"/>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38"/>
    <col hidden="1" min="2" max="26" width="12.63"/>
  </cols>
  <sheetData>
    <row r="1">
      <c r="A1" s="1079" t="s">
        <v>1370</v>
      </c>
    </row>
    <row r="2">
      <c r="A2" s="95" t="s">
        <v>1371</v>
      </c>
    </row>
    <row r="3" hidden="1"/>
    <row r="4" hidden="1"/>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sheetData>
  <mergeCells count="1">
    <mergeCell ref="A1:O1"/>
  </mergeCells>
  <drawing r:id="rId1"/>
</worksheet>
</file>